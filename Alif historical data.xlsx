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r-f\ud$\2832\Desktop\"/>
    </mc:Choice>
  </mc:AlternateContent>
  <xr:revisionPtr revIDLastSave="0" documentId="8_{303A33DE-1229-4F23-A6C2-C13243179791}" xr6:coauthVersionLast="47" xr6:coauthVersionMax="47" xr10:uidLastSave="{00000000-0000-0000-0000-000000000000}"/>
  <bookViews>
    <workbookView xWindow="-120" yWindow="-120" windowWidth="29040" windowHeight="15720" tabRatio="685" firstSheet="4" activeTab="4" xr2:uid="{00000000-000D-0000-FFFF-FFFF00000000}"/>
  </bookViews>
  <sheets>
    <sheet name="YearlyAlif" sheetId="55" r:id="rId1"/>
    <sheet name="BS" sheetId="9" state="hidden" r:id="rId2"/>
    <sheet name="Charts_BS" sheetId="68" r:id="rId3"/>
    <sheet name="Charts_P&amp;L" sheetId="67" r:id="rId4"/>
    <sheet name="P&amp;L_2014-2025" sheetId="32" r:id="rId5"/>
    <sheet name="P&amp;L" sheetId="10" state="hidden" r:id="rId6"/>
    <sheet name="CF" sheetId="12" state="hidden" r:id="rId7"/>
    <sheet name="Notes" sheetId="57" state="hidden" r:id="rId8"/>
    <sheet name="ALIF_Y2014" sheetId="28" r:id="rId9"/>
    <sheet name="ALIF_Y2015" sheetId="29" r:id="rId10"/>
    <sheet name="ALIF_Y2016" sheetId="25" r:id="rId11"/>
    <sheet name="ALIF_Y2017" sheetId="33" r:id="rId12"/>
    <sheet name="ALIF_Y2018" sheetId="38" r:id="rId13"/>
    <sheet name="ALIF_Y2019" sheetId="43" r:id="rId14"/>
    <sheet name="ALIF_Y2020" sheetId="47" r:id="rId15"/>
    <sheet name="ALIF_Y2021" sheetId="49" r:id="rId16"/>
    <sheet name="ALIF_Y2022" sheetId="53" r:id="rId17"/>
    <sheet name="ALIF_Y2023" sheetId="62" r:id="rId18"/>
    <sheet name="ALIF_Y2024" sheetId="65" r:id="rId19"/>
    <sheet name="ALIF_Y2025" sheetId="66" r:id="rId20"/>
    <sheet name="Map" sheetId="8" r:id="rId21"/>
  </sheets>
  <definedNames>
    <definedName name="_xlnm._FilterDatabase" localSheetId="8" hidden="1">ALIF_Y2014!$A$4:$J$420</definedName>
    <definedName name="_xlnm._FilterDatabase" localSheetId="9" hidden="1">ALIF_Y2015!$A$4:$K$279</definedName>
    <definedName name="_xlnm._FilterDatabase" localSheetId="10" hidden="1">ALIF_Y2016!$A$4:$K$833</definedName>
    <definedName name="_xlnm._FilterDatabase" localSheetId="11" hidden="1">ALIF_Y2017!$A$4:$K$305</definedName>
    <definedName name="_xlnm._FilterDatabase" localSheetId="12" hidden="1">ALIF_Y2018!$A$4:$K$258</definedName>
    <definedName name="_xlnm._FilterDatabase" localSheetId="13" hidden="1">ALIF_Y2019!$A$4:$K$276</definedName>
    <definedName name="_xlnm._FilterDatabase" localSheetId="14" hidden="1">ALIF_Y2020!$A$4:$K$288</definedName>
    <definedName name="_xlnm._FilterDatabase" localSheetId="15" hidden="1">ALIF_Y2021!$A$4:$K$243</definedName>
    <definedName name="_xlnm._FilterDatabase" localSheetId="16" hidden="1">ALIF_Y2022!$A$4:$J$362</definedName>
    <definedName name="_xlnm._FilterDatabase" localSheetId="17" hidden="1">ALIF_Y2023!$A$4:$J$375</definedName>
    <definedName name="_xlnm._FilterDatabase" localSheetId="18" hidden="1">ALIF_Y2024!$A$4:$J$263</definedName>
    <definedName name="_xlnm._FilterDatabase" localSheetId="19" hidden="1">ALIF_Y2025!$A$4:$J$270</definedName>
    <definedName name="_xlnm._FilterDatabase" localSheetId="20" hidden="1">Map!$A$1:$G$274</definedName>
    <definedName name="_xlnm._FilterDatabase" localSheetId="0" hidden="1">YearlyAlif!$A$3:$P$269</definedName>
    <definedName name="ARA_Threshold">#REF!</definedName>
    <definedName name="ARP_Threshold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DA_2942659045600003218" hidden="1">BS!#REF!</definedName>
    <definedName name="DA_2942659045600003222" hidden="1">BS!$B$22</definedName>
    <definedName name="DA_2942659045600003227" hidden="1">BS!$B$37</definedName>
    <definedName name="DA_3561220538800004370" hidden="1">#REF!</definedName>
    <definedName name="DA_3561220538800004379" hidden="1">#REF!</definedName>
    <definedName name="DA_3561220538800004383" hidden="1">#REF!</definedName>
    <definedName name="DA_3561220538800004401" hidden="1">#REF!</definedName>
    <definedName name="DAL_RESERVED" hidden="1">#REF!</definedName>
    <definedName name="DALBAL.PriorPeriod1Balance" hidden="1">#REF!</definedName>
    <definedName name="DALFirstRange" hidden="1">#REF!</definedName>
    <definedName name="DALS_GrandTotal" hidden="1">#REF!</definedName>
    <definedName name="DiffAmtHeader">#REF!</definedName>
    <definedName name="DiffPercentHeader">#REF!</definedName>
    <definedName name="FINAL_TM" hidden="1">#REF!</definedName>
    <definedName name="MP">#REF!</definedName>
    <definedName name="Population">#REF!</definedName>
    <definedName name="PRELIM_TM" hidden="1">#REF!</definedName>
    <definedName name="RESERVED_DATA" hidden="1">#REF!</definedName>
    <definedName name="S_Adjust" hidden="1">#REF!</definedName>
    <definedName name="S_Adjust_Data">#REF!</definedName>
    <definedName name="S_Adjust_GT">#REF!</definedName>
    <definedName name="S_AJE_Tot" hidden="1">#REF!</definedName>
    <definedName name="S_AJE_Tot_Data">#REF!</definedName>
    <definedName name="S_AJE_Tot_GT">#REF!</definedName>
    <definedName name="S_CompNum" hidden="1">#REF!</definedName>
    <definedName name="S_CY_Beg" hidden="1">#REF!</definedName>
    <definedName name="S_CY_Beg_Data">#REF!</definedName>
    <definedName name="S_CY_Beg_GT">#REF!</definedName>
    <definedName name="S_CY_End_Data">#REF!</definedName>
    <definedName name="S_CY_End_GT">#REF!</definedName>
    <definedName name="S_Diff_Amt" hidden="1">#REF!</definedName>
    <definedName name="S_Diff_Pct" hidden="1">#REF!</definedName>
    <definedName name="S_GrpNum" hidden="1">#REF!</definedName>
    <definedName name="S_Headings">#REF!</definedName>
    <definedName name="S_KeyValue">#REF!</definedName>
    <definedName name="S_PY_End" hidden="1">#REF!</definedName>
    <definedName name="S_PY_End_Data">#REF!</definedName>
    <definedName name="S_PY_End_GT">#REF!</definedName>
    <definedName name="S_RJE_Tot" hidden="1">#REF!</definedName>
    <definedName name="S_RJE_Tot_Data">#REF!</definedName>
    <definedName name="S_RJE_Tot_GT">#REF!</definedName>
    <definedName name="TB000903a7_a2cf_4473_93a1_4dd38e58b185" hidden="1">#REF!</definedName>
    <definedName name="TB00143c8a_b25c_4e9c_b700_8bf702b0da16" hidden="1">#REF!</definedName>
    <definedName name="TB0016c51e_ea61_4391_aaee_20f390d31fe1" hidden="1">#REF!</definedName>
    <definedName name="TB00177ec0_1d79_4017_a26b_4ac6b9207e57" hidden="1">#REF!</definedName>
    <definedName name="TB0018969f_b948_4783_8bdd_cbfdcc40f7d1" hidden="1">#REF!</definedName>
    <definedName name="TB00401688_3640_431c_a976_5fe27fbff6c8" hidden="1">#REF!</definedName>
    <definedName name="TB0053585c_c003_4f09_a9f8_b5ad82c578c2" hidden="1">#REF!</definedName>
    <definedName name="TB006270d9_51b0_40b7_b9d5_85e671bf319c" hidden="1">#REF!</definedName>
    <definedName name="TB00710f8f_ffd9_488d_a42f_7cb65ef06834" hidden="1">#REF!</definedName>
    <definedName name="TB0071e7b4_9f00_4ff7_890a_9e09a32fc557" hidden="1">#REF!</definedName>
    <definedName name="TB007233dd_079b_444a_afc5_2b5849c29f11" hidden="1">#REF!</definedName>
    <definedName name="TB0077ae2d_a3d8_44bc_afd9_bba355c6a870" hidden="1">#REF!</definedName>
    <definedName name="TB0088ab3e_0c93_42c0_a238_cfd6963d034b" hidden="1">#REF!</definedName>
    <definedName name="TB0094a697_030c_410a_a1ac_1e81cd8fcb49" hidden="1">#REF!</definedName>
    <definedName name="TB0095f68c_74cc_493e_be31_19a0d35cdb72" hidden="1">#REF!</definedName>
    <definedName name="TB009cfac5_9c42_4795_a4e2_8acea12eabf6" hidden="1">#REF!</definedName>
    <definedName name="TB009fb901_eefc_47fa_aa44_4da41714bebc" hidden="1">#REF!</definedName>
    <definedName name="TB00a11c11_b8c3_4c0c_83b5_9869f5d3710c" hidden="1">#REF!</definedName>
    <definedName name="TB00a40b49_371e_448b_8a9e_9813cee9795f" hidden="1">#REF!</definedName>
    <definedName name="TB00b1fe50_4e58_4746_b804_363d8e9d6672" hidden="1">#REF!</definedName>
    <definedName name="TB00b308aa_4fce_455a_9b8f_fbbf47dfe58b" hidden="1">#REF!</definedName>
    <definedName name="TB00bef5c2_c630_44b8_828b_6ca9f3cfe2eb" hidden="1">#REF!</definedName>
    <definedName name="TB00d81859_fa15_421a_be57_5331f27a8264" hidden="1">#REF!</definedName>
    <definedName name="TB00d8ab2f_94bb_45aa_b9f2_de236e18b8e4" hidden="1">#REF!</definedName>
    <definedName name="TB00e2d293_e23b_4a7f_bdde_5c1e614875d4" hidden="1">#REF!</definedName>
    <definedName name="TB00e635fd_0122_4246_b2c4_83b16c4d82a4" hidden="1">#REF!</definedName>
    <definedName name="TB00f0ab79_34b7_4213_9ca2_244ddaff8916" hidden="1">#REF!</definedName>
    <definedName name="TB00f3616d_2ded_4051_b8ef_3280a7e3a647" hidden="1">#REF!</definedName>
    <definedName name="TB00f410e8_0d73_4ab0_81f1_43f11d4cda41" hidden="1">#REF!</definedName>
    <definedName name="TB00fb6c11_b46f_4f29_b51c_1997487dfce7" hidden="1">#REF!</definedName>
    <definedName name="TB01073468_0d38_4d1c_bda3_8d18cbc02bba" hidden="1">#REF!</definedName>
    <definedName name="TB010b1742_bef5_4604_8828_f38470bd32d1" hidden="1">#REF!</definedName>
    <definedName name="TB010e9bd6_89c7_4b87_96f0_7300d21e467b" hidden="1">#REF!</definedName>
    <definedName name="TB010efac8_2e6a_4ac5_af7b_93a47a5857b0" hidden="1">#REF!</definedName>
    <definedName name="TB010f23e7_994c_4a77_ad3a_60ac9136d2f7" hidden="1">#REF!</definedName>
    <definedName name="TB0115350d_c137_40c8_a8b4_25421a1f1116" hidden="1">#REF!</definedName>
    <definedName name="TB011c5e5c_f10a_4b55_99d9_ec6603c9ae61" hidden="1">#REF!</definedName>
    <definedName name="TB01244895_f11d_4609_86eb_0f3c06b7560e" hidden="1">#REF!</definedName>
    <definedName name="TB01288f17_2616_4f5b_96bc_73ff14ca5ddf" hidden="1">#REF!</definedName>
    <definedName name="TB0132bc1e_6287_4105_8ed0_80bd37047065" hidden="1">#REF!</definedName>
    <definedName name="TB0133e945_e448_43b4_8ecc_397a361cc416" hidden="1">#REF!</definedName>
    <definedName name="TB013ad932_3778_43d1_a25b_d848e40ac344" hidden="1">#REF!</definedName>
    <definedName name="TB0142582f_e235_450c_98b7_eb64460ce865" hidden="1">#REF!</definedName>
    <definedName name="TB014c51da_853b_4a3e_b7d6_24ec7310f3ad" hidden="1">#REF!</definedName>
    <definedName name="TB01547500_af28_45a3_8203_ab3c69f10a99" hidden="1">#REF!</definedName>
    <definedName name="TB017c8092_a412_4471_a6b7_284811603501" hidden="1">#REF!</definedName>
    <definedName name="TB017ec8fe_c150_412e_9384_2b1af3a6bb25" hidden="1">#REF!</definedName>
    <definedName name="TB01815718_3d2d_4328_acd0_a533c38982f0" hidden="1">#REF!</definedName>
    <definedName name="TB01895f25_1864_4b70_8649_6bad6fd0e7fa" hidden="1">#REF!</definedName>
    <definedName name="TB018ad91b_e3a6_4fb1_851d_d3e11aa29f50" hidden="1">#REF!</definedName>
    <definedName name="TB019f3760_a4dc_4984_9152_2c36d2e7949b" hidden="1">#REF!</definedName>
    <definedName name="TB01a487dd_8642_4b1a_b691_08180312c986" hidden="1">#REF!</definedName>
    <definedName name="TB01a84237_d833_4485_9ad1_06eb94568689" hidden="1">#REF!</definedName>
    <definedName name="TB01bea8c4_d9f5_4031_aede_36e59b855bb2" hidden="1">#REF!</definedName>
    <definedName name="TB01bef3aa_9e12_4916_b84c_5bddcb513464" hidden="1">#REF!</definedName>
    <definedName name="TB01cc7eab_04bf_41fe_9f44_e66edb3e8618" hidden="1">#REF!</definedName>
    <definedName name="TB01d3aacd_8dfe_4aa9_872a_05448e7053e4" hidden="1">#REF!</definedName>
    <definedName name="TB01d49050_e951_4957_8c9f_e17bb55337c3" hidden="1">#REF!</definedName>
    <definedName name="TB01d89af5_00d5_4750_894d_eb8e8200d04d" hidden="1">#REF!</definedName>
    <definedName name="TB01e19125_f8c6_4855_801b_c8b1b04874b8" hidden="1">#REF!</definedName>
    <definedName name="TB01e38561_4bb2_4775_b810_d93aa679cf79" hidden="1">#REF!</definedName>
    <definedName name="TB01e3c524_b307_49f1_937e_0442b7802b0c" hidden="1">#REF!</definedName>
    <definedName name="TB01e46a3f_c739_4b4c_a0a5_611409c61e17" hidden="1">#REF!</definedName>
    <definedName name="TB01f34087_a306_475a_a46c_399e9a18e09a" hidden="1">#REF!</definedName>
    <definedName name="TB02010d40_2b7a_43df_89ec_7eb73c4d65a2" hidden="1">#REF!</definedName>
    <definedName name="TB020afe49_48b2_4325_9886_a6715a0c072e" hidden="1">#REF!</definedName>
    <definedName name="TB0210fa21_1e1a_4fbe_a238_3f27580ab84f" hidden="1">#REF!</definedName>
    <definedName name="TB02336c19_0141_41eb_92d0_c9d36a4d0615" hidden="1">#REF!</definedName>
    <definedName name="TB023da12b_7a45_4107_8dc8_670f28e4c21b" hidden="1">#REF!</definedName>
    <definedName name="TB024a8fd3_96e4_4468_863e_7e07d5a8a049" hidden="1">#REF!</definedName>
    <definedName name="TB024d6f1a_dad4_4397_b323_e7d2c4b3eed9" hidden="1">#REF!</definedName>
    <definedName name="TB025109a4_6ab1_4559_9ea7_edd43865db47" hidden="1">#REF!</definedName>
    <definedName name="TB0258bb39_8e34_42e9_a777_cda0588d5bbc" hidden="1">#REF!</definedName>
    <definedName name="TB027e856d_9788_41b9_8ac6_6606e38786f8" hidden="1">#REF!</definedName>
    <definedName name="TB028916c1_ea90_45fc_8478_3849bc0be0c1" hidden="1">#REF!</definedName>
    <definedName name="TB028aae88_474b_4d0b_af63_344a3d7d72d9" hidden="1">#REF!</definedName>
    <definedName name="TB02938e97_eec1_4b85_a8e5_010feb728e3f" hidden="1">#REF!</definedName>
    <definedName name="TB029e8dff_ca16_43d4_85de_24d5e5aae602" hidden="1">#REF!</definedName>
    <definedName name="TB02aebb5d_8902_4e78_ae5a_fdd242591807" hidden="1">#REF!</definedName>
    <definedName name="TB02afd6ca_2076_429a_b717_2abf10653fa8" hidden="1">#REF!</definedName>
    <definedName name="TB02afd9d0_1898_4d52_b39b_128adc3624ab" hidden="1">#REF!</definedName>
    <definedName name="TB02c6a020_b386_409e_9e57_f8750b366aa0" hidden="1">#REF!</definedName>
    <definedName name="TB02cbc961_c455_4d97_9360_c629746812f1" hidden="1">#REF!</definedName>
    <definedName name="TB02e478d7_32ff_4b13_91c5_d4e6b0fdaa49" hidden="1">#REF!</definedName>
    <definedName name="TB02e5bbb3_de40_4798_aa8c_100864b687d6" hidden="1">#REF!</definedName>
    <definedName name="TB02ee8182_74ed_4e1d_ae2a_7492a6496c76" hidden="1">#REF!</definedName>
    <definedName name="TB02f31d4e_842c_4a98_8b30_750c391664ea" hidden="1">#REF!</definedName>
    <definedName name="TB02fcf494_f532_4a46_8439_f9eb912a89cb" hidden="1">#REF!</definedName>
    <definedName name="TB031718b7_9c7e_4c5d_a145_11fd2f32cc7a" hidden="1">#REF!</definedName>
    <definedName name="TB0325cfcc_d9ca_4153_be6e_944556db01bb" hidden="1">#REF!</definedName>
    <definedName name="TB0327aea1_c77f_4145_aeef_983d068c7278" hidden="1">#REF!</definedName>
    <definedName name="TB032f79d8_8f08_41f6_b2a4_5697206d5ce9" hidden="1">#REF!</definedName>
    <definedName name="TB033646fb_2607_4403_84c9_714cdfcc432f" hidden="1">#REF!</definedName>
    <definedName name="TB033cccf5_35e9_43d2_ace0_bbc5e18b6422" hidden="1">#REF!</definedName>
    <definedName name="TB034edbd1_2fe4_48fc_803e_757f8c61b1d8" hidden="1">#REF!</definedName>
    <definedName name="TB0353f8c0_92e3_4e56_819d_bb68b81d3c76" hidden="1">#REF!</definedName>
    <definedName name="TB035a49ff_d713_4e2e_b99a_ab530d1edbde" hidden="1">#REF!</definedName>
    <definedName name="TB0365eb2c_db7d_45ef_a709_88354a7f0103" hidden="1">#REF!</definedName>
    <definedName name="TB036618c1_d280_4f8b_9af8_b0af75e5d1fc" hidden="1">#REF!</definedName>
    <definedName name="TB0372f0f1_489e_46c1_a23c_1b6c651a28bd" hidden="1">#REF!</definedName>
    <definedName name="TB0378a527_14dd_4706_933b_a701f4b6f289" hidden="1">#REF!</definedName>
    <definedName name="TB037d0de2_9923_4b66_ac89_e389cbdb8de1" hidden="1">#REF!</definedName>
    <definedName name="TB037f47d5_2db9_4521_9bc6_bfe8485794fb" hidden="1">#REF!</definedName>
    <definedName name="TB03811084_27bd_4695_8385_f8f52a4173fe" hidden="1">#REF!</definedName>
    <definedName name="TB03867623_6139_4568_b368_6d52da81f630" hidden="1">#REF!</definedName>
    <definedName name="TB039164cc_47a4_4f71_8a4c_b38413727d88" hidden="1">#REF!</definedName>
    <definedName name="TB03a1218b_bc2e_42ff_8a5a_50f37f373428" hidden="1">#REF!</definedName>
    <definedName name="TB03a88baf_1a40_46fa_b87b_8edb805584f8" hidden="1">#REF!</definedName>
    <definedName name="TB03a8df5d_6515_46b9_a21d_918c4a326583" hidden="1">#REF!</definedName>
    <definedName name="TB03b22da4_89c2_4608_b324_7b86d81ee6e6" hidden="1">#REF!</definedName>
    <definedName name="TB03c1ea7b_b547_404f_af6a_50d5cb17ef2e" hidden="1">#REF!</definedName>
    <definedName name="TB03c28845_d528_4deb_84d4_bf326eb20b12" hidden="1">#REF!</definedName>
    <definedName name="TB03d39b70_366c_4a7f_b963_270d4643297d" hidden="1">#REF!</definedName>
    <definedName name="TB03d60f30_bc76_4172_a989_858b355be5e7" hidden="1">#REF!</definedName>
    <definedName name="TB03dd6e8e_77a9_4014_8234_d26767a29b29" hidden="1">#REF!</definedName>
    <definedName name="TB03f16ab6_856d_4864_931a_6b03bd3cd211" hidden="1">#REF!</definedName>
    <definedName name="TB03f81fce_4405_4669_b3a8_f44f8f5823dd" hidden="1">#REF!</definedName>
    <definedName name="TB0400329c_a8ac_4236_b2b0_961f490b4e85" hidden="1">#REF!</definedName>
    <definedName name="TB0402ae0e_ad83_427d_8fc3_f865b06d7b94" hidden="1">#REF!</definedName>
    <definedName name="TB0405880c_2486_4df9_9605_071e90065e1e" hidden="1">#REF!</definedName>
    <definedName name="TB0405aea0_3f38_4e2b_b5d4_2bc15df27af4" hidden="1">#REF!</definedName>
    <definedName name="TB0406eb8c_2ba2_4d1b_b05e_2db29bea13d7" hidden="1">#REF!</definedName>
    <definedName name="TB0413dc68_d90f_43f2_837e_aa0bdb4434db" hidden="1">#REF!</definedName>
    <definedName name="TB041536fd_69b1_4a82_b440_b9b0d53e87de" hidden="1">#REF!</definedName>
    <definedName name="TB04236178_5d42_4391_b216_ace3586f9245" hidden="1">#REF!</definedName>
    <definedName name="TB04246d7a_57fa_4bf1_abfd_6a6a54adc939" hidden="1">#REF!</definedName>
    <definedName name="TB0429c165_ee91_49ce_be17_8d263a8a432d" hidden="1">#REF!</definedName>
    <definedName name="TB042e67fe_980c_4aa0_a5d2_6592347b9259" hidden="1">#REF!</definedName>
    <definedName name="TB0449bcef_26a6_4db5_832d_a19a2319b02a" hidden="1">#REF!</definedName>
    <definedName name="TB044e5a4d_a60d_4dc5_a8dd_293c140bc97f" hidden="1">#REF!</definedName>
    <definedName name="TB044eea0a_14d1_4e33_ab6f_ea7e7af68cad" hidden="1">#REF!</definedName>
    <definedName name="TB04538130_cf72_4e57_b188_5d4c3c51b60d" hidden="1">#REF!</definedName>
    <definedName name="TB04587336_8804_4ba5_ba7e_de05166c1a97" hidden="1">#REF!</definedName>
    <definedName name="TB045c85c0_a614_4b4f_9a16_7429edcc2e8f" hidden="1">#REF!</definedName>
    <definedName name="TB045fc032_ebef_4b85_93fa_bf064a927589" hidden="1">#REF!</definedName>
    <definedName name="TB0461d737_9394_4f85_99a2_aa3dfb6d38da" hidden="1">#REF!</definedName>
    <definedName name="TB04677986_13eb_4bd5_a646_2be125829d55" hidden="1">#REF!</definedName>
    <definedName name="TB0479f892_e08a_417b_b941_1d635bbb5a33" hidden="1">#REF!</definedName>
    <definedName name="TB047caa5d_3258_4d7a_af94_1476487d3043" hidden="1">#REF!</definedName>
    <definedName name="TB0492ca08_0c9e_4114_b5a9_b8d214e00e8e" hidden="1">#REF!</definedName>
    <definedName name="TB0494fef0_7d75_412b_b0d7_c75e3c8cec5c" hidden="1">#REF!</definedName>
    <definedName name="TB049eceac_e5cf_40b0_b0cf_d5296a2fa344" hidden="1">#REF!</definedName>
    <definedName name="TB04b0f740_75a3_4e23_a1ee_aac5ff84bb6e" hidden="1">#REF!</definedName>
    <definedName name="TB04b64fee_2e57_4e5f_8a87_3402276b057a" hidden="1">#REF!</definedName>
    <definedName name="TB04c9a840_5dd3_402d_ad1f_16e9d3db92bd" hidden="1">#REF!</definedName>
    <definedName name="TB04cc70d4_7689_4e04_94d7_72d999eabd97" hidden="1">#REF!</definedName>
    <definedName name="TB04d5338e_8927_4ff8_8baf_9f642ecec764" hidden="1">#REF!</definedName>
    <definedName name="TB04ed5f8e_3d15_41dc_8881_892aa537f67a" hidden="1">#REF!</definedName>
    <definedName name="TB04ef54a8_a20c_4083_b9e4_9e9727a767e3" hidden="1">#REF!</definedName>
    <definedName name="TB04f0fb80_153a_46af_a902_b102b0b01785" hidden="1">#REF!</definedName>
    <definedName name="TB04f43a1e_7149_4afe_81e9_f8a9ca2affb5" hidden="1">#REF!</definedName>
    <definedName name="TB04fd40e2_70a0_462e_ab3d_a3f5b2d7d8c8" hidden="1">#REF!</definedName>
    <definedName name="TB0501957d_2c96_419c_a019_2cfe3684f3f2" hidden="1">#REF!</definedName>
    <definedName name="TB05037275_ebf9_406a_9beb_ba8276be1abc" hidden="1">#REF!</definedName>
    <definedName name="TB0508259e_f0fe_40cf_a485_0ea214670663" hidden="1">#REF!</definedName>
    <definedName name="TB050a2ab2_e41c_402f_9c9e_76e0808c79ef" hidden="1">#REF!</definedName>
    <definedName name="TB0511e28a_7058_4e66_8492_0ddc7b3a6a83" hidden="1">#REF!</definedName>
    <definedName name="TB05128fb7_01d2_4847_882a_7d1b4b8295de" hidden="1">#REF!</definedName>
    <definedName name="TB052492ff_1281_433c_ab45_90498c12d54f" hidden="1">#REF!</definedName>
    <definedName name="TB053917ee_ab62_4797_81f4_aab5e628b24f" hidden="1">#REF!</definedName>
    <definedName name="TB05424661_8dce_413e_b129_e19c4774534a" hidden="1">#REF!</definedName>
    <definedName name="TB054505cb_0140_409a_8194_3490f60b5a23" hidden="1">#REF!</definedName>
    <definedName name="TB055931dd_1fc5_4753_ae96_fa1e7a4a250e" hidden="1">#REF!</definedName>
    <definedName name="TB055c8630_2650_4091_b80e_81e43922a4d5" hidden="1">#REF!</definedName>
    <definedName name="TB055ea453_8f35_4c56_b9b6_f6535fb486ce" hidden="1">#REF!</definedName>
    <definedName name="TB056132f6_3fcc_42d8_809d_ee09d85e8e02" hidden="1">#REF!</definedName>
    <definedName name="TB0567d60c_40d0_4bd5_b5f1_d5f5da8149b5" hidden="1">#REF!</definedName>
    <definedName name="TB056b0e28_42a8_4357_8543_2ac7e899f44d" hidden="1">#REF!</definedName>
    <definedName name="TB057c5303_61f7_49b9_9307_96abed47536e" hidden="1">#REF!</definedName>
    <definedName name="TB0588fc2b_fed1_41ce_b655_7a354c970af5" hidden="1">#REF!</definedName>
    <definedName name="TB05b308c4_146c_488a_9d86_30f63affd87c" hidden="1">#REF!</definedName>
    <definedName name="TB05bac5a1_c228_4a5f_b8c1_832b49cc0c97" hidden="1">#REF!</definedName>
    <definedName name="TB05d6bebd_88d3_4b69_bfdb_51c34d43e7f7" hidden="1">#REF!</definedName>
    <definedName name="TB05d98197_c63f_4608_b82b_f32685f6a383" hidden="1">#REF!</definedName>
    <definedName name="TB05e6ceaf_45b6_42db_a568_d63ed109fd53" hidden="1">#REF!</definedName>
    <definedName name="TB05f58a65_4f73_476d_985c_38beed5d3b71" hidden="1">#REF!</definedName>
    <definedName name="TB06022059_8057_4c13_8159_c0cc4ec5468f" hidden="1">#REF!</definedName>
    <definedName name="TB06093206_cfd9_4b24_8da9_927284bdaa69" hidden="1">#REF!</definedName>
    <definedName name="TB06311112_099f_467e_9638_1ce2ca522a26" hidden="1">#REF!</definedName>
    <definedName name="TB063b4d61_a143_485a_8f91_032175b458f0" hidden="1">#REF!</definedName>
    <definedName name="TB0641cbbb_c314_4507_8f32_41d328479a2f" hidden="1">#REF!</definedName>
    <definedName name="TB06472783_9d53_479a_92b3_cbb941625c7f" hidden="1">#REF!</definedName>
    <definedName name="TB064fc718_efaf_41e8_9160_35987de0d8bd" hidden="1">#REF!</definedName>
    <definedName name="TB06580464_1a94_4ede_b6cf_a7a058c1de06" hidden="1">#REF!</definedName>
    <definedName name="TB065ac2c3_b8cd_40e2_bee4_715b6bf22622" hidden="1">#REF!</definedName>
    <definedName name="TB065fb716_ffc0_4a39_a1dd_fa427d9d8d08" hidden="1">#REF!</definedName>
    <definedName name="TB067e1345_a65d_4496_9a9d_2ceed7f76ea6" hidden="1">#REF!</definedName>
    <definedName name="TB068605a3_897d_4b4f_b812_0b585dfe4c05" hidden="1">#REF!</definedName>
    <definedName name="TB06867b43_9f6b_4075_b6c1_fbd7e746b5d7" hidden="1">#REF!</definedName>
    <definedName name="TB06940a08_6d97_4c40_9941_925e4e3b9350" hidden="1">#REF!</definedName>
    <definedName name="TB06ac1770_775e_4983_a409_51101ad8769e" hidden="1">#REF!</definedName>
    <definedName name="TB06ae14e3_f153_4a69_b566_0fddee68d296" hidden="1">#REF!</definedName>
    <definedName name="TB06bc506a_35f2_4755_bf85_bf395a1f02a0" hidden="1">#REF!</definedName>
    <definedName name="TB06bc5259_2112_4a0e_b163_b238f42a2110" hidden="1">#REF!</definedName>
    <definedName name="TB06be8c95_449b_4a44_835e_f61daa71e444" hidden="1">#REF!</definedName>
    <definedName name="TB06cb3b22_a2d2_4e95_b161_4b03bbaa6ba6" hidden="1">#REF!</definedName>
    <definedName name="TB06cf24d7_5d1c_4bd0_8379_67051fbdd7b1" hidden="1">#REF!</definedName>
    <definedName name="TB06d77fba_f4e9_4283_8579_888da85d93b2" hidden="1">#REF!</definedName>
    <definedName name="TB06edbcec_3648_40cd_8c03_02a99b75159b" hidden="1">#REF!</definedName>
    <definedName name="TB0701fa62_3302_48cf_9e1d_6e31debbe003" hidden="1">#REF!</definedName>
    <definedName name="TB07166ae7_cf79_4138_8bff_4a43fe18b84c" hidden="1">#REF!</definedName>
    <definedName name="TB07204645_dd0e_46bd_afee_f82b6871133c" hidden="1">#REF!</definedName>
    <definedName name="TB0721f99e_7c02_44b3_af2c_6ffcc54bdcda" hidden="1">#REF!</definedName>
    <definedName name="TB0723c8ed_6250_44d9_be34_fd3a53c8e1ec" hidden="1">#REF!</definedName>
    <definedName name="TB0737fbb4_7e3e_4a25_9845_75e1b95d43b3" hidden="1">#REF!</definedName>
    <definedName name="TB0738b034_d10c_42d6_89e5_a1f03abfe939" hidden="1">#REF!</definedName>
    <definedName name="TB073eeaf9_c879_4ee9_81f8_396c9f81b5d6" hidden="1">#REF!</definedName>
    <definedName name="TB074b5cb9_b22d_4203_bc36_3ad3b4eb6f0e" hidden="1">#REF!</definedName>
    <definedName name="TB0756dfe8_9b49_4d0b_be44_c70aa1bc3b3d" hidden="1">#REF!</definedName>
    <definedName name="TB076ad945_e51b_4e2b_981f_f30c22fa39e2" hidden="1">#REF!</definedName>
    <definedName name="TB07722e2e_8af7_4c23_a726_8727424ec4ac" hidden="1">#REF!</definedName>
    <definedName name="TB0776f4eb_9fd8_4525_9112_3ada81b90749" hidden="1">#REF!</definedName>
    <definedName name="TB077a668c_58a9_4bb0_be3a_c9636717bee4" hidden="1">#REF!</definedName>
    <definedName name="TB079bc3a8_d665_4c6c_a5ca_79a9adb3dbc7" hidden="1">#REF!</definedName>
    <definedName name="TB07a08ff2_388c_41bb_9eee_8fadf6c38b4e" hidden="1">#REF!</definedName>
    <definedName name="TB07a94a54_31a4_41e0_8940_22fbdbe7fa5f" hidden="1">#REF!</definedName>
    <definedName name="TB07c9459c_ecab_4a39_9db2_2624017be8b1" hidden="1">#REF!</definedName>
    <definedName name="TB07d52213_9826_4fae_b55e_b0a0e3c5d24d" hidden="1">#REF!</definedName>
    <definedName name="TB07e29745_3c47_43ec_8679_14e9c7858b1a" hidden="1">#REF!</definedName>
    <definedName name="TB07eda28a_2f09_4469_9046_46e00e109cd3" hidden="1">#REF!</definedName>
    <definedName name="TB07f8fd2e_0ab0_4c83_8cbd_3c17345ff613" hidden="1">#REF!</definedName>
    <definedName name="TB081d83a0_def0_4dc4_bf5b_0cf0a9bb8e6c" hidden="1">#REF!</definedName>
    <definedName name="TB0825c386_8d79_4675_b9fd_4cc18a5b7dd4" hidden="1">#REF!</definedName>
    <definedName name="TB086bb1da_13c4_4282_8c3f_5c3fc55ccf28" hidden="1">#REF!</definedName>
    <definedName name="TB086cf66f_2a17_46e3_a816_17945f701165" hidden="1">#REF!</definedName>
    <definedName name="TB0872b13b_2088_428b_ab47_372565fa5992" hidden="1">#REF!</definedName>
    <definedName name="TB08753c0a_fcbd_4941_93cd_6b079c02e953" hidden="1">#REF!</definedName>
    <definedName name="TB0876c5fc_d485_426d_9333_8b5b570177b6" hidden="1">#REF!</definedName>
    <definedName name="TB0885bfec_162d_4a7e_b8f6_3c10bdd347a3" hidden="1">#REF!</definedName>
    <definedName name="TB0898df86_16b0_4c00_bc7e_4f2cb4c3f1d8" hidden="1">#REF!</definedName>
    <definedName name="TB08990fc5_a113_48ab_b83a_c7d26294e0da" hidden="1">#REF!</definedName>
    <definedName name="TB08a1b46a_e1e2_49e0_9a35_88616d75563e" hidden="1">#REF!</definedName>
    <definedName name="TB08ac0a47_a1ba_45c4_a84a_181666e05d52" hidden="1">#REF!</definedName>
    <definedName name="TB08b25b37_ded0_444a_acc0_f0cabe79b932" hidden="1">#REF!</definedName>
    <definedName name="TB08b30bb8_2b98_4761_8071_399081ea38f6" hidden="1">#REF!</definedName>
    <definedName name="TB08b5f655_d369_4f01_9c6d_e32b581abb27" hidden="1">#REF!</definedName>
    <definedName name="TB08cc7b76_ef32_4773_883c_1b0d7612c15c" hidden="1">#REF!</definedName>
    <definedName name="TB08cee255_48cd_4ca9_aa46_2808e39610ee" hidden="1">#REF!</definedName>
    <definedName name="TB08d1fd9a_176b_4272_b898_b2605dba93c6" hidden="1">#REF!</definedName>
    <definedName name="TB08d69222_431c_4a7e_9b5a_2f23452f1396" hidden="1">#REF!</definedName>
    <definedName name="TB08e64d63_0488_4285_a365_2c6d092792d1" hidden="1">#REF!</definedName>
    <definedName name="TB08fe513e_f3cf_4ee1_b601_e20be4494dee" hidden="1">#REF!</definedName>
    <definedName name="TB08ff0659_99f0_4f88_9564_afda4e14ba2e" hidden="1">#REF!</definedName>
    <definedName name="TB091cd3b6_69a3_449b_84bf_8f62e97a40ff" hidden="1">#REF!</definedName>
    <definedName name="TB0944f10b_5494_48a3_9ec3_8746064fe4a7" hidden="1">#REF!</definedName>
    <definedName name="TB09464152_e84d_4140_942b_3227fda38b4d" hidden="1">#REF!</definedName>
    <definedName name="TB095835b7_734d_43be_bedf_820db3f47422" hidden="1">#REF!</definedName>
    <definedName name="TB095d15ba_8f33_4acb_97b0_6339fa16020a" hidden="1">#REF!</definedName>
    <definedName name="TB09968498_533f_430e_89e7_7002866e78e2" hidden="1">#REF!</definedName>
    <definedName name="TB09bb74a2_2d59_4840_b000_3f7da1991991" hidden="1">#REF!</definedName>
    <definedName name="TB09c078b6_b33d_43f1_8406_361661f198cc" hidden="1">#REF!</definedName>
    <definedName name="TB09c1de98_198a_4db0_9f5f_81d185d6d49a" hidden="1">#REF!</definedName>
    <definedName name="TB09c37e14_38e7_4a71_8ef0_e4e55e3ae907" hidden="1">#REF!</definedName>
    <definedName name="TB09c52087_ff6b_4397_8385_8a14a776db10" hidden="1">#REF!</definedName>
    <definedName name="TB09cc19bd_8306_4e9c_a710_647aedb2df17" hidden="1">#REF!</definedName>
    <definedName name="TB09d280ba_fd5b_4535_bc50_7cabf94b8241" hidden="1">#REF!</definedName>
    <definedName name="TB09e2a1d8_01a5_486a_8a59_2a2510a9bba4" hidden="1">#REF!</definedName>
    <definedName name="TB0a042f17_9968_4c5d_ae7c_d5a86346a092" hidden="1">#REF!</definedName>
    <definedName name="TB0a10ef17_154f_4f36_acfc_1a33d83b71af" hidden="1">#REF!</definedName>
    <definedName name="TB0a1a2743_b0bd_4c55_af67_b3e11ec08da9" hidden="1">#REF!</definedName>
    <definedName name="TB0a1f98d6_9226_45a6_9be6_0e289cf6bd7a" hidden="1">#REF!</definedName>
    <definedName name="TB0a291ee5_ae94_4b9b_90dc_5bc78b851331" hidden="1">#REF!</definedName>
    <definedName name="TB0a33b3fe_cc29_401b_83aa_b91ab2372162" hidden="1">#REF!</definedName>
    <definedName name="TB0a387850_7067_4380_abb4_3d19efbd9e8d" hidden="1">#REF!</definedName>
    <definedName name="TB0a3b4aec_8604_4cde_8f66_fb63cf1c4bed" hidden="1">#REF!</definedName>
    <definedName name="TB0a4d9b5a_52dd_4844_b835_f4ec0960379e" hidden="1">#REF!</definedName>
    <definedName name="TB0a5242c8_0965_462a_888c_e4965fd90df0" hidden="1">#REF!</definedName>
    <definedName name="TB0a544fff_0c44_48d0_9b21_a09babe54ce1" hidden="1">#REF!</definedName>
    <definedName name="TB0a6ab517_f857_415f_89b6_af2fbba858f6" hidden="1">#REF!</definedName>
    <definedName name="TB0a6b59bb_ad20_4133_8a3b_39506f7f2e40" hidden="1">#REF!</definedName>
    <definedName name="TB0a6f00b6_b6cb_4586_bcb9_8f966112daed" hidden="1">#REF!</definedName>
    <definedName name="TB0a7cba61_cc27_4ea2_989f_6ab5a97a1522" hidden="1">#REF!</definedName>
    <definedName name="TB0a87747f_1a0f_4b70_be08_5cb3e589d516" hidden="1">#REF!</definedName>
    <definedName name="TB0a8811d7_a2ce_421f_8e95_ebbb46a329e5" hidden="1">#REF!</definedName>
    <definedName name="TB0a8d7950_7e23_4178_ac6d_a4edf8084c71" hidden="1">#REF!</definedName>
    <definedName name="TB0a9a4b48_7762_4555_b924_d4b599e8fa2e" hidden="1">#REF!</definedName>
    <definedName name="TB0a9e01bc_c4de_4eae_87a1_30f1711e8458" hidden="1">#REF!</definedName>
    <definedName name="TB0a9eded9_e5ca_4394_b673_f9ab853a98c1" hidden="1">#REF!</definedName>
    <definedName name="TB0aa25752_6b30_4ae2_a47a_952c3493c825" hidden="1">#REF!</definedName>
    <definedName name="TB0aa7028e_c82c_4e61_aab0_283e5a1844b3" hidden="1">#REF!</definedName>
    <definedName name="TB0aabc567_3193_4e85_8bd6_446f2cb343a2" hidden="1">#REF!</definedName>
    <definedName name="TB0ab0d50b_b18e_45a3_85f4_7793461323d5" hidden="1">#REF!</definedName>
    <definedName name="TB0ab47368_4a87_4d7e_92c4_aae101d0edd7" hidden="1">#REF!</definedName>
    <definedName name="TB0ae36d88_08f1_44f1_9593_76e654f579cd" hidden="1">#REF!</definedName>
    <definedName name="TB0af1f77c_8b93_4461_bd78_bbd519764a7a" hidden="1">#REF!</definedName>
    <definedName name="TB0af24e78_ca84_4443_9ec0_c257b75e2193" hidden="1">#REF!</definedName>
    <definedName name="TB0af4637d_c618_4b30_a884_8c6475df29fa" hidden="1">#REF!</definedName>
    <definedName name="TB0b05ce6e_c743_4da8_9c84_9c2ed448bfc9" hidden="1">#REF!</definedName>
    <definedName name="TB0b1c27fb_fd36_42e5_83f3_2988def613eb" hidden="1">#REF!</definedName>
    <definedName name="TB0b231d35_80f5_45d1_8278_b8f6bcf7e65f" hidden="1">#REF!</definedName>
    <definedName name="TB0b26fd5a_aa44_40e9_bbba_ce1810f1785b" hidden="1">#REF!</definedName>
    <definedName name="TB0b38d42b_1411_4a6b_8d78_c3aff5876ada" hidden="1">#REF!</definedName>
    <definedName name="TB0b4ae371_4e2b_45a6_b856_04b9953a8a98" hidden="1">#REF!</definedName>
    <definedName name="TB0b602714_ae7d_44e2_a51f_7751968abe22" hidden="1">#REF!</definedName>
    <definedName name="TB0b73a5df_3530_4a8d_ba2a_f48b1b8718f8" hidden="1">#REF!</definedName>
    <definedName name="TB0b7769cf_8e36_4500_abe7_d07dca4c262c" hidden="1">#REF!</definedName>
    <definedName name="TB0b7bfd84_fae3_47db_9d8b_b4f13efa4f2b" hidden="1">#REF!</definedName>
    <definedName name="TB0b7e73bc_efac_41ee_9630_550477b26a1f" hidden="1">#REF!</definedName>
    <definedName name="TB0b7f3e27_289a_4170_84d5_6b292157e7f9" hidden="1">#REF!</definedName>
    <definedName name="TB0b80288e_0101_41d9_a6c3_c1c97979e394" hidden="1">#REF!</definedName>
    <definedName name="TB0b808526_d1b6_4137_b8e8_562b83a6fe47" hidden="1">#REF!</definedName>
    <definedName name="TB0b840fee_04a2_4e38_b1ca_812d3e44aea6" hidden="1">#REF!</definedName>
    <definedName name="TB0b8939a4_2869_4a63_97e5_0f70d65de075" hidden="1">#REF!</definedName>
    <definedName name="TB0b9247a6_78fb_4a34_a206_9d5dc5e82ef2" hidden="1">#REF!</definedName>
    <definedName name="TB0ba393b2_4d39_4efc_a4f7_5d1be69b1b2e" hidden="1">#REF!</definedName>
    <definedName name="TB0ba8f8e7_89be_486f_9feb_5fa24f7c7c16" hidden="1">#REF!</definedName>
    <definedName name="TB0bc7d3b2_c913_4a4b_8cdc_b265f2437921" hidden="1">#REF!</definedName>
    <definedName name="TB0bcc08a1_3f3b_4404_ac9c_791713867e27" hidden="1">#REF!</definedName>
    <definedName name="TB0bcc50c4_38ab_4ea8_a572_814c6bd6a370" hidden="1">#REF!</definedName>
    <definedName name="TB0bdb5382_b5c2_4229_aedb_150bd9d82379" hidden="1">#REF!</definedName>
    <definedName name="TB0be9286c_8856_4ed2_b606_75e324d510e1" hidden="1">#REF!</definedName>
    <definedName name="TB0bfc024a_25e4_49ca_919f_afa35873f959" hidden="1">#REF!</definedName>
    <definedName name="TB0c07d8f3_3fcb_439a_9ae7_5a90d9f8f7e8" hidden="1">#REF!</definedName>
    <definedName name="TB0c0da335_9324_46d0_b338_3576c8479ae4" hidden="1">#REF!</definedName>
    <definedName name="TB0c178222_0422_4320_b23a_dd8e2e0373e8" hidden="1">#REF!</definedName>
    <definedName name="TB0c217363_d065_48af_840c_ff26baab2b84" hidden="1">#REF!</definedName>
    <definedName name="TB0c247919_f6a4_4739_95cd_1512edcf312f" hidden="1">#REF!</definedName>
    <definedName name="TB0c2e2810_2321_41df_adb8_dfc8075431fa" hidden="1">#REF!</definedName>
    <definedName name="TB0c319276_0108_4456_91b3_4dc71443f2a0" hidden="1">#REF!</definedName>
    <definedName name="TB0c3352f7_b889_4bd3_8300_1ef4276f9b18" hidden="1">#REF!</definedName>
    <definedName name="TB0c343abe_ca90_4078_b266_a4ff72cff163" hidden="1">#REF!</definedName>
    <definedName name="TB0c37a22e_4165_4e15_8034_e5aac2eb35a1" hidden="1">#REF!</definedName>
    <definedName name="TB0c3f8fe4_9f3b_40bc_af57_1d96469fd870" hidden="1">#REF!</definedName>
    <definedName name="TB0c4b0f80_d8cb_4c56_8499_4f4c59f5faad" hidden="1">#REF!</definedName>
    <definedName name="TB0c61db72_26f3_4c3b_84aa_0dbf2e4ce777" hidden="1">#REF!</definedName>
    <definedName name="TB0c633b09_5f1a_420a_ba26_40abf24c3732" hidden="1">#REF!</definedName>
    <definedName name="TB0c671122_8777_41a9_ac1d_6008359bab0f" hidden="1">#REF!</definedName>
    <definedName name="TB0c6a56d5_43c8_4129_b6f8_c47d193d6b3d" hidden="1">#REF!</definedName>
    <definedName name="TB0c6dbf59_0d2e_43e3_b5e3_f7a513f36587" hidden="1">#REF!</definedName>
    <definedName name="TB0c6e7fbc_0e18_44fa_b855_c58b68251073" hidden="1">#REF!</definedName>
    <definedName name="TB0c70a4c8_c5dc_4d34_b836_53b5f9222e6b" hidden="1">#REF!</definedName>
    <definedName name="TB0c70ca4a_54b2_456b_b8a2_4321e1aef15b" hidden="1">#REF!</definedName>
    <definedName name="TB0c73bf6a_fa87_4170_9ffc_57c18dccdf2f" hidden="1">#REF!</definedName>
    <definedName name="TB0c7e3e30_f4d5_49bc_b2c5_e4c180940ba5" hidden="1">#REF!</definedName>
    <definedName name="TB0c8d166d_549d_47c9_ba6f_93c2511d84af" hidden="1">#REF!</definedName>
    <definedName name="TB0c924ea9_37bb_42f7_a999_6d777b446e5a" hidden="1">#REF!</definedName>
    <definedName name="TB0c9efa7d_bb5a_41b0_a952_db9f4c0e3689" hidden="1">#REF!</definedName>
    <definedName name="TB0cbc16ae_e6ef_4973_98fe_b3f697ef26fa" hidden="1">#REF!</definedName>
    <definedName name="TB0ce2a4b2_dddf_42cc_9e2a_1a10d0cc5d67" hidden="1">#REF!</definedName>
    <definedName name="TB0cf04c8c_1c1a_4635_89a9_0ae187f7e16e" hidden="1">#REF!</definedName>
    <definedName name="TB0cf237d1_70ab_427e_ae2f_9a3e4b69b2ad" hidden="1">#REF!</definedName>
    <definedName name="TB0cf5f416_f8ae_4df2_ac4d_953597f3b4b2" hidden="1">#REF!</definedName>
    <definedName name="TB0cf8930c_d2a6_4de5_9e30_fccda03bcc11" hidden="1">#REF!</definedName>
    <definedName name="TB0d05517a_3a8c_4d6f_b3d4_20a8d8e348c5" hidden="1">#REF!</definedName>
    <definedName name="TB0d0c10cf_d65e_400b_8c9c_39e3e93b8dbf" hidden="1">#REF!</definedName>
    <definedName name="TB0d1a753a_e7ad_4dd7_bad6_0d8bbd3a526c" hidden="1">#REF!</definedName>
    <definedName name="TB0d305a88_6da8_4138_a9cd_f530e4960d1d" hidden="1">#REF!</definedName>
    <definedName name="TB0d3483cb_6fe9_4422_b8ab_c872917bd064" hidden="1">#REF!</definedName>
    <definedName name="TB0d35c629_9f1f_421f_86da_192bfec82694" hidden="1">#REF!</definedName>
    <definedName name="TB0d395ef6_9acd_4b4c_b52d_fc40a9224853" hidden="1">#REF!</definedName>
    <definedName name="TB0d3f6554_6379_43be_a969_789889caefed" hidden="1">#REF!</definedName>
    <definedName name="TB0d41fd05_d796_4baa_bb7f_ab4d75a845ee" hidden="1">#REF!</definedName>
    <definedName name="TB0d435bad_d638_4e25_b443_c3125ba2fd07" hidden="1">#REF!</definedName>
    <definedName name="TB0d545d3c_2637_4e0d_b8f2_27ac13062e0b" hidden="1">#REF!</definedName>
    <definedName name="TB0d691d3c_a1f9_4554_8622_7ba98aab8c9f" hidden="1">#REF!</definedName>
    <definedName name="TB0d73b202_ffe4_4c39_97e2_4eb0a8245da9" hidden="1">#REF!</definedName>
    <definedName name="TB0d7d6d80_c3bc_4feb_8c0f_76389b0ad78e" hidden="1">#REF!</definedName>
    <definedName name="TB0d8383bd_fd2b_4d22_97dd_19dcb843a2cf" hidden="1">#REF!</definedName>
    <definedName name="TB0d8d022c_bd3f_42e0_82fa_b5e25d7cd1e7" hidden="1">#REF!</definedName>
    <definedName name="TB0d8d59f1_cd84_4287_b6da_1ed43e39b57c" hidden="1">#REF!</definedName>
    <definedName name="TB0d92944f_2798_42fa_8a72_dbddfd57afd1" hidden="1">#REF!</definedName>
    <definedName name="TB0d9475d9_9080_46ee_9b45_96657610c46b" hidden="1">#REF!</definedName>
    <definedName name="TB0d956f80_273e_48fc_b22e_b751b7b21592" hidden="1">#REF!</definedName>
    <definedName name="TB0da6e145_ab00_423f_8cf9_0abb53b28772" hidden="1">#REF!</definedName>
    <definedName name="TB0dc20ca7_d7e7_47fc_88eb_930ec633626b" hidden="1">#REF!</definedName>
    <definedName name="TB0dc2d02c_22f5_4a2f_baca_eb4e88302542" hidden="1">#REF!</definedName>
    <definedName name="TB0dc36947_b85e_470a_aee0_e6a638eafcb4" hidden="1">#REF!</definedName>
    <definedName name="TB0dc5ef60_93a8_4215_b4f6_04e399727542" hidden="1">#REF!</definedName>
    <definedName name="TB0dca32fe_9f36_4623_9984_6d83d46910ad" hidden="1">#REF!</definedName>
    <definedName name="TB0dd7c586_bcc2_4fe3_838f_85113eb992ff" hidden="1">#REF!</definedName>
    <definedName name="TB0dd83807_a6f0_44a7_b141_1329265af51b" hidden="1">#REF!</definedName>
    <definedName name="TB0dda848f_9b53_443d_9695_4f5e77cfa3d0" hidden="1">#REF!</definedName>
    <definedName name="TB0ddaeffb_7539_454c_9bb0_75417fd2a475" hidden="1">#REF!</definedName>
    <definedName name="TB0df165bc_b132_429e_a392_36625e473372" hidden="1">#REF!</definedName>
    <definedName name="TB0df991e1_8fea_4e88_a1f7_86d7bbf30a6d" hidden="1">#REF!</definedName>
    <definedName name="TB0dfb7fbb_0f57_4030_aa45_a7a221cf4923" hidden="1">#REF!</definedName>
    <definedName name="TB0e007b15_c170_4d15_979f_6f6aa522623d" hidden="1">#REF!</definedName>
    <definedName name="TB0e053b35_ad72_4762_99b8_6f0f97463a97" hidden="1">#REF!</definedName>
    <definedName name="TB0e054b55_f456_423c_9e29_4784f13bb1a1" hidden="1">#REF!</definedName>
    <definedName name="TB0e172d34_23ae_4a85_92e9_da0ce563349d" hidden="1">#REF!</definedName>
    <definedName name="TB0e19e2b1_c678_4ffc_84ad_caa305a36cf2" hidden="1">#REF!</definedName>
    <definedName name="TB0e2eeb05_e611_41e5_b3fd_32b5daf24ae9" hidden="1">#REF!</definedName>
    <definedName name="TB0e418050_e5c4_418d_a6eb_6e33dd3de2b1" hidden="1">#REF!</definedName>
    <definedName name="TB0e5aa965_bd4c_488e_a646_14965f533170" hidden="1">#REF!</definedName>
    <definedName name="TB0e6fc3f4_8946_4fdf_8369_b7021b4d5283" hidden="1">#REF!</definedName>
    <definedName name="TB0e806a3a_1f78_4e22_947f_c8ba6aac6193" hidden="1">#REF!</definedName>
    <definedName name="TB0e8179e6_0c3f_47d3_915c_cebd7c99820a" hidden="1">#REF!</definedName>
    <definedName name="TB0e830866_4784_433f_8ccb_579333bbe45e" hidden="1">#REF!</definedName>
    <definedName name="TB0e837315_5e28_4421_afa2_f968848907f1" hidden="1">#REF!</definedName>
    <definedName name="TB0e8bc4f1_467b_4de1_a915_92ad03577490" hidden="1">#REF!</definedName>
    <definedName name="TB0e9cb8d4_0f7c_4867_93bf_ab3d22797fc4" hidden="1">#REF!</definedName>
    <definedName name="TB0ea02a53_2f70_474c_a3e5_c96946ba22df" hidden="1">#REF!</definedName>
    <definedName name="TB0eace1a0_75d2_4fdd_bd0f_31cf8857bf36" hidden="1">#REF!</definedName>
    <definedName name="TB0eaef8f6_2399_4a9a_86ad_c4a20901fdec" hidden="1">#REF!</definedName>
    <definedName name="TB0ec589f8_eb03_4d0c_bd3a_adbdc68c754e" hidden="1">#REF!</definedName>
    <definedName name="TB0ed140b2_917a_4a42_bdf9_7ebfa5b9aca8" hidden="1">#REF!</definedName>
    <definedName name="TB0ee18ed9_d560_4578_8c6c_4cb645f0e9af" hidden="1">#REF!</definedName>
    <definedName name="TB0ee36934_7228_42e4_85a2_c9ae49baf291" hidden="1">#REF!</definedName>
    <definedName name="TB0ef5ff59_fd91_4643_b634_c3ca3c9aee6e" hidden="1">#REF!</definedName>
    <definedName name="TB0f044a4a_23f6_480d_918a_3719e6ac0358" hidden="1">#REF!</definedName>
    <definedName name="TB0f0e976a_d72c_40da_a458_2158f905c3fa" hidden="1">#REF!</definedName>
    <definedName name="TB0f20089d_4a8f_4477_9458_9bf85cc7993c" hidden="1">#REF!</definedName>
    <definedName name="TB0f26ceb5_20ca_448e_b514_b163fe17739f" hidden="1">#REF!</definedName>
    <definedName name="TB0f2f35d4_c00b_43bc_8e48_6000d402de0e" hidden="1">#REF!</definedName>
    <definedName name="TB0f37dfea_0d06_46cc_8fb7_ef9602086b05" hidden="1">#REF!</definedName>
    <definedName name="TB0f3c4e27_ec06_4005_a022_a0c4cc3bb25e" hidden="1">#REF!</definedName>
    <definedName name="TB0f3ea402_6bef_4d17_af08_5982a936a0af" hidden="1">#REF!</definedName>
    <definedName name="TB0f55c9f1_aab6_4ff8_9242_068bbc63dc31" hidden="1">#REF!</definedName>
    <definedName name="TB0f621dbc_e879_4969_8b8b_369b90383685" hidden="1">#REF!</definedName>
    <definedName name="TB0f712e1b_aad1_4815_bcc1_fc28ec784895" hidden="1">#REF!</definedName>
    <definedName name="TB0f78d072_6351_496a_a52c_915a729d5270" hidden="1">#REF!</definedName>
    <definedName name="TB0f88941f_ce2b_4b8a_80b8_a046f07ee0ab" hidden="1">#REF!</definedName>
    <definedName name="TB0f964a96_df79_4ba7_abb8_d83769a7761a" hidden="1">#REF!</definedName>
    <definedName name="TB0f96b6c9_d447_4973_842d_3897b935f918" hidden="1">#REF!</definedName>
    <definedName name="TB0f9c731a_e37f_4769_b87c_8690c8c1e495" hidden="1">#REF!</definedName>
    <definedName name="TB0f9e5575_6abf_4f31_bae5_6551ecda6053" hidden="1">#REF!</definedName>
    <definedName name="TB0fb07712_91f6_4e31_99f2_7f06be1a175d" hidden="1">#REF!</definedName>
    <definedName name="TB0fb49e5e_7d95_48ab_a1ea_297964093a30" hidden="1">#REF!</definedName>
    <definedName name="TB0fb95975_45d3_4fd8_80a9_a9538251698f" hidden="1">#REF!</definedName>
    <definedName name="TB0fc278ea_726e_4547_be2d_08a7ef19427b" hidden="1">#REF!</definedName>
    <definedName name="TB0fc45223_b5dd_4da0_a2c8_bd6101253b05" hidden="1">#REF!</definedName>
    <definedName name="TB0fc5c0e0_175d_4222_a054_266b272240cb" hidden="1">#REF!</definedName>
    <definedName name="TB0fc89b44_5ae5_41c8_b741_bd5914eecfdc" hidden="1">#REF!</definedName>
    <definedName name="TB0fc8fd75_7a97_43fd_a4ec_1b2b16110b8a" hidden="1">#REF!</definedName>
    <definedName name="TB0fc96af4_ddf1_4fd6_be0f_41fd1a95827a" hidden="1">#REF!</definedName>
    <definedName name="TB0fd374b5_0d92_4950_9893_bbea0b7813d6" hidden="1">#REF!</definedName>
    <definedName name="TB0fd841d9_61f2_470d_a06c_1c947853ec9a" hidden="1">#REF!</definedName>
    <definedName name="TB0fdb054f_fddb_4218_8d63_fd78e127ebf5" hidden="1">#REF!</definedName>
    <definedName name="TB0fe984b6_3139_4efd_8cb0_e8c2c2af24ab" hidden="1">#REF!</definedName>
    <definedName name="TB0ff2c5c4_7a69_4b94_94b2_8002b13ea42f" hidden="1">#REF!</definedName>
    <definedName name="TB0ff612d7_ec3c_40f4_8798_a021930ad336" hidden="1">#REF!</definedName>
    <definedName name="TB10019a00_24ca_49fe_9ecf_00e6b9bbe5bd" hidden="1">#REF!</definedName>
    <definedName name="TB10084dc6_7511_4c87_b22b_92bd6029eb31" hidden="1">#REF!</definedName>
    <definedName name="TB100da275_bb4a_48a7_9ceb_d4ed87c20d18" hidden="1">#REF!</definedName>
    <definedName name="TB1011bb43_57b9_43bd_a63f_38269b86d292" hidden="1">#REF!</definedName>
    <definedName name="TB1011cfdb_6345_4e5d_985c_f0b6c4f0c478" hidden="1">#REF!</definedName>
    <definedName name="TB101414c2_adc4_424c_b27f_06175b2d9459" hidden="1">#REF!</definedName>
    <definedName name="TB10164367_3d1a_4e28_b8f5_6f0a35650478" hidden="1">#REF!</definedName>
    <definedName name="TB101bb0f3_562e_462d_9bc6_68fb89e2c315" hidden="1">#REF!</definedName>
    <definedName name="TB10281501_744a_423f_a18c_79a67ac34481" hidden="1">#REF!</definedName>
    <definedName name="TB102bc441_c855_41c5_a0dd_0b88f9c38c5d" hidden="1">#REF!</definedName>
    <definedName name="TB102e4a32_bffd_499e_9130_fafe01a8cfcc" hidden="1">#REF!</definedName>
    <definedName name="TB102e8a36_bcd3_42f0_abd1_058b42e9c06c" hidden="1">#REF!</definedName>
    <definedName name="TB10306ecf_55dd_4798_b816_f65f926013c8" hidden="1">#REF!</definedName>
    <definedName name="TB1034cde1_c91f_49b7_80a5_c602b0c57981" hidden="1">#REF!</definedName>
    <definedName name="TB1046b59c_8ea7_413c_9212_ccb81108f43c" hidden="1">#REF!</definedName>
    <definedName name="TB1067ad33_cf45_4e9c_91f3_601b58e84581" hidden="1">#REF!</definedName>
    <definedName name="TB10688492_bafd_4dcc_a48f_b4672c51aec2" hidden="1">#REF!</definedName>
    <definedName name="TB107357f7_6258_4315_bf09_14e23dbeb5c7" hidden="1">#REF!</definedName>
    <definedName name="TB10741533_d83e_4741_a4a3_45905b21a313" hidden="1">#REF!</definedName>
    <definedName name="TB10822e17_d3fb_4d13_b25e_44f2c3cf1383" hidden="1">#REF!</definedName>
    <definedName name="TB1084c163_6501_41d8_a8a5_a6f94c498f29" hidden="1">#REF!</definedName>
    <definedName name="TB108a94b8_3c70_47b8_8cf5_a273709ab6f9" hidden="1">#REF!</definedName>
    <definedName name="TB108c097f_ee93_4cd7_bb08_27836becaa1a" hidden="1">#REF!</definedName>
    <definedName name="TB109d2a78_5577_4091_bdde_0134c7199d05" hidden="1">#REF!</definedName>
    <definedName name="TB10a5ebd2_bb12_4aca_a1bc_21647eef26a3" hidden="1">#REF!</definedName>
    <definedName name="TB10a77b8d_a0b9_4b8c_80b7_068fa94bd4b9" hidden="1">#REF!</definedName>
    <definedName name="TB10bf464f_f2ad_4f25_a856_b6e03a19bd07" hidden="1">#REF!</definedName>
    <definedName name="TB10c192f4_4b77_4e7b_99a6_5ca47eef9529" hidden="1">#REF!</definedName>
    <definedName name="TB10ca77e2_c6db_45c8_a879_d6203bec0c9f" hidden="1">#REF!</definedName>
    <definedName name="TB10cf3028_aa02_4bea_88ac_deeec8011847" hidden="1">#REF!</definedName>
    <definedName name="TB10db8a32_82e1_42cb_806b_4bd1ac644472" hidden="1">#REF!</definedName>
    <definedName name="TB10e9c587_5bcf_4146_bc4a_0cd5e886865e" hidden="1">#REF!</definedName>
    <definedName name="TB10ebb27c_df5b_400a_89ad_42edd8b77aae" hidden="1">#REF!</definedName>
    <definedName name="TB10f83455_1ea4_471c_bd6b_e539769132bf" hidden="1">#REF!</definedName>
    <definedName name="TB10fcb0b1_7eb3_4438_ba8d_91f4173c1cc2" hidden="1">#REF!</definedName>
    <definedName name="TB111361ae_9fbf_4558_b94e_5260bf329b54" hidden="1">#REF!</definedName>
    <definedName name="TB1117bc41_78d1_4c1a_8367_0a8dd6422070" hidden="1">#REF!</definedName>
    <definedName name="TB1118fce7_0c67_45ce_a170_84428380cbc2" hidden="1">#REF!</definedName>
    <definedName name="TB112d0e14_923c_4768_b212_9f4a71d72076" hidden="1">#REF!</definedName>
    <definedName name="TB116025d4_e2ad_432b_8669_aead9d5affe5" hidden="1">#REF!</definedName>
    <definedName name="TB118b3616_1262_422e_8643_47e0ed71642d" hidden="1">#REF!</definedName>
    <definedName name="TB118c86c7_f384_4dc0_852c_40c2acdcceef" hidden="1">#REF!</definedName>
    <definedName name="TB1196e570_b401_466d_b30a_373cd7bd8c38" hidden="1">#REF!</definedName>
    <definedName name="TB11a1db3d_e182_47a3_9df7_47fb0370ba07" hidden="1">#REF!</definedName>
    <definedName name="TB11a4c88d_2423_4802_8988_d54b12959050" hidden="1">#REF!</definedName>
    <definedName name="TB11bc7ec1_0619_457d_9345_192bae7dfa66" hidden="1">#REF!</definedName>
    <definedName name="TB11e40efa_ef03_4245_8d5d_bb036a9f5ecc" hidden="1">#REF!</definedName>
    <definedName name="TB11ff252e_dbd6_4d8e_8be5_d27364d9ce82" hidden="1">#REF!</definedName>
    <definedName name="TB12039147_4ea0_41b0_92a0_ad5258319105" hidden="1">#REF!</definedName>
    <definedName name="TB1210b86a_e2d7_43e6_b2b8_45b50cf76323" hidden="1">#REF!</definedName>
    <definedName name="TB1215794a_b95a_4fb4_843a_9ac9cf1e47d3" hidden="1">#REF!</definedName>
    <definedName name="TB121fb5c8_7331_4bb8_9617_f89cb6c1af81" hidden="1">#REF!</definedName>
    <definedName name="TB12256f0d_f1ee_47d9_8d86_fd1e8d95602b" hidden="1">#REF!</definedName>
    <definedName name="TB12405eef_2af7_4733_b646_feac8c96d8db" hidden="1">#REF!</definedName>
    <definedName name="TB1246e456_6984_4bb0_89cd_35ed59f7efd5" hidden="1">#REF!</definedName>
    <definedName name="TB1249dd83_9668_4755_9130_e80e558d0752" hidden="1">#REF!</definedName>
    <definedName name="TB124a5b15_c713_4ee7_aac7_bc3f59859411" hidden="1">#REF!</definedName>
    <definedName name="TB12592fc5_6e71_4a96_87c1_fadad6dedb37" hidden="1">#REF!</definedName>
    <definedName name="TB125f947c_c0a7_4ad4_a5cc_309c9ffabf7d" hidden="1">#REF!</definedName>
    <definedName name="TB126014a7_d209_4507_a737_7df174eecf29" hidden="1">#REF!</definedName>
    <definedName name="TB12626643_9469_4f61_9d63_1ea2ffd99ebd" hidden="1">#REF!</definedName>
    <definedName name="TB1263a2e6_ba71_4d10_a555_5937c03ea797" hidden="1">#REF!</definedName>
    <definedName name="TB126df8b1_1310_4a7b_b976_8bcb538a3b14" hidden="1">#REF!</definedName>
    <definedName name="TB127342e8_0018_4ac0_b281_58d5f50eb70a" hidden="1">#REF!</definedName>
    <definedName name="TB12776361_53e8_4cbb_a336_7f4ae43b6f01" hidden="1">#REF!</definedName>
    <definedName name="TB129bbcb2_7a40_48ad_bdca_3b67d85ea3a6" hidden="1">#REF!</definedName>
    <definedName name="TB129c0068_f6dc_4e98_bc94_b22a38a64383" hidden="1">#REF!</definedName>
    <definedName name="TB12a643dd_c35d_4fc7_bcd6_55fe5b33802a" hidden="1">#REF!</definedName>
    <definedName name="TB12c48109_02c1_4cec_98d6_f89efdd24e9c" hidden="1">#REF!</definedName>
    <definedName name="TB12c54bcb_e3e5_4dfc_88b0_64363670492e" hidden="1">#REF!</definedName>
    <definedName name="TB12ca7a42_d9e2_4f3f_87d9_db79762de8ae" hidden="1">#REF!</definedName>
    <definedName name="TB12e6503e_ef5c_4067_9eac_828590694d01" hidden="1">#REF!</definedName>
    <definedName name="TB12e8bbd8_b3b9_47c3_88db_b9cd248f2c57" hidden="1">#REF!</definedName>
    <definedName name="TB12ed8bbc_563a_44d6_a9b5_6ead7ac83c06" hidden="1">#REF!</definedName>
    <definedName name="TB12f80ea2_e8fd_4e02_81bf_1f209f3c9d6e" hidden="1">#REF!</definedName>
    <definedName name="TB13035546_6e08_4ceb_966e_9776a99e857b" hidden="1">#REF!</definedName>
    <definedName name="TB1309947b_8beb_4cc0_8702_9b7722f488ed" hidden="1">#REF!</definedName>
    <definedName name="TB1311b18e_0a42_4d6a_a7fd_715b09e99df9" hidden="1">#REF!</definedName>
    <definedName name="TB1325cbc3_ca9d_4613_827f_0e0a05572801" hidden="1">#REF!</definedName>
    <definedName name="TB132d26c2_c854_4c69_8745_a49d49fcfa3a" hidden="1">#REF!</definedName>
    <definedName name="TB1331722c_e35c_4fad_8667_0610b86ee292" hidden="1">#REF!</definedName>
    <definedName name="TB1333c820_4c1a_47c7_a5d5_e993abe14f05" hidden="1">#REF!</definedName>
    <definedName name="TB133e81fc_75bb_4ac2_b358_8a924ab69d01" hidden="1">#REF!</definedName>
    <definedName name="TB13402942_fa08_4c6e_bc7d_0bf9f988be0c" hidden="1">#REF!</definedName>
    <definedName name="TB136d98c2_8dfa_4b8b_84fc_24f4a03d9b20" hidden="1">#REF!</definedName>
    <definedName name="TB1384e9f7_17bd_483b_b2d6_52ecfaff8ac6" hidden="1">#REF!</definedName>
    <definedName name="TB1386f994_864d_486d_8a7d_6bbe0a5f1d69" hidden="1">#REF!</definedName>
    <definedName name="TB138c6e74_0097_4b10_afc2_b69eda593c19" hidden="1">#REF!</definedName>
    <definedName name="TB139d23e7_587c_4c94_8ecc_f51e5ea61765" hidden="1">#REF!</definedName>
    <definedName name="TB13a95cb4_605e_49a0_af13_3d1843c2c771" hidden="1">#REF!</definedName>
    <definedName name="TB13b2d785_aa70_4f39_9646_1f854810b8b9" hidden="1">#REF!</definedName>
    <definedName name="TB13b5917a_bfc3_46a7_9654_62a30af4e63e" hidden="1">#REF!</definedName>
    <definedName name="TB13bcccf5_31b9_4429_b3aa_5b569ae9853a" hidden="1">#REF!</definedName>
    <definedName name="TB13c7deb3_4087_43d3_921b_47538036d2d5" hidden="1">#REF!</definedName>
    <definedName name="TB13d24e21_87dc_4fd8_a0f7_f2efcd4f0017" hidden="1">#REF!</definedName>
    <definedName name="TB13eae6af_5709_4c57_ad6f_c85fd3fe4596" hidden="1">#REF!</definedName>
    <definedName name="TB13ef12a9_8111_4062_bdf4_8908a0b6f7ee" hidden="1">#REF!</definedName>
    <definedName name="TB140a3be0_32cb_46db_802c_69fd4ad70ad4" hidden="1">#REF!</definedName>
    <definedName name="TB141e89a1_3203_4d8d_9e0a_fad045d26d32" hidden="1">#REF!</definedName>
    <definedName name="TB141f863f_0ccc_40ca_a7be_ef7591dbf130" hidden="1">#REF!</definedName>
    <definedName name="TB1421f009_4bf5_4adc_8d59_7557f874d7ae" hidden="1">#REF!</definedName>
    <definedName name="TB143023fb_218d_47dd_8334_53ee70b426a2" hidden="1">#REF!</definedName>
    <definedName name="TB14441707_f257_4021_a86f_b95495ff0214" hidden="1">#REF!</definedName>
    <definedName name="TB144b6854_849d_4f59_8330_68fccba8de9e" hidden="1">#REF!</definedName>
    <definedName name="TB144e34a4_47e3_4730_848d_88ba463a0d45" hidden="1">#REF!</definedName>
    <definedName name="TB144e6c78_df5a_4505_8554_951569a7f745" hidden="1">#REF!</definedName>
    <definedName name="TB1456de6e_9746_42f7_a8b9_03612993db03" hidden="1">#REF!</definedName>
    <definedName name="TB145eec7e_2ff9_456d_b939_302d8a066699" hidden="1">#REF!</definedName>
    <definedName name="TB1465b32b_84b8_4812_ab5c_35f9e99920e1" hidden="1">#REF!</definedName>
    <definedName name="TB146bcfd2_56e4_48c5_8f99_63b6d8526152" hidden="1">#REF!</definedName>
    <definedName name="TB14785049_cb44_4963_a71d_2924d53a32f9" hidden="1">#REF!</definedName>
    <definedName name="TB1479374e_2aec_46dd_86bf_b6fcf4330414" hidden="1">#REF!</definedName>
    <definedName name="TB147be465_4399_4d80_bcd3_eed3b225591e" hidden="1">#REF!</definedName>
    <definedName name="TB147da234_3b37_4592_9f48_0eb5a5125a51" hidden="1">#REF!</definedName>
    <definedName name="TB1482b342_aba3_4822_86ca_2eb406fe488a" hidden="1">#REF!</definedName>
    <definedName name="TB1497dcbf_0266_4a0d_937e_12f1c3e85ea9" hidden="1">#REF!</definedName>
    <definedName name="TB14a5afc9_9e16_472d_99be_30e56a32e7c3" hidden="1">#REF!</definedName>
    <definedName name="TB14ac33c4_f61d_4b0e_8a91_6396e20f8b92" hidden="1">#REF!</definedName>
    <definedName name="TB14b5a7a5_9045_4242_beff_a663c06a4750" hidden="1">#REF!</definedName>
    <definedName name="TB14bc4a47_0b62_4560_a2dd_2c0cab7bf687" hidden="1">#REF!</definedName>
    <definedName name="TB14c2c120_fc0a_4d37_aaf0_9fdba705b42d" hidden="1">#REF!</definedName>
    <definedName name="TB14c60f20_59c2_4faf_b26f_19a95d3e649c" hidden="1">#REF!</definedName>
    <definedName name="TB14c7d8e7_47da_491f_ae79_ceacb4c801ef" hidden="1">#REF!</definedName>
    <definedName name="TB14cc9584_731e_423c_862b_53cde2d62d64" hidden="1">#REF!</definedName>
    <definedName name="TB14d31ceb_3573_4f46_8e44_c14c919d2ac3" hidden="1">#REF!</definedName>
    <definedName name="TB14d9ee6d_47e0_43a3_b9b4_dc5c7817f584" hidden="1">#REF!</definedName>
    <definedName name="TB14db0c24_dcbb_49f5_90b6_80708b787c40" hidden="1">#REF!</definedName>
    <definedName name="TB14e217b7_822e_4898_9bbb_fff39b0e83d5" hidden="1">#REF!</definedName>
    <definedName name="TB14f6cd9f_6c04_4b94_82b5_51973f3d95cb" hidden="1">#REF!</definedName>
    <definedName name="TB14f81c7d_06ce_4172_b44d_8d8a38847579" hidden="1">#REF!</definedName>
    <definedName name="TB14fa4e31_93ba_47d1_9633_a2f22fb1f123" hidden="1">#REF!</definedName>
    <definedName name="TB14fa6cf9_e83e_4370_a5b5_2231240d99ee" hidden="1">#REF!</definedName>
    <definedName name="TB15101f4b_a600_4a59_874a_6f4781450142" hidden="1">#REF!</definedName>
    <definedName name="TB15102013_0cd2_45b7_90be_f12b214c51d2" hidden="1">#REF!</definedName>
    <definedName name="TB1516ebb1_e170_45f7_9b20_6792f045f5d3" hidden="1">#REF!</definedName>
    <definedName name="TB152738e1_e105_457e_a64b_6a8c36ed0529" hidden="1">#REF!</definedName>
    <definedName name="TB152af401_fd1f_4297_846b_23b7cc13d3b4" hidden="1">#REF!</definedName>
    <definedName name="TB1540b038_1d4d_45c4_89f9_cae895cca325" hidden="1">#REF!</definedName>
    <definedName name="TB15420cac_3fa7_4f05_83fb_c16a9a11ecd4" hidden="1">#REF!</definedName>
    <definedName name="TB15490849_4a4c_4c1c_8e24_4f5a8dca8d66" hidden="1">#REF!</definedName>
    <definedName name="TB154d5121_6dd7_4b7a_89bf_d27cb2669a9e" hidden="1">#REF!</definedName>
    <definedName name="TB154de1e5_d550_4d9b_97f3_de655c7da2d1" hidden="1">#REF!</definedName>
    <definedName name="TB154f9714_1626_4db7_a2a5_8e53987911dc" hidden="1">#REF!</definedName>
    <definedName name="TB15564ec4_49ac_415e_ba78_2ec6ff46a23f" hidden="1">#REF!</definedName>
    <definedName name="TB15584456_af1e_4cec_9336_b10cf859b743" hidden="1">#REF!</definedName>
    <definedName name="TB1564cb60_49f8_41bc_b48b_55b2a3b9d6e6" hidden="1">#REF!</definedName>
    <definedName name="TB1577e06d_71de_4449_829d_54f4e74d851c" hidden="1">#REF!</definedName>
    <definedName name="TB157d0a69_f590_4cfa_8ff4_3cd52c119c59" hidden="1">#REF!</definedName>
    <definedName name="TB15893131_3381_4da7_9651_66afb17da343" hidden="1">#REF!</definedName>
    <definedName name="TB15adf6e7_221a_41c5_b3ca_ffba518b00c0" hidden="1">#REF!</definedName>
    <definedName name="TB15b33650_ed41_4ad9_8238_89fff2f3c02d" hidden="1">#REF!</definedName>
    <definedName name="TB15bc4b8f_d84d_4e0c_b02b_b02fe2c5214e" hidden="1">#REF!</definedName>
    <definedName name="TB15c1a891_4bbc_4687_92c1_ea491dba7f3c" hidden="1">#REF!</definedName>
    <definedName name="TB15d20917_2757_47ff_b46a_7f224ed55e39" hidden="1">#REF!</definedName>
    <definedName name="TB15d28c8a_7b1c_4ddd_93e9_82342aeefa11" hidden="1">#REF!</definedName>
    <definedName name="TB15d3de75_d987_4048_8fd4_0bf2c8f7d1ec" hidden="1">#REF!</definedName>
    <definedName name="TB15dda00a_4bc4_464e_b93d_40575c493888" hidden="1">#REF!</definedName>
    <definedName name="TB15e2302c_43c9_4dad_9bd1_48f694e76e8b" hidden="1">#REF!</definedName>
    <definedName name="TB15f59104_5bfa_4b4f_af85_a7f116254e3f" hidden="1">#REF!</definedName>
    <definedName name="TB15f960c8_f4f0_4b5d_a3ee_b27de9c19c29" hidden="1">#REF!</definedName>
    <definedName name="TB15fabb7b_5c57_4047_8441_420f5d64dead" hidden="1">#REF!</definedName>
    <definedName name="TB16072494_290f_4b59_b42d_05315107db42" hidden="1">#REF!</definedName>
    <definedName name="TB1607fa03_f418_4472_b509_a09b25a55fb3" hidden="1">#REF!</definedName>
    <definedName name="TB160dd879_83f7_46b2_8e99_d4a5d35e49b9" hidden="1">#REF!</definedName>
    <definedName name="TB161f65b7_4314_4fd5_abda_c75fcbc8c286" hidden="1">#REF!</definedName>
    <definedName name="TB16234d81_d340_4a4b_a71b_1eeed8fde269" hidden="1">#REF!</definedName>
    <definedName name="TB1624132c_9afc_47ca_993b_5c405542af00" hidden="1">#REF!</definedName>
    <definedName name="TB1627d89a_6adf_44eb_9ccc_9b57c581c8bd" hidden="1">#REF!</definedName>
    <definedName name="TB162f6e30_94ed_4984_bcb8_c6290b9f022d" hidden="1">#REF!</definedName>
    <definedName name="TB163047a6_ddb9_4d77_98d1_8fb1681ee2ad" hidden="1">#REF!</definedName>
    <definedName name="TB16352d9b_dbb7_4bb2_b049_4dce7294fe4f" hidden="1">#REF!</definedName>
    <definedName name="TB16388fbb_5791_477c_8e1d_2fcf6667badb" hidden="1">#REF!</definedName>
    <definedName name="TB1641262f_25d1_4af8_a091_93a8938daee9" hidden="1">#REF!</definedName>
    <definedName name="TB16483a93_a986_4137_b544_f3f59eff2c41" hidden="1">#REF!</definedName>
    <definedName name="TB16601992_7623_4b02_ab98_56e3b560bf29" hidden="1">#REF!</definedName>
    <definedName name="TB1664c0c6_d48d_4756_872e_35be67d9b61f" hidden="1">#REF!</definedName>
    <definedName name="TB16658dd6_1cf7_4151_aef5_a0e811ce0f22" hidden="1">#REF!</definedName>
    <definedName name="TB166b50f4_d9d5_431d_8f33_40a79512119f" hidden="1">#REF!</definedName>
    <definedName name="TB166ccea3_796b_4633_b6de_5c12023b2e6b" hidden="1">#REF!</definedName>
    <definedName name="TB1674bbad_c30c_45ec_9169_ed7c63f21046" hidden="1">#REF!</definedName>
    <definedName name="TB1681ef75_7d85_4af1_9748_7be6616b14f9" hidden="1">#REF!</definedName>
    <definedName name="TB16827c77_ed5e_4b54_9e60_7a2b67a5fe67" hidden="1">#REF!</definedName>
    <definedName name="TB168f7e84_6dc3_4c03_96ba_311c11891e02" hidden="1">#REF!</definedName>
    <definedName name="TB169ba7ef_8992_44bf_a0ce_7a18aa03ca2f" hidden="1">#REF!</definedName>
    <definedName name="TB16a0f549_7a2d_45e3_987d_14483c78f9f6" hidden="1">#REF!</definedName>
    <definedName name="TB16a99494_8dce_401e_8d29_f9fcff0c6709" hidden="1">#REF!</definedName>
    <definedName name="TB16bd75b7_97af_4aed_a959_c199f4992dfa" hidden="1">#REF!</definedName>
    <definedName name="TB16c09570_0b6e_4a5e_90a0_6b8cda16a171" hidden="1">#REF!</definedName>
    <definedName name="TB16e5d074_2649_4977_bbfa_eedb30230ba1" hidden="1">#REF!</definedName>
    <definedName name="TB16e761ab_153b_4858_9074_41631d224b12" hidden="1">#REF!</definedName>
    <definedName name="TB16e89e55_7e2c_4249_867b_4e6f15826b9c" hidden="1">#REF!</definedName>
    <definedName name="TB16eebfa6_eede_4897_b430_edb8eebd25da" hidden="1">#REF!</definedName>
    <definedName name="TB16fe3e91_25a7_4d22_86f7_8724b02eada0" hidden="1">#REF!</definedName>
    <definedName name="TB170551b0_257d_4028_89cb_8f61ac1b9baf" hidden="1">#REF!</definedName>
    <definedName name="TB1709a759_554f_4894_a8a7_63623ab6b765" hidden="1">#REF!</definedName>
    <definedName name="TB170faf35_536c_48cc_aece_24d4d7021ee9" hidden="1">#REF!</definedName>
    <definedName name="TB17156081_9f68_4f70_95a8_298acc36ab93" hidden="1">#REF!</definedName>
    <definedName name="TB171d42e7_eeb1_4338_941c_7580c9f3a18d" hidden="1">#REF!</definedName>
    <definedName name="TB1723c8e8_07c0_49d4_905f_36f81c65ade2" hidden="1">#REF!</definedName>
    <definedName name="TB1724121f_918b_4118_8d67_b426b8e96142" hidden="1">#REF!</definedName>
    <definedName name="TB1733ff66_f566_479b_987c_e603b8eb4531" hidden="1">#REF!</definedName>
    <definedName name="TB17342414_6bb2_4bb5_845c_c747374374ca" hidden="1">#REF!</definedName>
    <definedName name="TB1734e2cc_8c53_4b6b_b6c6_64659b605696" hidden="1">#REF!</definedName>
    <definedName name="TB1738e78d_2e06_4907_9d7f_0d26ea687c09" hidden="1">#REF!</definedName>
    <definedName name="TB1746608a_e04c_4046_80df_20bc7f24c3b5" hidden="1">#REF!</definedName>
    <definedName name="TB1747d9f7_beb7_4506_b0b8_f0837198149c" hidden="1">#REF!</definedName>
    <definedName name="TB1765aad9_0d0b_4e53_8650_b191252ec42f" hidden="1">#REF!</definedName>
    <definedName name="TB176f61f4_d257_4c82_9544_ee9a6d0ecda9" hidden="1">#REF!</definedName>
    <definedName name="TB1783d7c2_0a4d_4ed5_bee9_33b02c340dff" hidden="1">#REF!</definedName>
    <definedName name="TB178410c8_b662_4c76_9ea2_4d68e43fb259" hidden="1">#REF!</definedName>
    <definedName name="TB17851922_38a6_4efe_bc94_951a5e974bed" hidden="1">#REF!</definedName>
    <definedName name="TB178fd814_f191_4df7_9a82_2dc3c6c5ceef" hidden="1">#REF!</definedName>
    <definedName name="TB1790cab4_bc6d_4023_853a_1065e1f84a04" hidden="1">#REF!</definedName>
    <definedName name="TB17990051_cb56_4fbf_ba28_142ac34bfcb1" hidden="1">#REF!</definedName>
    <definedName name="TB17a45482_cec3_4df1_971c_f615b71b2080" hidden="1">#REF!</definedName>
    <definedName name="TB17a82942_763d_458a_baa9_5e1609f845ad" hidden="1">#REF!</definedName>
    <definedName name="TB17b73bed_e0e3_45d0_8515_3b3cb9c395ac" hidden="1">#REF!</definedName>
    <definedName name="TB17c3549b_5963_425c_b3e0_d43effffa9b7" hidden="1">#REF!</definedName>
    <definedName name="TB17d13fc6_be7d_49d3_86db_5e88efc05ff5" hidden="1">#REF!</definedName>
    <definedName name="TB17d6418b_2811_4c14_bc98_ae662dc35555" hidden="1">#REF!</definedName>
    <definedName name="TB17e28641_438a_4139_a9e4_280fd18e5d54" hidden="1">#REF!</definedName>
    <definedName name="TB17e3a2c0_4ca6_4967_b157_30056350e75f" hidden="1">#REF!</definedName>
    <definedName name="TB17e81346_29c9_4dc7_9ad5_69555555446d" hidden="1">#REF!</definedName>
    <definedName name="TB17ee4169_6a8f_4a01_999f_ccc4f4def8f6" hidden="1">#REF!</definedName>
    <definedName name="TB17ef0423_1c83_4ca3_aec8_a65a3ab08999" hidden="1">#REF!</definedName>
    <definedName name="TB17f6f11b_e6b6_48a9_a8e9_f2df02c50b00" hidden="1">#REF!</definedName>
    <definedName name="TB18313540_f9f4_452c_ad1a_6846c0ed8d4a" hidden="1">#REF!</definedName>
    <definedName name="TB185e7633_9995_4393_8eb7_4da256368a19" hidden="1">#REF!</definedName>
    <definedName name="TB185ed531_a7a6_4937_88a0_758d7bd126f0" hidden="1">#REF!</definedName>
    <definedName name="TB1872f207_8447_4315_a9c2_7a1b03ab39c0" hidden="1">#REF!</definedName>
    <definedName name="TB187a1124_a908_4dfd_99ee_03832fac2ba7" hidden="1">#REF!</definedName>
    <definedName name="TB187ccd66_431a_491a_bbb4_79c99f8d167e" hidden="1">#REF!</definedName>
    <definedName name="TB188843aa_ecef_49c4_904e_bf08ece8da8b" hidden="1">#REF!</definedName>
    <definedName name="TB1890893b_b8ff_4a70_8a8b_40652b412218" hidden="1">#REF!</definedName>
    <definedName name="TB18925eee_ec39_445a_bcc0_8f142df8606e" hidden="1">#REF!</definedName>
    <definedName name="TB1896b631_1f71_4c35_8b73_a59f226754f9" hidden="1">#REF!</definedName>
    <definedName name="TB189fca0a_c295_45d5_b244_e4440d84d2ea" hidden="1">#REF!</definedName>
    <definedName name="TB18a95aa2_a84f_4f11_aed2_a977927460da" hidden="1">#REF!</definedName>
    <definedName name="TB18ba5fd5_2c31_4aed_904c_9d84fa21819c" hidden="1">#REF!</definedName>
    <definedName name="TB18bfffe8_3d17_4800_944e_3692bdec062e" hidden="1">#REF!</definedName>
    <definedName name="TB18c3a2e4_509f_49b5_ae14_87b6a889893d" hidden="1">#REF!</definedName>
    <definedName name="TB18e1fe24_fdca_43f5_aaa5_9d6dfb00ceff" hidden="1">#REF!</definedName>
    <definedName name="TB18ea53b8_1881_4b49_afa4_79f4ca2aa5f9" hidden="1">#REF!</definedName>
    <definedName name="TB18ef3462_13f9_4480_a44e_e3ceaf59756f" hidden="1">#REF!</definedName>
    <definedName name="TB18f73941_ec06_482d_a44f_2fa8480c1d59" hidden="1">#REF!</definedName>
    <definedName name="TB18fdf6ed_cb25_4018_9e77_9879861c6b2f" hidden="1">#REF!</definedName>
    <definedName name="TB18fe6ba2_2aa5_474e_ae7f_656fa186bda6" hidden="1">#REF!</definedName>
    <definedName name="TB190a799f_377c_4253_8bfe_1cc82a40c04b" hidden="1">#REF!</definedName>
    <definedName name="TB190ad182_e369_456d_8f4d_5e473af99ca0" hidden="1">#REF!</definedName>
    <definedName name="TB190c752c_a211_4d34_b1e3_ee7c2f44204a" hidden="1">#REF!</definedName>
    <definedName name="TB1916c1a7_ddf3_4827_97f7_68e5a5087550" hidden="1">#REF!</definedName>
    <definedName name="TB191795a8_6518_453c_83e1_3937bbfb6fcb" hidden="1">#REF!</definedName>
    <definedName name="TB1921bc17_7882_4d4b_a87e_47ba12d097d8" hidden="1">#REF!</definedName>
    <definedName name="TB19272a32_d43f_4da7_a996_381389cef299" hidden="1">#REF!</definedName>
    <definedName name="TB19285eed_4f9c_4c49_aae6_fffcf4bff348" hidden="1">#REF!</definedName>
    <definedName name="TB193cc63e_a6a5_4263_aa40_054a0089cb60" hidden="1">#REF!</definedName>
    <definedName name="TB1947135e_9753_4ce1_8c23_9b0dd923d932" hidden="1">#REF!</definedName>
    <definedName name="TB19496509_bdb3_4f1f_963a_3d5f88868bd9" hidden="1">#REF!</definedName>
    <definedName name="TB194a806f_e8ac_49d7_abe5_601ce669d2d7" hidden="1">#REF!</definedName>
    <definedName name="TB194b92e4_90d3_45bf_8823_94ba91317f24" hidden="1">#REF!</definedName>
    <definedName name="TB1953e0e4_48c2_4d60_a95b_0106e8615ec8" hidden="1">#REF!</definedName>
    <definedName name="TB195d9350_47d4_4908_aca9_f150b665cbd1" hidden="1">#REF!</definedName>
    <definedName name="TB197c6733_46cc_43df_8d22_52d4e567f4e7" hidden="1">#REF!</definedName>
    <definedName name="TB198ed954_845a_4367_9aef_b2d00f5a8556" hidden="1">#REF!</definedName>
    <definedName name="TB199a6fe4_1328_4e13_8f17_5b43401cfc9c" hidden="1">#REF!</definedName>
    <definedName name="TB19b265ec_0a8d_4a61_a07e_05edf718abbf" hidden="1">#REF!</definedName>
    <definedName name="TB19d40574_5262_4aa0_a34a_7df581fa86d1" hidden="1">#REF!</definedName>
    <definedName name="TB19d889d1_71f3_4d82_8817_a996375f6430" hidden="1">#REF!</definedName>
    <definedName name="TB19e05597_6e74_4759_b2b1_e7a96524d0da" hidden="1">#REF!</definedName>
    <definedName name="TB19e87965_4ddb_4a5a_bf34_4d0c8de67ffb" hidden="1">#REF!</definedName>
    <definedName name="TB19e9f920_28d4_432b_a250_c22cbf748d5c" hidden="1">#REF!</definedName>
    <definedName name="TB19fd90d1_54bd_4642_a811_9153d3ebf2b8" hidden="1">#REF!</definedName>
    <definedName name="TB1a0356e8_3346_452d_bf79_0117ab3f4c4e" hidden="1">#REF!</definedName>
    <definedName name="TB1a06b052_aa3c_4f29_ba8d_45dd8ddb9826" hidden="1">#REF!</definedName>
    <definedName name="TB1a08d853_fe43_446b_bd17_0e2cced5e8cd" hidden="1">#REF!</definedName>
    <definedName name="TB1a1c2b24_9683_469b_8077_5444285c01c2" hidden="1">#REF!</definedName>
    <definedName name="TB1a200fd1_a5e4_454a_a5c3_e1adbb25c301" hidden="1">#REF!</definedName>
    <definedName name="TB1a203278_763b_4fdc_b4e6_f718bf1fc82c" hidden="1">#REF!</definedName>
    <definedName name="TB1a3100d4_8ac6_4f03_8a15_30274121662f" hidden="1">#REF!</definedName>
    <definedName name="TB1a3c0f2c_df7f_4322_81e3_631d9d46be91" hidden="1">#REF!</definedName>
    <definedName name="TB1a3d8f05_caa7_4a7a_8ccc_aa5a5315bc94" hidden="1">#REF!</definedName>
    <definedName name="TB1a423cb2_db87_4a7c_ad8f_e65255433824" hidden="1">#REF!</definedName>
    <definedName name="TB1a489633_3871_4b41_8fec_ce0c9ae85d92" hidden="1">#REF!</definedName>
    <definedName name="TB1a4fd74a_8eb2_4369_a04f_671a0237991c" hidden="1">#REF!</definedName>
    <definedName name="TB1a5974f2_bd7b_4d9c_81ea_f09f27e14eaa" hidden="1">#REF!</definedName>
    <definedName name="TB1a6a4890_45c3_4b29_a922_332d84e4eca8" hidden="1">#REF!</definedName>
    <definedName name="TB1a6b3b6a_ec9e_49ce_932d_653021a1c2ee" hidden="1">#REF!</definedName>
    <definedName name="TB1a7f12c6_36e0_47b0_a27e_d53f71374c1c" hidden="1">#REF!</definedName>
    <definedName name="TB1a8836a0_520e_411d_aa4c_51dba6759958" hidden="1">#REF!</definedName>
    <definedName name="TB1a8dfc2e_aa41_41cf_8317_fafb1b0b49a1" hidden="1">#REF!</definedName>
    <definedName name="TB1a8e93de_5208_4f7c_a7df_e2576803d2c2" hidden="1">#REF!</definedName>
    <definedName name="TB1a9ba5b9_db26_4fe6_9b83_9e63efe42437" hidden="1">#REF!</definedName>
    <definedName name="TB1aa5ad40_df54_4b00_b493_6df36fb12d59" hidden="1">#REF!</definedName>
    <definedName name="TB1abce3a2_4349_485e_957f_9d4786806d6e" hidden="1">#REF!</definedName>
    <definedName name="TB1ac354cf_6e01_4fc6_af4e_daccff2da5d8" hidden="1">#REF!</definedName>
    <definedName name="TB1ac3c60d_e93b_40e4_977f_cbba97f30ad1" hidden="1">#REF!</definedName>
    <definedName name="TB1acd6d3a_67b0_43b0_bc35_34fb51f09d61" hidden="1">#REF!</definedName>
    <definedName name="TB1ad46c93_732f_4652_bcd1_9f16e03dae6b" hidden="1">#REF!</definedName>
    <definedName name="TB1ad9e428_afb4_48ad_b42f_7e3fe1c80b39" hidden="1">#REF!</definedName>
    <definedName name="TB1aeae829_a3c0_4d1e_a8aa_abb6e38e08e8" hidden="1">#REF!</definedName>
    <definedName name="TB1aee1cf9_3c80_418e_bc67_9d3804fc2626" hidden="1">#REF!</definedName>
    <definedName name="TB1af214f0_144c_4f82_a86d_cfbb3e676ae7" hidden="1">#REF!</definedName>
    <definedName name="TB1af2bd73_4606_4225_ac6e_d845cf1bab42" hidden="1">#REF!</definedName>
    <definedName name="TB1afb77bc_2f14_46dc_a6b4_e810c75c8d05" hidden="1">#REF!</definedName>
    <definedName name="TB1b11cdc7_e8db_46b7_829b_f9f4ad48b9ae" hidden="1">#REF!</definedName>
    <definedName name="TB1b219b5c_cd85_4360_bd3a_41ff400d7746" hidden="1">#REF!</definedName>
    <definedName name="TB1b23f2be_5845_448e_a45c_7e306fab217a" hidden="1">#REF!</definedName>
    <definedName name="TB1b388a89_1d04_4e10_bb9d_9e064864b345" hidden="1">#REF!</definedName>
    <definedName name="TB1b38e336_7346_4e69_a618_b67446c7e577" hidden="1">#REF!</definedName>
    <definedName name="TB1b408d91_cf51_4413_a6e2_bcbf57c2df35" hidden="1">#REF!</definedName>
    <definedName name="TB1b439c2b_23fa_43e7_a992_aeb53f018789" hidden="1">#REF!</definedName>
    <definedName name="TB1b4ad8ca_7227_4e75_b911_e41913c41b5b" hidden="1">#REF!</definedName>
    <definedName name="TB1b4df875_c59c_4df3_a4ba_4c04fcb53b89" hidden="1">#REF!</definedName>
    <definedName name="TB1b5fd5b1_613c_48ab_9b0a_4848e7ee36cf" hidden="1">#REF!</definedName>
    <definedName name="TB1b78f0e3_8dcc_4553_b3c8_c99e18030bfa" hidden="1">#REF!</definedName>
    <definedName name="TB1b8cdaaa_1583_4d8a_af1b_a113f22b8a80" hidden="1">#REF!</definedName>
    <definedName name="TB1b8fc302_44ac_400b_9609_33e0ac220baa" hidden="1">#REF!</definedName>
    <definedName name="TB1b95f5ef_c9dd_4e92_9773_28f6ae0ce1ec" hidden="1">#REF!</definedName>
    <definedName name="TB1b9ba00b_b0a9_4ae3_af95_da912289de1e" hidden="1">#REF!</definedName>
    <definedName name="TB1bb19c13_e7e2_436c_ba25_5366fe637862" hidden="1">#REF!</definedName>
    <definedName name="TB1bb735d9_aaee_42ab_b7af_649d1dd180c0" hidden="1">#REF!</definedName>
    <definedName name="TB1bb9b441_5f9d_4dd5_9e3a_dee2fcff622f" hidden="1">#REF!</definedName>
    <definedName name="TB1bc145d0_da29_4b81_8542_b5df7d21754d" hidden="1">#REF!</definedName>
    <definedName name="TB1bc47fd6_f345_40d6_976c_752c51fc1c1f" hidden="1">#REF!</definedName>
    <definedName name="TB1bccedaa_401d_4434_9817_fa599f213b48" hidden="1">#REF!</definedName>
    <definedName name="TB1bd3f5dd_12d3_42f5_a331_8bd16e937fc1" hidden="1">#REF!</definedName>
    <definedName name="TB1be1d48c_602d_47fe_bdc3_1c3f012c40f0" hidden="1">#REF!</definedName>
    <definedName name="TB1bee7d90_abac_4173_af3b_c935d7052038" hidden="1">#REF!</definedName>
    <definedName name="TB1bf88e9e_b94a_4800_9d41_9125a00ef9d7" hidden="1">#REF!</definedName>
    <definedName name="TB1c013afe_552d_484a_82da_f564b36568b8" hidden="1">#REF!</definedName>
    <definedName name="TB1c09c2fe_93e6_4864_81cc_d34edb3a6e06" hidden="1">#REF!</definedName>
    <definedName name="TB1c0a4d08_d2c6_4266_9fdb_016c49be9ce5" hidden="1">#REF!</definedName>
    <definedName name="TB1c0f7703_57f9_40e6_b7f5_195e17576826" hidden="1">#REF!</definedName>
    <definedName name="TB1c1c831b_f2ba_472c_8bb2_8d6148c7967f" hidden="1">#REF!</definedName>
    <definedName name="TB1c1def21_f800_4e5a_b608_53ce3ed42f4a" hidden="1">#REF!</definedName>
    <definedName name="TB1c20a9e3_0e4b_42f6_a335_54e018e5a495" hidden="1">#REF!</definedName>
    <definedName name="TB1c2427af_6ae8_447a_a921_aec6b01ffdf9" hidden="1">#REF!</definedName>
    <definedName name="TB1c2897d6_8d9f_4816_b62d_a2d9b602dbed" hidden="1">#REF!</definedName>
    <definedName name="TB1c2cf83f_5920_47cb_b9ba_1f749a2631e5" hidden="1">#REF!</definedName>
    <definedName name="TB1c30f112_0038_4023_b7fa_3dde319f1369" hidden="1">#REF!</definedName>
    <definedName name="TB1c388702_e0ef_45bc_8e79_4a3f2ee3e3ad" hidden="1">#REF!</definedName>
    <definedName name="TB1c4b64bd_f4d8_4d4a_ad5a_55c13d3c09e3" hidden="1">#REF!</definedName>
    <definedName name="TB1c4e4b47_185d_4179_be9f_5dbe0e31b4f1" hidden="1">#REF!</definedName>
    <definedName name="TB1c60d9c0_dba9_4e3e_b162_dafef296a84a" hidden="1">#REF!</definedName>
    <definedName name="TB1c6a51e4_b2cd_49f6_809b_8bce019c617b" hidden="1">#REF!</definedName>
    <definedName name="TB1c7b1630_4448_4ff2_ba39_5d368979d24c" hidden="1">#REF!</definedName>
    <definedName name="TB1c856ec0_b234_40d0_88ec_ca732304f7a0" hidden="1">#REF!</definedName>
    <definedName name="TB1c8606e9_bb3c_4666_8884_8d942895293f" hidden="1">#REF!</definedName>
    <definedName name="TB1c881468_773e_48b7_b62f_0d5482acdd21" hidden="1">#REF!</definedName>
    <definedName name="TB1c88800a_bc27_479d_8e3d_14ec7fcfc996" hidden="1">#REF!</definedName>
    <definedName name="TB1c8f6482_f1f9_413c_babf_b9e7cd17d9e1" hidden="1">#REF!</definedName>
    <definedName name="TB1ca076cc_db19_48f1_bf37_59b80e54d708" hidden="1">#REF!</definedName>
    <definedName name="TB1cab8028_0663_452b_a58c_dc7a2707613b" hidden="1">#REF!</definedName>
    <definedName name="TB1cac5062_6930_4776_8a95_f8f68dd12020" hidden="1">#REF!</definedName>
    <definedName name="TB1cafa260_7553_4d7f_b130_f628ada8d403" hidden="1">#REF!</definedName>
    <definedName name="TB1cb40aad_b80a_44ba_98da_a69145ee27c7" hidden="1">#REF!</definedName>
    <definedName name="TB1ccf3a7d_0d9c_4e2d_a21a_5385db3bd895" hidden="1">#REF!</definedName>
    <definedName name="TB1cd08a54_5907_4e74_8e15_88e10fabbc57" hidden="1">#REF!</definedName>
    <definedName name="TB1cd827fe_8246_4ac0_a3ce_0945d5a7f66c" hidden="1">#REF!</definedName>
    <definedName name="TB1cd87b02_849f_45cc_9bd1_5c8453ce6f4c" hidden="1">#REF!</definedName>
    <definedName name="TB1cd976af_1cb7_4fc1_b4da_39dea91e9c98" hidden="1">#REF!</definedName>
    <definedName name="TB1cede983_586b_43fa_b990_58656845787b" hidden="1">#REF!</definedName>
    <definedName name="TB1cef676e_65a3_4818_a981_b087ed2ef9e8" hidden="1">#REF!</definedName>
    <definedName name="TB1d019bd0_2b82_4dbb_9df8_7d46f2053295" hidden="1">#REF!</definedName>
    <definedName name="TB1d09a084_c919_4ada_94f0_bf9465ec9cf8" hidden="1">#REF!</definedName>
    <definedName name="TB1d0a2f6d_6f90_413f_8a12_8427dd7a6701" hidden="1">#REF!</definedName>
    <definedName name="TB1d11ccf8_c817_47f7_a585_0f0ae210278d" hidden="1">#REF!</definedName>
    <definedName name="TB1d11eb03_f12c_4b5d_b2c9_b793cab04221" hidden="1">#REF!</definedName>
    <definedName name="TB1d15df6c_6a92_45bc_98d3_40191c6ab7b8" hidden="1">#REF!</definedName>
    <definedName name="TB1d18bce9_5469_47a8_a00a_f097d4e0e3f1" hidden="1">#REF!</definedName>
    <definedName name="TB1d345bf6_1600_49e2_bfa9_5464d146e902" hidden="1">#REF!</definedName>
    <definedName name="TB1d388c4d_16f1_477a_af9e_dc8c93144cd3" hidden="1">#REF!</definedName>
    <definedName name="TB1d3f10d8_465e_4be2_8964_0af8ff2870ad" hidden="1">#REF!</definedName>
    <definedName name="TB1d4736a4_2553_4712_b698_1a4f6e3edf8c" hidden="1">#REF!</definedName>
    <definedName name="TB1d53fd24_138c_451c_b1f1_f7e972b3a51f" hidden="1">#REF!</definedName>
    <definedName name="TB1d571a9d_6876_4b7f_8bbc_77aac31b40be" hidden="1">#REF!</definedName>
    <definedName name="TB1d60f3f1_f30b_4b1e_b098_6d6c7cee0613" hidden="1">#REF!</definedName>
    <definedName name="TB1d66a339_e5a5_4315_958c_e1787b84d184" hidden="1">#REF!</definedName>
    <definedName name="TB1d6f2d37_12ae_42a1_b37e_77a4b9eacb9b" hidden="1">#REF!</definedName>
    <definedName name="TB1d74fde0_14cb_44a5_8557_11ea00994226" hidden="1">#REF!</definedName>
    <definedName name="TB1d7b3cf6_2e67_45f9_94a2_2079e68a2d60" hidden="1">#REF!</definedName>
    <definedName name="TB1d84e8c0_09da_40c1_aecd_ae72e57a08ce" hidden="1">#REF!</definedName>
    <definedName name="TB1dabf771_c1a1_406a_bc2c_33fadd4c702f" hidden="1">#REF!</definedName>
    <definedName name="TB1db1125e_c7c9_42c7_b237_8bcb9a2256bc" hidden="1">#REF!</definedName>
    <definedName name="TB1dbae92b_ceae_4eae_baa2_ead916be6818" hidden="1">#REF!</definedName>
    <definedName name="TB1dbedff6_59ec_4ac3_b25a_5e82c28401e6" hidden="1">#REF!</definedName>
    <definedName name="TB1dc8dae9_9f73_48c9_92fd_266284d8ebf4" hidden="1">#REF!</definedName>
    <definedName name="TB1dd5aa79_46f4_4bc4_b94c_79e4de0eb30c" hidden="1">#REF!</definedName>
    <definedName name="TB1dda3d5a_af0d_4bf4_a237_ee4631f6368b" hidden="1">#REF!</definedName>
    <definedName name="TB1ddbe35c_57a8_4c08_b606_44da2c955575" hidden="1">#REF!</definedName>
    <definedName name="TB1dde46bf_4edd_44a4_b73d_6cc29d115866" hidden="1">#REF!</definedName>
    <definedName name="TB1dea6fbb_d6f6_405c_a62b_7bf91a5b1575" hidden="1">#REF!</definedName>
    <definedName name="TB1dee0e4f_2cee_4a1c_97d9_d2e14540c0b6" hidden="1">#REF!</definedName>
    <definedName name="TB1df1dc9a_5e88_410b_a7e2_09ea0440357a" hidden="1">#REF!</definedName>
    <definedName name="TB1e121b4d_9017_4845_93c6_3ea97d504543" hidden="1">#REF!</definedName>
    <definedName name="TB1e129249_28e2_4c37_8fce_3edfdefbeec9" hidden="1">#REF!</definedName>
    <definedName name="TB1e18d3ce_99cb_4e25_8041_848550b32707" hidden="1">#REF!</definedName>
    <definedName name="TB1e1b241e_895e_4c9b_8c9f_7b4304193253" hidden="1">#REF!</definedName>
    <definedName name="TB1e1d0340_5954_462c_84a0_a9e512fe507a" hidden="1">#REF!</definedName>
    <definedName name="TB1e1d078e_0621_4658_a17c_0c19d5bccd2f" hidden="1">#REF!</definedName>
    <definedName name="TB1e21a875_0582_4d20_8388_8f3dec3dec44" hidden="1">#REF!</definedName>
    <definedName name="TB1e2cacaa_7839_4aed_a869_20c378e95689" hidden="1">#REF!</definedName>
    <definedName name="TB1e3392b9_8253_4c15_b81f_0eb75832112f" hidden="1">#REF!</definedName>
    <definedName name="TB1e404655_3c4c_4575_bfce_8c3b8e328182" hidden="1">#REF!</definedName>
    <definedName name="TB1e41b222_6f88_4a7c_8be6_15c325d85207" hidden="1">#REF!</definedName>
    <definedName name="TB1e4e9751_89bb_4c1d_9a08_4c62e7bb00af" hidden="1">#REF!</definedName>
    <definedName name="TB1e4f5f38_ca75_4d60_a910_df23dafc0642" hidden="1">#REF!</definedName>
    <definedName name="TB1e539998_284b_4f74_b478_5308f9217357" hidden="1">#REF!</definedName>
    <definedName name="TB1e5b7587_0911_4ba6_85e8_0d575810db8a" hidden="1">#REF!</definedName>
    <definedName name="TB1e62854e_3af9_4adf_9419_be59f54aa773" hidden="1">#REF!</definedName>
    <definedName name="TB1e666bde_3fd6_4950_a52a_a76acd80bc14" hidden="1">#REF!</definedName>
    <definedName name="TB1e6d2278_74c1_4610_92d7_b8363e86657f" hidden="1">#REF!</definedName>
    <definedName name="TB1e76e0a7_ac54_490e_b018_b4dde8c6e67b" hidden="1">#REF!</definedName>
    <definedName name="TB1e95851c_03e3_4238_aca7_c8249c94125b" hidden="1">#REF!</definedName>
    <definedName name="TB1ea15c30_c1c6_4d26_9d9d_8f3aa997884d" hidden="1">#REF!</definedName>
    <definedName name="TB1ea559a3_2f1e_4593_949b_1e22776b67fa" hidden="1">#REF!</definedName>
    <definedName name="TB1ea7b33e_5ead_424c_847e_501590b5901b" hidden="1">#REF!</definedName>
    <definedName name="TB1eb72bd3_f2d3_4fd2_ad92_e1e245fe829b" hidden="1">#REF!</definedName>
    <definedName name="TB1ec5cd11_7f78_4a81_a12c_1e523ccb5323" hidden="1">#REF!</definedName>
    <definedName name="TB1ec761e5_91fb_40f4_877d_0a979f91f9d6" hidden="1">#REF!</definedName>
    <definedName name="TB1ecbefdb_d8a2_40f5_a681_da96c288bbd1" hidden="1">#REF!</definedName>
    <definedName name="TB1ee06999_8df7_4331_a00e_bc2a06a5f324" hidden="1">#REF!</definedName>
    <definedName name="TB1ee0e235_d5f9_49b8_9ba2_89eefa693859" hidden="1">#REF!</definedName>
    <definedName name="TB1f00b425_4d57_4c2a_a3f9_db8c450b1dd4" hidden="1">#REF!</definedName>
    <definedName name="TB1f0310a1_0fe0_4418_8fd3_1e30ddaa1fe4" hidden="1">#REF!</definedName>
    <definedName name="TB1f0d68c2_181c_457b_a798_a7f45aa1e443" hidden="1">#REF!</definedName>
    <definedName name="TB1f1aeb23_3952_4539_9881_3a350921547b" hidden="1">#REF!</definedName>
    <definedName name="TB1f22b38f_5fa2_47e0_b307_a531f405f62c" hidden="1">#REF!</definedName>
    <definedName name="TB1f282539_c0f6_4d0c_9f5c_0d5c01be567a" hidden="1">#REF!</definedName>
    <definedName name="TB1f2a48ab_a066_4d1d_8ee4_56b47a134df8" hidden="1">#REF!</definedName>
    <definedName name="TB1f35403c_b103_42d7_993f_049c44ec9592" hidden="1">#REF!</definedName>
    <definedName name="TB1f5c2208_0834_41fa_bd2f_1348c901cdc5" hidden="1">#REF!</definedName>
    <definedName name="TB1f5fc7a9_b8c4_4ce1_97cd_676257d60d24" hidden="1">#REF!</definedName>
    <definedName name="TB1f78259d_af3f_4420_891c_3639de0bada0" hidden="1">#REF!</definedName>
    <definedName name="TB1f832b63_50c9_49e7_b036_5d172614af12" hidden="1">#REF!</definedName>
    <definedName name="TB1f84341e_4287_4d6b_b87a_8b10abddf904" hidden="1">#REF!</definedName>
    <definedName name="TB1f8766f7_7551_43b8_aaa2_9febc3d7dcb6" hidden="1">#REF!</definedName>
    <definedName name="TB1f8bb556_00d9_4762_855a_0cb9649cffc5" hidden="1">#REF!</definedName>
    <definedName name="TB1f9073a7_f290_4a74_81e3_b917c3b2e98b" hidden="1">#REF!</definedName>
    <definedName name="TB1f9ee9d7_1806_4f46_8539_01c27f493e54" hidden="1">#REF!</definedName>
    <definedName name="TB1f9fb632_1400_41e6_9869_8e5bcde161cf" hidden="1">#REF!</definedName>
    <definedName name="TB1fc4b5fd_55ad_4ecd_9689_b012d1467d5f" hidden="1">#REF!</definedName>
    <definedName name="TB1fcc9def_d356_4a1d_8c29_d4c43d4236d7" hidden="1">#REF!</definedName>
    <definedName name="TB1fd83910_e901_43de_9ae0_a6a39616729a" hidden="1">#REF!</definedName>
    <definedName name="TB1fd83c16_1335_4f24_9b39_4a13ace2b284" hidden="1">#REF!</definedName>
    <definedName name="TB1fd8fcc7_cc81_4db2_b72e_8d9c5a789b1e" hidden="1">#REF!</definedName>
    <definedName name="TB1fd96582_6885_4346_b044_92f4cbdbaa97" hidden="1">#REF!</definedName>
    <definedName name="TB1feb62bd_a403_4e29_bc4f_dcca9e0d995a" hidden="1">#REF!</definedName>
    <definedName name="TB1fec4199_c076_4868_a89e_ff6d82b9a82f" hidden="1">#REF!</definedName>
    <definedName name="TB1ff26590_4bd9_4096_9079_31a56c59c266" hidden="1">#REF!</definedName>
    <definedName name="TB1ffa20d8_bb3e_4c76_ad3c_f8db5896efc9" hidden="1">#REF!</definedName>
    <definedName name="TB1ffe770c_f3cc_4fbf_8af8_5e78ae69d148" hidden="1">#REF!</definedName>
    <definedName name="TB201490a9_0606_4860_bcc2_7ccf923e6ebd" hidden="1">#REF!</definedName>
    <definedName name="TB2017a9c5_11d6_4f17_824c_f7450f1366fc" hidden="1">#REF!</definedName>
    <definedName name="TB203f03c6_5f7a_40af_b3c1_c3ecf227e0fb" hidden="1">#REF!</definedName>
    <definedName name="TB2040339c_169e_4adc_a7eb_5ebdbac41208" hidden="1">#REF!</definedName>
    <definedName name="TB205b3778_85f2_4dbd_a453_ae7958d226bf" hidden="1">#REF!</definedName>
    <definedName name="TB2068961e_a82a_4b03_bc7b_9168b8fa8665" hidden="1">#REF!</definedName>
    <definedName name="TB2069254b_c21c_407b_90e3_13783249244c" hidden="1">#REF!</definedName>
    <definedName name="TB206b79c4_0013_4e4c_abbe_5c9c6a973aca" hidden="1">#REF!</definedName>
    <definedName name="TB206cc848_55c8_48af_b763_ed6303b452fe" hidden="1">#REF!</definedName>
    <definedName name="TB20703871_e2a3_4e89_b788_639ca326a3fb" hidden="1">#REF!</definedName>
    <definedName name="TB20742d48_fb5b_4f15_8647_12b029a8f128" hidden="1">#REF!</definedName>
    <definedName name="TB207d168f_2749_480b_a99f_a390d4e98afd" hidden="1">#REF!</definedName>
    <definedName name="TB207d475a_609f_45bd_8a9e_f06b7ce63f46" hidden="1">#REF!</definedName>
    <definedName name="TB2080b5ec_89be_4185_aa98_c17a06403485" hidden="1">#REF!</definedName>
    <definedName name="TB2090d963_2a8d_4936_bdbe_7728fb737570" hidden="1">#REF!</definedName>
    <definedName name="TB209abfba_6fef_4edf_9a2c_f544c505587b" hidden="1">#REF!</definedName>
    <definedName name="TB209d3a62_8747_4724_aafc_bc10e994ef92" hidden="1">#REF!</definedName>
    <definedName name="TB20a60081_7492_4974_b1b1_1adfb8fdb840" hidden="1">#REF!</definedName>
    <definedName name="TB20ab9c39_611e_40a3_90a5_b1de85d0f17b" hidden="1">#REF!</definedName>
    <definedName name="TB20ae2f28_9720_4830_8c40_fcef4a0a12d8" hidden="1">#REF!</definedName>
    <definedName name="TB20ba705a_fc31_4490_861c_c058423ed35b" hidden="1">#REF!</definedName>
    <definedName name="TB20ce2f93_3ab9_4e99_b621_b4f08edd0489" hidden="1">#REF!</definedName>
    <definedName name="TB20d295b3_8f9d_4671_b978_8525be3d65e6" hidden="1">#REF!</definedName>
    <definedName name="TB20e297d9_6a05_48b6_b08e_5d857d605771" hidden="1">#REF!</definedName>
    <definedName name="TB20e80054_6100_4664_9aca_1ec7db6c964f" hidden="1">#REF!</definedName>
    <definedName name="TB20eeb769_0337_461d_b091_a3cd73018f62" hidden="1">#REF!</definedName>
    <definedName name="TB20efe196_c33a_480f_aae0_1fddc47ca2d8" hidden="1">#REF!</definedName>
    <definedName name="TB20f25db0_3bca_4c68_b792_775446c1ff3c" hidden="1">#REF!</definedName>
    <definedName name="TB20f40c02_03a4_49f3_b4f5_f0c67ff975db" hidden="1">#REF!</definedName>
    <definedName name="TB20f599fa_4a9c_47fa_b754_c31e474b68fd" hidden="1">#REF!</definedName>
    <definedName name="TB20f5b968_7d75_4263_a9e8_3aaeba1b265c" hidden="1">#REF!</definedName>
    <definedName name="TB20fe10f8_103a_4299_bd7a_5ee0a07d9748" hidden="1">#REF!</definedName>
    <definedName name="TB21150f73_426a_4064_82ed_af0f441ee375" hidden="1">#REF!</definedName>
    <definedName name="TB211550ab_3e1e_49fd_95fb_d41f297c7567" hidden="1">#REF!</definedName>
    <definedName name="TB211a6150_6931_4177_b367_edda78978549" hidden="1">#REF!</definedName>
    <definedName name="TB21200aaf_ec84_4ac9_88f7_77649115e1c3" hidden="1">#REF!</definedName>
    <definedName name="TB21249c93_7eed_4ecc_80c9_c825fea548fd" hidden="1">#REF!</definedName>
    <definedName name="TB212ac66c_af53_4bc6_9f72_cebf6f86b652" hidden="1">#REF!</definedName>
    <definedName name="TB21325ef3_b40e_4492_a393_941d1a75d2dd" hidden="1">#REF!</definedName>
    <definedName name="TB213ec3bc_d351_4682_a6d9_d3cd0ac50fe2" hidden="1">#REF!</definedName>
    <definedName name="TB21454ce8_8d9c_45b9_9df3_b11b413dec08" hidden="1">#REF!</definedName>
    <definedName name="TB21463b3c_87b8_468a_aac7_ae814d23dd83" hidden="1">#REF!</definedName>
    <definedName name="TB214bdbf6_687a_4260_88a5_3fb9b3e4cb49" hidden="1">#REF!</definedName>
    <definedName name="TB214e9ed1_bf09_4506_a78e_b74f25b93338" hidden="1">#REF!</definedName>
    <definedName name="TB2164e927_f7e4_45b0_9c6e_266a06be9bbb" hidden="1">#REF!</definedName>
    <definedName name="TB216d318f_b72e_4175_89ee_c10abb9bb068" hidden="1">#REF!</definedName>
    <definedName name="TB21762067_f1bb_420e_8dcd_13fee259ae4e" hidden="1">#REF!</definedName>
    <definedName name="TB2176642d_b792_40b1_8bf9_bfbc06c6764a" hidden="1">#REF!</definedName>
    <definedName name="TB218379b9_8876_4a27_a7c9_c1009ae2a9c3" hidden="1">#REF!</definedName>
    <definedName name="TB2195c079_5046_4495_92fb_683517152f60" hidden="1">#REF!</definedName>
    <definedName name="TB219a9841_8094_4a90_8919_7cc178d62191" hidden="1">#REF!</definedName>
    <definedName name="TB21a0a325_2f2e_4f99_b3c9_7f74ba7a3220" hidden="1">#REF!</definedName>
    <definedName name="TB21a98157_9678_4b08_9f68_907466fef749" hidden="1">#REF!</definedName>
    <definedName name="TB21b46342_6bd9_4e3e_b02a_921f202c05d5" hidden="1">#REF!</definedName>
    <definedName name="TB21bf4be0_c997_4c15_a2b4_2b8657a197f6" hidden="1">#REF!</definedName>
    <definedName name="TB21d46a5a_106e_4a5d_9d5e_a44f1ad98e86" hidden="1">#REF!</definedName>
    <definedName name="TB21e6030b_d70f_457d_a261_db995ce7c041" hidden="1">#REF!</definedName>
    <definedName name="TB21e94735_8903_46a3_ba76_d9e2c522e635" hidden="1">#REF!</definedName>
    <definedName name="TB21f62972_4295_43e1_b545_30a46732228b" hidden="1">#REF!</definedName>
    <definedName name="TB2200de60_9b56_4aef_ab8f_06f09da53250" hidden="1">#REF!</definedName>
    <definedName name="TB22366c0b_4323_4e76_a50c_a4c2d8a94e25" hidden="1">#REF!</definedName>
    <definedName name="TB223e37aa_a9ea_4261_9b7f_3d326cc4ac5d" hidden="1">#REF!</definedName>
    <definedName name="TB22411972_0523_4f2d_a37a_8af50d49227e" hidden="1">#REF!</definedName>
    <definedName name="TB2247db43_08c2_4ff4_9ed7_65b35181b9ba" hidden="1">#REF!</definedName>
    <definedName name="TB224d1432_aa42_4412_8433_e4111c2682ea" hidden="1">#REF!</definedName>
    <definedName name="TB2257716e_78d4_4d12_8714_13d571115301" hidden="1">#REF!</definedName>
    <definedName name="TB225858e4_3c44_4a90_95ac_e9a65d5f321b" hidden="1">#REF!</definedName>
    <definedName name="TB22702370_80e0_41a2_815d_0e65c3678858" hidden="1">#REF!</definedName>
    <definedName name="TB227424f0_ae86_409c_b984_3ac5db21ac33" hidden="1">#REF!</definedName>
    <definedName name="TB22793a51_1bc7_403f_8fae_25b86fe06dd8" hidden="1">#REF!</definedName>
    <definedName name="TB227c0f93_c027_4051_aa25_c63124afa911" hidden="1">#REF!</definedName>
    <definedName name="TB22816acc_3144_40a3_bb62_dc9e7e405c47" hidden="1">#REF!</definedName>
    <definedName name="TB2288fd0b_9a15_4cdd_bb0a_af1184c5c14c" hidden="1">#REF!</definedName>
    <definedName name="TB22938528_6be7_41a6_8961_85e47eee0a70" hidden="1">#REF!</definedName>
    <definedName name="TB22961d2a_8de5_4534_8086_51dc24615976" hidden="1">#REF!</definedName>
    <definedName name="TB22ac5787_34ed_4bc1_a20d_2f5e9826c8c7" hidden="1">#REF!</definedName>
    <definedName name="TB22b9d6cf_ae90_44ae_8d0a_60173c3d15c5" hidden="1">#REF!</definedName>
    <definedName name="TB22c3ba9a_3a88_4346_9565_197ef226d801" hidden="1">#REF!</definedName>
    <definedName name="TB22c7ef9f_9d7f_4c60_a4b6_079897091f0b" hidden="1">#REF!</definedName>
    <definedName name="TB22d18c88_b0e3_4eee_92d3_a0c05ab369fa" hidden="1">#REF!</definedName>
    <definedName name="TB22d1de43_1a7b_4294_86b9_ac2e76367ea0" hidden="1">#REF!</definedName>
    <definedName name="TB22d52709_8e66_4d7d_8e8b_17783a9ab726" hidden="1">#REF!</definedName>
    <definedName name="TB22d5d242_f9ad_4974_91bd_9692974b39a8" hidden="1">#REF!</definedName>
    <definedName name="TB22df5e62_524c_4c29_8251_a3fb3ed41bed" hidden="1">#REF!</definedName>
    <definedName name="TB22e35cb2_3c64_4827_b36f_bdc24bc1030a" hidden="1">#REF!</definedName>
    <definedName name="TB22f65b1f_13cc_4a3f_a1ee_7473588bfb3e" hidden="1">#REF!</definedName>
    <definedName name="TB23178c56_b9df_4803_adc2_b3b773da9b12" hidden="1">#REF!</definedName>
    <definedName name="TB231f3240_db14_453b_aa8b_c3cb051e2c6e" hidden="1">#REF!</definedName>
    <definedName name="TB2325b665_9e76_4f1e_80b9_6f702f2c1254" hidden="1">#REF!</definedName>
    <definedName name="TB2325fb52_c057_4894_8998_fcd9a5609186" hidden="1">#REF!</definedName>
    <definedName name="TB2333f2ca_e734_4d47_bf27_4df05a965db7" hidden="1">#REF!</definedName>
    <definedName name="TB234b8270_5933_4c77_9480_3cbd079b3c77" hidden="1">#REF!</definedName>
    <definedName name="TB235c0723_603f_4ad2_ac64_8c1a32c3ce18" hidden="1">#REF!</definedName>
    <definedName name="TB23605c1e_2d89_4a18_9604_c9ee5f72ae8c" hidden="1">#REF!</definedName>
    <definedName name="TB2367c696_967f_4d67_8bc6_a8007b192d1e" hidden="1">#REF!</definedName>
    <definedName name="TB236bfc56_d45e_4500_8cc6_d3cf8a51a290" hidden="1">#REF!</definedName>
    <definedName name="TB23712294_8846_4dbf_8f82_04a6711a1be0" hidden="1">#REF!</definedName>
    <definedName name="TB2381e559_8d89_45d1_9606_b71090555e1c" hidden="1">#REF!</definedName>
    <definedName name="TB2394e141_b104_4034_bf32_4ce5cfb7871f" hidden="1">#REF!</definedName>
    <definedName name="TB23950441_986b_463c_b0a4_87757aaf589c" hidden="1">#REF!</definedName>
    <definedName name="TB2395349f_450b_41f7_b5c7_19e9db821df1" hidden="1">#REF!</definedName>
    <definedName name="TB239bae7c_d19d_4bc5_86b6_39d1ea8691ca" hidden="1">#REF!</definedName>
    <definedName name="TB239dcdb6_deab_4665_b037_ba89bee894ee" hidden="1">#REF!</definedName>
    <definedName name="TB23a2bad9_71fa_4be4_a86c_918d959802a8" hidden="1">#REF!</definedName>
    <definedName name="TB23a2f9e4_eb72_466f_a4a3_2b2b202f4bbc" hidden="1">#REF!</definedName>
    <definedName name="TB23a7dfa1_4c8a_44b2_b9b9_ca22a42ffe55" hidden="1">#REF!</definedName>
    <definedName name="TB23ac514d_ceed_4882_a664_b60767f522bb" hidden="1">#REF!</definedName>
    <definedName name="TB23ae0775_27e1_4792_990b_d3c4cdd46bf2" hidden="1">#REF!</definedName>
    <definedName name="TB23afd842_62ab_4c1e_bac1_f9717d92205d" hidden="1">#REF!</definedName>
    <definedName name="TB23b24723_2eb7_4deb_9edb_35ef12aafb10" hidden="1">#REF!</definedName>
    <definedName name="TB23c21606_e546_4ef2_ba75_bd7c8be479cf" hidden="1">#REF!</definedName>
    <definedName name="TB23d22e8c_18ba_4cbb_af12_add4aec783b5" hidden="1">#REF!</definedName>
    <definedName name="TB23e5f35d_47d0_459b_a5d0_86d7da2acfd1" hidden="1">#REF!</definedName>
    <definedName name="TB23f396d5_0ad7_4b63_9379_56f312b7b879" hidden="1">#REF!</definedName>
    <definedName name="TB23f9da48_b79d_4a62_b05f_5a603249348d" hidden="1">#REF!</definedName>
    <definedName name="TB2404aed7_dd98_44f3_9998_01293969967b" hidden="1">#REF!</definedName>
    <definedName name="TB2410e1c7_a9b7_419d_9386_60df37754dd0" hidden="1">#REF!</definedName>
    <definedName name="TB24127bd5_dc1c_43ff_bb01_55c2e24729bf" hidden="1">#REF!</definedName>
    <definedName name="TB2413d9f8_452c_45af_b061_1522dafcdb04" hidden="1">#REF!</definedName>
    <definedName name="TB24153707_6833_4792_8d8d_ab6aa7ecd41d" hidden="1">#REF!</definedName>
    <definedName name="TB241a601f_c4a4_4bd1_8952_bbe85dcc257d" hidden="1">#REF!</definedName>
    <definedName name="TB24326c41_3772_451c_87c1_165c42fd1cb9" hidden="1">#REF!</definedName>
    <definedName name="TB2434edd5_a07e_4606_bfd4_58c052fb4a0d" hidden="1">#REF!</definedName>
    <definedName name="TB2437d068_ca7b_4443_a950_050cc97e1eb8" hidden="1">#REF!</definedName>
    <definedName name="TB2446efb2_ee27_43d7_87e0_a8f5b3b21af9" hidden="1">#REF!</definedName>
    <definedName name="TB245ac94b_9455_46ad_8f08_2c2067eae0c2" hidden="1">#REF!</definedName>
    <definedName name="TB245db252_db5b_4529_a482_1240d9a5e21b" hidden="1">#REF!</definedName>
    <definedName name="TB246b34e4_e772_4eff_bb29_8b7339677711" hidden="1">#REF!</definedName>
    <definedName name="TB247b6f7c_fb4c_4672_89de_ae7b7600be9e" hidden="1">#REF!</definedName>
    <definedName name="TB247b8b5f_34f6_43b3_bbbd_5c62965cdda3" hidden="1">#REF!</definedName>
    <definedName name="TB247f560a_7eb0_424e_a3ec_23bfa9b73ce5" hidden="1">#REF!</definedName>
    <definedName name="TB248d6cba_a8e8_4fd8_93a2_0dcb22ad34f3" hidden="1">#REF!</definedName>
    <definedName name="TB24938024_be19_4fe2_9027_e5c58b9596ef" hidden="1">#REF!</definedName>
    <definedName name="TB24a181df_7d29_405a_9d3c_4b5c87f40d7d" hidden="1">#REF!</definedName>
    <definedName name="TB24a3e95e_1151_42b9_b65f_4ccd744646c9" hidden="1">#REF!</definedName>
    <definedName name="TB24b2b575_0707_471f_8773_4635f9a6d976" hidden="1">#REF!</definedName>
    <definedName name="TB24c95100_542c_4333_8178_25e34bc2ba7e" hidden="1">#REF!</definedName>
    <definedName name="TB24cf76b1_b9c5_4ffe_aa48_276991feded9" hidden="1">#REF!</definedName>
    <definedName name="TB24cfd9d0_5d4e_4e23_b681_03608c9123bd" hidden="1">#REF!</definedName>
    <definedName name="TB24d1ca53_6304_4624_9386_5ba731bde84a" hidden="1">#REF!</definedName>
    <definedName name="TB24d3ad86_f37a_4530_8b55_9ccfee0aa26f" hidden="1">#REF!</definedName>
    <definedName name="TB24df8367_7464_4bbc_9ae8_5fe684d5dea1" hidden="1">#REF!</definedName>
    <definedName name="TB24e1ab50_3af4_411c_b654_cc191a13f109" hidden="1">#REF!</definedName>
    <definedName name="TB24e4592a_6499_4f9e_98da_01e05181d5b8" hidden="1">#REF!</definedName>
    <definedName name="TB24f88257_4548_45ec_810e_0d591e398c9d" hidden="1">#REF!</definedName>
    <definedName name="TB24fc81a1_d911_45e1_aca3_cb7e64546ad9" hidden="1">#REF!</definedName>
    <definedName name="TB2509b49f_7187_4487_962d_455a6e81c406" hidden="1">#REF!</definedName>
    <definedName name="TB2509b50c_e118_41de_be28_e815327d21a0" hidden="1">#REF!</definedName>
    <definedName name="TB250a3259_9a00_48c4_8b16_df66a439d49c" hidden="1">#REF!</definedName>
    <definedName name="TB250a789e_7c45_4d17_983e_45d65f6bd869" hidden="1">#REF!</definedName>
    <definedName name="TB250f4d86_dfc5_44f6_9b90_c10a6b71b115" hidden="1">#REF!</definedName>
    <definedName name="TB2512d6ee_0e0b_4e6d_adc1_bc98de09a205" hidden="1">#REF!</definedName>
    <definedName name="TB2515ac84_2ab6_4058_9193_8f67b628416d" hidden="1">#REF!</definedName>
    <definedName name="TB2526513b_b519_406a_a9f9_956237d1eefe" hidden="1">#REF!</definedName>
    <definedName name="TB25296d40_09d3_4bba_bf54_741e0ecf0a80" hidden="1">#REF!</definedName>
    <definedName name="TB252b918b_5166_4ed6_bf5b_8fcd065e6314" hidden="1">#REF!</definedName>
    <definedName name="TB252e7012_b7e6_492a_aefa_8ab005aea216" hidden="1">#REF!</definedName>
    <definedName name="TB25324015_1519_408e_9d58_c774967231c6" hidden="1">#REF!</definedName>
    <definedName name="TB25377c4d_1b72_4863_8758_e17f6c1ca975" hidden="1">#REF!</definedName>
    <definedName name="TB2539cf58_03b0_4a8d_92c8_f21ccc35806b" hidden="1">#REF!</definedName>
    <definedName name="TB253e3d82_0b3f_4fa8_a739_334b79505e81" hidden="1">#REF!</definedName>
    <definedName name="TB254bb761_033d_43b3_9d94_f21cbf9e94ca" hidden="1">#REF!</definedName>
    <definedName name="TB254f6605_4605_494b_ac79_7755128af405" hidden="1">#REF!</definedName>
    <definedName name="TB25522804_690b_4bdd_8f5b_44c02ddc438c" hidden="1">#REF!</definedName>
    <definedName name="TB25631bb6_5e21_4286_8121_37b3572e4359" hidden="1">#REF!</definedName>
    <definedName name="TB2564a110_d29d_429b_84a9_3ff1164420da" hidden="1">#REF!</definedName>
    <definedName name="TB256960b4_b440_4fa7_aafc_714288dbebc0" hidden="1">#REF!</definedName>
    <definedName name="TB2569aa8c_70d8_41e4_8cfd_18afc6a80faa" hidden="1">#REF!</definedName>
    <definedName name="TB256d2d4b_fed1_491b_8820_e8081be2a73a" hidden="1">#REF!</definedName>
    <definedName name="TB25716ac6_7614_4406_b8f3_e3bdeac25ff7" hidden="1">#REF!</definedName>
    <definedName name="TB2577b937_1f0f_42a6_a323_e7e5924e8519" hidden="1">#REF!</definedName>
    <definedName name="TB257f00f3_a281_4873_8db2_a2a442dbe97c" hidden="1">#REF!</definedName>
    <definedName name="TB25811af3_a297_4783_af43_1cffe016499f" hidden="1">#REF!</definedName>
    <definedName name="TB258bce01_5803_4e55_864e_2665db3b73c1" hidden="1">#REF!</definedName>
    <definedName name="TB259bbe4f_8be9_40b5_897d_9ad975ab27b3" hidden="1">#REF!</definedName>
    <definedName name="TB25a40592_63ba_4e07_9555_99bd088c200d" hidden="1">#REF!</definedName>
    <definedName name="TB25ab380e_e8ab_4216_bb27_401edf44ad8e" hidden="1">#REF!</definedName>
    <definedName name="TB25b37fd2_72c9_4b1e_b32c_e5aa23b5f2b7" hidden="1">#REF!</definedName>
    <definedName name="TB25bfc07e_2423_438f_a01b_b5ce3034f046" hidden="1">#REF!</definedName>
    <definedName name="TB25c4f8a2_9197_4cfc_824b_a0312e2a0457" hidden="1">#REF!</definedName>
    <definedName name="TB25d0846b_330a_4612_86c1_7741af0a0a0a" hidden="1">#REF!</definedName>
    <definedName name="TB25d408fc_96ac_4883_bd60_576602153116" hidden="1">#REF!</definedName>
    <definedName name="TB25ddbdd2_0be0_4601_8f68_4f4d7702d8f1" hidden="1">#REF!</definedName>
    <definedName name="TB25df464a_cb10_4bfb_90d1_86efa39924fc" hidden="1">#REF!</definedName>
    <definedName name="TB25e0a6d2_9656_4d9a_a4f5_fcac67fba6e9" hidden="1">#REF!</definedName>
    <definedName name="TB25ec8b16_c6fd_40d7_9943_c460b8851863" hidden="1">#REF!</definedName>
    <definedName name="TB25f18da1_7921_4d4d_990f_5d90abd55dfc" hidden="1">#REF!</definedName>
    <definedName name="TB25fa0246_a4bc_4739_889a_75165405722c" hidden="1">#REF!</definedName>
    <definedName name="TB261270c8_7ca6_42dc_a1da_532400ed090d" hidden="1">#REF!</definedName>
    <definedName name="TB2614445d_3656_40f0_b872_c94ac2e5e4d7" hidden="1">#REF!</definedName>
    <definedName name="TB261fbae4_2b49_406c_a271_d7dfec8f7113" hidden="1">#REF!</definedName>
    <definedName name="TB2623e829_726f_4f08_8672_f6a613e4a13b" hidden="1">#REF!</definedName>
    <definedName name="TB2628ab8d_5226_42fc_8eca_dd2e185a9ffe" hidden="1">#REF!</definedName>
    <definedName name="TB262c6c17_bb81_4fb2_9b01_c31268ac5ca4" hidden="1">#REF!</definedName>
    <definedName name="TB26359b72_5f37_4e46_95b0_5a9627e7f093" hidden="1">#REF!</definedName>
    <definedName name="TB263e99b7_5cd5_4c87_a0f9_226705cefbf3" hidden="1">#REF!</definedName>
    <definedName name="TB2642c554_866e_4c82_92f9_5c2943c5e4b0" hidden="1">#REF!</definedName>
    <definedName name="TB2645f3b5_d28d_48ec_b975_bf5967ffba58" hidden="1">#REF!</definedName>
    <definedName name="TB2649a53a_2b29_4308_8856_c45d8042506f" hidden="1">#REF!</definedName>
    <definedName name="TB264ad916_bf0d_4296_8029_d61cba070ac2" hidden="1">#REF!</definedName>
    <definedName name="TB26546f6c_0a45_4c2e_a620_809ffe929377" hidden="1">#REF!</definedName>
    <definedName name="TB26556dad_23be_4103_9981_e82d6dbbaef1" hidden="1">#REF!</definedName>
    <definedName name="TB265666d3_4ed5_4ccd_831f_e356700b9a98" hidden="1">#REF!</definedName>
    <definedName name="TB2657693c_d0d8_448c_96e5_d7431a0106e1" hidden="1">#REF!</definedName>
    <definedName name="TB265a48c8_f3c8_413d_97a3_c6719d36fbe0" hidden="1">#REF!</definedName>
    <definedName name="TB2664c53a_f2da_4bb8_9549_46ea0fae4cef" hidden="1">#REF!</definedName>
    <definedName name="TB268360de_6f1c_47e1_9149_feb6fb8e745f" hidden="1">#REF!</definedName>
    <definedName name="TB268b3fef_ddcb_4b33_92a7_ed85c266f86f" hidden="1">#REF!</definedName>
    <definedName name="TB26900fb1_2165_43c5_b988_1ef257952fab" hidden="1">#REF!</definedName>
    <definedName name="TB2693d2c1_29b9_4ea9_bfd2_f3f9dc7d118c" hidden="1">#REF!</definedName>
    <definedName name="TB269f0991_34ed_4674_885a_e5dadea493c1" hidden="1">#REF!</definedName>
    <definedName name="TB26a9abed_16f7_4803_a950_6d1b2f392350" hidden="1">#REF!</definedName>
    <definedName name="TB26a9c0f2_afc7_4e59_98de_060777429fb2" hidden="1">#REF!</definedName>
    <definedName name="TB26bbc63d_2fa5_4681_8fca_270ad51e314a" hidden="1">#REF!</definedName>
    <definedName name="TB26bd0a90_cfa0_4db9_8c0d_561ce82b442d" hidden="1">#REF!</definedName>
    <definedName name="TB26d19180_1577_4331_a2ce_45d6cd352bbc" hidden="1">#REF!</definedName>
    <definedName name="TB26df7349_ec01_43d0_8163_30118eae35a0" hidden="1">#REF!</definedName>
    <definedName name="TB26f21fa6_690e_49cc_a546_ae991c7823e4" hidden="1">#REF!</definedName>
    <definedName name="TB26f5e382_ea3c_4d14_8082_07d7d0b9d5e9" hidden="1">#REF!</definedName>
    <definedName name="TB26fe7e9c_2403_4b8c_9022_9c9898933639" hidden="1">#REF!</definedName>
    <definedName name="TB2701bdb6_78d5_4e81_919e_2f34ae2aa60d" hidden="1">#REF!</definedName>
    <definedName name="TB270a694e_a6e3_4a6e_86d2_a42a0e40536a" hidden="1">#REF!</definedName>
    <definedName name="TB27269bbe_99c9_46ee_b60a_9a6853c5ccc2" hidden="1">#REF!</definedName>
    <definedName name="TB272779e4_eea8_49b2_954d_90b93e7c9074" hidden="1">#REF!</definedName>
    <definedName name="TB27293566_c018_416a_a8c9_673a478bbc19" hidden="1">#REF!</definedName>
    <definedName name="TB272a4d4b_a1a8_4632_99f1_7497540c0c38" hidden="1">#REF!</definedName>
    <definedName name="TB272d7303_aa79_4e66_a60a_df93773f3d31" hidden="1">#REF!</definedName>
    <definedName name="TB273378c2_0940_4928_9626_d2a4f48a6dca" hidden="1">#REF!</definedName>
    <definedName name="TB2737f5de_feb7_4785_ab76_35c4e878c616" hidden="1">#REF!</definedName>
    <definedName name="TB273ec179_7f93_4839_aebe_aa9e4b04bd1f" hidden="1">#REF!</definedName>
    <definedName name="TB274e44c9_5a5b_483b_8968_3c2174442a9c" hidden="1">#REF!</definedName>
    <definedName name="TB2750ac96_201d_44f2_8841_b44e9d9af8b2" hidden="1">#REF!</definedName>
    <definedName name="TB27555787_27f1_4b2a_8718_9be902415b78" hidden="1">#REF!</definedName>
    <definedName name="TB275a9b87_ff64_445e_8008_c1bf7c707b91" hidden="1">#REF!</definedName>
    <definedName name="TB275d2671_108a_46c4_b7e4_6d9541adc211" hidden="1">#REF!</definedName>
    <definedName name="TB276cc84e_233d_443a_9ac7_250c9acb4a06" hidden="1">#REF!</definedName>
    <definedName name="TB2772e767_6061_47e8_95c0_296fa16b3c58" hidden="1">#REF!</definedName>
    <definedName name="TB277473b0_99c5_46ba_b51c_164fa8837b79" hidden="1">#REF!</definedName>
    <definedName name="TB27d71bc5_3612_47b2_8210_ca70a59efb78" hidden="1">#REF!</definedName>
    <definedName name="TB27ed2bf1_8e7f_4fb4_9cbc_a14ef2092441" hidden="1">#REF!</definedName>
    <definedName name="TB27ee0eb1_ec62_4a16_93fa_9aa8fd8a3001" hidden="1">#REF!</definedName>
    <definedName name="TB27f48e21_3e1f_4e09_8b21_84927a816fd3" hidden="1">#REF!</definedName>
    <definedName name="TB28016c3c_86cb_4f56_a959_90dec6c69633" hidden="1">#REF!</definedName>
    <definedName name="TB28044746_d52e_4259_a24e_b173dcdd953d" hidden="1">#REF!</definedName>
    <definedName name="TB280b0f5a_ed50_4242_a5a1_eede3408f35f" hidden="1">#REF!</definedName>
    <definedName name="TB281b93dd_f65a_426f_9eff_bf0682eecccc" hidden="1">#REF!</definedName>
    <definedName name="TB28255146_e7f4_4fa1_a00d_c7c9ce98ef91" hidden="1">#REF!</definedName>
    <definedName name="TB2829b1c0_c203_48d3_ad0c_b6c1b0b2486b" hidden="1">#REF!</definedName>
    <definedName name="TB2829c9b3_f969_4c5b_8c56_7720a075c1cd" hidden="1">#REF!</definedName>
    <definedName name="TB282a3a96_0b9b_4a84_bbca_627a91704dda" hidden="1">#REF!</definedName>
    <definedName name="TB282a92a9_a440_4887_85e4_428eefafb610" hidden="1">#REF!</definedName>
    <definedName name="TB2841750f_a2bf_473f_9f57_d45789fe81e5" hidden="1">#REF!</definedName>
    <definedName name="TB28446cd3_4055_4431_8bf1_6abbc2f7b0b6" hidden="1">#REF!</definedName>
    <definedName name="TB28504826_82a0_42c3_b42d_be26b9392340" hidden="1">#REF!</definedName>
    <definedName name="TB28644190_2e59_44cb_b506_cd693cd6a369" hidden="1">#REF!</definedName>
    <definedName name="TB2869b2ed_4575_448b_8164_11bc87594a74" hidden="1">#REF!</definedName>
    <definedName name="TB2873c486_212c_4699_b779_1b83044a2ceb" hidden="1">#REF!</definedName>
    <definedName name="TB28770882_8498_43e8_bbda_8def9751b449" hidden="1">#REF!</definedName>
    <definedName name="TB287f05ee_e778_4513_b63c_42867af6dd10" hidden="1">#REF!</definedName>
    <definedName name="TB2884c2ff_0429_471f_a027_891f5d53bab9" hidden="1">#REF!</definedName>
    <definedName name="TB2886d420_f5eb_4421_922b_d50d32bdae75" hidden="1">#REF!</definedName>
    <definedName name="TB288c0500_c8c2_49d1_b5e2_ce5c4289b33c" hidden="1">#REF!</definedName>
    <definedName name="TB288f90cd_fccd_4755_87ce_4926a19a82a9" hidden="1">#REF!</definedName>
    <definedName name="TB28920b75_359f_4da7_b792_4dfcf5578d1e" hidden="1">#REF!</definedName>
    <definedName name="TB289858a0_324c_4949_9919_5ba07a2fb6ae" hidden="1">#REF!</definedName>
    <definedName name="TB28b49fef_0bf2_4485_b6d9_8d44ed1e395c" hidden="1">#REF!</definedName>
    <definedName name="TB28c4e524_804a_4367_9305_0f882577d1e5" hidden="1">#REF!</definedName>
    <definedName name="TB28cd025d_38f3_466f_8bf5_67c1cc16d61e" hidden="1">#REF!</definedName>
    <definedName name="TB28d378fe_9c57_4270_ba15_c937a30a9297" hidden="1">#REF!</definedName>
    <definedName name="TB28e54ca2_67d6_4ce1_907c_d4c06d686c30" hidden="1">#REF!</definedName>
    <definedName name="TB28e9af63_d0c4_4ee1_9c5e_ca24e2e7e432" hidden="1">#REF!</definedName>
    <definedName name="TB28eeb41c_b1d9_4dbb_b3dc_591119138039" hidden="1">#REF!</definedName>
    <definedName name="TB28f1f940_c6ab_4dfb_a55f_e1ac881d5019" hidden="1">#REF!</definedName>
    <definedName name="TB28f727c7_1c6f_4538_ade1_848eaafbc593" hidden="1">#REF!</definedName>
    <definedName name="TB28f7543b_3ee6_4ed4_becc_84b6f3497d0b" hidden="1">#REF!</definedName>
    <definedName name="TB2905ebc2_5025_40cc_8ff0_5d1aa907e16e" hidden="1">#REF!</definedName>
    <definedName name="TB290c741b_9002_4151_9bc0_7f086459d497" hidden="1">#REF!</definedName>
    <definedName name="TB290d4a5f_ecbc_41c4_a217_ed4912816965" hidden="1">#REF!</definedName>
    <definedName name="TB291932e7_3297_4e0c_a321_969311d6a759" hidden="1">#REF!</definedName>
    <definedName name="TB291a8696_caf3_46f8_9c24_cb499a7f83c9" hidden="1">#REF!</definedName>
    <definedName name="TB292543a2_f828_4d0f_8250_77d3b2e34ef2" hidden="1">#REF!</definedName>
    <definedName name="TB2932bd7a_e912_4147_be10_929564cac95b" hidden="1">#REF!</definedName>
    <definedName name="TB29358f26_3d2d_4d7b_ba93_df785606246d" hidden="1">#REF!</definedName>
    <definedName name="TB293cae9a_7230_4973_b4eb_b77bd32cb00a" hidden="1">#REF!</definedName>
    <definedName name="TB2943ee57_ad3c_4921_8e2e_350933bbbe3e" hidden="1">#REF!</definedName>
    <definedName name="TB2947f286_8726_484d_b275_82b8726b90a9" hidden="1">#REF!</definedName>
    <definedName name="TB29493453_300c_48e5_974b_933045fd0542" hidden="1">#REF!</definedName>
    <definedName name="TB294a7d48_873c_4543_b76a_8483080a77cc" hidden="1">#REF!</definedName>
    <definedName name="TB294c0588_148f_4556_b0d6_ad2d15745335" hidden="1">#REF!</definedName>
    <definedName name="TB295f5c61_fcb8_4aff_bbfe_33d3b0e2a556" hidden="1">#REF!</definedName>
    <definedName name="TB297ed44c_33d6_4ad8_ae33_09e300dc531e" hidden="1">#REF!</definedName>
    <definedName name="TB29837d1c_8b39_407f_a223_921be1167532" hidden="1">#REF!</definedName>
    <definedName name="TB298c586a_9e32_4736_9cf4_99710c6eb025" hidden="1">#REF!</definedName>
    <definedName name="TB299331ac_47d1_419d_82e4_a49b71071d77" hidden="1">#REF!</definedName>
    <definedName name="TB29aa1478_4500_463e_a752_a46592d838bd" hidden="1">#REF!</definedName>
    <definedName name="TB29aaf0ce_c249_4087_956d_6fa3f7277f62" hidden="1">#REF!</definedName>
    <definedName name="TB29ab9b14_e4b1_493c_b284_ddd22f491dc6" hidden="1">#REF!</definedName>
    <definedName name="TB29d4903b_e6b7_4a7e_baa3_6be92927de78" hidden="1">#REF!</definedName>
    <definedName name="TB29db6bc0_5e95_4c82_9375_65c96e6df6a5" hidden="1">#REF!</definedName>
    <definedName name="TB29e7efb5_1da9_4b99_baf4_9b1bd1fccd96" hidden="1">#REF!</definedName>
    <definedName name="TB29f1e0b1_1b76_499d_b520_253438e33f59" hidden="1">#REF!</definedName>
    <definedName name="TB29f41779_8765_44dd_a44f_49ee31d0d81a" hidden="1">#REF!</definedName>
    <definedName name="TB2a069aeb_ca78_4e29_93a2_09883dabbf90" hidden="1">#REF!</definedName>
    <definedName name="TB2a082110_48a2_423e_b1e5_23f0daa0c3c1" hidden="1">#REF!</definedName>
    <definedName name="TB2a14fa0d_b6b1_405d_b79d_0c2032a1f62c" hidden="1">#REF!</definedName>
    <definedName name="TB2a1d0884_1a14_4914_bf60_06abe840e612" hidden="1">#REF!</definedName>
    <definedName name="TB2a23e7d8_8be7_41ee_9512_8eb2f10f65b5" hidden="1">#REF!</definedName>
    <definedName name="TB2a281ba5_1f99_4e6e_aabf_405c55c668a0" hidden="1">#REF!</definedName>
    <definedName name="TB2a2c9a3d_4fd3_49b3_b4cf_2bef680f4d84" hidden="1">#REF!</definedName>
    <definedName name="TB2a3088c8_4f39_4ea2_9b6f_99fb2140de40" hidden="1">#REF!</definedName>
    <definedName name="TB2a387922_b1ae_4b38_a255_e22b31b0d123" hidden="1">#REF!</definedName>
    <definedName name="TB2a3f173a_64d9_45b6_995e_f4abd3aa9ae8" hidden="1">#REF!</definedName>
    <definedName name="TB2a40a454_a6a2_4372_8ce4_8724aa085485" hidden="1">#REF!</definedName>
    <definedName name="TB2a4febcc_d41e_4471_ba04_09da32469b22" hidden="1">#REF!</definedName>
    <definedName name="TB2a5049ba_2845_4372_b903_03055c0debb2" hidden="1">#REF!</definedName>
    <definedName name="TB2a5be31c_626c_444e_b331_ad6ac2c0fcd4" hidden="1">#REF!</definedName>
    <definedName name="TB2a5e7f6b_dee5_4c14_a141_e5b8f705d960" hidden="1">#REF!</definedName>
    <definedName name="TB2a5f3f91_e27d_4253_a821_dc57a990f6d5" hidden="1">#REF!</definedName>
    <definedName name="TB2a705dd0_b88d_48a0_a2fc_9f6cd0e650c9" hidden="1">#REF!</definedName>
    <definedName name="TB2a71d7a3_6fd1_4a2c_9cfa_6086897612fe" hidden="1">#REF!</definedName>
    <definedName name="TB2a7437f7_416f_4279_b416_b7afff2ea06b" hidden="1">#REF!</definedName>
    <definedName name="TB2a7622ef_5a16_4701_9c94_28ee504376d1" hidden="1">#REF!</definedName>
    <definedName name="TB2a78f0b7_6112_491c_a7b3_7306b9b87be2" hidden="1">#REF!</definedName>
    <definedName name="TB2a838325_4540_4047_8ee6_d63feb484e82" hidden="1">#REF!</definedName>
    <definedName name="TB2a8770cd_1c89_4314_bb13_55a7da57700f" hidden="1">#REF!</definedName>
    <definedName name="TB2a8d86a9_e11f_4031_8009_9be142f14a68" hidden="1">#REF!</definedName>
    <definedName name="TB2ab0247f_9ad8_4186_b35a_316a554e05e0" hidden="1">#REF!</definedName>
    <definedName name="TB2ab728c7_6b3c_4ead_af57_d85dc3631e9d" hidden="1">#REF!</definedName>
    <definedName name="TB2abd2e85_cae3_4e89_95de_f7614b058eef" hidden="1">#REF!</definedName>
    <definedName name="TB2acacc40_1c53_461c_a797_a2b394a4f549" hidden="1">#REF!</definedName>
    <definedName name="TB2acc326d_32f0_48ed_bfe8_3a55ccb3c69f" hidden="1">#REF!</definedName>
    <definedName name="TB2acd3c75_8ad4_446a_a0a0_a986856a96c1" hidden="1">#REF!</definedName>
    <definedName name="TB2ad4eac5_aeb8_42db_ae9b_b536f0d1a0f5" hidden="1">#REF!</definedName>
    <definedName name="TB2addff4d_e6e1_4a8a_92f7_f8ec2f458037" hidden="1">#REF!</definedName>
    <definedName name="TB2af6772b_fa58_4618_9517_45dcf96c3291" hidden="1">#REF!</definedName>
    <definedName name="TB2af6bc23_29d8_4da7_b947_c07e8b3953cd" hidden="1">#REF!</definedName>
    <definedName name="TB2aff329e_01cd_440b_a7b5_3a555aba5f7a" hidden="1">#REF!</definedName>
    <definedName name="TB2b0e7f7f_be98_47bd_bdeb_9a6d8187de8d" hidden="1">#REF!</definedName>
    <definedName name="TB2b14eb23_6049_4063_96ee_e27bb86d1a77" hidden="1">#REF!</definedName>
    <definedName name="TB2b314b53_504a_4ce9_a8c7_e9703e2f0ae3" hidden="1">#REF!</definedName>
    <definedName name="TB2b340977_aba1_445d_a483_78d670e87d4d" hidden="1">#REF!</definedName>
    <definedName name="TB2b3628a2_d047_4231_9dc5_ae431fb014b9" hidden="1">#REF!</definedName>
    <definedName name="TB2b4370e8_0498_4c01_85e9_6263d56bdb01" hidden="1">#REF!</definedName>
    <definedName name="TB2b44ebdb_fd77_43de_8c05_2a1163b53205" hidden="1">#REF!</definedName>
    <definedName name="TB2b49895b_4a90_442d_a725_8d6e2b8a7eca" hidden="1">#REF!</definedName>
    <definedName name="TB2b4e66ec_51e0_42e0_a721_c030bc39d7ad" hidden="1">#REF!</definedName>
    <definedName name="TB2b4f320c_c028_4860_a996_a138de6fc384" hidden="1">#REF!</definedName>
    <definedName name="TB2b6d33b2_ab2d_46f1_a373_fa723a64c771" hidden="1">#REF!</definedName>
    <definedName name="TB2b7e5218_6f2d_496c_891c_8e67c051ee6e" hidden="1">#REF!</definedName>
    <definedName name="TB2b8645ae_3a61_4795_b71a_61bf760eb139" hidden="1">#REF!</definedName>
    <definedName name="TB2b8c073d_139e_4c96_a420_f4ac988e1cd9" hidden="1">#REF!</definedName>
    <definedName name="TB2b91505b_c406_4799_932a_92a69097548d" hidden="1">#REF!</definedName>
    <definedName name="TB2b95673c_4834_4c00_9ba7_362a54d63a53" hidden="1">#REF!</definedName>
    <definedName name="TB2b973d6b_9720_43d2_9412_65b1c68e0fc8" hidden="1">#REF!</definedName>
    <definedName name="TB2b9a494c_96e4_448a_b7ec_2c7260e11803" hidden="1">#REF!</definedName>
    <definedName name="TB2b9c8479_f518_4f06_99d0_fea2268a69f1" hidden="1">#REF!</definedName>
    <definedName name="TB2b9db619_7d63_4b6a_8ca5_6021d38104ac" hidden="1">#REF!</definedName>
    <definedName name="TB2ba0192a_660a_4b59_bce7_33cddacfb1ee" hidden="1">#REF!</definedName>
    <definedName name="TB2ba4067c_c882_4df0_97b6_7b129ea0488d" hidden="1">#REF!</definedName>
    <definedName name="TB2bab4fb3_950f_489a_bcd0_b19d89013502" hidden="1">#REF!</definedName>
    <definedName name="TB2babf0a7_91e4_46a2_ad3a_b1a64a65a80e" hidden="1">#REF!</definedName>
    <definedName name="TB2bac0bd2_46e6_4b1c_9d76_ead2568899c6" hidden="1">#REF!</definedName>
    <definedName name="TB2bb9ac09_7364_48c2_9ae8_6487c8cbd0e8" hidden="1">#REF!</definedName>
    <definedName name="TB2bcc6569_70b1_4e17_9b1e_36e92efeced5" hidden="1">#REF!</definedName>
    <definedName name="TB2bd282e4_942d_4138_b53d_737c08d1d148" hidden="1">#REF!</definedName>
    <definedName name="TB2bd669a7_4fd9_47f9_bffa_d292906b2e48" hidden="1">#REF!</definedName>
    <definedName name="TB2be074f6_50e9_4f3b_9513_ad0f61b79c97" hidden="1">#REF!</definedName>
    <definedName name="TB2be3928f_37a6_4feb_961f_eab701319652" hidden="1">#REF!</definedName>
    <definedName name="TB2be6b926_d09a_4988_9fc2_6810e17edfa4" hidden="1">#REF!</definedName>
    <definedName name="TB2beb5a2d_abf3_4da0_a50f_e720348fd1d8" hidden="1">#REF!</definedName>
    <definedName name="TB2bec155c_da5e_4d4a_aa39_5c564a4a4764" hidden="1">#REF!</definedName>
    <definedName name="TB2bf1f9cc_c7f7_4609_a27e_1022e95a14f3" hidden="1">#REF!</definedName>
    <definedName name="TB2c079158_d19f_42fa_a3dc_89da18ff65d4" hidden="1">#REF!</definedName>
    <definedName name="TB2c0adf43_7f78_4562_8f94_c0ffa2ba09cf" hidden="1">#REF!</definedName>
    <definedName name="TB2c1e7181_f2b7_4c95_b2f2_e385740ca76b" hidden="1">#REF!</definedName>
    <definedName name="TB2c2c09e8_9d45_4512_9cb3_4950af4c4ffc" hidden="1">#REF!</definedName>
    <definedName name="TB2c2ce08f_c3be_4850_bf94_b73d2a716005" hidden="1">#REF!</definedName>
    <definedName name="TB2c2e339b_589a_47dd_949e_229946b3c34b" hidden="1">#REF!</definedName>
    <definedName name="TB2c2eb86f_fbed_4653_8c90_6f14a93ae0e0" hidden="1">#REF!</definedName>
    <definedName name="TB2c3acc24_1832_440f_90e1_ca8273d8090d" hidden="1">#REF!</definedName>
    <definedName name="TB2c402a42_6016_42c9_8bac_121fdc79ea27" hidden="1">#REF!</definedName>
    <definedName name="TB2c42749f_eed3_4614_a4f6_d7b0a06e4b21" hidden="1">#REF!</definedName>
    <definedName name="TB2c442872_2e49_4d2f_a662_3b0654a9e4b5" hidden="1">#REF!</definedName>
    <definedName name="TB2c481b65_8506_410a_9c00_025b3b7f2f4d" hidden="1">#REF!</definedName>
    <definedName name="TB2c483407_5ee5_4b1c_a07a_32bb498da5cc" hidden="1">#REF!</definedName>
    <definedName name="TB2c639527_8879_46ae_a366_f46acd695f05" hidden="1">#REF!</definedName>
    <definedName name="TB2c667cb3_ba82_4854_a4bc_d63eacfb89e1" hidden="1">#REF!</definedName>
    <definedName name="TB2c68b49e_59c2_4eb5_b656_d873f9670ebc" hidden="1">#REF!</definedName>
    <definedName name="TB2c6cb9fb_95ed_4243_8ed9_48cd034e0634" hidden="1">#REF!</definedName>
    <definedName name="TB2c7550a6_fcd4_45ea_b4be_8bf424376471" hidden="1">#REF!</definedName>
    <definedName name="TB2c775a91_e775_4649_8aa2_cab789d7cd78" hidden="1">#REF!</definedName>
    <definedName name="TB2c7aa4b7_bdb3_4bd3_90a4_af7e77ede664" hidden="1">#REF!</definedName>
    <definedName name="TB2c8c2f4e_5da5_4c11_8d9a_d07f7ae54ba2" hidden="1">#REF!</definedName>
    <definedName name="TB2c8df461_d4b2_4526_8c64_f3e56f06ad99" hidden="1">#REF!</definedName>
    <definedName name="TB2c909d0f_ca12_4ae9_be89_7089e88b70a4" hidden="1">#REF!</definedName>
    <definedName name="TB2c9a7002_faba_45bb_a79a_0e5e1cc2acf4" hidden="1">#REF!</definedName>
    <definedName name="TB2ca4bd9d_d126_451b_bc0f_f5aa4244f4ca" hidden="1">#REF!</definedName>
    <definedName name="TB2cae9810_6abc_4ea8_9ed9_44fc3cbca34e" hidden="1">#REF!</definedName>
    <definedName name="TB2cbeefd9_120e_4ad9_b8fe_aff729eddb25" hidden="1">#REF!</definedName>
    <definedName name="TB2cddf57e_d41b_4500_b264_d7b2e025d5e0" hidden="1">#REF!</definedName>
    <definedName name="TB2cf54bfd_f869_406e_8a6b_74f1d2ed321b" hidden="1">#REF!</definedName>
    <definedName name="TB2cf622c8_4f76_4051_9456_f6b834338c75" hidden="1">#REF!</definedName>
    <definedName name="TB2cfc994e_777e_4b8b_9c35_93ec244356cb" hidden="1">#REF!</definedName>
    <definedName name="TB2d086dcd_9ec5_428d_91db_0ca8b426559d" hidden="1">#REF!</definedName>
    <definedName name="TB2d0c41cf_f54c_4ac7_b2d4_bbd8f9194870" hidden="1">#REF!</definedName>
    <definedName name="TB2d10ba29_b151_49fa_abb1_51f9c3033ebc" hidden="1">#REF!</definedName>
    <definedName name="TB2d1a664e_4a47_4ace_bd50_fd6a30785bf8" hidden="1">#REF!</definedName>
    <definedName name="TB2d2445e0_68c9_43d7_ac57_02d2138b620c" hidden="1">#REF!</definedName>
    <definedName name="TB2d3824cf_f41d_4acb_bb2d_7211eb4d64ac" hidden="1">#REF!</definedName>
    <definedName name="TB2d448edd_249b_4cad_acf7_715929bb1b7b" hidden="1">#REF!</definedName>
    <definedName name="TB2d4a9573_87c4_45a8_bb42_ef93d1493f32" hidden="1">#REF!</definedName>
    <definedName name="TB2d4ca026_1c2b_4eb8_913c_0fbc36327ee8" hidden="1">#REF!</definedName>
    <definedName name="TB2d5383ee_a45d_4e4a_9187_4973fc5b5eda" hidden="1">#REF!</definedName>
    <definedName name="TB2d546d58_f33f_44e2_ad9a_2ab501678762" hidden="1">#REF!</definedName>
    <definedName name="TB2d5d0681_d4c9_43d1_94fe_0ee8b29f16a5" hidden="1">#REF!</definedName>
    <definedName name="TB2d5fd5a7_d045_42f5_b8df_164114c89777" hidden="1">#REF!</definedName>
    <definedName name="TB2d61a8f2_2ee8_4b0b_90ce_6a31e73d750e" hidden="1">#REF!</definedName>
    <definedName name="TB2d643bfa_c577_4912_ba0e_432e7a585de7" hidden="1">#REF!</definedName>
    <definedName name="TB2d649d6b_ac62_4604_809c_f32247d1e091" hidden="1">#REF!</definedName>
    <definedName name="TB2d65e6f8_ab58_4126_8352_3d9123e89db8" hidden="1">#REF!</definedName>
    <definedName name="TB2d735ad0_0e0b_48d1_82b4_893a050e1c9e" hidden="1">#REF!</definedName>
    <definedName name="TB2d772906_e885_4928_a949_377bd17d00b4" hidden="1">#REF!</definedName>
    <definedName name="TB2d7cf1f4_4261_4c34_889a_1de581fee6de" hidden="1">#REF!</definedName>
    <definedName name="TB2d819ecd_548f_421b_9bf7_25e4d3eb1447" hidden="1">#REF!</definedName>
    <definedName name="TB2d82143e_04a9_4c2f_bb4e_4eb4172c33b2" hidden="1">#REF!</definedName>
    <definedName name="TB2d83b628_c564_4424_85c7_9947e75ef4fb" hidden="1">#REF!</definedName>
    <definedName name="TB2d963bdf_e6cd_4e26_ba03_f4db92b0415f" hidden="1">#REF!</definedName>
    <definedName name="TB2d985a59_3ff6_40b8_a856_8813d56f229b" hidden="1">#REF!</definedName>
    <definedName name="TB2da481d8_c581_4578_8963_d36b9a6f81e3" hidden="1">#REF!</definedName>
    <definedName name="TB2da71d9e_0d49_4b38_b9f9_5d04b57d478e" hidden="1">#REF!</definedName>
    <definedName name="TB2db17d5a_f32d_40e3_828d_145fd9ec73a4" hidden="1">#REF!</definedName>
    <definedName name="TB2db673b8_e50f_4d68_b0f4_abf6a1d85fd9" hidden="1">#REF!</definedName>
    <definedName name="TB2db88768_a563_45da_850a_2bf95a2d22f4" hidden="1">#REF!</definedName>
    <definedName name="TB2dc5d933_266f_43d6_8e2b_10b6971d9cb2" hidden="1">#REF!</definedName>
    <definedName name="TB2dca4f0c_9f8c_43c7_b5c8_570b5025de80" hidden="1">#REF!</definedName>
    <definedName name="TB2dcacdce_4734_482a_9db1_f9a9c7161a85" hidden="1">#REF!</definedName>
    <definedName name="TB2dce6a42_82aa_4bde_a78e_f9995c69622f" hidden="1">#REF!</definedName>
    <definedName name="TB2de5d66e_fb52_435e_82c8_50a9a82059e2" hidden="1">#REF!</definedName>
    <definedName name="TB2de90c6b_79e1_476e_a877_ea265be3b933" hidden="1">#REF!</definedName>
    <definedName name="TB2ded4b93_733d_4b00_8b76_4bcfbe70ab0a" hidden="1">#REF!</definedName>
    <definedName name="TB2dee33fc_6bfe_4b56_901c_bf214c9684db" hidden="1">#REF!</definedName>
    <definedName name="TB2def1fa8_b211_418a_9d70_b856b521c1d8" hidden="1">#REF!</definedName>
    <definedName name="TB2df9be61_fd03_4849_b1bc_20f7a00ecc4b" hidden="1">#REF!</definedName>
    <definedName name="TB2dfe5ff8_1b45_42b2_803a_4564447697af" hidden="1">#REF!</definedName>
    <definedName name="TB2e0570ca_fa4b_4d19_8937_912ab3c50ec6" hidden="1">#REF!</definedName>
    <definedName name="TB2e12be0b_ba93_4989_9cbf_e59cd970e51f" hidden="1">#REF!</definedName>
    <definedName name="TB2e16cf35_7963_4180_b8a8_d26056b046e1" hidden="1">#REF!</definedName>
    <definedName name="TB2e17ff5a_1b3b_4c59_904e_d10e86e299f5" hidden="1">#REF!</definedName>
    <definedName name="TB2e22729b_e94e_43e2_b6ab_07db42725a14" hidden="1">#REF!</definedName>
    <definedName name="TB2e2aaa32_0324_49c1_ba85_9dc97983fe46" hidden="1">#REF!</definedName>
    <definedName name="TB2e305204_4bd6_4923_b7ff_ef09c75f02cb" hidden="1">#REF!</definedName>
    <definedName name="TB2e3de5f0_51b0_42dd_8a0f_8924679845e8" hidden="1">#REF!</definedName>
    <definedName name="TB2e3e0fac_4768_482f_bbc1_86545f852322" hidden="1">#REF!</definedName>
    <definedName name="TB2e5cec4f_fc72_4c35_b04d_f217818f804c" hidden="1">#REF!</definedName>
    <definedName name="TB2e649fa5_287f_436e_a247_05db10f4fd90" hidden="1">#REF!</definedName>
    <definedName name="TB2e657b45_5728_4a4c_80e4_467f7f0132ed" hidden="1">#REF!</definedName>
    <definedName name="TB2e676598_0f92_41dc_b9b3_9fb672a912e2" hidden="1">#REF!</definedName>
    <definedName name="TB2e77704e_0203_4f41_877d_0687e879580f" hidden="1">#REF!</definedName>
    <definedName name="TB2e78cbe8_23b6_476e_9572_570ab3282fd8" hidden="1">#REF!</definedName>
    <definedName name="TB2e822da5_ab93_4816_a554_920fb2374a56" hidden="1">#REF!</definedName>
    <definedName name="TB2e84e071_6293_4ac3_b6a5_de64f61a9f86" hidden="1">#REF!</definedName>
    <definedName name="TB2e8af6f7_5921_4f64_88f5_b0ba8f58fe2c" hidden="1">#REF!</definedName>
    <definedName name="TB2e905903_39de_4cca_98be_24dbc53833d8" hidden="1">#REF!</definedName>
    <definedName name="TB2ea1a727_a827_45cd_9e7b_6f641a06acc7" hidden="1">#REF!</definedName>
    <definedName name="TB2eaaedc4_73d9_44a0_93aa_ba6c6e548a2e" hidden="1">#REF!</definedName>
    <definedName name="TB2eacecfc_6d0f_4616_9a4f_286d5d5f5269" hidden="1">#REF!</definedName>
    <definedName name="TB2eb2fe55_96da_4652_8ded_a258354ec415" hidden="1">#REF!</definedName>
    <definedName name="TB2ecde63b_3eef_4593_9dc9_402bb5a69e67" hidden="1">#REF!</definedName>
    <definedName name="TB2ed8ee37_d38c_4c01_a3a8_f42af5cf8650" hidden="1">#REF!</definedName>
    <definedName name="TB2edcbd0c_6c02_490f_be8c_a7a3eebf1e4b" hidden="1">#REF!</definedName>
    <definedName name="TB2ede5e63_450c_414a_893f_596f094e1b79" hidden="1">#REF!</definedName>
    <definedName name="TB2ef1a6a5_b432_4f5d_9794_2f09ac120b50" hidden="1">#REF!</definedName>
    <definedName name="TB2ef5005a_9710_4abf_8202_979ff7288ab5" hidden="1">#REF!</definedName>
    <definedName name="TB2ef7a4e7_bfb4_4449_8329_9a29fdbe0b2b" hidden="1">#REF!</definedName>
    <definedName name="TB2ef82405_fe70_4866_a6ef_bedb036be4f1" hidden="1">#REF!</definedName>
    <definedName name="TB2ef90505_5301_4c3c_b0cc_6bcbcc06a18e" hidden="1">#REF!</definedName>
    <definedName name="TB2f0668af_6d42_401b_b426_a09a2230d7da" hidden="1">#REF!</definedName>
    <definedName name="TB2f1207c3_6fe4_4b89_9241_19e2dcbf1cf9" hidden="1">#REF!</definedName>
    <definedName name="TB2f1efe72_e9aa_40a2_9b44_97f8b3c7014b" hidden="1">#REF!</definedName>
    <definedName name="TB2f2c08a9_d59a_4b2e_9e10_3c198a0e62f7" hidden="1">#REF!</definedName>
    <definedName name="TB2f30ab29_c414_41b5_94cc_c728384afa9d" hidden="1">#REF!</definedName>
    <definedName name="TB2f4713b4_b56a_4570_bc8d_057151ba889e" hidden="1">#REF!</definedName>
    <definedName name="TB2f4b8a0c_8d02_4da2_a45b_69db07e88e64" hidden="1">#REF!</definedName>
    <definedName name="TB2f686352_ed27_4b8d_80a5_a51659ddcf71" hidden="1">#REF!</definedName>
    <definedName name="TB2f779578_98c6_4f4b_8a66_2bc2f88a867e" hidden="1">#REF!</definedName>
    <definedName name="TB2f8485ec_ba8e_41a2_9023_0a2afd3188fc" hidden="1">#REF!</definedName>
    <definedName name="TB2f88505f_9070_47eb_8ea7_5ba3f81dea3c" hidden="1">#REF!</definedName>
    <definedName name="TB2f8dc001_9199_469f_a6f1_b551d102a02e" hidden="1">#REF!</definedName>
    <definedName name="TB2f8eba47_4dd2_444b_aceb_c4b3ae2c7625" hidden="1">#REF!</definedName>
    <definedName name="TB2f9b861d_abe8_44ef_b0ef_28889ef5d170" hidden="1">#REF!</definedName>
    <definedName name="TB2f9e8df9_a7bc_4eaa_b335_216a9220bb02" hidden="1">#REF!</definedName>
    <definedName name="TB2fa1f6f3_3c4f_446b_9431_58b4eace8a2e" hidden="1">#REF!</definedName>
    <definedName name="TB2fac34eb_2663_4928_886c_e9ea6cadbf29" hidden="1">#REF!</definedName>
    <definedName name="TB2fc67528_4997_4f1c_9796_90cec5d79b3a" hidden="1">#REF!</definedName>
    <definedName name="TB2fc9d2cc_9a8f_49cb_91e8_eebae6c37325" hidden="1">#REF!</definedName>
    <definedName name="TB2fe4550c_5fe6_48d3_a1d2_e2314647f72b" hidden="1">#REF!</definedName>
    <definedName name="TB2ffb98e0_ca99_49c8_88ee_f3ae7b18cd5d" hidden="1">#REF!</definedName>
    <definedName name="TB302776b5_f46c_4ff3_8494_2b746ed04b56" hidden="1">#REF!</definedName>
    <definedName name="TB30279b28_0821_423d_896a_b267fccefb71" hidden="1">#REF!</definedName>
    <definedName name="TB3027eaee_7cc4_4416_8fe1_8026c9d48092" hidden="1">#REF!</definedName>
    <definedName name="TB302e770a_ef40_4f7a_8b3b_fc6ed37fc10c" hidden="1">#REF!</definedName>
    <definedName name="TB304cdcc1_123a_4362_be01_550b0c18029b" hidden="1">#REF!</definedName>
    <definedName name="TB30511e48_e962_49e0_87ab_35424d89ec58" hidden="1">#REF!</definedName>
    <definedName name="TB30559e71_ccfe_4889_b20e_73b1ac7924f9" hidden="1">#REF!</definedName>
    <definedName name="TB305892d0_daa4_4303_a01e_375ed163c470" hidden="1">#REF!</definedName>
    <definedName name="TB30590ab1_a794_4d17_9c0d_fb45cb5f3aa1" hidden="1">#REF!</definedName>
    <definedName name="TB305e06c6_2f41_484f_ba63_8ff9ee655343" hidden="1">#REF!</definedName>
    <definedName name="TB30613f7c_5202_4a76_b840_cbbd7d1e9972" hidden="1">#REF!</definedName>
    <definedName name="TB30705479_9a82_40e9_931a_a15df36d7ab4" hidden="1">#REF!</definedName>
    <definedName name="TB307352c2_b290_4f3a_b4c6_021c1e15954f" hidden="1">#REF!</definedName>
    <definedName name="TB307b3108_1293_4bb2_8af2_ad037cba9eba" hidden="1">#REF!</definedName>
    <definedName name="TB307b4319_b547_4609_a35d_c31b25213246" hidden="1">#REF!</definedName>
    <definedName name="TB307c6aa1_495f_4ec0_9428_ce2f01327429" hidden="1">#REF!</definedName>
    <definedName name="TB308fe6af_4a55_421f_8d70_b28eca85896a" hidden="1">#REF!</definedName>
    <definedName name="TB3095edbd_fa20_4d83_8c70_8e6e8f930ed5" hidden="1">#REF!</definedName>
    <definedName name="TB309db6cd_a88c_49ff_b655_e33261f79849" hidden="1">#REF!</definedName>
    <definedName name="TB30a15a15_59be_4ca2_97e4_fea0ee0f7665" hidden="1">#REF!</definedName>
    <definedName name="TB30a59edd_8a34_420d_829b_f45c82b94bcd" hidden="1">#REF!</definedName>
    <definedName name="TB30a87c20_0d0a_44eb_b9c0_2c14ee6d75e9" hidden="1">#REF!</definedName>
    <definedName name="TB30ae865f_8fe8_4afb_9afb_ddd16ba96c69" hidden="1">#REF!</definedName>
    <definedName name="TB30b1dab2_4255_464c_bcad_668af6f4a728" hidden="1">#REF!</definedName>
    <definedName name="TB30b2050b_29a1_48e4_b168_7b8f098685c9" hidden="1">#REF!</definedName>
    <definedName name="TB30cb5ffc_6f44_45b0_aee0_5536090d0e33" hidden="1">#REF!</definedName>
    <definedName name="TB30d2435a_6fc9_45e5_b132_99b252923c06" hidden="1">#REF!</definedName>
    <definedName name="TB30d28283_22e1_4eb4_b8e1_161fbdbce4ef" hidden="1">#REF!</definedName>
    <definedName name="TB30d5ac04_870b_4c06_8be9_2be61d191725" hidden="1">#REF!</definedName>
    <definedName name="TB30da7b75_16a9_4db0_9fef_75651d70a780" hidden="1">#REF!</definedName>
    <definedName name="TB30deb8fc_da1d_47e8_b508_4fd30d77b8ae" hidden="1">#REF!</definedName>
    <definedName name="TB30eb496b_eaeb_4c2e_99ec_43e158ce3167" hidden="1">#REF!</definedName>
    <definedName name="TB30f28a1e_5813_41ac_bf7f_d4c8e64b6f97" hidden="1">#REF!</definedName>
    <definedName name="TB30f9f206_ccd7_49f9_8b64_7c2ec1297b77" hidden="1">#REF!</definedName>
    <definedName name="TB3107f1f4_cd6d_4a0a_a48e_db240dc95ed5" hidden="1">#REF!</definedName>
    <definedName name="TB31210903_fe2d_4813_bc2f_2671a3008457" hidden="1">#REF!</definedName>
    <definedName name="TB3128f864_726e_43b8_ad44_2fba721cf3f9" hidden="1">#REF!</definedName>
    <definedName name="TB312a7815_0e8b_4e3f_940d_0fdde5eb701c" hidden="1">#REF!</definedName>
    <definedName name="TB313e4f79_e93b_4d24_afe4_483b6d3da59b" hidden="1">#REF!</definedName>
    <definedName name="TB314c3e41_3b49_4d5a_a7fe_4a2786101e67" hidden="1">#REF!</definedName>
    <definedName name="TB314deff4_edd0_49a8_80ce_354b4d488ea6" hidden="1">#REF!</definedName>
    <definedName name="TB31526221_70b9_466c_9e4c_9104dac11ad9" hidden="1">#REF!</definedName>
    <definedName name="TB315b4872_3952_471b_85a7_83376d0657e1" hidden="1">#REF!</definedName>
    <definedName name="TB315fa8bc_83d2_40ce_884c_fdc46a782396" hidden="1">#REF!</definedName>
    <definedName name="TB3167a921_e83b_4126_ac45_e39dabdb835c" hidden="1">#REF!</definedName>
    <definedName name="TB316ee47f_1390_46a2_8046_6b693695819f" hidden="1">#REF!</definedName>
    <definedName name="TB3170c00a_a987_496b_a50b_1a27e61c1981" hidden="1">#REF!</definedName>
    <definedName name="TB317ea5dd_733d_41ad_b1f9_c160bb7151bd" hidden="1">#REF!</definedName>
    <definedName name="TB31828463_368a_409d_a428_d380fe6fade0" hidden="1">#REF!</definedName>
    <definedName name="TB31841b3a_cdc6_41c8_9c8c_494e057163c1" hidden="1">#REF!</definedName>
    <definedName name="TB31877900_b77c_4ee3_81f3_2960ed387e0a" hidden="1">#REF!</definedName>
    <definedName name="TB3187c4ed_625d_448d_8bdf_b7f5c4c43adb" hidden="1">#REF!</definedName>
    <definedName name="TB31919d27_33c7_4046_90cf_761d95d3557f" hidden="1">#REF!</definedName>
    <definedName name="TB31a7a6cb_9359_410a_b3eb_8f982f069e3a" hidden="1">#REF!</definedName>
    <definedName name="TB31ab3017_6048_4e80_9b72_f2ce0c7817f4" hidden="1">#REF!</definedName>
    <definedName name="TB31ad40a4_e85e_46bf_b927_398898c8a095" hidden="1">#REF!</definedName>
    <definedName name="TB31afac05_3e06_4c41_83ec_8fb31e09d8c7" hidden="1">#REF!</definedName>
    <definedName name="TB31b58af6_47ca_4fe4_90ac_ea95256a9782" hidden="1">#REF!</definedName>
    <definedName name="TB31b84d2c_51b4_49ff_902b_58c2f8bb7123" hidden="1">#REF!</definedName>
    <definedName name="TB31c52375_225e_40a2_a7c8_5ce0f966e36d" hidden="1">#REF!</definedName>
    <definedName name="TB31c64acc_f80c_4a23_9a4d_51bbc35a4ae8" hidden="1">#REF!</definedName>
    <definedName name="TB31e465b5_0190_4ee0_a2b3_753228a2997d" hidden="1">#REF!</definedName>
    <definedName name="TB31eab063_ed25_4ae2_9b73_c020460e7a39" hidden="1">#REF!</definedName>
    <definedName name="TB31f77219_77af_4347_99b0_f5d50f41e03f" hidden="1">#REF!</definedName>
    <definedName name="TB31f991cb_3ab9_4094_889a_0ff0b5b3352a" hidden="1">#REF!</definedName>
    <definedName name="TB31fd3551_bd33_4356_8f42_ab3e4db2cde5" hidden="1">#REF!</definedName>
    <definedName name="TB31ffb05c_6e15_482e_88dd_fe84a690151a" hidden="1">#REF!</definedName>
    <definedName name="TB320df7cc_0b05_4968_a5ad_a52e4be88dd3" hidden="1">#REF!</definedName>
    <definedName name="TB320e95d3_c804_4840_9ced_69574de3041f" hidden="1">#REF!</definedName>
    <definedName name="TB321c1557_c134_4d74_81b0_5b8bdd188d40" hidden="1">#REF!</definedName>
    <definedName name="TB321dfc9e_4a91_4ad7_8517_fd46462e3d88" hidden="1">#REF!</definedName>
    <definedName name="TB322ad3f5_f9ac_4f62_9c5b_f837cf97b12f" hidden="1">#REF!</definedName>
    <definedName name="TB322be0c0_fa5f_432b_9d5a_90bc2cebb650" hidden="1">#REF!</definedName>
    <definedName name="TB322be643_71d8_4fac_b999_00e33c1ebd8d" hidden="1">#REF!</definedName>
    <definedName name="TB32398046_a7f9_4ecb_8373_4045ae4851e1" hidden="1">#REF!</definedName>
    <definedName name="TB32402051_b0d8_433e_9177_4472435f1d65" hidden="1">#REF!</definedName>
    <definedName name="TB325d8822_bd08_4da5_8680_534ac2e681e8" hidden="1">#REF!</definedName>
    <definedName name="TB3261773a_8ea2_4ed5_aa2a_2a679c6daa52" hidden="1">#REF!</definedName>
    <definedName name="TB326383c3_3bef_4b0d_9246_bfe5f04b1c9e" hidden="1">#REF!</definedName>
    <definedName name="TB3263a296_133d_44b0_a2fd_ad7f2decbe3a" hidden="1">#REF!</definedName>
    <definedName name="TB326d311a_df05_4901_9494_7ca4867927f7" hidden="1">#REF!</definedName>
    <definedName name="TB32709f66_b8e0_4adb_a6fb_1e8703697b59" hidden="1">#REF!</definedName>
    <definedName name="TB328d1fe7_8fb5_4c2a_bc66_237efc4a2619" hidden="1">#REF!</definedName>
    <definedName name="TB329571b0_05ef_406f_81ae_e0564489d803" hidden="1">#REF!</definedName>
    <definedName name="TB329624be_dfb7_43b9_a185_b21daf512f21" hidden="1">#REF!</definedName>
    <definedName name="TB32ae3bb6_e44b_46a7_b9de_94c81022df14" hidden="1">#REF!</definedName>
    <definedName name="TB32b77810_588f_477a_92af_81d8b0a4472e" hidden="1">#REF!</definedName>
    <definedName name="TB32cefceb_8be2_4a29_a9d2_66e536fbf427" hidden="1">#REF!</definedName>
    <definedName name="TB32d00fc8_5f29_4b6a_93d7_6fc4cdfe25ac" hidden="1">#REF!</definedName>
    <definedName name="TB32d4ea45_8567_437c_8815_ad90d1a00d82" hidden="1">#REF!</definedName>
    <definedName name="TB32e4dffd_7fee_4101_a962_c1cea8340c29" hidden="1">#REF!</definedName>
    <definedName name="TB32f960c4_ee3f_4798_9eb0_a0a797201cd2" hidden="1">#REF!</definedName>
    <definedName name="TB32fb7171_2d35_40d9_9054_455b5cb4abc8" hidden="1">#REF!</definedName>
    <definedName name="TB3300a3a5_0368_40b7_a48b_78b363dcb85d" hidden="1">#REF!</definedName>
    <definedName name="TB3300b03e_1030_4719_bb6b_65d9d502ebc3" hidden="1">#REF!</definedName>
    <definedName name="TB3303665c_b79e_49b0_b542_de45bc1fb776" hidden="1">#REF!</definedName>
    <definedName name="TB33097f23_fb79_4fdb_94bf_174756e0e651" hidden="1">#REF!</definedName>
    <definedName name="TB330a47a1_28b9_4bfe_8388_5669c9877187" hidden="1">#REF!</definedName>
    <definedName name="TB33193800_394b_4809_b916_54a035525960" hidden="1">#REF!</definedName>
    <definedName name="TB332050bf_e3b1_4809_873f_4d344e45b9a9" hidden="1">#REF!</definedName>
    <definedName name="TB332334f2_51ab_4beb_80f5_5ea51b5bd498" hidden="1">#REF!</definedName>
    <definedName name="TB33239d6a_13dc_401e_b256_e113868fd488" hidden="1">#REF!</definedName>
    <definedName name="TB3324d576_7712_4a0c_bc4b_e204a2e06ce8" hidden="1">#REF!</definedName>
    <definedName name="TB333eca68_9e3c_4157_b06c_793a67d31359" hidden="1">#REF!</definedName>
    <definedName name="TB33402ebf_2789_49ed_b0d4_775df5e92829" hidden="1">#REF!</definedName>
    <definedName name="TB3341e9da_4678_4456_a23e_c4452a188b91" hidden="1">#REF!</definedName>
    <definedName name="TB3341f83f_2895_44ad_8e21_7d07fa73ae9f" hidden="1">#REF!</definedName>
    <definedName name="TB33486497_4406_4e94_81f8_9f9d6526e12a" hidden="1">#REF!</definedName>
    <definedName name="TB33537f04_5428_4e88_880e_4c59c48e4007" hidden="1">#REF!</definedName>
    <definedName name="TB3359099e_c1e4_4cc5_b406_e2d979e75e02" hidden="1">#REF!</definedName>
    <definedName name="TB335f79a9_3d48_4ab1_96d0_042d92190b42" hidden="1">#REF!</definedName>
    <definedName name="TB336004eb_8bc1_4d93_9c26_4fb0498532d7" hidden="1">#REF!</definedName>
    <definedName name="TB33600e40_ac47_43ba_9a90_4f837a5e2479" hidden="1">#REF!</definedName>
    <definedName name="TB3360c22e_494b_46e6_be0e_280ea432f181" hidden="1">#REF!</definedName>
    <definedName name="TB3363a1f3_c642_4947_83c9_57a1cbbfbf53" hidden="1">#REF!</definedName>
    <definedName name="TB337ef859_6421_44e1_896b_b98a20fc3d9e" hidden="1">#REF!</definedName>
    <definedName name="TB33883533_1289_4084_843e_8e3163b4e579" hidden="1">#REF!</definedName>
    <definedName name="TB33949ea1_a5ed_4936_a32d_182b8378b5b1" hidden="1">#REF!</definedName>
    <definedName name="TB33956b87_f566_4b84_88d1_cb1b7919be6c" hidden="1">#REF!</definedName>
    <definedName name="TB339b5868_1e43_4522_b780_8cf44e2ca8b8" hidden="1">#REF!</definedName>
    <definedName name="TB339db79a_c9b7_4b18_bbc1_03d8a302fd24" hidden="1">#REF!</definedName>
    <definedName name="TB33b8c8bb_ed9c_4c69_a751_ed4ce28a0e10" hidden="1">#REF!</definedName>
    <definedName name="TB33bdefde_e75b_444c_8485_32df26b666c6" hidden="1">#REF!</definedName>
    <definedName name="TB33c8f6f6_03f8_46bf_b7a9_01f39c4bbfab" hidden="1">#REF!</definedName>
    <definedName name="TB33d1e2f4_4a02_4363_ab5a_ff1730a9c56a" hidden="1">#REF!</definedName>
    <definedName name="TB33de7e6f_7a53_4dbc_8ad1_cf8eec5323ab" hidden="1">#REF!</definedName>
    <definedName name="TB33e2cbe5_5a2f_44ac_9476_6f2a704be931" hidden="1">#REF!</definedName>
    <definedName name="TB33ece289_e929_43d4_97aa_4d3d8911bbe8" hidden="1">#REF!</definedName>
    <definedName name="TB33f06a3e_e384_475d_a6bf_487b2182e5b4" hidden="1">#REF!</definedName>
    <definedName name="TB33fa12ad_c7bb_4e0b_8990_835cc433021f" hidden="1">#REF!</definedName>
    <definedName name="TB33fce84a_ec1b_4129_8f0f_af7dcfc1db6f" hidden="1">#REF!</definedName>
    <definedName name="TB34062e88_73de_4dec_9165_aca608b87db0" hidden="1">#REF!</definedName>
    <definedName name="TB3416c325_7206_40a5_bb8d_c39662317244" hidden="1">#REF!</definedName>
    <definedName name="TB3429e628_9742_45a3_9545_fb6d8b64416c" hidden="1">#REF!</definedName>
    <definedName name="TB342cca24_0054_4c60_adb1_a32cb5110aa2" hidden="1">#REF!</definedName>
    <definedName name="TB342e668b_6982_47a4_93ce_2b4a0c69c375" hidden="1">#REF!</definedName>
    <definedName name="TB3432c404_047c_4635_98fd_778e16299a64" hidden="1">#REF!</definedName>
    <definedName name="TB343f0ffa_c09e_430c_b169_2196d5cdbc81" hidden="1">#REF!</definedName>
    <definedName name="TB344c33f8_1e6c_477f_ab71_79c189b436dd" hidden="1">#REF!</definedName>
    <definedName name="TB345f3881_d26e_412c_80d6_22d859af9201" hidden="1">#REF!</definedName>
    <definedName name="TB34796399_354c_4154_a0f4_bd93b81211c8" hidden="1">#REF!</definedName>
    <definedName name="TB3482758f_92ea_4f8c_a3f9_f85324c96459" hidden="1">#REF!</definedName>
    <definedName name="TB348cd02f_0783_47ba_b2c2_2795ce52a53e" hidden="1">#REF!</definedName>
    <definedName name="TB34a17cfa_d159_4457_ab2a_a7e2208cd11e" hidden="1">#REF!</definedName>
    <definedName name="TB34a91642_1b36_4416_9189_5fa1869490f5" hidden="1">#REF!</definedName>
    <definedName name="TB34abf900_bf24_47c9_8d75_6b134f3c572b" hidden="1">#REF!</definedName>
    <definedName name="TB34c0cd92_63ac_4079_bf8f_3098267c0cf0" hidden="1">#REF!</definedName>
    <definedName name="TB34c3f8aa_2128_4065_bc59_e8e2338a0ec9" hidden="1">#REF!</definedName>
    <definedName name="TB34e00bda_d441_4812_a8d3_fcc06ccb737a" hidden="1">#REF!</definedName>
    <definedName name="TB34efe605_f176_4dfe_adaa_ba9846585005" hidden="1">#REF!</definedName>
    <definedName name="TB34f1449d_48d2_46ff_97aa_56b3b8c4b2bc" hidden="1">#REF!</definedName>
    <definedName name="TB35087651_d7c9_45d8_b3b7_a2d0ae8b5425" hidden="1">#REF!</definedName>
    <definedName name="TB350be4e7_c157_4329_846c_652160d74e23" hidden="1">#REF!</definedName>
    <definedName name="TB351bc3f1_cbd3_4f25_86e5_e32f2d60e411" hidden="1">#REF!</definedName>
    <definedName name="TB351c5548_0dad_4141_aa78_880eb3a8f94f" hidden="1">#REF!</definedName>
    <definedName name="TB35206a72_d0a9_4485_b047_d59895c5e2f4" hidden="1">#REF!</definedName>
    <definedName name="TB3529f4cd_9501_44cd_8646_53b2f3cd270c" hidden="1">#REF!</definedName>
    <definedName name="TB352b2972_34c3_41b3_8823_d4d1ef8b943e" hidden="1">#REF!</definedName>
    <definedName name="TB35339677_a23a_4386_8289_5c9dfab569c2" hidden="1">#REF!</definedName>
    <definedName name="TB354289bf_022b_4407_af2b_181e8ecfa871" hidden="1">#REF!</definedName>
    <definedName name="TB354d3e2b_da5f_44d0_a1fa_fe3b14b77e9e" hidden="1">#REF!</definedName>
    <definedName name="TB355d7135_a4a1_4c8e_8e21_272a4c555fba" hidden="1">#REF!</definedName>
    <definedName name="TB356deb6e_dfdc_4984_ba60_89c0c9467738" hidden="1">#REF!</definedName>
    <definedName name="TB35717226_8e1b_45c7_a7f1_abd1d0a0d404" hidden="1">#REF!</definedName>
    <definedName name="TB35884797_f001_415c_96be_0b8ef177a30b" hidden="1">#REF!</definedName>
    <definedName name="TB359503ee_8c0d_4714_9514_e9286c5f68d0" hidden="1">#REF!</definedName>
    <definedName name="TB35982c5e_c1ac_4df8_962c_a6833af4e3da" hidden="1">#REF!</definedName>
    <definedName name="TB359d5d9f_57d6_4c22_8fc5_5575694dde7d" hidden="1">#REF!</definedName>
    <definedName name="TB35a0615d_2558_41eb_b47f_c18e533b5869" hidden="1">#REF!</definedName>
    <definedName name="TB35af92db_2b13_4b11_8648_8511b26f5d06" hidden="1">#REF!</definedName>
    <definedName name="TB35c04a87_789c_4770_8a24_44e14888137a" hidden="1">#REF!</definedName>
    <definedName name="TB35cc0e9c_f3d2_47de_b664_d8b6ab5c9796" hidden="1">#REF!</definedName>
    <definedName name="TB35d0a687_d4b9_4ba0_9ffe_e977261fe606" hidden="1">#REF!</definedName>
    <definedName name="TB35d18a94_bb21_4c05_aaac_0d562131a98c" hidden="1">#REF!</definedName>
    <definedName name="TB35d8c7b7_7b6e_4050_a76b_11cc01356ceb" hidden="1">#REF!</definedName>
    <definedName name="TB35dc5a5e_0ff1_4a0e_afa9_26812f25eb8b" hidden="1">#REF!</definedName>
    <definedName name="TB35e17e92_ff77_4068_a938_8d7e56458ee6" hidden="1">#REF!</definedName>
    <definedName name="TB35e1d057_7ab7_40f7_b08f_56d12b283c20" hidden="1">#REF!</definedName>
    <definedName name="TB35e85a30_d1fd_4361_bfcf_eac1f7075790" hidden="1">#REF!</definedName>
    <definedName name="TB35edb8be_c1e8_4c88_a984_8892c780a7b2" hidden="1">#REF!</definedName>
    <definedName name="TB35f164f4_5f1f_4383_836d_5b3aa75d7ec8" hidden="1">#REF!</definedName>
    <definedName name="TB35f76ab4_d037_4442_8b1b_e3df045df3ba" hidden="1">#REF!</definedName>
    <definedName name="TB35f89b18_3eee_4380_889c_09d17432a2fb" hidden="1">#REF!</definedName>
    <definedName name="TB35fbf085_684f_4cf8_9bd7_4f07e9b9e92f" hidden="1">#REF!</definedName>
    <definedName name="TB360e9fd2_e88c_47b3_a9b5_48a38a294cdc" hidden="1">#REF!</definedName>
    <definedName name="TB361525f9_5e7f_4336_8633_664dac14cbeb" hidden="1">#REF!</definedName>
    <definedName name="TB3617ba01_afbd_470c_90ea_a881b74e01e8" hidden="1">#REF!</definedName>
    <definedName name="TB3620a1e1_debc_4447_94ff_09e461f3b97b" hidden="1">#REF!</definedName>
    <definedName name="TB36258d73_e87b_4c72_a3c8_f1c5cb207696" hidden="1">#REF!</definedName>
    <definedName name="TB364256a6_4152_4602_8b92_c61cf3583009" hidden="1">#REF!</definedName>
    <definedName name="TB364364e7_f320_4d98_a8d1_56613685c50e" hidden="1">#REF!</definedName>
    <definedName name="TB36455482_4f5d_4e68_a186_6215958f05dc" hidden="1">#REF!</definedName>
    <definedName name="TB364af5c6_7347_434a_b5f6_0eb02d4edeee" hidden="1">#REF!</definedName>
    <definedName name="TB364e339d_7120_4525_b28d_58bafc15ce9e" hidden="1">#REF!</definedName>
    <definedName name="TB3656ba16_14ac_4509_8d6a_1a75b7871c7b" hidden="1">#REF!</definedName>
    <definedName name="TB365777e6_8405_4bba_93c6_c86cf3b8f2cd" hidden="1">#REF!</definedName>
    <definedName name="TB365dd007_1274_4cf4_9bac_ec6256ad55d4" hidden="1">#REF!</definedName>
    <definedName name="TB365e569a_5413_4c89_bf46_b5a97e4152cd" hidden="1">#REF!</definedName>
    <definedName name="TB36696ad9_23fc_4114_aace_10fd2da2b6b0" hidden="1">#REF!</definedName>
    <definedName name="TB366a91cd_a7e3_4b28_9938_4ab518bcc266" hidden="1">#REF!</definedName>
    <definedName name="TB367a7146_148d_449f_9ac3_a508374e8aea" hidden="1">#REF!</definedName>
    <definedName name="TB36844c9d_f083_4db9_93d6_005594985168" hidden="1">#REF!</definedName>
    <definedName name="TB36903759_9810_4351_9a15_7c39ac4f9c19" hidden="1">#REF!</definedName>
    <definedName name="TB3691f8d5_a5b7_4da5_8c02_26564e7763c4" hidden="1">#REF!</definedName>
    <definedName name="TB3692cf27_d628_429b_b11e_22ded44ef09d" hidden="1">#REF!</definedName>
    <definedName name="TB36c40ff2_eff4_4f11_b227_dbde306880db" hidden="1">#REF!</definedName>
    <definedName name="TB36c48e77_2c24_48f0_bf5e_5f0fa52ddba9" hidden="1">#REF!</definedName>
    <definedName name="TB36c7f502_23a6_41ce_a192_c9ca41467ba4" hidden="1">#REF!</definedName>
    <definedName name="TB36ca9fe6_1c6b_452a_b221_46b45268c032" hidden="1">#REF!</definedName>
    <definedName name="TB36ccdbb8_bb46_46ec_9dd4_9d2fec7a4204" hidden="1">#REF!</definedName>
    <definedName name="TB36ce19de_9c75_4fca_83b3_0739f549976d" hidden="1">#REF!</definedName>
    <definedName name="TB36d63e73_fd36_4885_9543_4881f4df25ad" hidden="1">#REF!</definedName>
    <definedName name="TB36dd7597_c1b9_4b02_8de4_025df67d30c1" hidden="1">#REF!</definedName>
    <definedName name="TB36de5593_58a6_4fdc_9ae0_41d2b2666efa" hidden="1">#REF!</definedName>
    <definedName name="TB36f33b3e_6d53_45e1_9e69_b871ef7f1f29" hidden="1">#REF!</definedName>
    <definedName name="TB3713c5aa_22fc_4952_8e46_a54aadd0386c" hidden="1">#REF!</definedName>
    <definedName name="TB3718fe82_4c4e_4e47_94cc_7bf9f9330757" hidden="1">#REF!</definedName>
    <definedName name="TB371921f0_8cab_48a7_a513_152f9886413d" hidden="1">#REF!</definedName>
    <definedName name="TB372a1827_bd83_42bd_8c5f_6fd889e82e78" hidden="1">#REF!</definedName>
    <definedName name="TB37333e5b_769f_4da5_9c30_24353845cb79" hidden="1">#REF!</definedName>
    <definedName name="TB37450f2d_d4c7_4597_8c4b_2002510fd19e" hidden="1">#REF!</definedName>
    <definedName name="TB3749365f_99cb_4596_ad11_7aa20e899c18" hidden="1">#REF!</definedName>
    <definedName name="TB374a876f_700e_4cd6_b063_338a8ad47742" hidden="1">#REF!</definedName>
    <definedName name="TB374b9c67_73bc_4563_8d48_37c853fd10f5" hidden="1">#REF!</definedName>
    <definedName name="TB374fc5fb_caab_4357_99b1_82856d9f5c8c" hidden="1">#REF!</definedName>
    <definedName name="TB37538b56_c685_4de6_8acd_84dc31d5eb9a" hidden="1">#REF!</definedName>
    <definedName name="TB3753e009_74f3_4d9c_a4e5_2514c33255b4" hidden="1">#REF!</definedName>
    <definedName name="TB3753ecc3_0161_434c_b47c_c632b9bd1d74" hidden="1">#REF!</definedName>
    <definedName name="TB3758b0e5_f899_40c6_97fa_f9f45a4274f5" hidden="1">#REF!</definedName>
    <definedName name="TB3785d799_f850_4359_a442_0a5eb12077b9" hidden="1">#REF!</definedName>
    <definedName name="TB378b987e_1c20_4355_b4c9_f6620ef8fa5f" hidden="1">#REF!</definedName>
    <definedName name="TB378e632c_0d9e_471e_8189_de10b8364eaa" hidden="1">#REF!</definedName>
    <definedName name="TB37915e6a_1d0d_4f4a_8116_4cc333e2aab6" hidden="1">#REF!</definedName>
    <definedName name="TB37937cc3_516c_4547_a3d9_5047897f97c2" hidden="1">#REF!</definedName>
    <definedName name="TB379471ea_43ed_4e7c_90a4_a22ab3ac1d74" hidden="1">#REF!</definedName>
    <definedName name="TB3796a7fd_22cd_43e8_a76e_0988c2c8bb49" hidden="1">#REF!</definedName>
    <definedName name="TB379ed7fe_ef9e_49e8_9bac_fe95bed76e82" hidden="1">#REF!</definedName>
    <definedName name="TB37a0b759_fe2c_4aff_8af7_10acdb539b97" hidden="1">#REF!</definedName>
    <definedName name="TB37a7bf72_7e86_47ef_92ae_c1d19360e0cb" hidden="1">#REF!</definedName>
    <definedName name="TB37bd1dbc_7365_4d28_8df6_343318bfd707" hidden="1">#REF!</definedName>
    <definedName name="TB37c0a79c_ae04_4713_9207_64925e65de0a" hidden="1">#REF!</definedName>
    <definedName name="TB37d0167f_1d03_46fb_bf9e_258d59711649" hidden="1">#REF!</definedName>
    <definedName name="TB37d707e9_1114_4ac2_937e_5116e01cc780" hidden="1">#REF!</definedName>
    <definedName name="TB37f5013f_eb76_40ae_a4d1_05880d3e51c9" hidden="1">#REF!</definedName>
    <definedName name="TB37fbb43e_dec7_42e4_b819_5a5157fd47f1" hidden="1">#REF!</definedName>
    <definedName name="TB381bac83_609b_4efe_a757_8aa1271f17d2" hidden="1">#REF!</definedName>
    <definedName name="TB3825f431_c832_41b5_93d2_26cb771b0795" hidden="1">#REF!</definedName>
    <definedName name="TB382900bc_d9e2_41c7_9f03_383a8fae6357" hidden="1">#REF!</definedName>
    <definedName name="TB382edd86_4d78_4ff6_bc0e_e85568113a98" hidden="1">#REF!</definedName>
    <definedName name="TB38314541_5540_49b0_9678_1e8eb63d9d8a" hidden="1">#REF!</definedName>
    <definedName name="TB383770c1_d051_4385_ba90_5a210351aee5" hidden="1">#REF!</definedName>
    <definedName name="TB3839f719_ef02_4c9a_8ec6_02cc7087f988" hidden="1">#REF!</definedName>
    <definedName name="TB385233e7_c084_401c_8345_df311df9cc0e" hidden="1">#REF!</definedName>
    <definedName name="TB385503ea_17b8_45fc_84d3_23202635fe89" hidden="1">#REF!</definedName>
    <definedName name="TB385cac79_72b2_459b_b5fb_275edd68b220" hidden="1">#REF!</definedName>
    <definedName name="TB385d49de_1359_4b7e_bd1f_a0146cb68f23" hidden="1">#REF!</definedName>
    <definedName name="TB385e137f_4e2f_4bb7_bb51_91926bc3a214" hidden="1">#REF!</definedName>
    <definedName name="TB386517c0_ee64_4ac7_a975_3834fd7ff927" hidden="1">#REF!</definedName>
    <definedName name="TB38719b71_a014_40d4_a590_e3cb39d1fff3" hidden="1">#REF!</definedName>
    <definedName name="TB38841130_a47a_42fe_853c_db5ae93f87fd" hidden="1">#REF!</definedName>
    <definedName name="TB38884ad6_77be_4694_b441_48d68c7f2836" hidden="1">#REF!</definedName>
    <definedName name="TB3897a554_5060_409e_a86b_0266b30c2892" hidden="1">#REF!</definedName>
    <definedName name="TB38a3a8c1_0942_4514_af2e_9d80ffc9775f" hidden="1">#REF!</definedName>
    <definedName name="TB38a6d726_d7d5_48b3_8d52_c51ecbbfd921" hidden="1">#REF!</definedName>
    <definedName name="TB38abaf11_bba4_423e_a6ef_9ffb061e16b8" hidden="1">#REF!</definedName>
    <definedName name="TB38b0a269_897f_4cfd_9770_e42df3c24c79" hidden="1">#REF!</definedName>
    <definedName name="TB38b556b1_535f_4a84_ac9f_1aa12543979e" hidden="1">#REF!</definedName>
    <definedName name="TB38b9c0c9_455e_4488_93a6_5c4b45c916d6" hidden="1">#REF!</definedName>
    <definedName name="TB38bd3187_3fcf_4dbb_b945_fa0f21eb1221" hidden="1">#REF!</definedName>
    <definedName name="TB38c68c95_e416_4b38_bd19_b09049d67044" hidden="1">#REF!</definedName>
    <definedName name="TB38c814f5_705d_4a45_92b1_ab6baf7ecf07" hidden="1">#REF!</definedName>
    <definedName name="TB38cf7b94_82a1_4319_bc77_6d6b5618f684" hidden="1">#REF!</definedName>
    <definedName name="TB38d0d0e7_2dd8_41d3_bcd6_e91b60f1c835" hidden="1">#REF!</definedName>
    <definedName name="TB38e2db9d_372c_48bc_aafa_df001b6d7fb4" hidden="1">#REF!</definedName>
    <definedName name="TB38e3d2f3_c57a_4343_99a4_8b3c82b1f17d" hidden="1">#REF!</definedName>
    <definedName name="TB38ea7508_b929_4a7b_a5f2_6ff121dbe003" hidden="1">#REF!</definedName>
    <definedName name="TB38fffab6_8bf1_4ed9_9790_bd67d5944b1a" hidden="1">#REF!</definedName>
    <definedName name="TB390da392_d2f0_41aa_9083_03edcfe41b22" hidden="1">#REF!</definedName>
    <definedName name="TB390de57b_9886_49f8_b519_a23091df1756" hidden="1">#REF!</definedName>
    <definedName name="TB3914f8e0_9516_4591_bfa0_e89ac6d0edb8" hidden="1">#REF!</definedName>
    <definedName name="TB3914fc05_95b6_4ccb_84c7_1e4095fccd97" hidden="1">#REF!</definedName>
    <definedName name="TB391632be_1fd8_4db4_8ccd_f7cb219425b2" hidden="1">#REF!</definedName>
    <definedName name="TB391c9ee0_153e_446f_a505_4bdafa0468c6" hidden="1">#REF!</definedName>
    <definedName name="TB3935f534_ef2f_423c_8c4d_28596ec741f8" hidden="1">#REF!</definedName>
    <definedName name="TB394a1678_dc44_499a_ab15_d5d6f40a658a" hidden="1">#REF!</definedName>
    <definedName name="TB394a41e2_f324_491a_896e_053f3d6c35c5" hidden="1">#REF!</definedName>
    <definedName name="TB39520c58_5ee1_4e42_be39_5ea3b69d4987" hidden="1">#REF!</definedName>
    <definedName name="TB39554499_7328_41ef_bc1c_eaadd4d2e9b3" hidden="1">#REF!</definedName>
    <definedName name="TB39570714_1994_4057_b497_8fee7e9501c8" hidden="1">#REF!</definedName>
    <definedName name="TB396053cc_16b4_48ed_a3ac_5d16739d5266" hidden="1">#REF!</definedName>
    <definedName name="TB3960ba39_c4a9_4617_85cb_9daa5539f474" hidden="1">#REF!</definedName>
    <definedName name="TB3960e7df_64cf_4cbe_be06_df878b65b42e" hidden="1">#REF!</definedName>
    <definedName name="TB39687b58_8e99_40fe_b44a_469336024fda" hidden="1">#REF!</definedName>
    <definedName name="TB396f1a7f_dea9_4099_839a_7fa9306636bd" hidden="1">#REF!</definedName>
    <definedName name="TB3976be2d_46b2_4ea5_9ad7_492555be702d" hidden="1">#REF!</definedName>
    <definedName name="TB3977b863_7723_4caf_a116_6596a5edb67c" hidden="1">#REF!</definedName>
    <definedName name="TB397b51e0_c7f1_48ea_946b_4387b14357b4" hidden="1">#REF!</definedName>
    <definedName name="TB397cc69c_392e_4ba1_b8e8_66b84d40c4d7" hidden="1">#REF!</definedName>
    <definedName name="TB39849c1a_f4d8_4ad5_8213_33566912779c" hidden="1">#REF!</definedName>
    <definedName name="TB39887ffa_51f6_40da_b42e_ce86ca8ec75d" hidden="1">#REF!</definedName>
    <definedName name="TB398c77e2_aac3_4990_a4bc_b5180cd3d2c2" hidden="1">#REF!</definedName>
    <definedName name="TB3990b71d_cae0_4363_8cf6_cd1f9c51c472" hidden="1">#REF!</definedName>
    <definedName name="TB39c45e6f_fc90_4246_add4_5d53731ae12d" hidden="1">#REF!</definedName>
    <definedName name="TB39c8426a_e984_4911_9905_d374bccdfdf2" hidden="1">#REF!</definedName>
    <definedName name="TB39d1f617_19eb_4f03_8bbd_ba2b78ba7728" hidden="1">#REF!</definedName>
    <definedName name="TB39d6fb21_4119_4357_aedc_947f239085df" hidden="1">#REF!</definedName>
    <definedName name="TB39d867ac_b2db_457c_86a6_599fd07b6d65" hidden="1">#REF!</definedName>
    <definedName name="TB39daf455_43fc_4e80_a7c3_51b7862a6b41" hidden="1">#REF!</definedName>
    <definedName name="TB39e4aa07_e656_4e85_a927_ffe6a2c10973" hidden="1">#REF!</definedName>
    <definedName name="TB39ef2008_1ce5_4856_84bb_487659f5764e" hidden="1">#REF!</definedName>
    <definedName name="TB39f17317_fe7f_4c04_86eb_92381f72eee5" hidden="1">#REF!</definedName>
    <definedName name="TB39fc1fb6_c7cb_4773_b4bf_0029f7e18d6d" hidden="1">#REF!</definedName>
    <definedName name="TB3a0d2e81_a225_4c03_9900_eb063b465b2c" hidden="1">#REF!</definedName>
    <definedName name="TB3a0eba83_4710_4aef_847c_9388de30c9d7" hidden="1">#REF!</definedName>
    <definedName name="TB3a16f751_b56b_4e9a_b1ad_eb0373475b70" hidden="1">#REF!</definedName>
    <definedName name="TB3a2645a7_0a69_4c9c_85b8_fbc51d15843d" hidden="1">#REF!</definedName>
    <definedName name="TB3a264931_89da_4a5a_adea_77686f09662e" hidden="1">#REF!</definedName>
    <definedName name="TB3a2652e3_c8b0_4116_8095_608cba4d8ad5" hidden="1">#REF!</definedName>
    <definedName name="TB3a2a5cc7_aa30_4dab_ab63_95d18a0ca8af" hidden="1">#REF!</definedName>
    <definedName name="TB3a4e4a5b_5cc9_4cd5_8003_64c9a24f52eb" hidden="1">#REF!</definedName>
    <definedName name="TB3a4fdd15_d139_4286_b3bb_791704395493" hidden="1">#REF!</definedName>
    <definedName name="TB3a51a6dd_9729_4f4f_9ae8_98124969ddbd" hidden="1">#REF!</definedName>
    <definedName name="TB3a52c754_a7f2_40f2_a73f_c387dc136770" hidden="1">#REF!</definedName>
    <definedName name="TB3a55653d_4d3a_4b27_a37e_ef3e1fbddca6" hidden="1">#REF!</definedName>
    <definedName name="TB3a57ed69_f01d_409b_956b_63b8f33656cd" hidden="1">#REF!</definedName>
    <definedName name="TB3a6000a3_b057_43ad_a1e0_0f00746472cc" hidden="1">#REF!</definedName>
    <definedName name="TB3a6c1c3d_8d24_4562_be4d_cbccb06c9adb" hidden="1">#REF!</definedName>
    <definedName name="TB3a6ea300_f06d_449b_a8f4_507743f9977d" hidden="1">#REF!</definedName>
    <definedName name="TB3a91355b_e876_4dba_a894_0e9d5ef1671c" hidden="1">#REF!</definedName>
    <definedName name="TB3a9a7960_c07d_4ca9_9dcb_97e1f7b53abd" hidden="1">#REF!</definedName>
    <definedName name="TB3abd9b9c_3319_4131_987a_286375d34e13" hidden="1">#REF!</definedName>
    <definedName name="TB3ac46b9f_65cd_4ae9_bbda_bbd5fa353ecb" hidden="1">#REF!</definedName>
    <definedName name="TB3ac75c72_e46c_40ea_82f3_cdcae5b84072" hidden="1">#REF!</definedName>
    <definedName name="TB3accecbf_2fea_4392_acf8_17eb6d43f72a" hidden="1">#REF!</definedName>
    <definedName name="TB3acf7ec1_8181_4745_8589_e294c1b5b050" hidden="1">#REF!</definedName>
    <definedName name="TB3adafa9c_8690_4a04_b6f0_56f7d24d0c64" hidden="1">#REF!</definedName>
    <definedName name="TB3adfe60e_1b18_4eb4_a1e7_e0e98a69334c" hidden="1">#REF!</definedName>
    <definedName name="TB3aeb7abd_8ce1_4bc1_be9f_0338dceaae02" hidden="1">#REF!</definedName>
    <definedName name="TB3aff592e_bfd6_4043_bff4_f6f6992c2f39" hidden="1">#REF!</definedName>
    <definedName name="TB3b0241d8_31fb_4f5e_a3f7_96870fbcf2e4" hidden="1">#REF!</definedName>
    <definedName name="TB3b0c1288_7516_4b3e_811e_e65f43dc471c" hidden="1">#REF!</definedName>
    <definedName name="TB3b1903c8_fff4_49a1_b951_24e6e00d4f3a" hidden="1">#REF!</definedName>
    <definedName name="TB3b1b483e_59d9_4c9f_9cd8_e0b5a07bc0da" hidden="1">#REF!</definedName>
    <definedName name="TB3b1bffd7_f6e7_4ba1_9e72_6f0be836bacc" hidden="1">#REF!</definedName>
    <definedName name="TB3b1c9de7_2e8c_4118_bdfc_57896ad81468" hidden="1">#REF!</definedName>
    <definedName name="TB3b35adb3_695a_45cb_b536_6d0bc9d67e0e" hidden="1">#REF!</definedName>
    <definedName name="TB3b3b25b5_e6ea_4dd3_b3b8_7a24e3834404" hidden="1">#REF!</definedName>
    <definedName name="TB3b3d1017_d405_448b_9339_1f265b40d756" hidden="1">#REF!</definedName>
    <definedName name="TB3b3e963e_a51d_4743_bf1e_c686cea60930" hidden="1">#REF!</definedName>
    <definedName name="TB3b465381_2db9_457f_b7ec_01b265368c79" hidden="1">#REF!</definedName>
    <definedName name="TB3b53275d_bfe8_4e69_bf02_2ff023aff4fe" hidden="1">#REF!</definedName>
    <definedName name="TB3b5394d9_a903_4a3d_aed7_d269f145a9eb" hidden="1">#REF!</definedName>
    <definedName name="TB3b545189_d85c_49dc_b463_f0cdb7f651aa" hidden="1">#REF!</definedName>
    <definedName name="TB3b56b321_4ef0_4b1e_a912_17bb80b53c6e" hidden="1">#REF!</definedName>
    <definedName name="TB3b5dffc3_d4ca_4dc7_b08e_b539ded873d0" hidden="1">#REF!</definedName>
    <definedName name="TB3b625343_3261_4e61_aa0b_87a7a7859470" hidden="1">#REF!</definedName>
    <definedName name="TB3b6ba2b3_1c00_4b00_94dd_00bb91017e97" hidden="1">#REF!</definedName>
    <definedName name="TB3b6d5a58_80dd_48f8_a962_ccd88ff00239" hidden="1">#REF!</definedName>
    <definedName name="TB3b71c16e_07b8_4930_8350_fa006254cb19" hidden="1">#REF!</definedName>
    <definedName name="TB3b76acc8_ba20_4923_93d5_cc2d17e2c88e" hidden="1">#REF!</definedName>
    <definedName name="TB3b7b6680_5512_4727_8058_9e0d6a4bce71" hidden="1">#REF!</definedName>
    <definedName name="TB3b8b8113_c6ef_41b1_a849_7cb9e27d1a01" hidden="1">#REF!</definedName>
    <definedName name="TB3b8d50e4_4875_4ea2_9613_d89ff58f2795" hidden="1">#REF!</definedName>
    <definedName name="TB3b8ff190_af45_4218_9e5d_c61e77b0ff64" hidden="1">#REF!</definedName>
    <definedName name="TB3ba11c1b_b0e4_422c_8240_02b70a4c776d" hidden="1">#REF!</definedName>
    <definedName name="TB3bb0b125_008f_43d6_871d_a2d895720559" hidden="1">#REF!</definedName>
    <definedName name="TB3bb18206_da5d_4e54_a726_67cbef5d0b0f" hidden="1">#REF!</definedName>
    <definedName name="TB3bba0408_8e0b_478e_b5ad_4a289182db5f" hidden="1">#REF!</definedName>
    <definedName name="TB3bc390ab_4068_47a3_a0c0_8419d34b2390" hidden="1">#REF!</definedName>
    <definedName name="TB3bd2ec7d_2083_4f24_ba12_4b7205fde483" hidden="1">#REF!</definedName>
    <definedName name="TB3bd7ebd0_99d2_43a4_ae10_f8c310d0461f" hidden="1">#REF!</definedName>
    <definedName name="TB3bf03c90_6fd7_4cc7_92c8_d048857862d9" hidden="1">#REF!</definedName>
    <definedName name="TB3bf462b9_9524_43eb_aceb_8281caca8688" hidden="1">#REF!</definedName>
    <definedName name="TB3bf4aa5a_d006_4e58_90cc_39d64b0f367e" hidden="1">#REF!</definedName>
    <definedName name="TB3c0748a1_50f0_4b1c_877b_b5ff02a6b9db" hidden="1">#REF!</definedName>
    <definedName name="TB3c09bfc7_e982_46c3_9635_f7f707c533e7" hidden="1">#REF!</definedName>
    <definedName name="TB3c09e0ab_60ed_40e0_b92a_a8d06f2fb4fc" hidden="1">#REF!</definedName>
    <definedName name="TB3c15064c_5fd9_472e_80c8_1c04ecb6a3a5" hidden="1">#REF!</definedName>
    <definedName name="TB3c167ebf_50d4_4e47_b1b1_b5656597de15" hidden="1">#REF!</definedName>
    <definedName name="TB3c1ab739_ff15_46ca_aa26_50c884e98d6d" hidden="1">#REF!</definedName>
    <definedName name="TB3c1ddcb6_6f9a_45a9_a049_0cd0c567e3d8" hidden="1">#REF!</definedName>
    <definedName name="TB3c252d6b_1c46_41cc_808f_5fa0b0b3e89e" hidden="1">#REF!</definedName>
    <definedName name="TB3c28e095_eb50_4737_b9fb_6a15539846b5" hidden="1">#REF!</definedName>
    <definedName name="TB3c2a7a28_3cd4_4cbb_a934_f562ec348430" hidden="1">#REF!</definedName>
    <definedName name="TB3c2bd64b_ab2b_448e_83a3_2bbf3639ab2f" hidden="1">#REF!</definedName>
    <definedName name="TB3c3850d0_56f3_4601_a764_4f7635670ac6" hidden="1">#REF!</definedName>
    <definedName name="TB3c3b5065_fb58_4cd4_b496_9ea2ce3b7e80" hidden="1">#REF!</definedName>
    <definedName name="TB3c4ff5c7_5c8a_4895_822d_13f0b6426284" hidden="1">#REF!</definedName>
    <definedName name="TB3c5624cb_26d4_4c09_888f_642dba0a360f" hidden="1">#REF!</definedName>
    <definedName name="TB3c58f4ad_b5d4_4e88_a59f_095f06f8b530" hidden="1">#REF!</definedName>
    <definedName name="TB3c5f798b_7734_4143_a7f5_9b9510b64885" hidden="1">#REF!</definedName>
    <definedName name="TB3c7764fb_d092_4050_84c9_a202f257093e" hidden="1">#REF!</definedName>
    <definedName name="TB3c78c88e_48f6_41fd_b1ba_2bfaa277a445" hidden="1">#REF!</definedName>
    <definedName name="TB3c79665d_d069_4ea7_ac78_a4f633fb493a" hidden="1">#REF!</definedName>
    <definedName name="TB3c816dcb_aa85_473c_bde8_ad127097086f" hidden="1">#REF!</definedName>
    <definedName name="TB3c97161b_db8f_4575_8fd3_c60dce62d864" hidden="1">#REF!</definedName>
    <definedName name="TB3ca36b03_25cd_4430_b9de_e477745586de" hidden="1">#REF!</definedName>
    <definedName name="TB3cbb6956_23d9_4424_9b1d_da1a520c7c46" hidden="1">#REF!</definedName>
    <definedName name="TB3cbc6c02_0eb0_4110_b7d9_84558a844351" hidden="1">#REF!</definedName>
    <definedName name="TB3ccb9c30_4c3d_48f5_bc25_601bf1e06997" hidden="1">#REF!</definedName>
    <definedName name="TB3ce00117_85a5_4d48_8cd1_3cb165c945ec" hidden="1">#REF!</definedName>
    <definedName name="TB3ce20a45_3de3_4ea0_b6ec_5c3cbd335665" hidden="1">#REF!</definedName>
    <definedName name="TB3ce7a501_dbf9_4a96_bd3b_9fb3872f2f41" hidden="1">#REF!</definedName>
    <definedName name="TB3cec3992_f73e_4034_9362_a0bb43550f98" hidden="1">#REF!</definedName>
    <definedName name="TB3cf727f2_f8b3_4798_9f83_fa7cd3215346" hidden="1">#REF!</definedName>
    <definedName name="TB3cf822d4_7e8d_45d3_ba7a_fb74e32d355a" hidden="1">#REF!</definedName>
    <definedName name="TB3cfe4b16_b781_47f0_9c2d_bc01831a8d35" hidden="1">#REF!</definedName>
    <definedName name="TB3cff0b42_ec04_445f_8ee4_d5e4059f86f5" hidden="1">#REF!</definedName>
    <definedName name="TB3d08477c_3bc6_458e_8d42_8aeb0cae4757" hidden="1">#REF!</definedName>
    <definedName name="TB3d0bf110_4fe3_478e_b196_a57b9a5092cf" hidden="1">#REF!</definedName>
    <definedName name="TB3d160f02_2030_4b8b_89e8_6c9a866f358f" hidden="1">#REF!</definedName>
    <definedName name="TB3d17b76b_a784_494a_97bf_7593eca93672" hidden="1">#REF!</definedName>
    <definedName name="TB3d1d1b25_eefc_4795_a340_a69eff8ab1d9" hidden="1">#REF!</definedName>
    <definedName name="TB3d35f8ea_467f_4b2b_b4b2_b11972868bf4" hidden="1">#REF!</definedName>
    <definedName name="TB3d38e744_b0a1_4365_b3d5_3524e7d9cddc" hidden="1">#REF!</definedName>
    <definedName name="TB3d3e1d0b_bd4c_46b9_b9df_d2f93a305f91" hidden="1">#REF!</definedName>
    <definedName name="TB3d46ee53_7c17_4eba_82cd_b6f226f0adaf" hidden="1">#REF!</definedName>
    <definedName name="TB3d48ec30_c6a6_4794_8afc_85b372ebd567" hidden="1">#REF!</definedName>
    <definedName name="TB3d671a64_8859_45df_9ae9_fc8430fee4dc" hidden="1">#REF!</definedName>
    <definedName name="TB3d72a67a_30ba_4758_a410_cd683e49f6c9" hidden="1">#REF!</definedName>
    <definedName name="TB3d831bca_f52c_4556_a5f8_de2ab72fda30" hidden="1">#REF!</definedName>
    <definedName name="TB3d9c2fc7_ff9a_47dd_96fc_1cc95ca02f1b" hidden="1">#REF!</definedName>
    <definedName name="TB3da08b3c_4232_4358_882c_ae69d53cb8c1" hidden="1">#REF!</definedName>
    <definedName name="TB3da37f06_246f_48e0_b06a_ab93817ac4d7" hidden="1">#REF!</definedName>
    <definedName name="TB3da6de97_f140_4712_b9ca_b7687e30991b" hidden="1">#REF!</definedName>
    <definedName name="TB3dbbc7b5_325b_463f_ae9f_660ca59c0a23" hidden="1">#REF!</definedName>
    <definedName name="TB3dca305e_0ccb_4aed_ac79_a5dff4b052b3" hidden="1">#REF!</definedName>
    <definedName name="TB3dd387cd_fed8_470b_83dc_b21a04e900f7" hidden="1">#REF!</definedName>
    <definedName name="TB3ddd863e_e306_48ab_b001_25a342d44fd5" hidden="1">#REF!</definedName>
    <definedName name="TB3de47c9f_584a_42ac_a60a_3cb3090b4428" hidden="1">#REF!</definedName>
    <definedName name="TB3dfa6824_ea2a_45c7_9871_3a61d237e114" hidden="1">#REF!</definedName>
    <definedName name="TB3e03607f_93bc_47e3_867b_7e317f66ac3a" hidden="1">#REF!</definedName>
    <definedName name="TB3e07958c_6bee_4df4_97e7_ec6c89ed8e8a" hidden="1">#REF!</definedName>
    <definedName name="TB3e0d851c_774c_4637_b6fc_b3f7777a1291" hidden="1">#REF!</definedName>
    <definedName name="TB3e13c0f1_49b9_4ab6_ab3f_22b1e3257c48" hidden="1">#REF!</definedName>
    <definedName name="TB3e15c3d0_09ad_4388_923f_e0d0e00d6f91" hidden="1">#REF!</definedName>
    <definedName name="TB3e1cec64_2f83_4a1f_a2e0_41674c516091" hidden="1">#REF!</definedName>
    <definedName name="TB3e258b2a_11a2_4499_b770_83eb13c289cc" hidden="1">#REF!</definedName>
    <definedName name="TB3e274674_a21e_40b6_bfd3_7a9c4773fbe4" hidden="1">#REF!</definedName>
    <definedName name="TB3e2ebebc_a649_4cd4_a342_d4553e34326a" hidden="1">#REF!</definedName>
    <definedName name="TB3e2ed318_38f8_44a1_a0d2_55bb48a48c7e" hidden="1">#REF!</definedName>
    <definedName name="TB3e3457d2_98a0_41ff_b4b2_09c560f881a0" hidden="1">#REF!</definedName>
    <definedName name="TB3e35ae84_9f6c_45d5_ad7f_2853455c22de" hidden="1">#REF!</definedName>
    <definedName name="TB3e3dbf96_2889_4d88_bdce_9dafac0350f5" hidden="1">#REF!</definedName>
    <definedName name="TB3e4501c6_f19b_48ca_a7c3_9d552afa9c2a" hidden="1">#REF!</definedName>
    <definedName name="TB3e4e172d_c2ab_4165_b236_32210b222419" hidden="1">#REF!</definedName>
    <definedName name="TB3e520740_dd13_4409_99d1_0618200283b0" hidden="1">#REF!</definedName>
    <definedName name="TB3e53950c_d7ea_4b47_9b50_2b38bda9b67d" hidden="1">#REF!</definedName>
    <definedName name="TB3e56e88d_99a5_44e3_a636_cf97391e72c5" hidden="1">#REF!</definedName>
    <definedName name="TB3e58f4d3_c19d_43be_b0f3_4e1d287a2d4a" hidden="1">#REF!</definedName>
    <definedName name="TB3e6bc200_e734_40e9_853f_a39e51350792" hidden="1">#REF!</definedName>
    <definedName name="TB3e78048a_dbc0_4bce_9ba1_cf3398fc9382" hidden="1">#REF!</definedName>
    <definedName name="TB3e7b287d_5785_4d96_a7f8_9c1fa60d14d7" hidden="1">#REF!</definedName>
    <definedName name="TB3e88bb4f_558b_4ec1_baf7_21a95dbe09e9" hidden="1">#REF!</definedName>
    <definedName name="TB3e8ab268_0ccc_46d5_8398_cadd7082996d" hidden="1">#REF!</definedName>
    <definedName name="TB3eb634fe_ceac_4185_86e0_ae3421599ca3" hidden="1">#REF!</definedName>
    <definedName name="TB3ebc7fc0_4365_4e6c_b800_d7d002bec7ff" hidden="1">#REF!</definedName>
    <definedName name="TB3ec2da3e_ee99_46f2_a894_9f7bfe873023" hidden="1">#REF!</definedName>
    <definedName name="TB3ec361d6_cc77_4f59_b5b4_abb1916e2697" hidden="1">#REF!</definedName>
    <definedName name="TB3ecd3691_55bf_4fa9_8cf2_a2abe39c8f4a" hidden="1">#REF!</definedName>
    <definedName name="TB3ed174ca_b7c1_42b5_b6ff_c3cebdd218b6" hidden="1">#REF!</definedName>
    <definedName name="TB3ef673a8_33fb_44be_b82e_9a8ac724ff79" hidden="1">#REF!</definedName>
    <definedName name="TB3f01da65_9291_45ef_88d4_899fdecd4d0a" hidden="1">#REF!</definedName>
    <definedName name="TB3f0b7a4c_1e78_4c82_a911_dd9269fd0402" hidden="1">#REF!</definedName>
    <definedName name="TB3f297bac_530e_40a8_abd7_83367418a140" hidden="1">#REF!</definedName>
    <definedName name="TB3f2f0a6c_9db4_4e60_a037_c9491f3dfb6c" hidden="1">#REF!</definedName>
    <definedName name="TB3f34a17d_8bf1_47a3_8588_fce43d743a4b" hidden="1">#REF!</definedName>
    <definedName name="TB3f36c48c_c84a_46e0_9bfb_3eeea503dff2" hidden="1">#REF!</definedName>
    <definedName name="TB3f396c73_a18a_47dd_800e_0113d1cc599a" hidden="1">#REF!</definedName>
    <definedName name="TB3f45245c_2a6e_4055_816c_0d61658943f9" hidden="1">#REF!</definedName>
    <definedName name="TB3f6d7695_c45a_4357_a0fe_ab6395573878" hidden="1">#REF!</definedName>
    <definedName name="TB3f6ff0af_2a2d_4157_b1fd_6f3246d57297" hidden="1">#REF!</definedName>
    <definedName name="TB3f7a7b32_e0dc_4973_bf01_3d2e7c3a36f0" hidden="1">#REF!</definedName>
    <definedName name="TB3f848ff7_699f_458d_9500_0dac0caa7790" hidden="1">#REF!</definedName>
    <definedName name="TB3f8837c0_f37c_48b4_9b87_e609c9af06ba" hidden="1">#REF!</definedName>
    <definedName name="TB3f89af9a_cb7c_4c93_82ee_210413a3ab98" hidden="1">#REF!</definedName>
    <definedName name="TB3f8c44ce_37fc_42bb_bd77_915a7f13a484" hidden="1">#REF!</definedName>
    <definedName name="TB3f9effbe_6667_4441_97e5_25fe3a59c4cd" hidden="1">#REF!</definedName>
    <definedName name="TB3fda5c6b_4c8a_4748_868c_30299366ad91" hidden="1">#REF!</definedName>
    <definedName name="TB3fdcf570_7cf1_42c3_9b7c_c30b0b2b45bb" hidden="1">#REF!</definedName>
    <definedName name="TB3ff345fe_e9e9_4556_ae83_655b0b21db47" hidden="1">#REF!</definedName>
    <definedName name="TB3ff4ee3b_6e33_4528_b6cc_89bd698fb748" hidden="1">#REF!</definedName>
    <definedName name="TB3ff76ae6_7c24_431e_8974_e2a7d7475a69" hidden="1">#REF!</definedName>
    <definedName name="TB401459a3_19e1_49d1_a6cd_e0ac6a78269f" hidden="1">#REF!</definedName>
    <definedName name="TB40181dc8_9042_454c_9e40_0fe836d720f8" hidden="1">#REF!</definedName>
    <definedName name="TB401b1d0e_95b0_4e2c_84ff_9b972abd957c" hidden="1">#REF!</definedName>
    <definedName name="TB402953c4_20e0_4e38_b0dc_3892eae94b6f" hidden="1">#REF!</definedName>
    <definedName name="TB4033ceba_9ab1_418f_af66_bf8cd80b3842" hidden="1">#REF!</definedName>
    <definedName name="TB403907d7_c40a_4e0d_9077_07a3466ecd0f" hidden="1">#REF!</definedName>
    <definedName name="TB403eebb0_4967_498f_81c5_cff8497c6f92" hidden="1">#REF!</definedName>
    <definedName name="TB4041d8cd_e39d_4a33_9ffe_ea1881945ccc" hidden="1">#REF!</definedName>
    <definedName name="TB4043872d_1c2a_4ccb_a437_dbc391359a21" hidden="1">#REF!</definedName>
    <definedName name="TB40489beb_b922_4f55_8186_0f686fae2d87" hidden="1">#REF!</definedName>
    <definedName name="TB406df0ea_8cf8_4d3d_9780_b12ca8db2e1f" hidden="1">#REF!</definedName>
    <definedName name="TB408517ee_c5f6_4424_810c_743da6224534" hidden="1">#REF!</definedName>
    <definedName name="TB409e4532_fbf5_4d84_b057_1c150eecbe2f" hidden="1">#REF!</definedName>
    <definedName name="TB40a2a839_c28a_4997_9868_60f4fef67d7b" hidden="1">#REF!</definedName>
    <definedName name="TB40a97391_fe05_4738_8afb_3bd649c3965e" hidden="1">#REF!</definedName>
    <definedName name="TB40b5c1d3_970d_4c76_9fc2_fa46dcbe322e" hidden="1">#REF!</definedName>
    <definedName name="TB40b694b7_8165_49d8_9125_0c22e03d0fbf" hidden="1">#REF!</definedName>
    <definedName name="TB40d21d02_7916_40b5_a8ef_9da284915d00" hidden="1">#REF!</definedName>
    <definedName name="TB40d23f7a_6907_47d1_832c_1696f34e4dc9" hidden="1">#REF!</definedName>
    <definedName name="TB40d2e883_82e7_45f6_9981_2114db648490" hidden="1">#REF!</definedName>
    <definedName name="TB40d533df_c673_4b54_b648_b0502c695fe2" hidden="1">#REF!</definedName>
    <definedName name="TB40df11c3_4f0b_4ff3_92b7_c0405192804a" hidden="1">#REF!</definedName>
    <definedName name="TB40f88267_74c5_40f1_ae3c_3ba084ffe592" hidden="1">#REF!</definedName>
    <definedName name="TB41003766_1da3_42b4_a5ff_1cd0db4c6312" hidden="1">#REF!</definedName>
    <definedName name="TB411aa22c_23f7_43ca_9d8f_0d6e2f73b553" hidden="1">#REF!</definedName>
    <definedName name="TB411baa36_8b29_4e20_aea6_2422241d91a8" hidden="1">#REF!</definedName>
    <definedName name="TB411c58db_42d5_47d1_8c71_1783c91ebde8" hidden="1">#REF!</definedName>
    <definedName name="TB411db0bd_f945_4afd_8636_1a17a05e6d77" hidden="1">#REF!</definedName>
    <definedName name="TB4130055c_5c9e_4dc4_8822_3fe953c6e9b2" hidden="1">#REF!</definedName>
    <definedName name="TB413443cd_2afe_4f8c_9c32_d01c2d359f36" hidden="1">#REF!</definedName>
    <definedName name="TB413e0e64_28c7_48bc_be72_f95aafc4699b" hidden="1">#REF!</definedName>
    <definedName name="TB413fac31_4eaf_4316_b1e0_bf6e8ac63d38" hidden="1">#REF!</definedName>
    <definedName name="TB414998c3_8849_46e0_a86a_105dd8879d75" hidden="1">#REF!</definedName>
    <definedName name="TB414c554f_be49_4e7b_9c70_51e04d31a83b" hidden="1">#REF!</definedName>
    <definedName name="TB4151a0ea_facb_4477_ad1a_537721cc9c40" hidden="1">#REF!</definedName>
    <definedName name="TB41685cb9_6dd0_4cf9_bc7a_dee9649589ee" hidden="1">#REF!</definedName>
    <definedName name="TB41750460_44dc_4f0e_b566_57f222e3001f" hidden="1">#REF!</definedName>
    <definedName name="TB4184aa3a_3e67_472b_9a7f_5e70a6731dc0" hidden="1">#REF!</definedName>
    <definedName name="TB4192e4e7_b9d8_4326_9a7d_7e9ef81c72b4" hidden="1">#REF!</definedName>
    <definedName name="TB41952eea_0da8_4ea7_962b_592a383c0227" hidden="1">#REF!</definedName>
    <definedName name="TB4195b182_a6e9_4293_b348_3533d253bf68" hidden="1">#REF!</definedName>
    <definedName name="TB419c4167_ae6a_4baa_9077_859205d70cec" hidden="1">#REF!</definedName>
    <definedName name="TB41a1fb2e_7979_44ec_9c74_696aad6ac56f" hidden="1">#REF!</definedName>
    <definedName name="TB41ade43f_5777_491d_aa17_96d2df0b22f2" hidden="1">#REF!</definedName>
    <definedName name="TB41ae01f9_2b99_4e22_9e9a_114d7fde497b" hidden="1">#REF!</definedName>
    <definedName name="TB41baa5d0_6ee8_453f_879c_180974ddf51a" hidden="1">#REF!</definedName>
    <definedName name="TB41d1b1d2_bedf_46e7_9f5c_e4150b70f85f" hidden="1">#REF!</definedName>
    <definedName name="TB41d2dbce_5aba_4a4b_b83f_38d86be2c61f" hidden="1">#REF!</definedName>
    <definedName name="TB41d401e2_b95e_472e_8cea_f4c991d1850f" hidden="1">#REF!</definedName>
    <definedName name="TB41dac2bd_c4af_47c4_8b71_fb38c31747b4" hidden="1">#REF!</definedName>
    <definedName name="TB41dfd394_659d_4c53_8215_8feec602dda8" hidden="1">#REF!</definedName>
    <definedName name="TB41e9f778_db2d_4a97_ac17_304f06544823" hidden="1">#REF!</definedName>
    <definedName name="TB41eea254_b6bc_4fa9_8dfb_5b0339f38163" hidden="1">#REF!</definedName>
    <definedName name="TB41f8d775_7f88_4e75_94e5_3b8e7466ffc8" hidden="1">#REF!</definedName>
    <definedName name="TB4201bf8e_0f67_4e0f_9f47_0d93d52ff215" hidden="1">#REF!</definedName>
    <definedName name="TB420ba579_58a1_4fa2_8a4a_9983f973556d" hidden="1">#REF!</definedName>
    <definedName name="TB420d8978_cd32_4740_9ae4_cc355351e79e" hidden="1">#REF!</definedName>
    <definedName name="TB42134839_26e1_44d6_9a98_aa06d2d877d7" hidden="1">#REF!</definedName>
    <definedName name="TB4220ea95_a317_4436_ab53_3c8be1f44d41" hidden="1">#REF!</definedName>
    <definedName name="TB42249bea_e06b_4976_9a15_3c89e61d4b21" hidden="1">#REF!</definedName>
    <definedName name="TB42258c72_1e6d_4f19_8575_cbc32bfee7cd" hidden="1">#REF!</definedName>
    <definedName name="TB4225a4f1_6c91_46a9_b6d9_c09899635a5b" hidden="1">#REF!</definedName>
    <definedName name="TB422e266e_efc3_4acb_a9db_7a88976f0fe1" hidden="1">#REF!</definedName>
    <definedName name="TB4230e509_4858_46e9_bef4_627f39dbf7bc" hidden="1">#REF!</definedName>
    <definedName name="TB42391170_b43e_43da_9003_3a6feeaadaaf" hidden="1">#REF!</definedName>
    <definedName name="TB4240cd69_a9cc_4f2d_9bee_67e82c19b62b" hidden="1">#REF!</definedName>
    <definedName name="TB42578466_1f7a_417d_9340_cb410a63b49b" hidden="1">#REF!</definedName>
    <definedName name="TB425eca40_8cc6_45bb_aabd_06883818775b" hidden="1">#REF!</definedName>
    <definedName name="TB4260667e_9f38_40f9_a181_cb8cc9c53214" hidden="1">#REF!</definedName>
    <definedName name="TB4263f2fc_909a_4175_a144_6930a98ab1cb" hidden="1">#REF!</definedName>
    <definedName name="TB42699166_ed5a_4ae5_b193_8b197465ff87" hidden="1">#REF!</definedName>
    <definedName name="TB426e1ada_6baa_47f8_8917_35e4044177d8" hidden="1">#REF!</definedName>
    <definedName name="TB426f04db_37f1_4008_8423_2ab6240d498a" hidden="1">#REF!</definedName>
    <definedName name="TB4280b55b_a6f7_4fea_9416_2d49a426f938" hidden="1">#REF!</definedName>
    <definedName name="TB428375a1_9911_47be_a7e6_50bc7c983c8a" hidden="1">#REF!</definedName>
    <definedName name="TB4285655b_80db_4b91_9aff_1f427e16095b" hidden="1">#REF!</definedName>
    <definedName name="TB42b0ea18_781f_4081_9590_8b97f3850629" hidden="1">#REF!</definedName>
    <definedName name="TB42b0fdcc_fe10_4577_ba1e_268edcf89d00" hidden="1">#REF!</definedName>
    <definedName name="TB42b429d4_9b13_46e7_bda0_ce5aab6ffda2" hidden="1">#REF!</definedName>
    <definedName name="TB42b5a3ac_b8dc_4fba_92fc_cf29d8a4f424" hidden="1">#REF!</definedName>
    <definedName name="TB42bf7948_b2ca_4395_abe7_1a87cb43eb8e" hidden="1">#REF!</definedName>
    <definedName name="TB42c252be_10b6_4d7a_96ca_66ddacc5606c" hidden="1">#REF!</definedName>
    <definedName name="TB42c602d9_6c99_4a42_8dd1_c5c886b9f225" hidden="1">#REF!</definedName>
    <definedName name="TB42cb1811_9c8b_456c_879e_cf5d0f48052a" hidden="1">#REF!</definedName>
    <definedName name="TB42cd649c_0233_4f7c_9aa7_0feec295e59e" hidden="1">#REF!</definedName>
    <definedName name="TB42d759dc_688d_471b_a867_aff09bbc2bde" hidden="1">#REF!</definedName>
    <definedName name="TB42e645a0_cd91_49bb_885e_23c794235ccd" hidden="1">#REF!</definedName>
    <definedName name="TB42e75b8e_31aa_4705_99e6_0888e2ffe4ef" hidden="1">#REF!</definedName>
    <definedName name="TB430ad633_3ba8_4a52_9703_be8e614388b5" hidden="1">#REF!</definedName>
    <definedName name="TB430eb614_e028_482f_8495_8d6c5173e4fb" hidden="1">#REF!</definedName>
    <definedName name="TB431344c9_5b1d_41e0_8ab4_be5f8ee8312a" hidden="1">#REF!</definedName>
    <definedName name="TB431c0c3d_9bb6_4251_a62c_e1329e8cac1b" hidden="1">#REF!</definedName>
    <definedName name="TB43236a70_8182_4afc_835e_27a50bdf3382" hidden="1">#REF!</definedName>
    <definedName name="TB4329a202_339e_4008_8338_a8a7f9e193ce" hidden="1">#REF!</definedName>
    <definedName name="TB433193c3_2efd_4d3f_813f_6a48ee09e275" hidden="1">#REF!</definedName>
    <definedName name="TB4336305d_6ee4_441e_b58b_20da72e791fb" hidden="1">#REF!</definedName>
    <definedName name="TB433be240_392a_44e2_8756_420f217b5c05" hidden="1">#REF!</definedName>
    <definedName name="TB433d65cd_565d_42c5_a805_f81efe7e603a" hidden="1">#REF!</definedName>
    <definedName name="TB4345a3ba_57b3_410e_987f_2b51837bb4ac" hidden="1">#REF!</definedName>
    <definedName name="TB4345b33a_397b_4c53_92c4_949ea6542230" hidden="1">#REF!</definedName>
    <definedName name="TB43468994_1325_4d1a_8782_e589326ec98e" hidden="1">#REF!</definedName>
    <definedName name="TB43577106_dcdb_4a83_82cf_267b2351d5cd" hidden="1">#REF!</definedName>
    <definedName name="TB436b409a_5719_42ad_b71c_1a950ea6983a" hidden="1">#REF!</definedName>
    <definedName name="TB437124be_1e8f_4ffd_aea4_08dc98d59edb" hidden="1">#REF!</definedName>
    <definedName name="TB437286e6_469c_4cda_9967_fd05541270ed" hidden="1">#REF!</definedName>
    <definedName name="TB4379224b_33fe_4af5_bef9_eaa320dd543c" hidden="1">#REF!</definedName>
    <definedName name="TB437e083d_87bc_4813_8072_3407ca96d128" hidden="1">#REF!</definedName>
    <definedName name="TB438b41f4_b8d3_4b45_9084_88be53554d3e" hidden="1">#REF!</definedName>
    <definedName name="TB438e43b5_8f78_4415_b51c_62924874ab8d" hidden="1">#REF!</definedName>
    <definedName name="TB4391bfe2_9d61_4db9_b614_29d382fb0364" hidden="1">#REF!</definedName>
    <definedName name="TB439a6498_72fa_489a_ba7c_cd945572efd9" hidden="1">#REF!</definedName>
    <definedName name="TB439cae73_eb6e_41ae_87e2_0db93028b0a7" hidden="1">#REF!</definedName>
    <definedName name="TB439e6133_1d19_43b5_9abd_f5281410172e" hidden="1">#REF!</definedName>
    <definedName name="TB439f3530_e0d5_4a6c_adc0_80512db2687a" hidden="1">#REF!</definedName>
    <definedName name="TB43abcdc1_b484_4c63_90f1_359b0b066264" hidden="1">#REF!</definedName>
    <definedName name="TB43abdee4_4f94_48c5_9234_9d0a57fb946f" hidden="1">#REF!</definedName>
    <definedName name="TB43b78a0f_4cd7_4b25_8aa6_20c75a543f4c" hidden="1">#REF!</definedName>
    <definedName name="TB43c2076a_b110_40c9_b702_10f1df7dd6e6" hidden="1">#REF!</definedName>
    <definedName name="TB43c7bc91_bfce_4b98_86ce_9959d2d9b776" hidden="1">#REF!</definedName>
    <definedName name="TB43c7e448_5183_4cd5_8834_ea671f844ef4" hidden="1">#REF!</definedName>
    <definedName name="TB43ce9716_4eec_40f1_9abd_d59ffad8e3a0" hidden="1">#REF!</definedName>
    <definedName name="TB43e0b4f0_48cb_47f2_8065_6d08afba4276" hidden="1">#REF!</definedName>
    <definedName name="TB43e11cc6_f345_4fe7_b70d_050c5aa4e67a" hidden="1">#REF!</definedName>
    <definedName name="TB43e253b2_3506_41fa_bbdb_d97c6b80b1da" hidden="1">#REF!</definedName>
    <definedName name="TB43ef2c50_d75e_4bf9_b81b_01fddb86389a" hidden="1">#REF!</definedName>
    <definedName name="TB43f8b6a7_78e1_4fb8_beea_98b789d0dab8" hidden="1">#REF!</definedName>
    <definedName name="TB4403d27b_63cd_42ae_afc7_8cd67ac8bdf5" hidden="1">#REF!</definedName>
    <definedName name="TB440897e2_3f6e_4cee_9891_ec47d59d01b3" hidden="1">#REF!</definedName>
    <definedName name="TB440b1917_5575_434d_96c2_e6c02f549be2" hidden="1">#REF!</definedName>
    <definedName name="TB441bcd1b_1555_4a7f_bd47_03d85b7400a0" hidden="1">#REF!</definedName>
    <definedName name="TB4428a7d0_76fd_415d_840b_ac79f1415be0" hidden="1">#REF!</definedName>
    <definedName name="TB442d3d11_6020_43e3_87e7_389ac41d7253" hidden="1">#REF!</definedName>
    <definedName name="TB442daccb_1d8d_4eb9_bfa8_fe922e63f820" hidden="1">#REF!</definedName>
    <definedName name="TB4432ab31_e5e1_4334_8dc1_d661b8ebdb49" hidden="1">#REF!</definedName>
    <definedName name="TB4432ce5a_007b_44d6_8011_1bd3cb615e36" hidden="1">#REF!</definedName>
    <definedName name="TB443735af_3c4a_4966_ac85_8731bba75ae9" hidden="1">#REF!</definedName>
    <definedName name="TB4438bf27_7f7b_48d4_b24d_a110f1388846" hidden="1">#REF!</definedName>
    <definedName name="TB444a5f09_5e3e_4e39_a401_7025f3667a0e" hidden="1">#REF!</definedName>
    <definedName name="TB444b46e5_3b68_4213_a842_0f00a4f6ec45" hidden="1">#REF!</definedName>
    <definedName name="TB44528672_3335_4519_92da_75f7c783feae" hidden="1">#REF!</definedName>
    <definedName name="TB44549d85_e792_49da_bdd3_32ccce3a076a" hidden="1">#REF!</definedName>
    <definedName name="TB4457ef05_2525_455e_9ceb_0bc107a707ec" hidden="1">#REF!</definedName>
    <definedName name="TB445cb823_4b4f_4db6_9651_8e76260aa182" hidden="1">#REF!</definedName>
    <definedName name="TB445eb292_e12e_4926_95f6_4a94969b2d1f" hidden="1">#REF!</definedName>
    <definedName name="TB4465acbc_d4b4_4e5c_ac57_8a678741ed50" hidden="1">#REF!</definedName>
    <definedName name="TB44734a2c_177b_4e9b_ae34_012a7e3076b3" hidden="1">#REF!</definedName>
    <definedName name="TB4478bd4f_d7c2_4c80_ae0f_788e27a202fa" hidden="1">#REF!</definedName>
    <definedName name="TB447b9fc2_bd6f_4833_921d_61a0b0e23da7" hidden="1">#REF!</definedName>
    <definedName name="TB448d743b_26b7_4c9f_8053_b5a31e5d1764" hidden="1">#REF!</definedName>
    <definedName name="TB44abbf4c_3403_434d_8c48_fbef58d2210e" hidden="1">#REF!</definedName>
    <definedName name="TB44b1f120_bdeb_4617_acc4_02858a9ab909" hidden="1">#REF!</definedName>
    <definedName name="TB44b553dc_3617_4410_af08_7a5f9d2c9041" hidden="1">#REF!</definedName>
    <definedName name="TB44d656d4_77f6_415e_904a_c9df831c7195" hidden="1">#REF!</definedName>
    <definedName name="TB44e12e64_7dd1_4064_b616_89a993e470f6" hidden="1">#REF!</definedName>
    <definedName name="TB44fb0c00_2a3b_4a99_97c6_4a49dc3096aa" hidden="1">#REF!</definedName>
    <definedName name="TB451daa51_d8ad_44ec_8137_606f11b8931a" hidden="1">#REF!</definedName>
    <definedName name="TB4522e8ec_9246_46bf_bb8f_7b70fd4e4d8e" hidden="1">#REF!</definedName>
    <definedName name="TB452dbbf2_548d_4a95_b825_a18b4e9863b0" hidden="1">#REF!</definedName>
    <definedName name="TB45394189_4863_4abd_9bbc_9ae5767b3628" hidden="1">#REF!</definedName>
    <definedName name="TB453d021f_d177_4d53_b821_2f936abe4b20" hidden="1">#REF!</definedName>
    <definedName name="TB453ef299_dbb3_467d_a1d6_fda3b21488cd" hidden="1">#REF!</definedName>
    <definedName name="TB45428c4b_b729_4682_93c5_e7d90dd7d2d4" hidden="1">#REF!</definedName>
    <definedName name="TB45452660_d219_41ac_88d5_04bfd7c1f73b" hidden="1">#REF!</definedName>
    <definedName name="TB4546e4b4_476f_49f9_8723_2528c75831dd" hidden="1">#REF!</definedName>
    <definedName name="TB45509bf2_5c09_4b82_8c7f_80de4191c996" hidden="1">#REF!</definedName>
    <definedName name="TB455e36f5_2ae6_42b3_b418_e682c37a1b4e" hidden="1">#REF!</definedName>
    <definedName name="TB456abc1e_bc38_4490_9161_e8be8cb7a1b1" hidden="1">#REF!</definedName>
    <definedName name="TB4572b9da_bdb1_4893_bc4e_4cee97122227" hidden="1">#REF!</definedName>
    <definedName name="TB45752922_8472_4fa7_882f_419482174621" hidden="1">#REF!</definedName>
    <definedName name="TB4581612e_eccc_421e_a9e0_09a922f3c86a" hidden="1">#REF!</definedName>
    <definedName name="TB458754ae_7164_4763_a672_480cbcb4cf00" hidden="1">#REF!</definedName>
    <definedName name="TB458b2521_92bd_4f46_81a1_1901dd68dadc" hidden="1">#REF!</definedName>
    <definedName name="TB458cf143_aba0_4448_aa57_97680b7dbd76" hidden="1">#REF!</definedName>
    <definedName name="TB4591187a_671e_4013_bd7b_d5410e55792d" hidden="1">#REF!</definedName>
    <definedName name="TB45995b02_3d4b_4238_92ec_8370480b2e03" hidden="1">#REF!</definedName>
    <definedName name="TB459ae601_983a_4063_9542_e99a1ff921a8" hidden="1">#REF!</definedName>
    <definedName name="TB45b1b1e0_e573_4420_b062_1d8303f7f5d7" hidden="1">#REF!</definedName>
    <definedName name="TB45b7cb68_4c53_41b5_ac6f_e15c8dc038e7" hidden="1">#REF!</definedName>
    <definedName name="TB45bac3e5_b45c_4a2d_85c2_6998770ba348" hidden="1">#REF!</definedName>
    <definedName name="TB45c1f26a_45bb_453d_8ef7_e12b1399a4c4" hidden="1">#REF!</definedName>
    <definedName name="TB45c47fec_779a_4f2f_8ff0_e7d7b787c2da" hidden="1">#REF!</definedName>
    <definedName name="TB45de3275_cf37_429a_8ee3_a2d68ad196b3" hidden="1">#REF!</definedName>
    <definedName name="TB45e56e8b_4fe3_47af_bf58_c796a78b63a4" hidden="1">#REF!</definedName>
    <definedName name="TB45f0f435_9ffc_4ad3_9b5e_dbffe9cb8a1d" hidden="1">#REF!</definedName>
    <definedName name="TB45f24e1c_7a39_4d3a_9a56_30830251c002" hidden="1">#REF!</definedName>
    <definedName name="TB45f5459a_86a3_4654_86a7_ae0fe2d891ca" hidden="1">#REF!</definedName>
    <definedName name="TB45fcb4a6_2c02_4d62_85b7_67bbd0d45743" hidden="1">#REF!</definedName>
    <definedName name="TB4605f1cc_1128_4740_adec_5ff6048b296b" hidden="1">#REF!</definedName>
    <definedName name="TB46186c61_e203_41ba_a02a_20db55f540b6" hidden="1">#REF!</definedName>
    <definedName name="TB461a2a4f_1668_4083_b456_3cfeba64758d" hidden="1">#REF!</definedName>
    <definedName name="TB46553305_d059_4b63_b098_99ddf92997f1" hidden="1">#REF!</definedName>
    <definedName name="TB466482d3_ece3_4466_99cd_b148541446cb" hidden="1">#REF!</definedName>
    <definedName name="TB4671f8c0_26b9_4e53_bf7e_c16d49238584" hidden="1">#REF!</definedName>
    <definedName name="TB4672c842_e9e9_438e_8cce_471827db43af" hidden="1">#REF!</definedName>
    <definedName name="TB467d4017_475c_4017_8f03_1093233a896c" hidden="1">#REF!</definedName>
    <definedName name="TB467dc340_f0c3_47b4_81ef_cbc2c1cc378d" hidden="1">#REF!</definedName>
    <definedName name="TB46855836_f5f9_4fc7_9424_461e0d0a64ac" hidden="1">#REF!</definedName>
    <definedName name="TB468d15a8_7457_4290_b8e0_bac05fc6caf7" hidden="1">#REF!</definedName>
    <definedName name="TB468eb7a1_becc_4f51_8a00_6cb2de4aa6f6" hidden="1">#REF!</definedName>
    <definedName name="TB469b1357_3ef9_4a59_942b_7c16477891ad" hidden="1">#REF!</definedName>
    <definedName name="TB46a7809d_8923_47c7_b184_0f173a7742ba" hidden="1">#REF!</definedName>
    <definedName name="TB46d204a4_33eb_46c3_8238_721ac4372622" hidden="1">#REF!</definedName>
    <definedName name="TB46fccfb5_abdd_482b_8a27_3a62f6fca68d" hidden="1">#REF!</definedName>
    <definedName name="TB46fcf4ab_4996_4f59_a18a_9ac0260db782" hidden="1">#REF!</definedName>
    <definedName name="TB47107296_85db_4d81_a6d3_fb7b0483cde3" hidden="1">#REF!</definedName>
    <definedName name="TB47196f71_385b_4564_bea9_f20d82ce14be" hidden="1">#REF!</definedName>
    <definedName name="TB47249fc6_42b5_4d98_9a39_00c720242617" hidden="1">#REF!</definedName>
    <definedName name="TB4749d34c_c2d6_4757_af95_05e255fe70bc" hidden="1">#REF!</definedName>
    <definedName name="TB474e1de8_18eb_478c_84bd_800ee00fcb88" hidden="1">#REF!</definedName>
    <definedName name="TB47565aa6_7b24_4245_ae64_2d4107777702" hidden="1">#REF!</definedName>
    <definedName name="TB4761ec00_034e_40d0_bae4_a391bee008ce" hidden="1">#REF!</definedName>
    <definedName name="TB47691be2_9a6a_45c0_b9d0_b12a7a4883cd" hidden="1">#REF!</definedName>
    <definedName name="TB4769d90e_046e_4aba_853e_46c49ec9c4cd" hidden="1">#REF!</definedName>
    <definedName name="TB476f8041_f7fe_48bf_a457_ee6ab395ee93" hidden="1">#REF!</definedName>
    <definedName name="TB477ddfe0_4a7a_4725_9d9e_dde93df563a6" hidden="1">#REF!</definedName>
    <definedName name="TB4795f75d_339f_416e_924d_159a33c7596a" hidden="1">#REF!</definedName>
    <definedName name="TB4798117e_068f_40f5_bc63_c0803cbefdab" hidden="1">#REF!</definedName>
    <definedName name="TB479c0710_f506_47c8_b012_8b085777ba92" hidden="1">#REF!</definedName>
    <definedName name="TB47a70d7e_4686_4db8_9244_ef964feb8df1" hidden="1">#REF!</definedName>
    <definedName name="TB47b3463b_e7bb_42af_b067_3e2b005ca95e" hidden="1">#REF!</definedName>
    <definedName name="TB47b6bc85_4cf4_411b_8435_8592f0d7a37d" hidden="1">#REF!</definedName>
    <definedName name="TB47bce023_f49c_45e6_ba8b_cffe428e5e6d" hidden="1">#REF!</definedName>
    <definedName name="TB47c749db_b294_42bc_ab13_ba8ec04c53f1" hidden="1">#REF!</definedName>
    <definedName name="TB47cc8eea_a5f0_4fcc_8a42_4fb080ff5fc4" hidden="1">#REF!</definedName>
    <definedName name="TB47cee773_ba6b_47b0_a5d5_d3bc8f705b73" hidden="1">#REF!</definedName>
    <definedName name="TB47e9c7f1_51ba_45b1_9d68_f14781734b78" hidden="1">#REF!</definedName>
    <definedName name="TB4800cadc_ceab_4cb9_85b1_8f9379061767" hidden="1">#REF!</definedName>
    <definedName name="TB48083d81_591b_492f_80df_57176495c11d" hidden="1">#REF!</definedName>
    <definedName name="TB480e9f96_4838_4ad9_a294_0834a6ad1ec7" hidden="1">#REF!</definedName>
    <definedName name="TB48104458_83b0_49eb_9055_6ddd4c91b678" hidden="1">#REF!</definedName>
    <definedName name="TB48150cd0_1f7e_406e_8a9a_dea644e5b30a" hidden="1">#REF!</definedName>
    <definedName name="TB48245517_12e7_4049_a2a6_7adff9f8b1ad" hidden="1">#REF!</definedName>
    <definedName name="TB482aa7e2_8e3d_4846_985c_d1271fe3d8b6" hidden="1">#REF!</definedName>
    <definedName name="TB482df396_380a_402d_91e4_5459f522dea7" hidden="1">#REF!</definedName>
    <definedName name="TB482f26e7_ae3c_496a_b8d6_c39c564aeeb7" hidden="1">#REF!</definedName>
    <definedName name="TB48374803_aa86_428b_b307_df249fb53eb3" hidden="1">#REF!</definedName>
    <definedName name="TB483fb3ad_9f0b_41d5_86ae_1273c58f988e" hidden="1">#REF!</definedName>
    <definedName name="TB48410f42_bb38_4864_8210_c38a03671b1e" hidden="1">#REF!</definedName>
    <definedName name="TB48501bb6_2675_4cef_85b6_7920c6913063" hidden="1">#REF!</definedName>
    <definedName name="TB48548d18_788e_4c6e_bd85_911e6dec87c0" hidden="1">#REF!</definedName>
    <definedName name="TB48568af5_b76a_4bd2_af20_53d3a50a0064" hidden="1">#REF!</definedName>
    <definedName name="TB48595482_5ca6_4b1d_a1ce_1d7443d7e9ae" hidden="1">#REF!</definedName>
    <definedName name="TB4869d32d_85e5_44c6_a658_2edaddb491a4" hidden="1">#REF!</definedName>
    <definedName name="TB487db75d_0edd_4909_a127_976b82b47a0d" hidden="1">#REF!</definedName>
    <definedName name="TB487e907c_532c_4cc4_8ea5_901c81e46a5c" hidden="1">#REF!</definedName>
    <definedName name="TB48867080_cabf_4cdd_bd57_3ff237d153eb" hidden="1">#REF!</definedName>
    <definedName name="TB4886881d_69f8_4ac8_996d_279af6eff9ff" hidden="1">#REF!</definedName>
    <definedName name="TB488ac2c9_dbeb_416a_a18b_0514cfb5cb55" hidden="1">#REF!</definedName>
    <definedName name="TB489e9e14_0063_46db_a6b9_ebede8a65dfd" hidden="1">#REF!</definedName>
    <definedName name="TB48a77ecb_4b13_4ce4_91ac_0965cfd5e1b4" hidden="1">#REF!</definedName>
    <definedName name="TB48a9401c_3f7f_4bc7_885f_c4e36b4d33fa" hidden="1">#REF!</definedName>
    <definedName name="TB48a943d4_526e_4415_a27e_1894532b23ba" hidden="1">#REF!</definedName>
    <definedName name="TB48b06c3b_534d_4197_abac_3a1b50c426db" hidden="1">#REF!</definedName>
    <definedName name="TB48b4dbb2_d5f5_40a7_b2a3_33c212233e1c" hidden="1">#REF!</definedName>
    <definedName name="TB48c1181d_cf34_43e2_969b_5a6a3ca72768" hidden="1">#REF!</definedName>
    <definedName name="TB48c463f2_63b9_4a9a_aedd_d45bed715ecc" hidden="1">#REF!</definedName>
    <definedName name="TB48c5909e_a1bd_435f_a95c_035b8b1603fb" hidden="1">#REF!</definedName>
    <definedName name="TB48cbcd88_a059_4fb4_8c40_33a272ffffdd" hidden="1">#REF!</definedName>
    <definedName name="TB48ea2d02_a3a6_479b_a3e7_c88cb4e8da49" hidden="1">#REF!</definedName>
    <definedName name="TB48ff62e8_23cf_46ee_af92_0abf68fe8555" hidden="1">#REF!</definedName>
    <definedName name="TB490c8ef1_4ea1_43a3_8a3b_3a6fe197b9de" hidden="1">#REF!</definedName>
    <definedName name="TB4910b845_a0e9_44d0_9adb_903beb91ee71" hidden="1">#REF!</definedName>
    <definedName name="TB49177481_e5de_4d08_8875_d3aa7a077153" hidden="1">#REF!</definedName>
    <definedName name="TB491938e7_df3d_46c0_8b3e_630919f135f8" hidden="1">#REF!</definedName>
    <definedName name="TB492435e1_6d38_4d3f_9b85_31465a044640" hidden="1">#REF!</definedName>
    <definedName name="TB4925843a_534b_499a_8b67_2fa30adbbe7b" hidden="1">#REF!</definedName>
    <definedName name="TB49279f7e_0c2e_4cc0_9ade_919560344a1d" hidden="1">#REF!</definedName>
    <definedName name="TB4929027a_a2dd_4d4e_a7ef_a301ede50ad3" hidden="1">#REF!</definedName>
    <definedName name="TB492d0305_0f2c_4641_bc93_879edaa90008" hidden="1">#REF!</definedName>
    <definedName name="TB492e31ad_6510_44e7_b6ce_3bab21d76fff" hidden="1">#REF!</definedName>
    <definedName name="TB4931bf63_2641_462d_a7a8_bf7cd01bbb8d" hidden="1">#REF!</definedName>
    <definedName name="TB4934d433_cec2_438d_afcc_f7d5fc889c8b" hidden="1">#REF!</definedName>
    <definedName name="TB493d6c15_536f_4b6a_b9ac_932853b99c5a" hidden="1">#REF!</definedName>
    <definedName name="TB494548a6_74e3_4919_a0a1_0b601aabccb5" hidden="1">#REF!</definedName>
    <definedName name="TB49486254_8e72_4d18_9b46_3e9db892ec72" hidden="1">#REF!</definedName>
    <definedName name="TB494997db_1ba4_4bd3_a024_9dfb69dfa809" hidden="1">#REF!</definedName>
    <definedName name="TB495001b4_7e6f_425a_887d_934406397f8c" hidden="1">#REF!</definedName>
    <definedName name="TB4954ca17_e714_43e7_8484_2d436da9b4e9" hidden="1">#REF!</definedName>
    <definedName name="TB49580b80_c27f_4c86_a805_8239cfa009ce" hidden="1">#REF!</definedName>
    <definedName name="TB495d7b42_c1eb_4204_b07a_6d70052e1b58" hidden="1">#REF!</definedName>
    <definedName name="TB49632c49_42c0_4359_87ae_842ea70ec89d" hidden="1">#REF!</definedName>
    <definedName name="TB498393b2_e2ea_44ab_9d9c_113fc7d249db" hidden="1">#REF!</definedName>
    <definedName name="TB49876e30_f406_40e7_a273_c7b27840dd2c" hidden="1">#REF!</definedName>
    <definedName name="TB4995da50_15f5_4772_8b28_444ec1cd8401" hidden="1">#REF!</definedName>
    <definedName name="TB4995de40_bd6e_4646_ad90_ae3fc497f1a1" hidden="1">#REF!</definedName>
    <definedName name="TB49974203_bdaf_4f62_b169_476eda76c8e8" hidden="1">#REF!</definedName>
    <definedName name="TB49997b66_b504_4a8d_870c_b48e18ed23b7" hidden="1">#REF!</definedName>
    <definedName name="TB49a15d14_7fd1_464b_af0f_ae735ba680b2" hidden="1">#REF!</definedName>
    <definedName name="TB49ab6acc_d0e3_46d9_ad8d_c9d589d049e0" hidden="1">#REF!</definedName>
    <definedName name="TB49b1c266_e37b_437f_978f_4a071e211b15" hidden="1">#REF!</definedName>
    <definedName name="TB49bc8f69_9c9b_455d_841b_caac3d96fd92" hidden="1">#REF!</definedName>
    <definedName name="TB49f77ff9_e19a_4aa9_85cf_606b4d9b9d1d" hidden="1">#REF!</definedName>
    <definedName name="TB49f98d2d_42df_4b80_b1ad_320285cd0ffd" hidden="1">#REF!</definedName>
    <definedName name="TB49fa6402_808f_4bdc_8d95_024f632b8c62" hidden="1">#REF!</definedName>
    <definedName name="TB4a03dd5a_95f6_46bf_bec2_7171a4c77be1" hidden="1">#REF!</definedName>
    <definedName name="TB4a0517ff_a7cb_4630_afba_7cb165ed0a65" hidden="1">#REF!</definedName>
    <definedName name="TB4a08739f_7a36_48f2_894c_ed991efa22ec" hidden="1">#REF!</definedName>
    <definedName name="TB4a08d591_b758_4bf9_8dde_ed38d165df6d" hidden="1">#REF!</definedName>
    <definedName name="TB4a0f72f1_d345_4aac_914b_049eca79993c" hidden="1">#REF!</definedName>
    <definedName name="TB4a24ec8f_6877_42f9_a0b1_0811918a076c" hidden="1">#REF!</definedName>
    <definedName name="TB4a362046_194e_4992_b1fa_e8080fc45ad2" hidden="1">#REF!</definedName>
    <definedName name="TB4a3c2874_ac49_44c6_a324_ea8e2b7c503d" hidden="1">#REF!</definedName>
    <definedName name="TB4a3dc14c_e3b4_4b89_b098_901cbaeaf883" hidden="1">#REF!</definedName>
    <definedName name="TB4a4ec94e_69ae_42fd_b38b_9a98c0504159" hidden="1">#REF!</definedName>
    <definedName name="TB4a56b2f3_df0a_4e5f_82f9_4aff8b0850ba" hidden="1">#REF!</definedName>
    <definedName name="TB4a57d06a_cf10_44bb_8b97_200639b43bde" hidden="1">#REF!</definedName>
    <definedName name="TB4a5f8bcf_4654_4f5a_b7aa_4a74134ae907" hidden="1">#REF!</definedName>
    <definedName name="TB4a643606_b587_4be9_a6e7_842c42116747" hidden="1">#REF!</definedName>
    <definedName name="TB4a6a67f7_0af9_443b_95d0_ea2955ea2e65" hidden="1">#REF!</definedName>
    <definedName name="TB4a72219a_9785_4b88_9241_ca2fe659eb81" hidden="1">#REF!</definedName>
    <definedName name="TB4a73d3b2_ef4d_47d4_aa79_213c8a1be189" hidden="1">#REF!</definedName>
    <definedName name="TB4a7eae82_8e05_4e3d_bfe5_fe835340ecf6" hidden="1">#REF!</definedName>
    <definedName name="TB4a82d93d_91da_45fa_ab09_e847ff30b038" hidden="1">#REF!</definedName>
    <definedName name="TB4a8ddad9_0038_4b8a_a520_90e5c768e3ec" hidden="1">#REF!</definedName>
    <definedName name="TB4a9094a2_02a8_431c_b536_5319e9c5e682" hidden="1">#REF!</definedName>
    <definedName name="TB4a9d1ff4_075a_49b5_aac0_511414bd8e6e" hidden="1">#REF!</definedName>
    <definedName name="TB4aa7a99a_43cf_48fb_aa2c_8595ea8d9dd1" hidden="1">#REF!</definedName>
    <definedName name="TB4aaaccd9_1726_4d7a_a3a9_72631df827b6" hidden="1">#REF!</definedName>
    <definedName name="TB4aaec815_bdee_4c78_b5f9_e2c2ce5d8323" hidden="1">#REF!</definedName>
    <definedName name="TB4abbd469_d85d_45d5_a135_4919d64cea46" hidden="1">#REF!</definedName>
    <definedName name="TB4abcb143_4c33_42d1_a3e7_2c7e95e5a903" hidden="1">#REF!</definedName>
    <definedName name="TB4ada3309_0e4f_472b_a26b_e7b737e637cf" hidden="1">#REF!</definedName>
    <definedName name="TB4aecf05b_5bd2_4c1d_b809_eb7c471c635c" hidden="1">#REF!</definedName>
    <definedName name="TB4af13996_76e4_4009_a8a8_2d3f28e03c4d" hidden="1">#REF!</definedName>
    <definedName name="TB4af6c0af_2c1c_43b3_81b8_f9cacdc77229" hidden="1">#REF!</definedName>
    <definedName name="TB4af73205_d999_494d_9532_74b7706889a3" hidden="1">#REF!</definedName>
    <definedName name="TB4af80e02_127b_4db2_a159_f7bd3df7ea45" hidden="1">#REF!</definedName>
    <definedName name="TB4affc25b_0caf_4362_a698_6f968a8ceb4c" hidden="1">#REF!</definedName>
    <definedName name="TB4b095854_0726_45bc_a11c_cc5a9fe8dc74" hidden="1">#REF!</definedName>
    <definedName name="TB4b0b3f30_f38b_46e3_87b3_f7fc2149becc" hidden="1">#REF!</definedName>
    <definedName name="TB4b0e4609_db70_430e_aee7_fe333d0c6489" hidden="1">#REF!</definedName>
    <definedName name="TB4b137195_b835_4f4f_8819_34af8026d5c0" hidden="1">#REF!</definedName>
    <definedName name="TB4b17cc4c_9f20_4545_9c4d_2161364bd64f" hidden="1">#REF!</definedName>
    <definedName name="TB4b1b0a20_e886_49ad_936f_f6aad01b3561" hidden="1">#REF!</definedName>
    <definedName name="TB4b2a5165_8b0c_40b0_90c4_d135cc6dea0d" hidden="1">#REF!</definedName>
    <definedName name="TB4b2dc9a1_d94c_4231_9ea5_15fd1524787f" hidden="1">#REF!</definedName>
    <definedName name="TB4b33a63a_239f_4966_9a54_d7d0e4b14d69" hidden="1">#REF!</definedName>
    <definedName name="TB4b3e250d_d1d8_4fbd_b47b_ddbb98d32e28" hidden="1">#REF!</definedName>
    <definedName name="TB4b42ec65_0942_45d9_842a_7291c1beb2ef" hidden="1">#REF!</definedName>
    <definedName name="TB4b5c9817_6d28_4340_8b90_ad964419c320" hidden="1">#REF!</definedName>
    <definedName name="TB4b6e8e43_b3a2_4074_8fa3_8fdab8807e69" hidden="1">#REF!</definedName>
    <definedName name="TB4b772920_7c50_4ec3_9d3f_b4c43c215e89" hidden="1">#REF!</definedName>
    <definedName name="TB4b8aa25d_3893_458d_81d0_2e1f6cb51d01" hidden="1">#REF!</definedName>
    <definedName name="TB4b90b7a8_0ab5_4a4c_826d_bb0b2b912130" hidden="1">#REF!</definedName>
    <definedName name="TB4b9d2db6_f0e5_4794_a5a4_3c6f2953d89e" hidden="1">#REF!</definedName>
    <definedName name="TB4b9ddd6f_6ed6_4b52_bff5_5fe8921e4afb" hidden="1">#REF!</definedName>
    <definedName name="TB4baab12f_f680_43fc_b3b9_71982e819fa2" hidden="1">#REF!</definedName>
    <definedName name="TB4bb0beea_4366_467b_a939_00b6f1882c73" hidden="1">#REF!</definedName>
    <definedName name="TB4bba7c51_d6eb_4f5f_96aa_385e42aaa651" hidden="1">#REF!</definedName>
    <definedName name="TB4bbc2cfb_6859_4592_b76b_91bcd2dbbd26" hidden="1">#REF!</definedName>
    <definedName name="TB4bbfcc14_9460_49e6_aa91_40d8129b0e15" hidden="1">#REF!</definedName>
    <definedName name="TB4bca87b0_4bcc_47ab_95e8_00233d468aab" hidden="1">#REF!</definedName>
    <definedName name="TB4bcc2f7e_9d8b_4328_8018_23bfc961e4e2" hidden="1">#REF!</definedName>
    <definedName name="TB4bcdfb45_be85_4386_86c3_cad863a6f6fc" hidden="1">#REF!</definedName>
    <definedName name="TB4bd54643_2895_4529_a02e_799fedf7e65b" hidden="1">#REF!</definedName>
    <definedName name="TB4be78625_d1dc_46b8_8ea5_77876fdaa969" hidden="1">#REF!</definedName>
    <definedName name="TB4beb0a7d_f9dd_41e0_ac0f_e8852db454e9" hidden="1">#REF!</definedName>
    <definedName name="TB4bee2ffa_2ffe_4f0d_a42e_bf961c3ef027" hidden="1">#REF!</definedName>
    <definedName name="TB4c018b2e_c991_4063_8184_8e213b0af7ca" hidden="1">#REF!</definedName>
    <definedName name="TB4c1aeeca_c547_4396_a63b_49772ca3d8f0" hidden="1">#REF!</definedName>
    <definedName name="TB4c235e58_02d4_4de8_9a32_39ede8fd80bc" hidden="1">#REF!</definedName>
    <definedName name="TB4c391553_1c67_4c1b_902a_a9e7dc33e0ed" hidden="1">#REF!</definedName>
    <definedName name="TB4c3aa7d8_c5ef_4724_ba8c_e7cd318f50d9" hidden="1">#REF!</definedName>
    <definedName name="TB4c43026a_b8b4_4452_bc93_f49b2d7a23e5" hidden="1">#REF!</definedName>
    <definedName name="TB4c470b8d_dd5c_4eb0_b0bc_38d603ae0d15" hidden="1">#REF!</definedName>
    <definedName name="TB4c567b5e_88f7_4995_b1a2_f58cdad2122a" hidden="1">#REF!</definedName>
    <definedName name="TB4c62bd2f_ab40_4b24_8985_03d4348d97c9" hidden="1">#REF!</definedName>
    <definedName name="TB4c726877_e597_4a4c_97c5_52bf071c0c51" hidden="1">#REF!</definedName>
    <definedName name="TB4c7e0321_fb95_4ac7_a92e_f294f15d8c30" hidden="1">#REF!</definedName>
    <definedName name="TB4c9dd3ab_b6f2_42a3_8e17_f0f5e195b284" hidden="1">#REF!</definedName>
    <definedName name="TB4ca26749_6387_4470_929b_bbfdb0e2ca9e" hidden="1">#REF!</definedName>
    <definedName name="TB4ca732fe_f139_46d6_a2ae_c5bb78a3ff6b" hidden="1">#REF!</definedName>
    <definedName name="TB4cbb699a_1695_4aa8_8ab6_5f8e18e22a69" hidden="1">#REF!</definedName>
    <definedName name="TB4cbe332c_a6e3_4f3a_842a_c508cd1f8204" hidden="1">#REF!</definedName>
    <definedName name="TB4cc4ccd9_030b_45fa_8da7_17d5e58cee62" hidden="1">#REF!</definedName>
    <definedName name="TB4cc59d9a_072b_4cb5_a18d_a69a3ccab633" hidden="1">#REF!</definedName>
    <definedName name="TB4ccd26f0_db8a_444d_83fc_172cc091ba21" hidden="1">#REF!</definedName>
    <definedName name="TB4cd6b15c_fcb1_4923_8b0b_d27177ad6653" hidden="1">#REF!</definedName>
    <definedName name="TB4ce2a819_581f_4b29_8595_9eef89b4db1a" hidden="1">#REF!</definedName>
    <definedName name="TB4ce66631_af2a_46de_b986_82012e1ec53a" hidden="1">#REF!</definedName>
    <definedName name="TB4cebc1fa_3b7d_4c3b_892d_b9e8ffc92fcf" hidden="1">#REF!</definedName>
    <definedName name="TB4cf5dbf7_0a90_4ba3_a585_665c0ed889d8" hidden="1">#REF!</definedName>
    <definedName name="TB4d0225e5_d4c3_4335_b6f5_00c85eee2841" hidden="1">#REF!</definedName>
    <definedName name="TB4d06edd7_7652_4d00_a3d8_d3b5b6ac125a" hidden="1">#REF!</definedName>
    <definedName name="TB4d073de4_c70f_4302_af78_6cbbe9b52275" hidden="1">#REF!</definedName>
    <definedName name="TB4d1299c9_c761_4e01_8596_abad4dcdee64" hidden="1">#REF!</definedName>
    <definedName name="TB4d21d44d_7238_4394_bb7c_85d5552adabe" hidden="1">#REF!</definedName>
    <definedName name="TB4d38b826_8993_4fe7_847b_dfd0db04e6f6" hidden="1">#REF!</definedName>
    <definedName name="TB4d423e72_6bb8_4077_9512_9fe21ca82c85" hidden="1">#REF!</definedName>
    <definedName name="TB4d4d9bbb_3d3f_4c05_a15c_99f881731dd8" hidden="1">#REF!</definedName>
    <definedName name="TB4d5222e0_1b10_4051_8437_31fabe9b045e" hidden="1">#REF!</definedName>
    <definedName name="TB4d5ed33d_18f3_414f_aaa7_41a4a9cea23a" hidden="1">#REF!</definedName>
    <definedName name="TB4d6987c3_1173_4545_a9f2_e3ce4e142280" hidden="1">#REF!</definedName>
    <definedName name="TB4d73200b_a62b_49f8_8da9_58e10b17338d" hidden="1">#REF!</definedName>
    <definedName name="TB4d911332_1db7_4219_be47_86953a594aec" hidden="1">#REF!</definedName>
    <definedName name="TB4d92cf46_fa82_4b0f_a7ef_382f801bfd03" hidden="1">#REF!</definedName>
    <definedName name="TB4d935e27_d256_4b18_8caa_ff8f44c313b0" hidden="1">#REF!</definedName>
    <definedName name="TB4d998ec0_2a04_4f4d_a7b3_3c0f08111c41" hidden="1">#REF!</definedName>
    <definedName name="TB4d9dab4d_ff70_4106_9011_0ef018e306aa" hidden="1">#REF!</definedName>
    <definedName name="TB4da97835_ba35_4119_a07f_22e3f09c53cb" hidden="1">#REF!</definedName>
    <definedName name="TB4dbfdc96_4cdd_4ccf_9b5e_c1fc9749880d" hidden="1">#REF!</definedName>
    <definedName name="TB4dc51588_e147_4939_9179_ff139ad418b3" hidden="1">#REF!</definedName>
    <definedName name="TB4de19563_4908_4a30_bf34_3e3d3fc509fb" hidden="1">#REF!</definedName>
    <definedName name="TB4de81def_4ba2_4f60_8ade_beae56efa539" hidden="1">#REF!</definedName>
    <definedName name="TB4de91d49_b9d1_4588_83a8_f8a1ae4fc8ec" hidden="1">#REF!</definedName>
    <definedName name="TB4dea3e28_1ca7_4a17_b864_620b35359c09" hidden="1">#REF!</definedName>
    <definedName name="TB4dedfb06_c40d_4689_ae62_882248b5fb12" hidden="1">#REF!</definedName>
    <definedName name="TB4df40106_30de_4f21_98b1_3c6f67383952" hidden="1">#REF!</definedName>
    <definedName name="TB4df4284f_2b66_4f76_876c_f5f843ac1b1d" hidden="1">#REF!</definedName>
    <definedName name="TB4e03c75f_5eb9_475b_81e0_3c0856025462" hidden="1">#REF!</definedName>
    <definedName name="TB4e087d34_f1b1_40eb_9f3b_044bba14bae5" hidden="1">#REF!</definedName>
    <definedName name="TB4e175b25_f3d7_4d4b_a089_ec71e8bcfdeb" hidden="1">#REF!</definedName>
    <definedName name="TB4e406dc8_caa9_4a04_a4d9_c2a10f2a8665" hidden="1">#REF!</definedName>
    <definedName name="TB4e469d3e_facc_4271_ad0a_1870a66b08fd" hidden="1">#REF!</definedName>
    <definedName name="TB4e48e3f6_7fce_4bfd_9089_3732f08ee2ab" hidden="1">#REF!</definedName>
    <definedName name="TB4e4fbf0b_a45c_4ead_9c61_4eddab0241b0" hidden="1">#REF!</definedName>
    <definedName name="TB4e590c7f_75e0_4809_a5ab_077f0c312563" hidden="1">#REF!</definedName>
    <definedName name="TB4e5db2c0_414d_4407_b12c_259cd133c9d9" hidden="1">#REF!</definedName>
    <definedName name="TB4e613520_66e0_426b_b821_97dfdd7ff00a" hidden="1">#REF!</definedName>
    <definedName name="TB4e66b7b6_0a26_4f63_9ad4_9134ced18907" hidden="1">#REF!</definedName>
    <definedName name="TB4e6beb8e_b2b9_44b5_9fe7_b12d61d14490" hidden="1">#REF!</definedName>
    <definedName name="TB4e6fd806_321d_4a5a_a06c_3ac2f3224146" hidden="1">#REF!</definedName>
    <definedName name="TB4e710e6f_2b01_40c2_a53d_3932aa060f2f" hidden="1">#REF!</definedName>
    <definedName name="TB4e84566a_90b1_4146_9432_c3441e21d1a8" hidden="1">#REF!</definedName>
    <definedName name="TB4e89a458_df50_454c_a948_4cd80600b20b" hidden="1">#REF!</definedName>
    <definedName name="TB4e8bac23_5c25_4d06_86bc_e6870bf4562e" hidden="1">#REF!</definedName>
    <definedName name="TB4e971d3d_3498_4718_8cca_e8bfe517cdd9" hidden="1">#REF!</definedName>
    <definedName name="TB4e998f7f_4732_4cdc_8b0d_0f836f972db2" hidden="1">#REF!</definedName>
    <definedName name="TB4e9e0a14_e8d3_4d1e_a112_ff31bf4f10a6" hidden="1">#REF!</definedName>
    <definedName name="TB4ea1d3f0_2a19_43be_9c69_d744f2ad627c" hidden="1">#REF!</definedName>
    <definedName name="TB4ea6ed56_7ba6_4ba8_aebb_1a02372146f0" hidden="1">#REF!</definedName>
    <definedName name="TB4eab45ad_817f_497c_883d_c28c307653b2" hidden="1">#REF!</definedName>
    <definedName name="TB4eb2ab96_e753_4756_ada9_0dfc715cefed" hidden="1">#REF!</definedName>
    <definedName name="TB4eb8cec2_7282_40e9_8883_a97ac0216237" hidden="1">#REF!</definedName>
    <definedName name="TB4ebc3428_3c8e_4971_9007_3e55284c4aa6" hidden="1">#REF!</definedName>
    <definedName name="TB4ec47201_e01c_47bc_b7a7_0d4594bf5f48" hidden="1">#REF!</definedName>
    <definedName name="TB4ed2ca4b_776f_4745_a147_3b44b2c70e5c" hidden="1">#REF!</definedName>
    <definedName name="TB4ed4993c_6d23_4cc6_9709_a08bc766443f" hidden="1">#REF!</definedName>
    <definedName name="TB4ee28661_e3f0_460e_bfd4_9239eb62b765" hidden="1">#REF!</definedName>
    <definedName name="TB4eed1875_bf86_480f_a381_f9af1d61dfa5" hidden="1">#REF!</definedName>
    <definedName name="TB4eeebd0a_a16e_42d6_a415_ac4df567c487" hidden="1">#REF!</definedName>
    <definedName name="TB4f0300c4_f5ec_4f2f_a3d3_eaa6bdc05a1d" hidden="1">#REF!</definedName>
    <definedName name="TB4f0675f3_b040_4368_b482_23b698bbbfae" hidden="1">#REF!</definedName>
    <definedName name="TB4f06fdaa_eaa3_4381_a6a7_58d4732355e4" hidden="1">#REF!</definedName>
    <definedName name="TB4f08307b_177a_443c_943a_f170b6620c27" hidden="1">#REF!</definedName>
    <definedName name="TB4f0dfeae_ad89_4fba_9a4d_471a87932e02" hidden="1">#REF!</definedName>
    <definedName name="TB4f188bc5_6c0c_48d8_b6e7_6ddd887fa3d4" hidden="1">#REF!</definedName>
    <definedName name="TB4f1c6fbc_3c4c_487a_8794_e4848938cbe7" hidden="1">#REF!</definedName>
    <definedName name="TB4f1cec47_4489_4815_969f_8cef1facfe3c" hidden="1">#REF!</definedName>
    <definedName name="TB4f290660_5def_4760_a96b_ea3c7c93f7a4" hidden="1">#REF!</definedName>
    <definedName name="TB4f293052_66a9_4886_949c_9f63e75ad333" hidden="1">#REF!</definedName>
    <definedName name="TB4f30c382_7794_4437_b695_75d5fbda66a3" hidden="1">#REF!</definedName>
    <definedName name="TB4f3a7a1d_05c4_41e6_86ed_d8b44797c510" hidden="1">#REF!</definedName>
    <definedName name="TB4f63a65d_f544_4c5b_a364_5017b4905923" hidden="1">#REF!</definedName>
    <definedName name="TB4f718247_99f7_495d_854e_041fc48f03cd" hidden="1">#REF!</definedName>
    <definedName name="TB4f72110a_0e85_4919_b5fd_2075975eef0b" hidden="1">#REF!</definedName>
    <definedName name="TB4f9aa740_c4cc_4d1f_8afb_8cafedb95537" hidden="1">#REF!</definedName>
    <definedName name="TB4f9c0ec6_a956_4b6d_ae8b_07ad6243e1f2" hidden="1">#REF!</definedName>
    <definedName name="TB4f9c3570_ec5a_46e8_a5df_ed8998b1e6d8" hidden="1">#REF!</definedName>
    <definedName name="TB4faa708e_e67b_4a67_8b51_3447b44e6da1" hidden="1">#REF!</definedName>
    <definedName name="TB4faa834e_8cfa_4010_961e_7c6d52cad25b" hidden="1">#REF!</definedName>
    <definedName name="TB4fb36592_3d35_4648_a4fa_572637390bd9" hidden="1">#REF!</definedName>
    <definedName name="TB4fc623a8_0ba5_407c_b99d_923a8afa5a6e" hidden="1">#REF!</definedName>
    <definedName name="TB4ff10591_d340_4ace_b7f4_cd9d0c7e5f0a" hidden="1">#REF!</definedName>
    <definedName name="TB4ff4b5be_58c1_409c_9d7f_427aa56bff5a" hidden="1">#REF!</definedName>
    <definedName name="TB5000ad98_d6b7_488c_b753_8dbfe6b0ae77" hidden="1">#REF!</definedName>
    <definedName name="TB50067670_2cce_4fec_a7b6_b2ce9a1b1207" hidden="1">#REF!</definedName>
    <definedName name="TB500ed2ab_2b7b_4819_8ba9_dee1b7059006" hidden="1">#REF!</definedName>
    <definedName name="TB501534a7_c124_45d8_82fb_c9ac4e2ab9f2" hidden="1">#REF!</definedName>
    <definedName name="TB50167914_9df5_4f62_872d_292e09d3c570" hidden="1">#REF!</definedName>
    <definedName name="TB5018fd22_fe11_48b4_834d_0096acb7e28e" hidden="1">#REF!</definedName>
    <definedName name="TB5021e43a_1600_42ac_ba7c_294c7108edd4" hidden="1">#REF!</definedName>
    <definedName name="TB502682d8_4a6b_4fa4_a2f2_ea74a10a8605" hidden="1">#REF!</definedName>
    <definedName name="TB502a5efa_6251_402d_82e5_5063948df7a6" hidden="1">#REF!</definedName>
    <definedName name="TB5034f978_3181_4e99_a68d_478c2fd18941" hidden="1">#REF!</definedName>
    <definedName name="TB503e63dc_c91e_4cfa_b049_6567027c31bf" hidden="1">#REF!</definedName>
    <definedName name="TB50413346_7ef4_4506_be47_53119c7d11c4" hidden="1">#REF!</definedName>
    <definedName name="TB50423d89_c144_4e18_b77f_168c1dd1f71e" hidden="1">#REF!</definedName>
    <definedName name="TB504873d6_1c27_4f2d_a081_f27532734d3b" hidden="1">#REF!</definedName>
    <definedName name="TB5048ab21_2e18_46dc_84dd_450eb3e0945b" hidden="1">#REF!</definedName>
    <definedName name="TB505233f3_fb99_499e_9d6a_5465ac2722b2" hidden="1">#REF!</definedName>
    <definedName name="TB50523423_89bd_4bff_b14a_31d76252efad" hidden="1">#REF!</definedName>
    <definedName name="TB50541283_dec6_432c_b08c_f3ec4bc10ede" hidden="1">#REF!</definedName>
    <definedName name="TB507b5cc3_3dc0_44c9_bbf0_3ed82c0b8833" hidden="1">#REF!</definedName>
    <definedName name="TB50841f4b_5f74_4d8d_bdb5_77c16eb50243" hidden="1">#REF!</definedName>
    <definedName name="TB5084b6a4_6540_49c8_b6ed_8d5b333b3244" hidden="1">#REF!</definedName>
    <definedName name="TB5092dfa5_2f67_4070_ab75_b75686d13bc9" hidden="1">#REF!</definedName>
    <definedName name="TB5095f8e6_f57a_4eb0_a4e8_2898242487ae" hidden="1">#REF!</definedName>
    <definedName name="TB50964210_9e22_4049_bd0d_5b309c23be41" hidden="1">#REF!</definedName>
    <definedName name="TB509b147a_0803_4097_9a59_296a257e3743" hidden="1">#REF!</definedName>
    <definedName name="TB50a32357_5a96_4583_8de9_ddcdcdb470fe" hidden="1">#REF!</definedName>
    <definedName name="TB50b49185_6d46_46e5_a93c_d32623efd290" hidden="1">#REF!</definedName>
    <definedName name="TB50bd02bf_d42c_48aa_8695_558f58a41f25" hidden="1">#REF!</definedName>
    <definedName name="TB50bee235_370a_494f_854e_a5cda77e55b1" hidden="1">#REF!</definedName>
    <definedName name="TB50d00401_d9a5_4278_b19c_a91a45723cf4" hidden="1">#REF!</definedName>
    <definedName name="TB50d70b30_f36e_4ee5_bc91_10f0982abd34" hidden="1">#REF!</definedName>
    <definedName name="TB50d8964f_4df5_4c86_8523_bc4914e66125" hidden="1">#REF!</definedName>
    <definedName name="TB50e9138a_60b4_4a9a_9467_085d733d59c6" hidden="1">#REF!</definedName>
    <definedName name="TB50ef031e_b0b7_4143_be69_419a219d1009" hidden="1">#REF!</definedName>
    <definedName name="TB50f199ff_523e_4650_b985_7bfa5982a54e" hidden="1">#REF!</definedName>
    <definedName name="TB50fbdc2d_bf7f_42d6_a537_cc3e9d84613d" hidden="1">#REF!</definedName>
    <definedName name="TB50fd7ad1_a1cb_43bd_937c_10d5f21132f7" hidden="1">#REF!</definedName>
    <definedName name="TB50ff1f5f_cb0b_4195_aaff_a4ad1e72a0ca" hidden="1">#REF!</definedName>
    <definedName name="TB51047d6b_a824_4316_a5ac_0bd20927ee70" hidden="1">#REF!</definedName>
    <definedName name="TB51073049_05c0_46d1_8870_dd7962f46200" hidden="1">#REF!</definedName>
    <definedName name="TB5107a394_f45b_4e71_81cf_0e5e8a1b499a" hidden="1">#REF!</definedName>
    <definedName name="TB51134b5b_fe12_470e_a4cf_a790100bfb58" hidden="1">#REF!</definedName>
    <definedName name="TB5118ff31_5e81_47b8_9f63_0b38f6c23ae0" hidden="1">#REF!</definedName>
    <definedName name="TB511bd8b8_5e6b_4dbf_924a_8f40bd9616f0" hidden="1">#REF!</definedName>
    <definedName name="TB513e6c06_b9e4_4789_b30c_a5eb068e1687" hidden="1">#REF!</definedName>
    <definedName name="TB513f9b6c_56cb_4d8a_b0e0_aec4480ddbda" hidden="1">#REF!</definedName>
    <definedName name="TB51480cb9_8c5e_4514_9817_ed3d4aab56d3" hidden="1">#REF!</definedName>
    <definedName name="TB5156088e_45b2_4bfc_bcce_8473a052fa73" hidden="1">#REF!</definedName>
    <definedName name="TB51586301_9d29_47ff_a696_14f4c8ab758b" hidden="1">#REF!</definedName>
    <definedName name="TB515953ab_26c1_49c9_bd5e_ee8ee5e25cb2" hidden="1">#REF!</definedName>
    <definedName name="TB5159ad51_9b45_40eb_9ba2_b4065e91f893" hidden="1">#REF!</definedName>
    <definedName name="TB516c3292_9d5d_42aa_a4fd_fe19fc2f43e4" hidden="1">#REF!</definedName>
    <definedName name="TB516f8dc1_84bc_4ad2_a88a_dbc580d1c5c0" hidden="1">#REF!</definedName>
    <definedName name="TB51743919_db75_4316_a552_c4ea75731821" hidden="1">#REF!</definedName>
    <definedName name="TB51869b7a_ac1d_445c_b525_703c80405a5a" hidden="1">#REF!</definedName>
    <definedName name="TB518b929a_ec17_4e3e_9e6d_6d4016bdec77" hidden="1">#REF!</definedName>
    <definedName name="TB51958065_5beb_4caf_8fec_581d30d65aee" hidden="1">#REF!</definedName>
    <definedName name="TB51968d13_3c2c_44fe_ba21_5cec33b0d765" hidden="1">#REF!</definedName>
    <definedName name="TB5199a225_3d01_4b57_9fdb_1d886e7bb5ac" hidden="1">#REF!</definedName>
    <definedName name="TB5199a9ad_a3b0_45ef_8d33_cdf4b9dfc96e" hidden="1">#REF!</definedName>
    <definedName name="TB51a33489_0343_4852_a843_f94d86957ef1" hidden="1">#REF!</definedName>
    <definedName name="TB51add21a_f605_4778_975d_2f06cff21dae" hidden="1">#REF!</definedName>
    <definedName name="TB51b8c202_634c_48fc_9236_4ddf2dc1df48" hidden="1">#REF!</definedName>
    <definedName name="TB51bb880b_e410_4a07_a199_e5e77ee0b5b8" hidden="1">#REF!</definedName>
    <definedName name="TB51d338fb_0a41_4e61_b5dd_c93c6b48d2ed" hidden="1">#REF!</definedName>
    <definedName name="TB51d5eb7c_ed36_4174_b62d_089706694a45" hidden="1">#REF!</definedName>
    <definedName name="TB51daa7fe_2ac2_485c_8d19_27379424d3fd" hidden="1">#REF!</definedName>
    <definedName name="TB51dbba66_653d_4e6e_805c_2d8601fdadc3" hidden="1">#REF!</definedName>
    <definedName name="TB51dbe9d8_a4b0_4eb5_b874_a3a00f6185f4" hidden="1">#REF!</definedName>
    <definedName name="TB51e88f8f_49fe_459b_a99a_8b2dcd5a2057" hidden="1">#REF!</definedName>
    <definedName name="TB51fe9871_c470_4037_89fe_29033da27e58" hidden="1">#REF!</definedName>
    <definedName name="TB521126bd_cb5f_4d98_b4ad_11b419343366" hidden="1">#REF!</definedName>
    <definedName name="TB522072e9_9708_493c_a5b8_b26959297574" hidden="1">#REF!</definedName>
    <definedName name="TB5220c50d_c9eb_4ee7_ac0c_5ae4b99e0657" hidden="1">#REF!</definedName>
    <definedName name="TB522a6b85_4d2a_403c_909f_e6b4abd4a3a9" hidden="1">#REF!</definedName>
    <definedName name="TB522ba60a_f045_457a_bdc3_93c9a842d817" hidden="1">#REF!</definedName>
    <definedName name="TB523e3dfb_71df_4e2a_8baf_8bb5c9aff27a" hidden="1">#REF!</definedName>
    <definedName name="TB52444f61_bfb3_4015_800c_7720a5b33abb" hidden="1">#REF!</definedName>
    <definedName name="TB525154b8_dae7_4daf_878a_6511ee16aeb3" hidden="1">#REF!</definedName>
    <definedName name="TB52658b38_269d_4ab9_9f46_1194873f9e33" hidden="1">#REF!</definedName>
    <definedName name="TB526ced02_fa7e_44e5_b59e_9ba98260dc39" hidden="1">#REF!</definedName>
    <definedName name="TB52801b1d_1e62_496c_b863_5fdf92069345" hidden="1">#REF!</definedName>
    <definedName name="TB528e282d_8bf1_495b_abc0_6e769613cc37" hidden="1">#REF!</definedName>
    <definedName name="TB52906f30_1d57_4434_bacf_8655fa911d65" hidden="1">#REF!</definedName>
    <definedName name="TB52949119_9f1f_4e5f_8eba_d0d0e9fdcdad" hidden="1">#REF!</definedName>
    <definedName name="TB52a3df8f_cfc1_4717_ab24_410ce4446bb1" hidden="1">#REF!</definedName>
    <definedName name="TB52a44547_4a74_4113_a199_59234a34a71b" hidden="1">#REF!</definedName>
    <definedName name="TB52c992a4_a56b_454c_a5b1_4d2db1b91795" hidden="1">#REF!</definedName>
    <definedName name="TB52d80a0e_5269_41d6_b56f_34ffc6428e6b" hidden="1">#REF!</definedName>
    <definedName name="TB530a0fd2_267f_4de3_af5a_20c1cd44d754" hidden="1">#REF!</definedName>
    <definedName name="TB530b2642_5dac_409b_9e9d_11352787fa97" hidden="1">#REF!</definedName>
    <definedName name="TB5334159b_ac15_44c2_bdea_e40e4b9e5eff" hidden="1">#REF!</definedName>
    <definedName name="TB5346b840_6fd5_4b1b_bb01_994d6d08ad72" hidden="1">#REF!</definedName>
    <definedName name="TB5346fab8_6db1_4179_8be9_af45802431a0" hidden="1">#REF!</definedName>
    <definedName name="TB534e1d33_9ba2_414b_9914_255d57f209dd" hidden="1">#REF!</definedName>
    <definedName name="TB53597a64_a8cf_4f4c_82f1_3a2f4c4a8059" hidden="1">#REF!</definedName>
    <definedName name="TB535bbc0b_b161_46f1_afa2_12cadd616fed" hidden="1">#REF!</definedName>
    <definedName name="TB535ce9c0_d43e_41de_8834_127b558fa8be" hidden="1">#REF!</definedName>
    <definedName name="TB535da0b4_c69a_4407_b93e_3e96a5b0aa72" hidden="1">#REF!</definedName>
    <definedName name="TB535e6cd1_e7bb_4c5c_89bc_cc1a1413def3" hidden="1">#REF!</definedName>
    <definedName name="TB5369628b_0f93_49f7_b5a9_97d6b4b79a0a" hidden="1">#REF!</definedName>
    <definedName name="TB536f5afc_cb21_4647_81d2_1e93d4977423" hidden="1">#REF!</definedName>
    <definedName name="TB538ab83e_bbd3_4187_a3da_faf0bc22d58d" hidden="1">#REF!</definedName>
    <definedName name="TB538ee186_ed33_4b8c_89e7_661b9a76c40b" hidden="1">#REF!</definedName>
    <definedName name="TB53987132_fade_4107_ad67_1ad3a32737a7" hidden="1">#REF!</definedName>
    <definedName name="TB539ac4df_288a_4ded_b50e_c35207725e4f" hidden="1">#REF!</definedName>
    <definedName name="TB539e1fb9_a2a9_4680_80e2_52c8541b38c2" hidden="1">#REF!</definedName>
    <definedName name="TB53a31005_ea44_40e2_9c14_1d1b55afd228" hidden="1">#REF!</definedName>
    <definedName name="TB53a3a9a9_71bb_4fdb_9826_834e8c589ab7" hidden="1">#REF!</definedName>
    <definedName name="TB53ae6a10_3888_4ce3_b588_63390676c25b" hidden="1">#REF!</definedName>
    <definedName name="TB53bbe46f_8f17_48b0_97ed_6b8ce2c33bc2" hidden="1">#REF!</definedName>
    <definedName name="TB53bd83d6_b20d_49dc_8428_7ac889dd50a8" hidden="1">#REF!</definedName>
    <definedName name="TB53cf0e66_2d28_4a2e_a6bd_b4a376d197ca" hidden="1">#REF!</definedName>
    <definedName name="TB53d24fca_8bf0_4a8f_9124_71d21fbbb8e4" hidden="1">#REF!</definedName>
    <definedName name="TB53d556a0_35aa_4ba8_8dc0_79d1a85a0a3c" hidden="1">#REF!</definedName>
    <definedName name="TB53d860f8_634a_41aa_915d_fb4bc5f87ecb" hidden="1">#REF!</definedName>
    <definedName name="TB53e64d43_b66b_46e9_83c3_8c83bd02d2d8" hidden="1">#REF!</definedName>
    <definedName name="TB53f852b6_f803_49a5_a4a0_033c3ed96aea" hidden="1">#REF!</definedName>
    <definedName name="TB5400ac0d_e380_4069_b0fa_adade6ae7928" hidden="1">#REF!</definedName>
    <definedName name="TB5404ad4d_55cf_4d3b_a257_649151b823d6" hidden="1">#REF!</definedName>
    <definedName name="TB540690be_299f_4537_9a0c_ced90ff28a83" hidden="1">#REF!</definedName>
    <definedName name="TB5408a15c_be28_4106_b642_ab1e97a618ed" hidden="1">#REF!</definedName>
    <definedName name="TB541e8833_8dab_4316_8ef1_a576075c2f74" hidden="1">#REF!</definedName>
    <definedName name="TB543852ca_e29d_430f_b316_5287ee85b49b" hidden="1">#REF!</definedName>
    <definedName name="TB5447f36c_9cf8_4de4_b09d_85b58cd4ae1a" hidden="1">#REF!</definedName>
    <definedName name="TB54528d2e_c9b9_40de_ade8_371400c1ecc6" hidden="1">#REF!</definedName>
    <definedName name="TB545bdf60_07c7_45f7_b4ed_7d6709aea9d4" hidden="1">#REF!</definedName>
    <definedName name="TB546fd3f4_def9_4a11_8c0f_989e5c3c51d5" hidden="1">#REF!</definedName>
    <definedName name="TB5476bde4_55c2_4a96_a943_00ae8aeb03e1" hidden="1">#REF!</definedName>
    <definedName name="TB54782ccf_b3fd_47d2_a18b_679ad3f7599e" hidden="1">#REF!</definedName>
    <definedName name="TB5483537b_3565_4910_9f4c_65c46f91667e" hidden="1">#REF!</definedName>
    <definedName name="TB5488ae67_578a_4b69_9dc3_eec69435c06c" hidden="1">#REF!</definedName>
    <definedName name="TB548b5fd6_8941_4ec4_8f28_4b073ba20349" hidden="1">#REF!</definedName>
    <definedName name="TB549b80a2_3e21_43d2_b399_91ae260b08b1" hidden="1">#REF!</definedName>
    <definedName name="TB549d55f3_4c50_4cc4_971b_594390b727fc" hidden="1">#REF!</definedName>
    <definedName name="TB54bf0068_ca5d_43f7_9903_be40d941a55e" hidden="1">#REF!</definedName>
    <definedName name="TB54cbcae0_1382_4c57_a288_23557ca41aa2" hidden="1">#REF!</definedName>
    <definedName name="TB54e31934_3732_472a_8a9f_f1bae7057069" hidden="1">#REF!</definedName>
    <definedName name="TB54e61723_529d_40ff_900d_4b37657d6c8f" hidden="1">#REF!</definedName>
    <definedName name="TB54e8a0ba_7604_474f_8eb5_070ce45392ef" hidden="1">#REF!</definedName>
    <definedName name="TB54ec0003_f5e3_4469_9675_8ac3a55704e0" hidden="1">#REF!</definedName>
    <definedName name="TB54ed6bb3_77d3_4a82_8176_51ccd0843c1e" hidden="1">#REF!</definedName>
    <definedName name="TB54ef91b2_2a27_4503_a726_67467b79da3b" hidden="1">#REF!</definedName>
    <definedName name="TB54fd0465_16bc_4b2e_b798_f7c21f928a14" hidden="1">#REF!</definedName>
    <definedName name="TB55048914_65c2_47ed_bf2d_823efebc2b79" hidden="1">#REF!</definedName>
    <definedName name="TB55053647_ecff_49db_8a5a_f6a4752ae0b7" hidden="1">#REF!</definedName>
    <definedName name="TB5519ed1c_6b6e_498f_8f08_c2f505f372a5" hidden="1">#REF!</definedName>
    <definedName name="TB551e0c2d_e1a3_481a_923a_839b25a7976b" hidden="1">#REF!</definedName>
    <definedName name="TB55218d12_97f5_46d4_977f_aa074499f5da" hidden="1">#REF!</definedName>
    <definedName name="TB55262b9a_c245_4bc0_a9b2_20ab35f92650" hidden="1">#REF!</definedName>
    <definedName name="TB552985bc_40a1_43ef_a40a_f949ac40de72" hidden="1">#REF!</definedName>
    <definedName name="TB5531305f_c5bb_41f7_97a3_1d0610d2beff" hidden="1">#REF!</definedName>
    <definedName name="TB553fa56e_9a73_48d9_b360_f9b61adc94f2" hidden="1">#REF!</definedName>
    <definedName name="TB5544d48a_1f97_4d6a_a0cb_0eff0a2a22dd" hidden="1">#REF!</definedName>
    <definedName name="TB55489696_db84_43d3_8f82_de07647728a3" hidden="1">#REF!</definedName>
    <definedName name="TB5556c035_2c9e_460e_b7ac_f9a554082d35" hidden="1">#REF!</definedName>
    <definedName name="TB5558d55f_ab72_4bfe_af3f_1680a0866ff4" hidden="1">#REF!</definedName>
    <definedName name="TB55721205_ab7f_4ab3_b8ee_a88d44f19afb" hidden="1">#REF!</definedName>
    <definedName name="TB557aeb9f_fbb2_4e59_88a1_fb43e9224880" hidden="1">#REF!</definedName>
    <definedName name="TB557b08ce_d492_4706_9941_26e2abf7d781" hidden="1">#REF!</definedName>
    <definedName name="TB5589f0b4_3b64_4b3e_9cc4_083a5435e33d" hidden="1">#REF!</definedName>
    <definedName name="TB558a6dfc_9ed0_4856_88be_57402312cb9d" hidden="1">#REF!</definedName>
    <definedName name="TB558b1736_23b4_41c7_a82c_b161fa9b8857" hidden="1">#REF!</definedName>
    <definedName name="TB55969299_93c5_4e91_a8b9_54ec6b434925" hidden="1">#REF!</definedName>
    <definedName name="TB559ef408_cd5c_48a4_9f83_c8459925db12" hidden="1">#REF!</definedName>
    <definedName name="TB55b500f8_9999_45cc_8de5_e772fcdb7d46" hidden="1">#REF!</definedName>
    <definedName name="TB55b6900b_e7ca_47f3_90c8_44e7a835e44a" hidden="1">#REF!</definedName>
    <definedName name="TB55b95505_54c8_4583_8472_09d0aae7001c" hidden="1">#REF!</definedName>
    <definedName name="TB55bf7deb_10e6_40ff_9321_b30f5bc38fd7" hidden="1">#REF!</definedName>
    <definedName name="TB55bfecdd_e376_4ec6_9f7f_16d07c68e09d" hidden="1">#REF!</definedName>
    <definedName name="TB55cd574a_91ea_4867_9d1f_cc8794c044ee" hidden="1">#REF!</definedName>
    <definedName name="TB55cf839d_7980_4698_9d20_e1641187f15a" hidden="1">#REF!</definedName>
    <definedName name="TB55d71da3_b150_4b70_9cc8_3b733a66c235" hidden="1">#REF!</definedName>
    <definedName name="TB55dba268_67cb_4b15_b384_e9e8a36902d8" hidden="1">#REF!</definedName>
    <definedName name="TB55f624d5_4856_41e1_b79a_8bb70fecb0da" hidden="1">#REF!</definedName>
    <definedName name="TB55fcfd37_8e31_43cf_98e3_9dda934377e8" hidden="1">#REF!</definedName>
    <definedName name="TB56063a87_13f5_4b7d_90a3_2fe241bc3878" hidden="1">#REF!</definedName>
    <definedName name="TB56126701_c758_4bf2_be09_61a059e090a1" hidden="1">#REF!</definedName>
    <definedName name="TB5614f3b3_403a_4d5a_95b1_5e78190d4a2c" hidden="1">#REF!</definedName>
    <definedName name="TB56278643_1967_4451_beea_9542b8e9ccd3" hidden="1">#REF!</definedName>
    <definedName name="TB562a12a6_28fd_4424_a6c5_b2abb0644eb3" hidden="1">#REF!</definedName>
    <definedName name="TB562f0be6_cc09_4996_8d80_bedd0a05e1b2" hidden="1">#REF!</definedName>
    <definedName name="TB5633fa7f_4024_400e_8e38_791ed856d729" hidden="1">#REF!</definedName>
    <definedName name="TB563aa9b9_9bc4_46cd_b47f_e6c652564ff8" hidden="1">#REF!</definedName>
    <definedName name="TB563f249f_87e3_4dac_9139_9482665334f6" hidden="1">#REF!</definedName>
    <definedName name="TB5642d14b_e5f0_4889_8b48_6a3425e752d8" hidden="1">#REF!</definedName>
    <definedName name="TB5645a023_214a_467c_ba59_49b3acbad41b" hidden="1">#REF!</definedName>
    <definedName name="TB5647739b_a937_4e2c_aa2a_773fa906c79e" hidden="1">#REF!</definedName>
    <definedName name="TB56649de4_a4f1_4776_b361_b7506bd11a02" hidden="1">#REF!</definedName>
    <definedName name="TB5666bed6_b13d_469b_94a4_a6cda7bd2246" hidden="1">#REF!</definedName>
    <definedName name="TB566d060f_91d1_4d81_a085_99e84c217f8b" hidden="1">#REF!</definedName>
    <definedName name="TB566ecb0c_8c6c_49a4_98cf_235343e421ba" hidden="1">#REF!</definedName>
    <definedName name="TB567364f2_5147_4a4d_94e9_e81dc6d6c016" hidden="1">#REF!</definedName>
    <definedName name="TB567ad152_c44a_4cd3_b764_a0702b1b4e94" hidden="1">#REF!</definedName>
    <definedName name="TB5680f99a_5768_45ae_9b7d_07b8c8544821" hidden="1">#REF!</definedName>
    <definedName name="TB5683eae9_9820_4fc9_9e2d_701cad6fc7e5" hidden="1">#REF!</definedName>
    <definedName name="TB568949bd_a1e8_45f8_9843_42180874627e" hidden="1">#REF!</definedName>
    <definedName name="TB5698b10e_1347_4ad1_b9ca_2216d55041bf" hidden="1">#REF!</definedName>
    <definedName name="TB56a0b542_0614_47dd_9f2e_619ac1584ce7" hidden="1">#REF!</definedName>
    <definedName name="TB56a83999_da4b_485a_8981_aba3a6928d06" hidden="1">#REF!</definedName>
    <definedName name="TB56b646c6_3a5f_44e6_b8e8_cc45734e4287" hidden="1">#REF!</definedName>
    <definedName name="TB56b9542b_35f5_4545_b8d9_45dbdad0d0a2" hidden="1">#REF!</definedName>
    <definedName name="TB56cb5ac3_bbe9_4618_a66b_a6a56c638f55" hidden="1">#REF!</definedName>
    <definedName name="TB56cec690_7ede_4fb4_8e87_961f2ba81ec7" hidden="1">#REF!</definedName>
    <definedName name="TB56dfe973_4620_4725_986f_9aa04b85aa15" hidden="1">#REF!</definedName>
    <definedName name="TB56e0e788_a5a7_4ae7_aa4c_2b161adf3ddb" hidden="1">#REF!</definedName>
    <definedName name="TB56e79985_63ac_4ca5_b4c5_659d357d7d7a" hidden="1">#REF!</definedName>
    <definedName name="TB56f5f93a_d485_4e71_8c45_fbdb31294d53" hidden="1">#REF!</definedName>
    <definedName name="TB56fa5574_8473_457f_8d4f_a1f59cfcb434" hidden="1">#REF!</definedName>
    <definedName name="TB57010323_1a7f_4d1b_a8ca_127479a220d7" hidden="1">#REF!</definedName>
    <definedName name="TB570bda8c_0b3b_4626_91bf_780c9c20e995" hidden="1">#REF!</definedName>
    <definedName name="TB5710631d_2285_496d_94d7_fb694b91395b" hidden="1">#REF!</definedName>
    <definedName name="TB5724b232_d0b6_4b71_8e33_6d20c1bbd180" hidden="1">#REF!</definedName>
    <definedName name="TB5749b667_6e27_4fc5_8cf8_3c0836887abf" hidden="1">#REF!</definedName>
    <definedName name="TB575e7b12_15f4_4d54_b61c_f1410670be38" hidden="1">#REF!</definedName>
    <definedName name="TB575ea566_7061_49fe_ab16_8e36ffb0ac6e" hidden="1">#REF!</definedName>
    <definedName name="TB576afaa3_2286_4ebe_bea1_d259e7432ece" hidden="1">#REF!</definedName>
    <definedName name="TB57791330_1f0f_4fc4_a579_be05ebc0cb34" hidden="1">#REF!</definedName>
    <definedName name="TB578b4537_df87_4ca8_90e7_11defddead84" hidden="1">#REF!</definedName>
    <definedName name="TB579d0144_704a_4dc5_8400_62fb5a565c04" hidden="1">#REF!</definedName>
    <definedName name="TB57ade9ac_cc0b_46a8_a553_adeba6969944" hidden="1">#REF!</definedName>
    <definedName name="TB57b002cd_39d8_4c02_80b5_429cf3772b7d" hidden="1">#REF!</definedName>
    <definedName name="TB57bd051e_a104_45c6_91e1_a352be8954fb" hidden="1">#REF!</definedName>
    <definedName name="TB57c9cc7b_3cb9_464e_8b30_c5a155b0ef07" hidden="1">#REF!</definedName>
    <definedName name="TB57cc34a4_7806_4b0e_8c89_ca8a996c8cc9" hidden="1">#REF!</definedName>
    <definedName name="TB57d9e3a0_8a16_4cb1_9a75_53b663f326f2" hidden="1">#REF!</definedName>
    <definedName name="TB57e2289d_c2d0_49c8_9716_7b134bfbebba" hidden="1">#REF!</definedName>
    <definedName name="TB57e3290e_2de5_4e0d_9f6c_4bb13c93d899" hidden="1">#REF!</definedName>
    <definedName name="TB57e8c24c_d940_48c9_8a84_d1caa8790731" hidden="1">#REF!</definedName>
    <definedName name="TB57e8c8c2_b200_4dc0_9111_7033179e8438" hidden="1">#REF!</definedName>
    <definedName name="TB57f8ec46_3932_4edc_9c41_04aaaef727c5" hidden="1">#REF!</definedName>
    <definedName name="TB58028f61_9b2b_40a5_9878_13d28665ba5c" hidden="1">#REF!</definedName>
    <definedName name="TB581493e3_95a4_4655_832b_c4bb589674d0" hidden="1">#REF!</definedName>
    <definedName name="TB5814ab12_f021_441f_a644_d46ccfd10d51" hidden="1">#REF!</definedName>
    <definedName name="TB58193124_90cb_4a46_a734_2977b00eaeb2" hidden="1">#REF!</definedName>
    <definedName name="TB582085d0_8523_45bc_b74e_becf7f610ea9" hidden="1">#REF!</definedName>
    <definedName name="TB5835f9f4_b950_4b70_91cd_410be334e98a" hidden="1">#REF!</definedName>
    <definedName name="TB58363637_35eb_41ed_bd93_43b81f1b635a" hidden="1">#REF!</definedName>
    <definedName name="TB58374bf8_f3c9_4772_8e97_676c5e71f47b" hidden="1">#REF!</definedName>
    <definedName name="TB5840f4d4_f373_4771_9a64_5514f5ed61b3" hidden="1">#REF!</definedName>
    <definedName name="TB58432b00_0b6d_493a_a2aa_ba885bf841c4" hidden="1">#REF!</definedName>
    <definedName name="TB58470737_f9c4_4632_a6f6_bc691ccfd64d" hidden="1">#REF!</definedName>
    <definedName name="TB584c3e38_4dfe_4f7e_bb80_0c8e34f98e16" hidden="1">#REF!</definedName>
    <definedName name="TB5854eb53_d3a1_4f36_8108_69c1215d27a8" hidden="1">#REF!</definedName>
    <definedName name="TB586cc980_5005_4f84_b51b_1cd74676cc2c" hidden="1">#REF!</definedName>
    <definedName name="TB586f4164_0e52_439b_8365_5aa6992262ba" hidden="1">#REF!</definedName>
    <definedName name="TB58756f9f_3eae_4f59_b771_d976fb00dbb2" hidden="1">#REF!</definedName>
    <definedName name="TB587fdb76_9769_45c8_8048_d2379d9f1c63" hidden="1">#REF!</definedName>
    <definedName name="TB5885a9fb_db37_4a89_a240_999d1ad00965" hidden="1">#REF!</definedName>
    <definedName name="TB588777ef_795a_473e_b159_a6bcca0781aa" hidden="1">#REF!</definedName>
    <definedName name="TB588ed645_42bd_4384_89ec_047c235ed3ba" hidden="1">#REF!</definedName>
    <definedName name="TB589006dc_1702_44df_b1ee_84b3e2d7d52e" hidden="1">#REF!</definedName>
    <definedName name="TB589430a2_5a04_4425_9f27_92093b832476" hidden="1">#REF!</definedName>
    <definedName name="TB58af3e98_fb83_47f4_8fdf_a8d5afac30fa" hidden="1">#REF!</definedName>
    <definedName name="TB58b2c1b6_8c24_48ac_a736_f8eb924ed1b7" hidden="1">#REF!</definedName>
    <definedName name="TB58b5d505_259e_4af8_9eaa_8d27a4273b6e" hidden="1">#REF!</definedName>
    <definedName name="TB58b8aa02_9575_4519_84b8_c0dae8a55f3c" hidden="1">#REF!</definedName>
    <definedName name="TB58b8f7be_2c37_4cd4_b78d_cd963bd9b9e7" hidden="1">#REF!</definedName>
    <definedName name="TB58ba913e_1e5f_4b96_bfc4_79966ad51c4d" hidden="1">#REF!</definedName>
    <definedName name="TB58c95605_cee1_483b_bed0_904c0f6547b5" hidden="1">#REF!</definedName>
    <definedName name="TB58d888d1_fa81_42d2_9bae_9f47d5d30d05" hidden="1">#REF!</definedName>
    <definedName name="TB58e01c49_b463_41a9_a493_6a57b2c376f4" hidden="1">#REF!</definedName>
    <definedName name="TB58e6d361_0ea9_45c5_9b54_d37fa6089e68" hidden="1">#REF!</definedName>
    <definedName name="TB58e9fb27_3b47_4ef4_85f8_2708750e4440" hidden="1">#REF!</definedName>
    <definedName name="TB58ea315e_a0cb_4ccb_9583_d0f00e58eb50" hidden="1">#REF!</definedName>
    <definedName name="TB58ed5c80_c3c1_403b_be78_16696d020e96" hidden="1">#REF!</definedName>
    <definedName name="TB58f8d797_e293_4af2_8999_ef6799635143" hidden="1">#REF!</definedName>
    <definedName name="TB58fc80b8_ee73_444f_9abc_135ed1bef495" hidden="1">#REF!</definedName>
    <definedName name="TB590002f3_1e84_4333_a84a_94e9e5525e6b" hidden="1">#REF!</definedName>
    <definedName name="TB5905a758_63cb_4b0a_b3ce_764e683df77e" hidden="1">#REF!</definedName>
    <definedName name="TB5908633c_cef3_49b2_bcb6_a3788efa81cc" hidden="1">#REF!</definedName>
    <definedName name="TB59137e3e_d0a9_44ac_9d90_19e910b8f230" hidden="1">#REF!</definedName>
    <definedName name="TB5924e781_4b0b_4449_8faf_03f3b26d78db" hidden="1">#REF!</definedName>
    <definedName name="TB592ae840_f90f_4ed3_9b3c_1fa7c7376c89" hidden="1">#REF!</definedName>
    <definedName name="TB593d4da9_dcc5_418f_b59a_efeb552e037f" hidden="1">#REF!</definedName>
    <definedName name="TB593e82b5_5cc1_4193_8b20_4b250bfb3f47" hidden="1">#REF!</definedName>
    <definedName name="TB595c4a4c_f482_4ea9_aba7_9cf0ed551f55" hidden="1">#REF!</definedName>
    <definedName name="TB59621095_8732_4c55_a721_b432c067b604" hidden="1">#REF!</definedName>
    <definedName name="TB5964a8d0_97c4_41bf_ad8e_4267f1a0f421" hidden="1">#REF!</definedName>
    <definedName name="TB59657ac9_2489_4386_86ed_d74c07156265" hidden="1">#REF!</definedName>
    <definedName name="TB59787922_38d1_4802_b41e_e7893289c6d4" hidden="1">#REF!</definedName>
    <definedName name="TB59a97e26_af80_47e1_ad87_19f20bb6dabb" hidden="1">#REF!</definedName>
    <definedName name="TB59a982c5_f752_451d_a8ee_96a5a056b6d3" hidden="1">#REF!</definedName>
    <definedName name="TB59c4826b_df2d_4659_ac2a_7a23e891f67f" hidden="1">#REF!</definedName>
    <definedName name="TB59e6a68b_72d4_47d8_a9c3_16c995a0c43a" hidden="1">#REF!</definedName>
    <definedName name="TB59ee253f_1da7_493c_bb58_bcd6f5f4cf26" hidden="1">#REF!</definedName>
    <definedName name="TB59f12292_c9a5_4f05_b064_288b6cd98db5" hidden="1">#REF!</definedName>
    <definedName name="TB59f5f71d_61fa_4293_90c7_24c325448b82" hidden="1">#REF!</definedName>
    <definedName name="TB5a099035_44ab_4bc5_af8f_9725ca73c632" hidden="1">#REF!</definedName>
    <definedName name="TB5a0b9072_b2ef_4f8d_a7ef_7f88a4671cf4" hidden="1">#REF!</definedName>
    <definedName name="TB5a0c2da8_8bc3_4076_8972_a372861b25b3" hidden="1">#REF!</definedName>
    <definedName name="TB5a0c7abc_0e08_481e_80b2_18d73a67a710" hidden="1">#REF!</definedName>
    <definedName name="TB5a102c12_e139_4098_91a2_b1c7dff6592c" hidden="1">#REF!</definedName>
    <definedName name="TB5a17d81e_8493_455e_b6d0_93494546783f" hidden="1">#REF!</definedName>
    <definedName name="TB5a2b54ed_79e7_4464_bef6_ad13507588ff" hidden="1">#REF!</definedName>
    <definedName name="TB5a30b200_8014_419f_8359_c88550cbf416" hidden="1">#REF!</definedName>
    <definedName name="TB5a38c451_fbe9_469e_b191_3a059aa4cdb5" hidden="1">#REF!</definedName>
    <definedName name="TB5a3c94e8_f38f_4f9c_9c7b_6bd6d0ae94e8" hidden="1">#REF!</definedName>
    <definedName name="TB5a659411_d746_4da4_8b49_ea5ab8271c4b" hidden="1">#REF!</definedName>
    <definedName name="TB5a681475_1470_48c3_8992_9d0953b435dc" hidden="1">#REF!</definedName>
    <definedName name="TB5a6a8230_50fb_4f61_add5_43c8d1b584a9" hidden="1">#REF!</definedName>
    <definedName name="TB5a6b9a5d_043f_4bf7_9661_e9d169b009cd" hidden="1">#REF!</definedName>
    <definedName name="TB5a6c78f4_7925_421f_88d8_435cfe98567e" hidden="1">#REF!</definedName>
    <definedName name="TB5a6e7aac_9a58_4588_9692_23cbcff3739e" hidden="1">#REF!</definedName>
    <definedName name="TB5a814caf_8ac4_4b3a_8215_baa8fc3675e9" hidden="1">#REF!</definedName>
    <definedName name="TB5aa9185e_a22f_457c_9966_fe535fbdc513" hidden="1">#REF!</definedName>
    <definedName name="TB5aadacc3_3cd1_41c5_b124_ca3ac48ed641" hidden="1">#REF!</definedName>
    <definedName name="TB5ab4f921_f4df_43f3_b162_55cfc319aa5e" hidden="1">#REF!</definedName>
    <definedName name="TB5ab60669_166f_4e42_b9f8_10e1f6c43992" hidden="1">#REF!</definedName>
    <definedName name="TB5abaac07_47bd_497e_851c_6d6012b32884" hidden="1">#REF!</definedName>
    <definedName name="TB5abd12bd_94cc_4859_8c25_ac798fa0b33e" hidden="1">#REF!</definedName>
    <definedName name="TB5abe2352_2aa2_4269_ad3f_ad080e6f31c0" hidden="1">#REF!</definedName>
    <definedName name="TB5ac1c5b6_3667_484d_bb57_7e515bc97166" hidden="1">#REF!</definedName>
    <definedName name="TB5adb58d9_000c_442a_ab63_29ae42a2f335" hidden="1">#REF!</definedName>
    <definedName name="TB5aef82e7_1101_4961_acdc_00aac5f4bbb2" hidden="1">#REF!</definedName>
    <definedName name="TB5b00d780_0f21_4f65_ac19_47e0ad50c70d" hidden="1">#REF!</definedName>
    <definedName name="TB5b05fa82_fb61_45e0_ab1e_3b3ba1141d08" hidden="1">#REF!</definedName>
    <definedName name="TB5b181f6c_e2cf_4028_bfc9_02fcfd644231" hidden="1">#REF!</definedName>
    <definedName name="TB5b2a7211_3df0_4faa_835b_43107793f3ed" hidden="1">#REF!</definedName>
    <definedName name="TB5b2f4bf5_a883_486b_8f77_ff71073aa996" hidden="1">#REF!</definedName>
    <definedName name="TB5b314718_60c6_4c4c_9f33_497234b774e1" hidden="1">#REF!</definedName>
    <definedName name="TB5b31be2a_6c26_4934_92f0_fc48253490a3" hidden="1">#REF!</definedName>
    <definedName name="TB5b320347_e6c5_4c08_8572_ed7e61c48ba4" hidden="1">#REF!</definedName>
    <definedName name="TB5b33f6ac_1707_4ff0_b35e_8e2f22c29b0f" hidden="1">#REF!</definedName>
    <definedName name="TB5b384bcd_2abf_4483_9abb_54b40429911c" hidden="1">#REF!</definedName>
    <definedName name="TB5b3f3cc2_610d_4b0f_b4e0_9ada04b4f75f" hidden="1">#REF!</definedName>
    <definedName name="TB5b575024_0c2c_47f7_aa5f_af36488f901d" hidden="1">#REF!</definedName>
    <definedName name="TB5b5e83c2_0f82_4e57_aab7_7dffc5dfea9c" hidden="1">#REF!</definedName>
    <definedName name="TB5b6307a8_7a1d_4c13_9910_4933ae89fea4" hidden="1">#REF!</definedName>
    <definedName name="TB5b7c8099_5ae3_4bc1_bd14_f7434ca6f53d" hidden="1">#REF!</definedName>
    <definedName name="TB5b7f0268_ebe4_40fe_89ed_a5c8e84d62fa" hidden="1">#REF!</definedName>
    <definedName name="TB5b86a435_63bc_4923_b08c_47d52650c22f" hidden="1">#REF!</definedName>
    <definedName name="TB5b8839d5_6fed_46de_a00e_7e36a5ccaf1b" hidden="1">#REF!</definedName>
    <definedName name="TB5b95dd1f_7662_4d51_870c_7904e70dcc7e" hidden="1">#REF!</definedName>
    <definedName name="TB5b9c1e83_fbc7_47b8_b00b_220e9d59396d" hidden="1">#REF!</definedName>
    <definedName name="TB5ba7631d_0152_4e38_b046_4b785a42cd00" hidden="1">#REF!</definedName>
    <definedName name="TB5baaa537_2838_4317_96b0_5d7309a890d2" hidden="1">#REF!</definedName>
    <definedName name="TB5bb7ae41_0e35_498c_9e93_fb182b34865a" hidden="1">#REF!</definedName>
    <definedName name="TB5bc1718a_d95a_404f_b89c_4776e73fffb8" hidden="1">#REF!</definedName>
    <definedName name="TB5bd139b6_b948_48c3_a129_45ad0dfba899" hidden="1">#REF!</definedName>
    <definedName name="TB5bd9fd71_5839_4821_9918_56607f4d8da1" hidden="1">#REF!</definedName>
    <definedName name="TB5be04b1f_fe0a_44ae_ad14_40c2a21f8965" hidden="1">#REF!</definedName>
    <definedName name="TB5be4619b_1d75_469e_9485_9bdfb24908e6" hidden="1">#REF!</definedName>
    <definedName name="TB5bfa2247_552e_4ff7_9d51_409af3473991" hidden="1">#REF!</definedName>
    <definedName name="TB5c035c1e_1281_449a_9f2a_1dd016c5c497" hidden="1">#REF!</definedName>
    <definedName name="TB5c06c161_e280_4a9e_8ef0_7d80e362eff6" hidden="1">#REF!</definedName>
    <definedName name="TB5c07149c_2df4_4ad2_99f9_531e7e608e7d" hidden="1">#REF!</definedName>
    <definedName name="TB5c11e79f_cf51_4f8a_af16_052e67565bfb" hidden="1">#REF!</definedName>
    <definedName name="TB5c23898f_5799_4aa8_85a3_be9e221b9718" hidden="1">#REF!</definedName>
    <definedName name="TB5c26f6db_db1c_41f5_b5f4_67b7b52aff17" hidden="1">#REF!</definedName>
    <definedName name="TB5c2be3ce_4f43_48b8_987c_1535944eea28" hidden="1">#REF!</definedName>
    <definedName name="TB5c32d2b9_1dc8_43f4_9e13_e8fed9f2bff2" hidden="1">#REF!</definedName>
    <definedName name="TB5c38ed54_6d63_4613_80b4_dfd298e01d0d" hidden="1">#REF!</definedName>
    <definedName name="TB5c4c0bc7_7e29_4e1a_9695_dd7686887f15" hidden="1">#REF!</definedName>
    <definedName name="TB5c593641_5f80_4939_a9a8_44adc675e60e" hidden="1">#REF!</definedName>
    <definedName name="TB5c70abbc_c55c_466f_92bc_db36233cc787" hidden="1">#REF!</definedName>
    <definedName name="TB5c9dbe70_76b5_4a21_965b_deb007d34a3d" hidden="1">#REF!</definedName>
    <definedName name="TB5c9e8a2b_dcb9_4a49_a556_a8a93ae7ea60" hidden="1">#REF!</definedName>
    <definedName name="TB5ca351b8_4ba5_483f_be3f_a43ce85ae6d0" hidden="1">#REF!</definedName>
    <definedName name="TB5ca6ecca_9911_4492_ab2f_313e8559dcd3" hidden="1">#REF!</definedName>
    <definedName name="TB5ca90b1b_3519_45ca_bc8a_0af357caef0e" hidden="1">#REF!</definedName>
    <definedName name="TB5cac2a73_fd8e_4e04_9ccd_84cf80a2610c" hidden="1">#REF!</definedName>
    <definedName name="TB5cacd139_02d8_4915_9544_6562bfc25c65" hidden="1">#REF!</definedName>
    <definedName name="TB5cb5f6ee_38f5_43c7_8788_5dae920e0b36" hidden="1">#REF!</definedName>
    <definedName name="TB5cb93f2b_dde3_4454_8cd2_305bda79ebea" hidden="1">#REF!</definedName>
    <definedName name="TB5cc0ad56_237b_4e5a_b621_bbc852b6b035" hidden="1">#REF!</definedName>
    <definedName name="TB5cc476c6_4348_4a23_972c_c917120ecf82" hidden="1">#REF!</definedName>
    <definedName name="TB5cdd064c_4235_4aeb_9e27_34f616594226" hidden="1">#REF!</definedName>
    <definedName name="TB5ce12dea_7273_41d3_a14a_433ab46d1e60" hidden="1">#REF!</definedName>
    <definedName name="TB5ceda8c4_85f7_4850_97d0_832650c88b5c" hidden="1">#REF!</definedName>
    <definedName name="TB5d06a763_cbc1_4579_9a3a_3731875a67bb" hidden="1">#REF!</definedName>
    <definedName name="TB5d211e0f_3986_417f_8e65_fbd214b1c985" hidden="1">#REF!</definedName>
    <definedName name="TB5d2c59f4_8204_45f4_bb82_ec9fcf8ebec5" hidden="1">#REF!</definedName>
    <definedName name="TB5d355d86_59ba_44b8_bf42_84002584f36d" hidden="1">#REF!</definedName>
    <definedName name="TB5d37318c_ba84_47ab_8e4c_37952cc20668" hidden="1">#REF!</definedName>
    <definedName name="TB5d395997_9a12_44a8_9ef1_95286f420bc2" hidden="1">#REF!</definedName>
    <definedName name="TB5d49bdee_8d97_4819_b58a_2680e63013c7" hidden="1">#REF!</definedName>
    <definedName name="TB5d5794eb_36f3_4f2f_882e_976312e6bf9d" hidden="1">#REF!</definedName>
    <definedName name="TB5d6299c4_8a91_424a_b92c_22c5ff94d284" hidden="1">#REF!</definedName>
    <definedName name="TB5d9de4af_3488_420c_b305_6b863f4766fa" hidden="1">#REF!</definedName>
    <definedName name="TB5d9fc7bd_77a4_4159_8176_323b12a2053d" hidden="1">#REF!</definedName>
    <definedName name="TB5db20319_d1c1_49bf_89c7_b74f564a760f" hidden="1">#REF!</definedName>
    <definedName name="TB5db95438_fdfb_460c_b383_3d690cdec085" hidden="1">#REF!</definedName>
    <definedName name="TB5dc622bf_6ad6_4492_b98d_feb7c12f32a6" hidden="1">#REF!</definedName>
    <definedName name="TB5dc7fe09_0e1d_44ab_b989_72c302a3fcc5" hidden="1">#REF!</definedName>
    <definedName name="TB5dcf2f77_7371_4689_b3d6_d2c25ecad6ce" hidden="1">#REF!</definedName>
    <definedName name="TB5dcf4180_be82_47c7_90aa_26fe7c544544" hidden="1">#REF!</definedName>
    <definedName name="TB5dd3c8a3_436a_4d01_974d_320c7e34f177" hidden="1">#REF!</definedName>
    <definedName name="TB5dd6e7c2_677f_49aa_a896_6d6f9b697734" hidden="1">#REF!</definedName>
    <definedName name="TB5dd9bf93_a9a3_4850_aba2_263e12997046" hidden="1">#REF!</definedName>
    <definedName name="TB5ddf60a4_3161_41fb_8de5_012dc4d9e409" hidden="1">#REF!</definedName>
    <definedName name="TB5de3e257_f4d3_47f6_93a2_955e0b4e087f" hidden="1">#REF!</definedName>
    <definedName name="TB5dfa1db3_017d_49f8_9430_1f3e8590e452" hidden="1">#REF!</definedName>
    <definedName name="TB5e073d3d_73a0_4c15_a8c1_27b33337f9b0" hidden="1">#REF!</definedName>
    <definedName name="TB5e0da9fc_71da_4573_9a75_883a8f5c01e4" hidden="1">#REF!</definedName>
    <definedName name="TB5e163529_6536_4dfc_a7ea_d1bc36f80f47" hidden="1">#REF!</definedName>
    <definedName name="TB5e22a42d_5e0e_4f40_a9f9_cbe652ad4ea1" hidden="1">#REF!</definedName>
    <definedName name="TB5e23ff74_3098_4c53_8e9f_d97f9ea54664" hidden="1">#REF!</definedName>
    <definedName name="TB5e30b48a_7f41_4517_b0b6_be77fd21cf99" hidden="1">#REF!</definedName>
    <definedName name="TB5e3c1ae4_a958_4725_bfda_dd175db98194" hidden="1">#REF!</definedName>
    <definedName name="TB5e4950c7_932c_4483_9471_4420cdc393d7" hidden="1">#REF!</definedName>
    <definedName name="TB5e4ad0ec_4971_4b50_b1ff_fca197cc68a5" hidden="1">#REF!</definedName>
    <definedName name="TB5e519635_c10c_436e_a282_29979a73ddce" hidden="1">#REF!</definedName>
    <definedName name="TB5e525f68_1947_4afd_8936_01515d2e08e6" hidden="1">#REF!</definedName>
    <definedName name="TB5e553f43_cb4e_4caf_8135_33342a7c8be6" hidden="1">#REF!</definedName>
    <definedName name="TB5e64e537_f103_4f6c_80e5_c1f97b10ecaa" hidden="1">#REF!</definedName>
    <definedName name="TB5e697caa_4358_407a_8a30_68de6d4737a2" hidden="1">#REF!</definedName>
    <definedName name="TB5e70053b_f6e5_47ca_a970_5e2cea369bd0" hidden="1">#REF!</definedName>
    <definedName name="TB5e80f659_99ca_43b7_ade9_d826302b6cd0" hidden="1">#REF!</definedName>
    <definedName name="TB5e82ef2d_19d7_442d_be21_816a45cb0a68" hidden="1">#REF!</definedName>
    <definedName name="TB5e941711_930e_458a_9c46_86c94a3f862c" hidden="1">#REF!</definedName>
    <definedName name="TB5e94533b_23ff_4936_a7af_d7338df18b2b" hidden="1">#REF!</definedName>
    <definedName name="TB5e97582a_10df_4d83_a9de_a29a9cf77201" hidden="1">#REF!</definedName>
    <definedName name="TB5ea249af_7762_4ff8_aecd_bfe4783b8a58" hidden="1">#REF!</definedName>
    <definedName name="TB5ea35bf0_d816_4cda_969b_3d39d82b021d" hidden="1">#REF!</definedName>
    <definedName name="TB5eb223f3_6f99_4b7b_b686_fd1ea32bcbed" hidden="1">#REF!</definedName>
    <definedName name="TB5ebaff31_0f0a_4d76_84b3_be2f4bd30e94" hidden="1">#REF!</definedName>
    <definedName name="TB5ec3c94a_b004_41d1_bb62_e59c02859c7c" hidden="1">#REF!</definedName>
    <definedName name="TB5ec737a7_8afb_45fb_9fb0_c7f8be2d3480" hidden="1">#REF!</definedName>
    <definedName name="TB5ec8dace_d4bf_4066_8240_eb4d6f4bbf06" hidden="1">#REF!</definedName>
    <definedName name="TB5ed81c50_5993_4eda_9382_f0854fde98a7" hidden="1">#REF!</definedName>
    <definedName name="TB5ee6f527_3eae_4c3b_bcdb_b84562cf5de4" hidden="1">#REF!</definedName>
    <definedName name="TB5eedc91d_7a8f_4338_87aa_874e73827f27" hidden="1">#REF!</definedName>
    <definedName name="TB5eee7e2d_d541_44da_b83a_ab7db7e28bd5" hidden="1">#REF!</definedName>
    <definedName name="TB5ef4e7e7_f3bd_48d8_a00e_87cef229013a" hidden="1">#REF!</definedName>
    <definedName name="TB5f021103_84ce_45b5_b35a_243beaf43937" hidden="1">#REF!</definedName>
    <definedName name="TB5f0ea981_d3f4_43fb_9118_d8fd9290a72f" hidden="1">#REF!</definedName>
    <definedName name="TB5f11beff_4b4e_49c7_b26a_4156a69f1aff" hidden="1">#REF!</definedName>
    <definedName name="TB5f2903fc_7db5_4ae0_8876_0b66166a295e" hidden="1">#REF!</definedName>
    <definedName name="TB5f393033_732b_4199_a382_94dc61def7e1" hidden="1">#REF!</definedName>
    <definedName name="TB5f3e7294_f144_43c4_ae1f_dc313b0495f7" hidden="1">#REF!</definedName>
    <definedName name="TB5f5a3d6b_34c2_4011_bde8_e67642dca89d" hidden="1">#REF!</definedName>
    <definedName name="TB5f5b8ac0_f10b_4fd5_b6a8_300902eef19c" hidden="1">#REF!</definedName>
    <definedName name="TB5f67c826_2326_4a17_8bfc_2e32b10ce552" hidden="1">#REF!</definedName>
    <definedName name="TB5f752e56_aea4_482e_bfde_a4c77ab3c2ec" hidden="1">#REF!</definedName>
    <definedName name="TB5f754691_1c59_44fc_a891_b33ce5edcf9e" hidden="1">#REF!</definedName>
    <definedName name="TB5f7e8559_5f4c_4951_b661_bec5cb84d599" hidden="1">#REF!</definedName>
    <definedName name="TB5f8782ac_8333_4eed_baca_691d511e0e95" hidden="1">#REF!</definedName>
    <definedName name="TB5f94f6c8_aca9_4d2d_9453_eccd2699295e" hidden="1">#REF!</definedName>
    <definedName name="TB5fa3edda_6304_469d_bc0e_9e9c511c5cdd" hidden="1">#REF!</definedName>
    <definedName name="TB5fa79f99_6b67_4983_8a49_6c83deadbbb8" hidden="1">#REF!</definedName>
    <definedName name="TB5fb55b98_742f_49d4_913b_e729c57dc303" hidden="1">#REF!</definedName>
    <definedName name="TB5fb60464_c5d7_4647_a006_221e52b06668" hidden="1">#REF!</definedName>
    <definedName name="TB5fb91460_fc67_4819_a1f8_5201e6a41354" hidden="1">#REF!</definedName>
    <definedName name="TB5fdb391a_ac28_46f1_8118_be0fee18fdff" hidden="1">#REF!</definedName>
    <definedName name="TB5fe89b9c_a1ee_4df2_936e_2491342b9519" hidden="1">#REF!</definedName>
    <definedName name="TB5fec0c47_8eb8_46e5_ae98_166d5a2417a2" hidden="1">#REF!</definedName>
    <definedName name="TB5ff80e05_37bf_4976_88ca_656bc3230f3b" hidden="1">#REF!</definedName>
    <definedName name="TB5ffa89e6_8133_44e5_ad3e_caa8d630cce2" hidden="1">#REF!</definedName>
    <definedName name="TB6003f308_9473_4c4a_8dc9_662c9015670b" hidden="1">#REF!</definedName>
    <definedName name="TB6004d8ff_f1af_40da_9338_239ae141c38b" hidden="1">#REF!</definedName>
    <definedName name="TB60073a14_b84f_4225_a63e_e3b0febf3920" hidden="1">#REF!</definedName>
    <definedName name="TB601121df_517b_4617_a62d_01838eb65aac" hidden="1">#REF!</definedName>
    <definedName name="TB60150f6a_af34_4eef_a7f7_7dda95435a41" hidden="1">#REF!</definedName>
    <definedName name="TB6015f0b3_8b0a_4d47_b739_6288a409cbc1" hidden="1">#REF!</definedName>
    <definedName name="TB6018be7d_0c02_4775_a5a2_1fd499916c4f" hidden="1">#REF!</definedName>
    <definedName name="TB6026d6c7_ada8_43ff_a45b_ef2eef1436a0" hidden="1">#REF!</definedName>
    <definedName name="TB6045c860_d266_4e99_9f98_642d4e667da2" hidden="1">#REF!</definedName>
    <definedName name="TB6055977b_61c4_4ddf_814d_155a928edb24" hidden="1">#REF!</definedName>
    <definedName name="TB60658a5c_32b2_4dfa_8c2d_611438f4631a" hidden="1">#REF!</definedName>
    <definedName name="TB6066a39f_f62f_4d44_adfe_fa37d94d52a6" hidden="1">#REF!</definedName>
    <definedName name="TB6067a53c_19a7_497a_88d3_af010990223d" hidden="1">#REF!</definedName>
    <definedName name="TB607f36dc_a39c_40fc_93e3_15122175271c" hidden="1">#REF!</definedName>
    <definedName name="TB608399ac_8e33_4782_9717_f6c45f400fb8" hidden="1">#REF!</definedName>
    <definedName name="TB60846402_8729_4404_902b_e8253072921b" hidden="1">#REF!</definedName>
    <definedName name="TB6085c471_415d_40de_830a_2ec40882e1b3" hidden="1">#REF!</definedName>
    <definedName name="TB6086e4ed_68a9_4664_bd75_c9fe990c1b41" hidden="1">#REF!</definedName>
    <definedName name="TB6087c43e_5322_41f0_9656_c629cd23e210" hidden="1">#REF!</definedName>
    <definedName name="TB6089597c_6b94_4afb_8b91_bb07aa674a29" hidden="1">#REF!</definedName>
    <definedName name="TB608ab41c_a2ab_497e_be23_33636f07a7f8" hidden="1">#REF!</definedName>
    <definedName name="TB6090975b_9253_4028_a600_67e5a01c1c82" hidden="1">#REF!</definedName>
    <definedName name="TB60a77992_6217_4036_8733_d0b5c557d2c9" hidden="1">#REF!</definedName>
    <definedName name="TB60a9154b_d6e2_44c6_9409_5ac591e5d9d9" hidden="1">#REF!</definedName>
    <definedName name="TB60b43320_b747_48ad_9055_e5e2cbf3c127" hidden="1">#REF!</definedName>
    <definedName name="TB60b5d04e_cb43_4ab3_b2d7_5d8e0843a37e" hidden="1">#REF!</definedName>
    <definedName name="TB60c07e9c_f11a_4630_a243_642ff39fc042" hidden="1">#REF!</definedName>
    <definedName name="TB60c13c28_b24a_4ff7_b697_039df96e7c0b" hidden="1">#REF!</definedName>
    <definedName name="TB60d21d98_23ea_496d_91db_42b022c3344b" hidden="1">#REF!</definedName>
    <definedName name="TB60ebd6cb_8c30_4c6c_b8d1_63ec9b0ccd6f" hidden="1">#REF!</definedName>
    <definedName name="TB60ecb4a0_87b9_4bcf_991e_6b44fda4e7b0" hidden="1">#REF!</definedName>
    <definedName name="TB60ed2604_ce7e_4101_ac8d_2477d203159a" hidden="1">#REF!</definedName>
    <definedName name="TB60ef791f_c873_4eb0_9e5a_f41c13adf7e0" hidden="1">#REF!</definedName>
    <definedName name="TB60efb1fb_8997_47dd_ba6b_2b695a4ed1fa" hidden="1">#REF!</definedName>
    <definedName name="TB60f6ff29_0d81_4be5_8fe7_b46aa558b102" hidden="1">#REF!</definedName>
    <definedName name="TB610590f3_e805_492d_aec9_16681ab607a9" hidden="1">#REF!</definedName>
    <definedName name="TB610c9aa3_c06a_4f77_8e91_0bec478ee2ff" hidden="1">#REF!</definedName>
    <definedName name="TB6111c6f5_58ef_4052_a7e4_15535057debe" hidden="1">#REF!</definedName>
    <definedName name="TB61125b35_7214_4826_914f_9a428fd9d954" hidden="1">#REF!</definedName>
    <definedName name="TB612b527f_f435_4582_a9ad_ada79206ae21" hidden="1">#REF!</definedName>
    <definedName name="TB612cb418_4540_49b7_ba2d_24d0b8217e69" hidden="1">#REF!</definedName>
    <definedName name="TB6132e418_942d_4894_97d8_9464adf85825" hidden="1">#REF!</definedName>
    <definedName name="TB6134b428_ee2c_4bc6_b592_5ea56c14fc7a" hidden="1">#REF!</definedName>
    <definedName name="TB6134ed9b_7754_45aa_a24f_c1916ba058c7" hidden="1">#REF!</definedName>
    <definedName name="TB613ad4cf_b688_4e1b_acd2_3b5bcb79bc5e" hidden="1">#REF!</definedName>
    <definedName name="TB6145287b_c908_4504_8036_a2612ae48819" hidden="1">#REF!</definedName>
    <definedName name="TB614b6c14_7b16_4d28_9a57_191bce59d55c" hidden="1">#REF!</definedName>
    <definedName name="TB6150fd9c_75ea_4d96_8d78_b753c12dda17" hidden="1">#REF!</definedName>
    <definedName name="TB6159558f_3e60_4b8d_90ef_8c0e9084096e" hidden="1">#REF!</definedName>
    <definedName name="TB6172c8b2_f77b_40be_a1ec_53f0a3157f15" hidden="1">#REF!</definedName>
    <definedName name="TB618ce49d_d641_4044_b584_8c9f54a92aa4" hidden="1">#REF!</definedName>
    <definedName name="TB61a20a62_6bca_43de_bba7_ffdee9c6a349" hidden="1">#REF!</definedName>
    <definedName name="TB61a639b7_7ba5_4ee8_9d2d_0d3b8eeac097" hidden="1">#REF!</definedName>
    <definedName name="TB61b7f8f5_f222_4917_bd09_c494433b4b63" hidden="1">#REF!</definedName>
    <definedName name="TB61bc2e92_bac1_4152_a3fb_cb14acd6c3a3" hidden="1">#REF!</definedName>
    <definedName name="TB61bc6f48_312c_4de2_845b_749c012d6669" hidden="1">#REF!</definedName>
    <definedName name="TB61c2b019_1748_4391_9628_0a319b724afd" hidden="1">#REF!</definedName>
    <definedName name="TB61c4c004_65df_45c2_9d3a_2c8dcad135d9" hidden="1">#REF!</definedName>
    <definedName name="TB61cc4528_3809_4053_bd64_2a0e1e6caac3" hidden="1">#REF!</definedName>
    <definedName name="TB61e270cf_d300_49ab_b35b_e4e8bbca051f" hidden="1">#REF!</definedName>
    <definedName name="TB61e6be91_f34c_4e63_9f26_f83b79c2ccb6" hidden="1">#REF!</definedName>
    <definedName name="TB61e916e0_ad52_4014_9834_d76490e9c259" hidden="1">#REF!</definedName>
    <definedName name="TB61eefa5d_d2f0_479e_bb5f_4bc3012738da" hidden="1">#REF!</definedName>
    <definedName name="TB62038b47_7126_48c5_92b0_a313fad688c5" hidden="1">#REF!</definedName>
    <definedName name="TB620e40fb_b633_47d4_ae90_f37e81440713" hidden="1">#REF!</definedName>
    <definedName name="TB62139b2b_9f1c_4f94_bc63_3d106211f0c7" hidden="1">#REF!</definedName>
    <definedName name="TB6214baf2_7671_4d4c_804c_ac44e182a13f" hidden="1">#REF!</definedName>
    <definedName name="TB6214d953_9f81_4896_a98a_3ad62a468e95" hidden="1">#REF!</definedName>
    <definedName name="TB622855ae_f97d_4978_9e12_cbe42025b784" hidden="1">#REF!</definedName>
    <definedName name="TB622b0f86_cc16_40fb_88d5_46c334971999" hidden="1">#REF!</definedName>
    <definedName name="TB623110d5_f220_4e64_ac21_7b8071443244" hidden="1">#REF!</definedName>
    <definedName name="TB62321bde_74a5_4b0d_971a_5cca076ad0e5" hidden="1">#REF!</definedName>
    <definedName name="TB62405de8_f53a_49e3_910c_38520096b9c4" hidden="1">#REF!</definedName>
    <definedName name="TB62479c19_a290_43d3_a974_f5c285952836" hidden="1">#REF!</definedName>
    <definedName name="TB624cac90_286e_4063_bc51_76969e91e6f6" hidden="1">#REF!</definedName>
    <definedName name="TB6258d81e_b9db_4f73_9735_74163000c56e" hidden="1">#REF!</definedName>
    <definedName name="TB625e05d1_34d9_432a_94fd_aedda1d8faca" hidden="1">#REF!</definedName>
    <definedName name="TB6266f6bf_2c6d_4aea_b261_7e6b17991bfa" hidden="1">#REF!</definedName>
    <definedName name="TB6277fa88_0294_42ae_aecc_6e0ed657a677" hidden="1">#REF!</definedName>
    <definedName name="TB62787383_ab89_44bd_8b98_4aaad7a8b563" hidden="1">#REF!</definedName>
    <definedName name="TB62826f8e_814d_4d03_9579_225884e5aaf6" hidden="1">#REF!</definedName>
    <definedName name="TB6288f565_fa05_4120_b70d_992bacbc243c" hidden="1">#REF!</definedName>
    <definedName name="TB62964db8_18f9_4387_ad9e_a732ad4b1c54" hidden="1">#REF!</definedName>
    <definedName name="TB629686db_bd2d_40f6_bd5b_1f731283ea7a" hidden="1">#REF!</definedName>
    <definedName name="TB62970f7b_fa19_4249_8156_b728c01dba1a" hidden="1">#REF!</definedName>
    <definedName name="TB629dc8ae_8ea7_4668_8645_714aac236873" hidden="1">#REF!</definedName>
    <definedName name="TB62a6fcb5_fbae_450e_a55e_0d500701c9e9" hidden="1">#REF!</definedName>
    <definedName name="TB62a71a96_ba44_42af_8245_62eae3049630" hidden="1">#REF!</definedName>
    <definedName name="TB62ab7bd8_397e_4071_8d6f_a8792e25f51f" hidden="1">#REF!</definedName>
    <definedName name="TB62ae1af8_e728_48ea_b8a8_76dea370ab8c" hidden="1">#REF!</definedName>
    <definedName name="TB62cfcee0_73ee_4b16_879f_48c5c34b54c9" hidden="1">#REF!</definedName>
    <definedName name="TB62e3cb3b_9232_4ec8_b999_2f9664490bbc" hidden="1">#REF!</definedName>
    <definedName name="TB62e9c617_22ba_4a80_9357_bf2077fb1283" hidden="1">#REF!</definedName>
    <definedName name="TB6322c9f4_cf5f_455f_9481_8a499694a249" hidden="1">#REF!</definedName>
    <definedName name="TB632828aa_0ddc_4f1c_9192_bbc09e6dc96a" hidden="1">#REF!</definedName>
    <definedName name="TB63332526_d5f6_4e58_8611_9004a34d8c90" hidden="1">#REF!</definedName>
    <definedName name="TB637aaf82_277b_4388_858f_2c2dc897da6d" hidden="1">#REF!</definedName>
    <definedName name="TB638a55a2_7f57_4fb5_96de_51ba8b06edc0" hidden="1">#REF!</definedName>
    <definedName name="TB63976b33_e432_4ac6_950c_fb822a51f1a2" hidden="1">#REF!</definedName>
    <definedName name="TB63a25a49_830c_44ca_813a_8716eb0b04ea" hidden="1">#REF!</definedName>
    <definedName name="TB63aca28b_5d0c_4946_bc5b_7df7f0b42a41" hidden="1">#REF!</definedName>
    <definedName name="TB63b97d74_fa04_4296_b7c0_844dfe2e1f04" hidden="1">#REF!</definedName>
    <definedName name="TB63c9cde5_9883_4a61_94fa_d964909f45cc" hidden="1">#REF!</definedName>
    <definedName name="TB63d4c234_2659_43bb_985d_36773a40dca1" hidden="1">#REF!</definedName>
    <definedName name="TB63db9630_dc59_418b_99dd_3d9009d13cf6" hidden="1">#REF!</definedName>
    <definedName name="TB63ed9c0c_70dc_421e_9d07_dd56d8884cae" hidden="1">#REF!</definedName>
    <definedName name="TB63f2224f_e260_4f2a_9833_0d0c32e4e4bd" hidden="1">#REF!</definedName>
    <definedName name="TB63f7c7e9_ea23_4f7f_aead_eec9a8522ca0" hidden="1">#REF!</definedName>
    <definedName name="TB63fa3d79_2bba_4383_aedd_7df8445b7ccc" hidden="1">#REF!</definedName>
    <definedName name="TB63fcc8e7_97a5_4f94_8b1b_e89c9a66e380" hidden="1">#REF!</definedName>
    <definedName name="TB64017477_f3b2_4a55_99e3_a88a02d341b8" hidden="1">#REF!</definedName>
    <definedName name="TB640f35d5_d5be_4481_9a6c_ef7f8a2baafb" hidden="1">#REF!</definedName>
    <definedName name="TB640f4260_55da_4d57_97ef_0f347b4980b1" hidden="1">#REF!</definedName>
    <definedName name="TB641a1bf7_f316_498e_911c_ca1949c1f9b1" hidden="1">#REF!</definedName>
    <definedName name="TB641d23cd_eb1d_4bde_9504_c50707a53839" hidden="1">#REF!</definedName>
    <definedName name="TB641f7c7a_8a82_4675_9966_eb5568fe6062" hidden="1">#REF!</definedName>
    <definedName name="TB642927f3_aa67_4253_9c3b_288b0bdd144d" hidden="1">#REF!</definedName>
    <definedName name="TB642c2a38_7ae8_487f_a060_c728ab7e48fd" hidden="1">#REF!</definedName>
    <definedName name="TB642cc2ad_d2f7_4872_8b4f_abdc6042da04" hidden="1">#REF!</definedName>
    <definedName name="TB643063c0_d790_4361_a8b7_d170c97f4426" hidden="1">#REF!</definedName>
    <definedName name="TB6431f46d_f5a3_4daa_adeb_4c8c57fec96d" hidden="1">#REF!</definedName>
    <definedName name="TB6432d1a3_053a_4071_8dad_4dd94d2fe338" hidden="1">#REF!</definedName>
    <definedName name="TB6448630c_66a5_417d_b3ed_7e5e7bcf41d0" hidden="1">#REF!</definedName>
    <definedName name="TB6452b322_b30a_41a4_8fc2_2b3e2cf5ef2e" hidden="1">#REF!</definedName>
    <definedName name="TB6461a88c_b39e_4dbf_b91e_fc94a1eeb024" hidden="1">#REF!</definedName>
    <definedName name="TB6469274b_3a83_4d97_85da_79af0e00a08b" hidden="1">#REF!</definedName>
    <definedName name="TB64706b19_534c_4815_9b89_f3e0f9150214" hidden="1">#REF!</definedName>
    <definedName name="TB647e8579_95e8_4e6b_9dcc_afb129161634" hidden="1">#REF!</definedName>
    <definedName name="TB6497cee0_1953_493a_b712_bd0260985faf" hidden="1">#REF!</definedName>
    <definedName name="TB64a7b352_8b7b_4c00_b706_c71833d4818f" hidden="1">#REF!</definedName>
    <definedName name="TB64b04414_8541_41f2_b936_31ac34d8129e" hidden="1">#REF!</definedName>
    <definedName name="TB64c4ab6f_b660_4722_849a_10cf0df32beb" hidden="1">#REF!</definedName>
    <definedName name="TB64c4af66_bccd_4955_94d1_0b26a9e1b3e7" hidden="1">#REF!</definedName>
    <definedName name="TB64d54ce1_1e2d_4320_983d_17bf7a1a35f5" hidden="1">#REF!</definedName>
    <definedName name="TB64d58d3a_dd10_430f_a101_fec5d8e1100c" hidden="1">#REF!</definedName>
    <definedName name="TB64de662a_fec7_43b8_a131_cf650acf2026" hidden="1">#REF!</definedName>
    <definedName name="TB64dfbddf_150b_4dca_9627_4a08a5ec85ad" hidden="1">#REF!</definedName>
    <definedName name="TB64ee4aae_3575_481d_953e_a562fba8f3ec" hidden="1">#REF!</definedName>
    <definedName name="TB64fbf840_c260_45b2_9a8b_a2dbd99ee28a" hidden="1">#REF!</definedName>
    <definedName name="TB65082f92_49d7_4080_8974_f7942e83ccb5" hidden="1">#REF!</definedName>
    <definedName name="TB6515bfa1_57dd_4f04_a9a1_1bc2dff3ed4d" hidden="1">#REF!</definedName>
    <definedName name="TB6524d3b8_a6fe_48dc_8c7b_1099a03ed633" hidden="1">#REF!</definedName>
    <definedName name="TB652b4358_ddfe_41c2_97b6_d0cf3a2af974" hidden="1">#REF!</definedName>
    <definedName name="TB6532a614_a614_47bb_9c54_e67a659068fd" hidden="1">#REF!</definedName>
    <definedName name="TB65414651_2a1a_4ffc_ae50_33286737cc13" hidden="1">#REF!</definedName>
    <definedName name="TB655319c6_3f3f_4bec_9c5e_82bc2430562a" hidden="1">#REF!</definedName>
    <definedName name="TB65539bd5_91b4_4b90_b1cc_9402f148811d" hidden="1">#REF!</definedName>
    <definedName name="TB655b7c14_090c_4c6c_8cdb_830ee55f5164" hidden="1">#REF!</definedName>
    <definedName name="TB655dd213_1a4c_4dd1_acb4_930f1fdba5d7" hidden="1">#REF!</definedName>
    <definedName name="TB655eea48_b9e6_48d3_a903_6b3e62dbbf96" hidden="1">#REF!</definedName>
    <definedName name="TB65656806_ea47_41ee_9bcf_3b110297dc00" hidden="1">#REF!</definedName>
    <definedName name="TB657cfbf8_547c_4661_bb23_29480364e87d" hidden="1">#REF!</definedName>
    <definedName name="TB65870696_be16_488a_8eb8_465615e45add" hidden="1">#REF!</definedName>
    <definedName name="TB6595b771_3d02_4adb_a1a0_06489aab24d0" hidden="1">#REF!</definedName>
    <definedName name="TB659e1c8f_be98_4c63_92e9_0da8ad92aee1" hidden="1">#REF!</definedName>
    <definedName name="TB65a10c7d_71aa_4411_bd7d_16f59a1a705d" hidden="1">#REF!</definedName>
    <definedName name="TB65ad33c6_8711_4d61_8b09_1da7a6332729" hidden="1">#REF!</definedName>
    <definedName name="TB65b8e477_edc2_417e_a009_40abfde96ce9" hidden="1">#REF!</definedName>
    <definedName name="TB65ca57bb_96ff_473e_9371_cb538e11410b" hidden="1">#REF!</definedName>
    <definedName name="TB65cd7c9c_d838_42c6_abd7_a448b0c8568c" hidden="1">#REF!</definedName>
    <definedName name="TB65e26662_0bab_476f_947e_46b53c0159f2" hidden="1">#REF!</definedName>
    <definedName name="TB65eae175_41ce_4561_8712_5f45ae9a24b3" hidden="1">#REF!</definedName>
    <definedName name="TB65f4b468_e322_4c38_90dd_ff591a307d03" hidden="1">#REF!</definedName>
    <definedName name="TB65f8e234_a183_43f8_add4_2598834d89de" hidden="1">#REF!</definedName>
    <definedName name="TB660348a3_7342_46e9_9f82_3da684c2c763" hidden="1">#REF!</definedName>
    <definedName name="TB6603cfc2_52c8_4b2f_8645_a15d858289f0" hidden="1">#REF!</definedName>
    <definedName name="TB6610a04c_6968_4502_9f25_88003b7aa7aa" hidden="1">#REF!</definedName>
    <definedName name="TB661367bd_e239_45dd_9a01_83c54aba4c8b" hidden="1">#REF!</definedName>
    <definedName name="TB6613be52_f2f0_4fa2_8f73_9a9cdf8df510" hidden="1">#REF!</definedName>
    <definedName name="TB6613e7b9_57d8_467d_8c5f_3128d9b3bf5d" hidden="1">#REF!</definedName>
    <definedName name="TB661c4255_c860_4493_8f7a_34c35d35cbb7" hidden="1">#REF!</definedName>
    <definedName name="TB661e3ba3_cab6_460d_8264_8990ce43215c" hidden="1">#REF!</definedName>
    <definedName name="TB6634317a_1fa2_496a_a0e3_f58bdd8442a5" hidden="1">#REF!</definedName>
    <definedName name="TB6635c10c_909a_422e_acb1_52d7c3b591c5" hidden="1">#REF!</definedName>
    <definedName name="TB663c4822_cb04_4539_8d59_c59f806af2b4" hidden="1">#REF!</definedName>
    <definedName name="TB664faee2_3828_445f_bae0_d1400dfa680b" hidden="1">#REF!</definedName>
    <definedName name="TB66557527_4310_4217_a1eb_ccb2f9157f7f" hidden="1">#REF!</definedName>
    <definedName name="TB66591b7a_fa2b_41f5_b7f3_ede0ed46db31" hidden="1">#REF!</definedName>
    <definedName name="TB665b1c82_4789_4632_b9bc_6634c7d28e38" hidden="1">#REF!</definedName>
    <definedName name="TB665c97ba_8854_48b3_bcfa_927e295721f5" hidden="1">#REF!</definedName>
    <definedName name="TB666a6ac0_d647_4cda_a014_f8e3b336c375" hidden="1">#REF!</definedName>
    <definedName name="TB66732507_25e6_459e_9a58_870540dc184c" hidden="1">#REF!</definedName>
    <definedName name="TB667e2465_8586_4e6f_8069_f569a658d6b7" hidden="1">#REF!</definedName>
    <definedName name="TB6684d5e7_81c0_464d_a7da_8c0fec15f662" hidden="1">#REF!</definedName>
    <definedName name="TB668d378c_9d47_47b4_8beb_2123068ed80e" hidden="1">#REF!</definedName>
    <definedName name="TB6694e9b1_ba17_4341_b4c0_33573b6786ca" hidden="1">#REF!</definedName>
    <definedName name="TB66b2fff5_295e_42bf_8ff1_d1b587507057" hidden="1">#REF!</definedName>
    <definedName name="TB66b5e59e_1a5b_4d5f_ad97_daf8ec35dc16" hidden="1">#REF!</definedName>
    <definedName name="TB66ba9a6e_248d_4896_bdbd_3daf4295d466" hidden="1">#REF!</definedName>
    <definedName name="TB66c3aa62_9fae_4ad9_8938_d06f189a7809" hidden="1">#REF!</definedName>
    <definedName name="TB66e20dd1_bb96_463b_943d_042d0d9647c7" hidden="1">#REF!</definedName>
    <definedName name="TB66ec67f0_b804_49d9_b133_b548db9cfa7d" hidden="1">#REF!</definedName>
    <definedName name="TB66fe72d2_a735_445a_af58_46b263cc6204" hidden="1">#REF!</definedName>
    <definedName name="TB6700451e_1f69_4a5b_afa7_efaf2eb6a001" hidden="1">#REF!</definedName>
    <definedName name="TB67102be8_6351_446f_8a0f_b267cf4a6850" hidden="1">#REF!</definedName>
    <definedName name="TB671117dd_5fc9_4dbd_86b4_2819f24145b4" hidden="1">#REF!</definedName>
    <definedName name="TB6711c519_9fa3_47ea_8847_8d8c115a361a" hidden="1">#REF!</definedName>
    <definedName name="TB6715a2b3_42de_4f23_930c_9128f3844feb" hidden="1">#REF!</definedName>
    <definedName name="TB67178cb7_60e1_46c9_b5a9_11c610ebb671" hidden="1">#REF!</definedName>
    <definedName name="TB672795d4_17cc_4005_a9bf_39959e3ba549" hidden="1">#REF!</definedName>
    <definedName name="TB672a0a70_825b_4c97_89bf_aeb6841c71e5" hidden="1">#REF!</definedName>
    <definedName name="TB67348182_dae0_4069_9e47_5bd0bcd468de" hidden="1">#REF!</definedName>
    <definedName name="TB673a0f10_3578_4d51_a725_25798bc714c4" hidden="1">#REF!</definedName>
    <definedName name="TB67497477_24f1_4a89_ab31_5896b5c4e865" hidden="1">#REF!</definedName>
    <definedName name="TB674c0f64_bf2a_41f6_8d12_7caa2440776a" hidden="1">#REF!</definedName>
    <definedName name="TB6759c427_bea8_4b6d_a85f_010696e36f10" hidden="1">#REF!</definedName>
    <definedName name="TB675a4966_c054_4a98_84e6_5be46a0abb62" hidden="1">#REF!</definedName>
    <definedName name="TB676406a1_cadf_445d_889d_7a7b399c2cf8" hidden="1">#REF!</definedName>
    <definedName name="TB676c80ac_bc00_4115_a30f_87c4b666148c" hidden="1">#REF!</definedName>
    <definedName name="TB676ff443_563a_4ff5_8f6c_7cfd84c31a55" hidden="1">#REF!</definedName>
    <definedName name="TB678289f8_cc68_4887_afce_1d83273aef82" hidden="1">#REF!</definedName>
    <definedName name="TB6789d9ea_fa31_4abb_b3f3_a9c2f165e302" hidden="1">#REF!</definedName>
    <definedName name="TB67a10516_d03a_4f52_8ec8_49cbe63b680f" hidden="1">#REF!</definedName>
    <definedName name="TB67b8a8cb_2e38_44fa_8372_03d542919f8a" hidden="1">#REF!</definedName>
    <definedName name="TB67b9826b_7f62_467b_b631_31e55aaa3ca8" hidden="1">#REF!</definedName>
    <definedName name="TB67ba984b_3d3d_4bd9_885c_657ec7987128" hidden="1">#REF!</definedName>
    <definedName name="TB67c0a37a_8dd5_475a_8e8b_ea7a2c4d9f8a" hidden="1">#REF!</definedName>
    <definedName name="TB67cef063_b8c0_45e6_a5b6_ef9134d376fd" hidden="1">#REF!</definedName>
    <definedName name="TB67d4b3c6_4ecd_47fa_a4f7_23588a7d3a33" hidden="1">#REF!</definedName>
    <definedName name="TB67e04ba7_d08e_4140_9aaf_be186f002ffc" hidden="1">#REF!</definedName>
    <definedName name="TB67e8721f_eb69_4d24_964c_636a0a9a8014" hidden="1">#REF!</definedName>
    <definedName name="TB67f44d78_ea4d_49d8_a7a8_537488e6c174" hidden="1">#REF!</definedName>
    <definedName name="TB67fc5e1c_155d_4d3e_928c_708c8bc6d578" hidden="1">#REF!</definedName>
    <definedName name="TB6802e654_bf94_4698_b76a_1d1c5797ada2" hidden="1">#REF!</definedName>
    <definedName name="TB68044f58_69f2_4e48_b909_0206060106b1" hidden="1">#REF!</definedName>
    <definedName name="TB68055e43_92a7_401c_9670_7a9ac6f48368" hidden="1">#REF!</definedName>
    <definedName name="TB68060261_d315_4e06_84e9_7cad694e46ea" hidden="1">#REF!</definedName>
    <definedName name="TB6809cd80_9ea9_438d_a098_f6aacbd579cd" hidden="1">#REF!</definedName>
    <definedName name="TB68217abf_bcfd_439d_b5a5_925b77b6effd" hidden="1">#REF!</definedName>
    <definedName name="TB6825e09f_9751_44d6_82b9_46cb6dc09738" hidden="1">#REF!</definedName>
    <definedName name="TB6832b769_2702_44d3_9e6f_ddbe04d84c9e" hidden="1">#REF!</definedName>
    <definedName name="TB683452d2_663c_4604_ba97_f3530f96aa33" hidden="1">#REF!</definedName>
    <definedName name="TB685cee74_bfd1_40cf_81ae_12cb5767143e" hidden="1">#REF!</definedName>
    <definedName name="TB68762781_b950_43be_bfb1_a50143111000" hidden="1">#REF!</definedName>
    <definedName name="TB688276d5_846a_452c_a6b2_bae1a6421421" hidden="1">#REF!</definedName>
    <definedName name="TB68971ffa_9395_404d_a65e_d9b8d21f6549" hidden="1">#REF!</definedName>
    <definedName name="TB6897a584_7f34_4a8d_83c1_1d0d952de32a" hidden="1">#REF!</definedName>
    <definedName name="TB68b5a9e2_27be_4073_958a_6a124eddb465" hidden="1">#REF!</definedName>
    <definedName name="TB68bdf018_e62b_43a3_995b_bf0d0dc21bb8" hidden="1">#REF!</definedName>
    <definedName name="TB68be9fda_83a3_40d7_8bce_06a2f5b31b83" hidden="1">#REF!</definedName>
    <definedName name="TB68caca0c_5323_4ecd_b311_fdfe28c1990e" hidden="1">#REF!</definedName>
    <definedName name="TB68ccd47e_8d09_4488_a70c_4cd33368b458" hidden="1">#REF!</definedName>
    <definedName name="TB68d46491_488b_4c26_b1d9_95f4dd48b59a" hidden="1">#REF!</definedName>
    <definedName name="TB68d59013_03d9_4e6f_9b0d_8998600156e2" hidden="1">#REF!</definedName>
    <definedName name="TB68d81ea8_ed8b_485e_b473_8693a06f46fe" hidden="1">#REF!</definedName>
    <definedName name="TB68da69fd_ef05_44ff_9e98_38651131bc69" hidden="1">#REF!</definedName>
    <definedName name="TB68dd7c68_fd3f_437a_93fb_39b34ec6fae2" hidden="1">#REF!</definedName>
    <definedName name="TB68eb21ae_7335_485d_8867_d13013a6e061" hidden="1">#REF!</definedName>
    <definedName name="TB68eb2b35_2be6_49aa_84b2_abeb67576206" hidden="1">#REF!</definedName>
    <definedName name="TB6901a78d_bcd7_4832_be08_f89f9ce88490" hidden="1">#REF!</definedName>
    <definedName name="TB69022c9e_25c8_408e_84d7_1fefe3f69b1b" hidden="1">#REF!</definedName>
    <definedName name="TB690c8aec_6121_464a_bccb_cfa827b8ead9" hidden="1">#REF!</definedName>
    <definedName name="TB692bf280_049a_496f_8d4c_c496f9d4b041" hidden="1">#REF!</definedName>
    <definedName name="TB69375806_b653_4816_9531_0bf8204ee212" hidden="1">#REF!</definedName>
    <definedName name="TB6938b110_6b7b_4552_9bd7_85468758a332" hidden="1">#REF!</definedName>
    <definedName name="TB693cdc05_57bf_45e7_a1a3_ba59b44f31cc" hidden="1">#REF!</definedName>
    <definedName name="TB6942bd67_39c1_4234_8f69_67225c14d6ea" hidden="1">#REF!</definedName>
    <definedName name="TB694839b2_c550_470b_b564_bfdb95a46eda" hidden="1">#REF!</definedName>
    <definedName name="TB6949ea0d_9bd0_4aad_9120_482cc23e84fa" hidden="1">#REF!</definedName>
    <definedName name="TB694ec7ac_196d_49bb_bc2c_1d0f4540b88f" hidden="1">#REF!</definedName>
    <definedName name="TB6958fa7f_962e_4446_a851_ab9ee7e19a0b" hidden="1">#REF!</definedName>
    <definedName name="TB69595eb0_7f16_4a95_8d69_db155c8fc1b6" hidden="1">#REF!</definedName>
    <definedName name="TB69625c46_27c9_4973_aeae_32b598baf577" hidden="1">#REF!</definedName>
    <definedName name="TB69626c32_9bed_470e_9b2b_447748eb3528" hidden="1">#REF!</definedName>
    <definedName name="TB697d1884_23b8_4c86_812f_a8f55c415780" hidden="1">#REF!</definedName>
    <definedName name="TB697e63d1_1720_4c08_b586_2d7ad3f2d45b" hidden="1">#REF!</definedName>
    <definedName name="TB698c1d5a_ff3b_426a_9778_37478af8ef6b" hidden="1">#REF!</definedName>
    <definedName name="TB698ee877_7b96_472e_81fc_357bc4ac46df" hidden="1">#REF!</definedName>
    <definedName name="TB6998808d_9a48_4970_abfd_b8e88f37616c" hidden="1">#REF!</definedName>
    <definedName name="TB699a70e8_cef3_4fc7_9361_6cd35da13277" hidden="1">#REF!</definedName>
    <definedName name="TB699e6646_c1e4_48b5_bb34_95e1d493fe9f" hidden="1">#REF!</definedName>
    <definedName name="TB69aba0bd_41d5_49be_b306_aea9e4e170d2" hidden="1">#REF!</definedName>
    <definedName name="TB69b1b0f5_5d29_4b87_a48b_7f43601b7061" hidden="1">#REF!</definedName>
    <definedName name="TB69b3a201_8c06_4776_9315_03ccd9f7509b" hidden="1">#REF!</definedName>
    <definedName name="TB69c1b11a_62da_45ae_96f8_221af7d933a6" hidden="1">#REF!</definedName>
    <definedName name="TB69ca991d_3911_44d0_a76a_2dbe60e43b3f" hidden="1">#REF!</definedName>
    <definedName name="TB69d49feb_e85d_4cd3_afa2_85aa9c10dec7" hidden="1">#REF!</definedName>
    <definedName name="TB69e1e17c_9853_4a0e_8ad5_18eadb414725" hidden="1">#REF!</definedName>
    <definedName name="TB69f6208c_fab6_4ff0_9e69_64fb6a0499c6" hidden="1">#REF!</definedName>
    <definedName name="TB69ffdc46_e30c_41a8_b81b_cea6ef935777" hidden="1">#REF!</definedName>
    <definedName name="TB6a03b154_9e21_485c_b09d_40e57c7458a0" hidden="1">#REF!</definedName>
    <definedName name="TB6a0ee3bb_3374_4800_ada4_38c90224f508" hidden="1">#REF!</definedName>
    <definedName name="TB6a11ff1c_594b_47c3_82e5_f9b2c62952a0" hidden="1">#REF!</definedName>
    <definedName name="TB6a12edf5_7af1_4fc3_bf05_e17f2e9c5994" hidden="1">#REF!</definedName>
    <definedName name="TB6a170f14_c709_4bb5_b0cc_a2c83ab61bbe" hidden="1">#REF!</definedName>
    <definedName name="TB6a180a1f_1358_41a6_b7ac_acea48a4a618" hidden="1">#REF!</definedName>
    <definedName name="TB6a1d22a3_eef8_4bc2_bd95_cb22e51d3f34" hidden="1">#REF!</definedName>
    <definedName name="TB6a29b3b4_a861_4e69_aa53_c7e24dc78a8e" hidden="1">#REF!</definedName>
    <definedName name="TB6a29bcd7_cfc0_448c_ab36_01c1a820b73b" hidden="1">#REF!</definedName>
    <definedName name="TB6a2b95f4_0c03_4010_bdcd_c43fbda59891" hidden="1">#REF!</definedName>
    <definedName name="TB6a2bd69c_9dc9_4616_a0ce_afcf02301b55" hidden="1">#REF!</definedName>
    <definedName name="TB6a396ece_136c_47ba_893d_5ef9161e93cc" hidden="1">#REF!</definedName>
    <definedName name="TB6a4c9376_0f56_4555_9658_88a3ee160631" hidden="1">#REF!</definedName>
    <definedName name="TB6a585bf5_a38b_43cb_913e_f84148ac26c4" hidden="1">#REF!</definedName>
    <definedName name="TB6a596078_99e8_48ea_9f6a_7dbe06706c29" hidden="1">#REF!</definedName>
    <definedName name="TB6a5aeea2_8860_4683_b446_340a85c62a43" hidden="1">#REF!</definedName>
    <definedName name="TB6a5ce213_dbbb_438d_86e8_d6e5c1246aea" hidden="1">#REF!</definedName>
    <definedName name="TB6a6256ea_9368_458b_9ad1_2f91e6484b24" hidden="1">#REF!</definedName>
    <definedName name="TB6a7f88b3_6643_4210_a87d_6ec07bf4a8d0" hidden="1">#REF!</definedName>
    <definedName name="TB6a818b45_e62d_4a7b_9bee_f7199d9d1bcd" hidden="1">#REF!</definedName>
    <definedName name="TB6a979046_a786_4831_a839_28c1765fb267" hidden="1">#REF!</definedName>
    <definedName name="TB6aa7cddc_3716_493d_a403_4bbb717803c0" hidden="1">#REF!</definedName>
    <definedName name="TB6aaa6748_5dc3_4b16_a482_de8ff085a1c0" hidden="1">#REF!</definedName>
    <definedName name="TB6ab876ab_f6ab_4ded_abe4_ed7e5ac5e0ba" hidden="1">#REF!</definedName>
    <definedName name="TB6ac9ea30_df57_4261_ab83_841562999081" hidden="1">#REF!</definedName>
    <definedName name="TB6acac76e_602e_49f1_9aaa_536f64a4c4db" hidden="1">#REF!</definedName>
    <definedName name="TB6ad4e1ed_5d23_44cb_875a_021db0c5a9ed" hidden="1">#REF!</definedName>
    <definedName name="TB6ad87861_574c_483d_b468_7061271e52d8" hidden="1">#REF!</definedName>
    <definedName name="TB6af63989_90fe_4f28_8e68_64858f8f5d1a" hidden="1">#REF!</definedName>
    <definedName name="TB6afaf8ca_3563_4c6a_93e0_ffddf4a6ca3f" hidden="1">#REF!</definedName>
    <definedName name="TB6b02c43b_ade0_41b3_b8f5_4e65e341e513" hidden="1">#REF!</definedName>
    <definedName name="TB6b138cc0_7915_4167_a2fc_6a18d7bc1890" hidden="1">#REF!</definedName>
    <definedName name="TB6b15544a_d5db_4fdd_b5cb_7545c7f0dd13" hidden="1">#REF!</definedName>
    <definedName name="TB6b19dac5_8e95_4768_a268_bedb6e09931a" hidden="1">#REF!</definedName>
    <definedName name="TB6b1a0061_55b9_47a4_a53e_5b3220a7f93f" hidden="1">#REF!</definedName>
    <definedName name="TB6b1bb060_7ce0_45e4_94ad_3a0072f3b9c9" hidden="1">#REF!</definedName>
    <definedName name="TB6b1eafa7_9d0a_4cae_94c7_9e38780d0cdb" hidden="1">#REF!</definedName>
    <definedName name="TB6b26724f_3b65_44ac_a178_151b81ba8759" hidden="1">#REF!</definedName>
    <definedName name="TB6b290e96_c923_4232_bf50_34f44ad0d9dd" hidden="1">#REF!</definedName>
    <definedName name="TB6b31ba24_f485_4e65_a9f8_1248f343c3b6" hidden="1">#REF!</definedName>
    <definedName name="TB6b3a8fc9_1a3d_4ada_832a_083165c3c23e" hidden="1">#REF!</definedName>
    <definedName name="TB6b44f3ce_d778_4043_af41_a18f87a71d2e" hidden="1">#REF!</definedName>
    <definedName name="TB6b46908a_c738_4f64_8755_c5300aca390e" hidden="1">#REF!</definedName>
    <definedName name="TB6b4b8230_f4bb_4b03_9ff4_f7424664c5cc" hidden="1">#REF!</definedName>
    <definedName name="TB6b4c57f1_0a6f_47ce_bcd1_cc1ce674e3c6" hidden="1">#REF!</definedName>
    <definedName name="TB6b4f9d4b_f838_4c24_a999_5eb7b7249a0d" hidden="1">#REF!</definedName>
    <definedName name="TB6b51e3ec_8207_4c55_ac64_b63048b2e144" hidden="1">#REF!</definedName>
    <definedName name="TB6b5abc1b_3d54_4972_93c5_94ee55efa457" hidden="1">#REF!</definedName>
    <definedName name="TB6b5b9bca_cff0_444f_b15d_8af20315549e" hidden="1">#REF!</definedName>
    <definedName name="TB6b5fe438_25c2_478b_9632_1a4d79b333b1" hidden="1">#REF!</definedName>
    <definedName name="TB6b6f2ab3_9489_4dd5_8cef_b1db3264b400" hidden="1">#REF!</definedName>
    <definedName name="TB6b709551_0751_4b24_ad0f_884749f8dd64" hidden="1">#REF!</definedName>
    <definedName name="TB6b79ce02_c5c7_4dd1_8caa_4da220cd1955" hidden="1">#REF!</definedName>
    <definedName name="TB6b7a9373_eb46_4c9f_b0d9_624f99f09849" hidden="1">#REF!</definedName>
    <definedName name="TB6b890e21_b130_4f48_9d20_8e517409cb7a" hidden="1">#REF!</definedName>
    <definedName name="TB6b8fad98_08a8_483a_93cd_2f7ebef1d7c5" hidden="1">#REF!</definedName>
    <definedName name="TB6b9aa3d9_24c0_4fb7_8089_948b3e3e184d" hidden="1">#REF!</definedName>
    <definedName name="TB6b9d062a_943e_41d7_8f8f_ac0e47eacb25" hidden="1">#REF!</definedName>
    <definedName name="TB6ba0ea73_fd73_4a2b_8846_0392efdd8300" hidden="1">#REF!</definedName>
    <definedName name="TB6baa86e8_5caa_4418_a7f5_ad5c2e1122a4" hidden="1">#REF!</definedName>
    <definedName name="TB6bbb9ff3_a64b_4e4c_bbfa_e2b8b46f3d7f" hidden="1">#REF!</definedName>
    <definedName name="TB6bcb0c6b_ca90_4bea_9abb_b22a0784f37b" hidden="1">#REF!</definedName>
    <definedName name="TB6bd37e1f_30f7_47c2_b394_c9a9631efa46" hidden="1">#REF!</definedName>
    <definedName name="TB6bd7f319_a5d4_4a37_af48_9af65c1a71ba" hidden="1">#REF!</definedName>
    <definedName name="TB6bee8d4d_da91_49f7_afb3_fd578b36a32f" hidden="1">#REF!</definedName>
    <definedName name="TB6bf4692b_aa72_4441_9259_9afd09e3e7be" hidden="1">#REF!</definedName>
    <definedName name="TB6bfbdce2_af42_47b4_8309_4396a69ce551" hidden="1">#REF!</definedName>
    <definedName name="TB6c16cbbd_b3aa_486a_9888_77485e06a58b" hidden="1">#REF!</definedName>
    <definedName name="TB6c21abef_7de0_4847_8277_604c64839fcf" hidden="1">#REF!</definedName>
    <definedName name="TB6c286f16_eeb3_4ad9_82a1_3aa440e4df40" hidden="1">#REF!</definedName>
    <definedName name="TB6c2ad61e_9da1_45c8_95c1_778064d545bb" hidden="1">#REF!</definedName>
    <definedName name="TB6c3305c3_9892_483a_9a1f_9609a5910bab" hidden="1">#REF!</definedName>
    <definedName name="TB6c350886_4b2c_42d2_b59d_6f9cda62253e" hidden="1">#REF!</definedName>
    <definedName name="TB6c3583f2_869e_4486_8a2b_18928e6d716c" hidden="1">#REF!</definedName>
    <definedName name="TB6c3fb3a1_781e_4810_b4ab_d816c7f1108d" hidden="1">#REF!</definedName>
    <definedName name="TB6c4386d2_c3a7_4727_8ef9_c21e555856cb" hidden="1">#REF!</definedName>
    <definedName name="TB6c4798ff_b0ee_4236_83bd_fc76d7404b46" hidden="1">#REF!</definedName>
    <definedName name="TB6c52798f_8b6c_4b6b_896b_e3977c170ec2" hidden="1">#REF!</definedName>
    <definedName name="TB6c59bc7a_6bae_47ba_ab5c_a9a753efcf72" hidden="1">#REF!</definedName>
    <definedName name="TB6c5a37ce_d698_450a_a957_8ef4f7b52836" hidden="1">#REF!</definedName>
    <definedName name="TB6c5c35a4_877b_44d1_ad1b_6220c49584da" hidden="1">#REF!</definedName>
    <definedName name="TB6c5fd8a9_d175_474e_88b6_08db95068f47" hidden="1">#REF!</definedName>
    <definedName name="TB6c7022c2_c290_4b5e_9a43_e511ea19b646" hidden="1">#REF!</definedName>
    <definedName name="TB6c73d76a_bcb9_4c9c_8ad0_eb8e6bd8a5ec" hidden="1">#REF!</definedName>
    <definedName name="TB6c73f37f_c1df_4bc4_846d_747588e1e041" hidden="1">#REF!</definedName>
    <definedName name="TB6c7a2c3f_019e_45d4_a381_daf0a75dd184" hidden="1">#REF!</definedName>
    <definedName name="TB6c7e3216_7218_45c4_9434_e835c96a8e7d" hidden="1">#REF!</definedName>
    <definedName name="TB6c92096e_68dd_4b28_9cae_d69b68d2d259" hidden="1">#REF!</definedName>
    <definedName name="TB6c92d2ba_fec0_42e3_bc25_0f57a7c4574c" hidden="1">#REF!</definedName>
    <definedName name="TB6c939268_3366_4365_8833_4dfe9fbe4efc" hidden="1">#REF!</definedName>
    <definedName name="TB6c97644a_8bac_4880_92bf_f8c4d13722fe" hidden="1">#REF!</definedName>
    <definedName name="TB6ca46dcc_a9ec_4397_a299_0c5f2dd3cfbb" hidden="1">#REF!</definedName>
    <definedName name="TB6cac066f_5f00_49f3_ac38_8a68a0f7bd8e" hidden="1">#REF!</definedName>
    <definedName name="TB6cad1d16_24ea_4c46_aa6f_74e9169d8525" hidden="1">#REF!</definedName>
    <definedName name="TB6cb509ca_d9f3_4d35_98e8_df3b408940e4" hidden="1">#REF!</definedName>
    <definedName name="TB6cbd54ce_559d_4ebd_9f22_ae13ed0127e4" hidden="1">#REF!</definedName>
    <definedName name="TB6cc7738d_e8be_4281_af6c_e7e1797ef345" hidden="1">#REF!</definedName>
    <definedName name="TB6cd0a25a_e6c4_4525_9bae_69cfa718a33f" hidden="1">#REF!</definedName>
    <definedName name="TB6cd188a6_6d9e_4a1e_9fc4_93d62ce9d23c" hidden="1">#REF!</definedName>
    <definedName name="TB6ce53235_2ffb_4ac5_9f1a_729055029244" hidden="1">#REF!</definedName>
    <definedName name="TB6ced1e1e_a14e_4d1c_bbfb_274c8061bf56" hidden="1">#REF!</definedName>
    <definedName name="TB6cf74135_a4ec_4e08_b743_d20d492aff07" hidden="1">#REF!</definedName>
    <definedName name="TB6d10dae7_a68c_443d_aafc_8dd2da678abf" hidden="1">#REF!</definedName>
    <definedName name="TB6d11b370_67d1_4820_b420_3e4abab5364f" hidden="1">#REF!</definedName>
    <definedName name="TB6d1e1593_30e1_4733_b5b1_c8696841785d" hidden="1">#REF!</definedName>
    <definedName name="TB6d22b2df_a93a_4fdd_be13_ab489ce6c15c" hidden="1">#REF!</definedName>
    <definedName name="TB6d2f23c4_7af4_41cc_bd35_192b6adfd417" hidden="1">#REF!</definedName>
    <definedName name="TB6d33d818_1537_431b_9d46_75eaad64d815" hidden="1">#REF!</definedName>
    <definedName name="TB6d3643cc_8d1d_4310_a8bb_c2e327e02f7f" hidden="1">#REF!</definedName>
    <definedName name="TB6d4358be_509e_4e09_bc82_a2548144afb8" hidden="1">#REF!</definedName>
    <definedName name="TB6d636892_44f6_45ac_9ccd_aff30ea26e5e" hidden="1">#REF!</definedName>
    <definedName name="TB6d7f0a1f_88e6_41b3_ab88_5e998f0119bd" hidden="1">#REF!</definedName>
    <definedName name="TB6d81ab39_b65a_45d7_a60c_40e347174155" hidden="1">#REF!</definedName>
    <definedName name="TB6d8208ff_d930_4a37_a247_b39b9c1bf754" hidden="1">#REF!</definedName>
    <definedName name="TB6d94c891_03b1_41ad_bd4b_4fe43399ac45" hidden="1">#REF!</definedName>
    <definedName name="TB6da20025_18ec_420e_ac51_6645c13fd071" hidden="1">#REF!</definedName>
    <definedName name="TB6dabb425_7c4e_4a90_b924_9eb7c0313b8a" hidden="1">#REF!</definedName>
    <definedName name="TB6dbc3b55_395e_4ab8_9859_3ead0ffe695a" hidden="1">#REF!</definedName>
    <definedName name="TB6dcb233a_c7a9_44c0_84b6_ea3110601af0" hidden="1">#REF!</definedName>
    <definedName name="TB6dcdb59f_5a65_4f12_9ac4_b5f4f356b625" hidden="1">#REF!</definedName>
    <definedName name="TB6ddca4c6_591e_4d39_8451_e4592c8c0f5d" hidden="1">#REF!</definedName>
    <definedName name="TB6ddd68b1_e15e_44f4_b6a0_11bb0cd4147d" hidden="1">#REF!</definedName>
    <definedName name="TB6de52f47_c0ad_4ccf_bc69_0f82aaa5f083" hidden="1">#REF!</definedName>
    <definedName name="TB6de62de4_cd6c_40b1_af81_d668fee279f6" hidden="1">#REF!</definedName>
    <definedName name="TB6de92f88_3e30_4aca_a555_8b5f8c56bbc1" hidden="1">#REF!</definedName>
    <definedName name="TB6e1208ca_a57f_4f85_92f4_e20c796aab83" hidden="1">#REF!</definedName>
    <definedName name="TB6e182ec4_59ec_46bd_b39f_ce398f4830d7" hidden="1">#REF!</definedName>
    <definedName name="TB6e2f2bb2_4a4b_459f_b3e5_72bb35bafefe" hidden="1">#REF!</definedName>
    <definedName name="TB6e31d1be_d322_47e3_b105_0a1366e145a3" hidden="1">#REF!</definedName>
    <definedName name="TB6e32e806_970e_415e_a35a_67fd6cff0b6b" hidden="1">#REF!</definedName>
    <definedName name="TB6e46fc3b_882a_4637_b121_71d1e670605e" hidden="1">#REF!</definedName>
    <definedName name="TB6e4ab781_6ca8_4c3b_824d_d11adb4aca95" hidden="1">#REF!</definedName>
    <definedName name="TB6e5ef094_1452_4ae3_a9e0_685d764b4948" hidden="1">#REF!</definedName>
    <definedName name="TB6e88a941_0807_4e08_9ab8_5ca96f795b79" hidden="1">#REF!</definedName>
    <definedName name="TB6e9469ee_8ab1_4c12_abc5_c7cd6faf415c" hidden="1">#REF!</definedName>
    <definedName name="TB6e96a751_ddba_4083_b041_f3da5b720735" hidden="1">#REF!</definedName>
    <definedName name="TB6ea07809_fed0_4564_a2a0_b681d0fb2bd3" hidden="1">#REF!</definedName>
    <definedName name="TB6eaeb529_5ae8_41e5_a00a_ecc599390a90" hidden="1">#REF!</definedName>
    <definedName name="TB6ecf7cc5_494f_4ea9_b8a5_e4565e202cf2" hidden="1">#REF!</definedName>
    <definedName name="TB6ed11c8a_c59d_46e5_98b0_bcbe9741bf29" hidden="1">#REF!</definedName>
    <definedName name="TB6ee7cc8f_1b18_4409_a897_cff492f74fd1" hidden="1">#REF!</definedName>
    <definedName name="TB6ef32c44_af12_4886_bcaf_736ad59a941d" hidden="1">#REF!</definedName>
    <definedName name="TB6effd3f9_32c5_405c_b5db_5dd16700a03f" hidden="1">#REF!</definedName>
    <definedName name="TB6f03cc4e_59c2_4c1e_97ee_404719c3c137" hidden="1">#REF!</definedName>
    <definedName name="TB6f053b44_ab48_4048_b569_bd14356b8afd" hidden="1">#REF!</definedName>
    <definedName name="TB6f14570c_f472_4507_95f4_636d16d6e187" hidden="1">#REF!</definedName>
    <definedName name="TB6f1a1c3b_e447_46c2_99d6_b131f5d7525d" hidden="1">#REF!</definedName>
    <definedName name="TB6f40d94d_cac0_406c_9a7c_6f7990dbb380" hidden="1">#REF!</definedName>
    <definedName name="TB6f4ab74d_baf4_41f2_9c29_ddcc576a5aec" hidden="1">#REF!</definedName>
    <definedName name="TB6f51f76b_8f64_46c0_9a7c_6cf29b6ec614" hidden="1">#REF!</definedName>
    <definedName name="TB6f5ed86d_07e9_49a6_b4f5_aaf7af457ada" hidden="1">#REF!</definedName>
    <definedName name="TB6f66dd96_94cd_4c36_8c37_ff6e00bca621" hidden="1">#REF!</definedName>
    <definedName name="TB6f6b52bb_a26c_43c3_812a_faef45732497" hidden="1">#REF!</definedName>
    <definedName name="TB6f6d8f37_6ca0_4252_bd36_69e2161f1599" hidden="1">#REF!</definedName>
    <definedName name="TB6f75847e_1c28_4eb3_93ef_048598d28cbe" hidden="1">#REF!</definedName>
    <definedName name="TB6f7efe8c_94c4_4923_8dcf_49d2ec20509f" hidden="1">#REF!</definedName>
    <definedName name="TB6f86f970_290b_440d_a9d5_00f74878ee61" hidden="1">#REF!</definedName>
    <definedName name="TB6f991fdb_e6b6_475f_9e0c_13b83d31bf03" hidden="1">#REF!</definedName>
    <definedName name="TB6f99413b_9601_47c0_b88d_75bf79de54b3" hidden="1">#REF!</definedName>
    <definedName name="TB6f99c3ae_eb26_4258_84db_313348880d52" hidden="1">#REF!</definedName>
    <definedName name="TB6f99dac0_4f12_4b2a_80e1_b2d9349bcbf5" hidden="1">#REF!</definedName>
    <definedName name="TB6fb4d38d_f83d_4140_af5a_ffa9eac67446" hidden="1">#REF!</definedName>
    <definedName name="TB6fb7ed75_17ea_4cdd_ba8a_549a3d32e177" hidden="1">#REF!</definedName>
    <definedName name="TB6fca54c2_6506_4cea_96ec_6a54517d7fc6" hidden="1">#REF!</definedName>
    <definedName name="TB6fcae9ce_6c64_4da5_ace3_faf6550ade83" hidden="1">#REF!</definedName>
    <definedName name="TB6fdb45c2_2298_42a5_8bb4_4da2c2b816ce" hidden="1">#REF!</definedName>
    <definedName name="TB6fe2a0d9_d279_4028_b91b_ba087e054fbd" hidden="1">#REF!</definedName>
    <definedName name="TB7000bd95_6e83_4b1c_bca0_d10b82612b14" hidden="1">#REF!</definedName>
    <definedName name="TB70069872_e9bb_42f9_85aa_97f2744f2ec0" hidden="1">#REF!</definedName>
    <definedName name="TB70133dc6_b131_414a_acbd_56df64434bb1" hidden="1">#REF!</definedName>
    <definedName name="TB703fd253_a239_4423_af09_3589b6eab3b0" hidden="1">#REF!</definedName>
    <definedName name="TB7044de81_0b82_466e_81c0_0f7e8fca930a" hidden="1">#REF!</definedName>
    <definedName name="TB704fa102_fcf1_4894_843d_86c2bed487b7" hidden="1">#REF!</definedName>
    <definedName name="TB7056bf89_0c45_4e0e_b5c4_b2227f6617c9" hidden="1">#REF!</definedName>
    <definedName name="TB70578210_6942_4eac_ac32_3327ec087e23" hidden="1">#REF!</definedName>
    <definedName name="TB707258b6_ca7e_49ab_907f_7fbb2d3115c0" hidden="1">#REF!</definedName>
    <definedName name="TB70796c06_1752_412a_9cbc_5a15560dfb9c" hidden="1">#REF!</definedName>
    <definedName name="TB7080f60a_86a7_4b8a_9582_6743e32b9b1d" hidden="1">#REF!</definedName>
    <definedName name="TB7089aa9b_6e0c_4e3c_89d4_7d9227307f29" hidden="1">#REF!</definedName>
    <definedName name="TB708efdaf_2b7c_41c3_89e7_62341e52ec0f" hidden="1">#REF!</definedName>
    <definedName name="TB709cf24d_de3b_4556_9228_44c16b9e8637" hidden="1">#REF!</definedName>
    <definedName name="TB70a7f5b1_f1ad_4e8d_a9ff_621768f7f9f2" hidden="1">#REF!</definedName>
    <definedName name="TB70a820f4_6de1_430e_b709_f778e34bc1b6" hidden="1">#REF!</definedName>
    <definedName name="TB70acf2c2_dd85_4044_9c9a_25571e98717b" hidden="1">#REF!</definedName>
    <definedName name="TB70c31c1f_67dd_40e2_a1f6_6544d00a4929" hidden="1">#REF!</definedName>
    <definedName name="TB70d0faf8_fa02_4985_b87f_52224cf5304f" hidden="1">#REF!</definedName>
    <definedName name="TB70d25e12_c011_4b73_ab5f_30a06846cd5f" hidden="1">#REF!</definedName>
    <definedName name="TB70e68855_e654_49a1_8831_1f99f4960c17" hidden="1">#REF!</definedName>
    <definedName name="TB70f05541_d27d_4af8_9aa5_c64ca32bb271" hidden="1">#REF!</definedName>
    <definedName name="TB70fcd328_ead2_4cbf_9f14_0c51b3df2cef" hidden="1">#REF!</definedName>
    <definedName name="TB7107094e_b137_44f4_9bd4_c01adfc23d9a" hidden="1">#REF!</definedName>
    <definedName name="TB710a43e5_2cb7_46e0_8c40_77bc267f5aee" hidden="1">#REF!</definedName>
    <definedName name="TB710a4e71_8d56_4faa_bee3_b5a78526c3aa" hidden="1">#REF!</definedName>
    <definedName name="TB710c9c24_ab2a_4aa7_99ba_dec5e9d4ede7" hidden="1">#REF!</definedName>
    <definedName name="TB710dfbd7_dac8_4c3a_b160_b7bc9b5654b1" hidden="1">#REF!</definedName>
    <definedName name="TB710ea4b6_4801_490b_880a_8a097dce341d" hidden="1">#REF!</definedName>
    <definedName name="TB714e0075_f596_4b41_80cf_ba84d2171f4d" hidden="1">#REF!</definedName>
    <definedName name="TB715c8699_9fde_483a_9025_3873d275ffd7" hidden="1">#REF!</definedName>
    <definedName name="TB716975f7_bebf_4867_bff9_9535c5094692" hidden="1">#REF!</definedName>
    <definedName name="TB716f8250_a8d0_4230_8f9f_995c73a9fb76" hidden="1">#REF!</definedName>
    <definedName name="TB717b8809_0650_45fd_a512_af048b8d8756" hidden="1">#REF!</definedName>
    <definedName name="TB719a2430_d976_4f7a_a9c3_3d80529dc8da" hidden="1">#REF!</definedName>
    <definedName name="TB719edb86_61ad_42f4_9259_28717a9e972b" hidden="1">#REF!</definedName>
    <definedName name="TB71a2a3b1_18c3_4070_8a07_399e5f8ba997" hidden="1">#REF!</definedName>
    <definedName name="TB71a4a493_24f3_442c_8f31_92296a7653a8" hidden="1">#REF!</definedName>
    <definedName name="TB71b7473a_6908_4bee_b4fa_d5bf516917ce" hidden="1">#REF!</definedName>
    <definedName name="TB71bbb374_b60d_40b1_b9ef_bcc88e58d2db" hidden="1">#REF!</definedName>
    <definedName name="TB71c0ccd5_b57c_427f_adf9_cfe3d0ffc5ad" hidden="1">#REF!</definedName>
    <definedName name="TB71c217fb_4dda_4650_a42b_61a9ed155902" hidden="1">#REF!</definedName>
    <definedName name="TB71cd0311_55e9_4758_93a2_12f6af6bc2f6" hidden="1">#REF!</definedName>
    <definedName name="TB71d78bbe_9226_4092_9502_6493106c6b0a" hidden="1">#REF!</definedName>
    <definedName name="TB71db2c69_4945_4771_bd0e_0dc1e0bad461" hidden="1">#REF!</definedName>
    <definedName name="TB71dfb116_1f62_40bb_8808_3263860d7456" hidden="1">#REF!</definedName>
    <definedName name="TB71e1f23e_eaf4_4e79_902d_abea5fc55116" hidden="1">#REF!</definedName>
    <definedName name="TB71e6d4c9_ac0b_4755_83e9_566312aa2371" hidden="1">#REF!</definedName>
    <definedName name="TB71ff6852_3d6c_41ef_a4b8_d7f91090722a" hidden="1">#REF!</definedName>
    <definedName name="TB721e0626_a350_4215_bd88_7509deafd346" hidden="1">#REF!</definedName>
    <definedName name="TB721f4b4b_4fe7_4af2_8dfa_5c15b66f4c0f" hidden="1">#REF!</definedName>
    <definedName name="TB7222bb8a_324d_47af_ad6d_01844b959d9b" hidden="1">#REF!</definedName>
    <definedName name="TB7227bc03_65ff_434c_a9c7_c9b2b6b84e3d" hidden="1">#REF!</definedName>
    <definedName name="TB722b4dc2_6e9d_4307_8ef8_959bfadc22a6" hidden="1">#REF!</definedName>
    <definedName name="TB722fe962_8f53_4933_8fee_8863495ca7b6" hidden="1">#REF!</definedName>
    <definedName name="TB72424e80_0d13_4f4a_9800_cc795626983d" hidden="1">#REF!</definedName>
    <definedName name="TB7242f4c9_c47b_4f74_9cda_459462c6fbab" hidden="1">#REF!</definedName>
    <definedName name="TB724ee7a1_3845_4b12_a872_6a8c4553bd43" hidden="1">#REF!</definedName>
    <definedName name="TB7259ea9b_2233_41f8_a930_5a2dc14f3c55" hidden="1">#REF!</definedName>
    <definedName name="TB725c79d4_fac3_4399_bcda_9b08f5c2c900" hidden="1">#REF!</definedName>
    <definedName name="TB72680aaa_e432_49cc_8b02_24a42e584f25" hidden="1">#REF!</definedName>
    <definedName name="TB727598fb_3d68_414a_8b24_76d6a88403c8" hidden="1">#REF!</definedName>
    <definedName name="TB72830112_ea39_47ad_8ce0_05ac267fb449" hidden="1">#REF!</definedName>
    <definedName name="TB72833660_3af3_4143_bc5a_988fd54c55f5" hidden="1">#REF!</definedName>
    <definedName name="TB72906155_8f8c_4b62_996f_b5a51f131157" hidden="1">#REF!</definedName>
    <definedName name="TB729a24bc_5298_488d_b7f9_d2bc17175026" hidden="1">#REF!</definedName>
    <definedName name="TB729e775b_cd7e_46de_a5de_0673510f762b" hidden="1">#REF!</definedName>
    <definedName name="TB729f7922_736b_491f_be56_6dc4a63002dc" hidden="1">#REF!</definedName>
    <definedName name="TB72a0abe3_5c1b_4ae1_aa68_0430dd7fad6f" hidden="1">#REF!</definedName>
    <definedName name="TB72a20165_6567_4130_8de3_a62d904f97e4" hidden="1">#REF!</definedName>
    <definedName name="TB72a52461_fee4_41e7_8c98_2b816b2cbab6" hidden="1">#REF!</definedName>
    <definedName name="TB72b1c99d_9bbc_47f6_a23c_c8a0f88765b8" hidden="1">#REF!</definedName>
    <definedName name="TB72b2cac2_b5db_4e87_9161_9819766b203c" hidden="1">#REF!</definedName>
    <definedName name="TB72bac51c_2d29_4825_acdb_7e1cb7c9e3bb" hidden="1">#REF!</definedName>
    <definedName name="TB72be9156_876d_4ba2_b457_5ba8b6e65960" hidden="1">#REF!</definedName>
    <definedName name="TB72bec37d_b4ff_4d1b_8942_bdead2ef241b" hidden="1">#REF!</definedName>
    <definedName name="TB72c0433a_ba82_4eba_8497_024a49434758" hidden="1">#REF!</definedName>
    <definedName name="TB72c1e5f7_fa5b_4edc_9a76_5993d98a2022" hidden="1">#REF!</definedName>
    <definedName name="TB72c26288_26db_4778_b8be_21d75afaffc3" hidden="1">#REF!</definedName>
    <definedName name="TB72c5afa6_cf58_4a07_860f_06a0c212e7a2" hidden="1">#REF!</definedName>
    <definedName name="TB72ce7db1_0077_4b9c_b480_2b69aa28a2f3" hidden="1">#REF!</definedName>
    <definedName name="TB72d76741_d770_4494_bd1b_8adbaf9f5704" hidden="1">#REF!</definedName>
    <definedName name="TB72dc2c64_0354_4e0e_a660_3a5294ceb522" hidden="1">#REF!</definedName>
    <definedName name="TB72de21ac_afd2_4197_8cd5_d2b6c54af725" hidden="1">#REF!</definedName>
    <definedName name="TB72e77a5a_8add_4b59_a3a8_7889e3dc1aae" hidden="1">#REF!</definedName>
    <definedName name="TB72e9731d_4643_49f8_8426_08f574b5436d" hidden="1">#REF!</definedName>
    <definedName name="TB72ec6bda_2c83_41b1_8454_c2c65e296b9f" hidden="1">#REF!</definedName>
    <definedName name="TB73005d11_bf71_469f_bca6_983f3678d853" hidden="1">#REF!</definedName>
    <definedName name="TB73075330_eaf0_4436_8957_e11232102217" hidden="1">#REF!</definedName>
    <definedName name="TB73107c3a_d249_439b_911d_d8d38339f28a" hidden="1">#REF!</definedName>
    <definedName name="TB7313d2a8_05d1_4f4a_8088_c5d3d4e776d4" hidden="1">#REF!</definedName>
    <definedName name="TB731831a9_6055_40d6_a71b_63c51025a0b1" hidden="1">#REF!</definedName>
    <definedName name="TB731b370e_1a99_4b56_ade2_e265a3ce72d5" hidden="1">#REF!</definedName>
    <definedName name="TB731d56dd_c269_4d40_aa14_a5ce532d13e5" hidden="1">#REF!</definedName>
    <definedName name="TB731e4ad6_e2ee_4242_a3e5_ccfe49cd04c0" hidden="1">#REF!</definedName>
    <definedName name="TB7322a265_85ef_4434_9d09_52c86c046be8" hidden="1">#REF!</definedName>
    <definedName name="TB732ac3fd_2d67_41a7_893c_3733ae9d02a0" hidden="1">#REF!</definedName>
    <definedName name="TB7331d3dd_4479_4f70_bf71_c90aa8324795" hidden="1">#REF!</definedName>
    <definedName name="TB73346b79_dca7_4fee_b762_4ffc09f47648" hidden="1">#REF!</definedName>
    <definedName name="TB733858d5_5af0_4e51_9d5e_ddb2627d8714" hidden="1">#REF!</definedName>
    <definedName name="TB7344e9c0_0940_4316_a5af_881ee49baad7" hidden="1">#REF!</definedName>
    <definedName name="TB734607ab_5cb8_404c_acee_f1276738d645" hidden="1">#REF!</definedName>
    <definedName name="TB734c8153_c848_4b94_8e4b_2892f40aedb2" hidden="1">#REF!</definedName>
    <definedName name="TB734e49e1_baa3_43df_972d_ce4b6932efbf" hidden="1">#REF!</definedName>
    <definedName name="TB734f98d8_db3d_43c0_b010_399683810dfb" hidden="1">#REF!</definedName>
    <definedName name="TB7352ebb3_7734_45c9_812d_56ab0a07f85a" hidden="1">#REF!</definedName>
    <definedName name="TB736e3759_c953_4043_9da4_4ebca499e807" hidden="1">#REF!</definedName>
    <definedName name="TB73788136_509a_4ae9_9bf6_294029d3ae33" hidden="1">#REF!</definedName>
    <definedName name="TB7382e387_beed_4e49_96e6_325ff86c6b2e" hidden="1">#REF!</definedName>
    <definedName name="TB739c995e_f776_4194_8e0b_c239ee2b68b5" hidden="1">#REF!</definedName>
    <definedName name="TB739d44a3_d071_4ef3_b39a_313bfe9f5df1" hidden="1">#REF!</definedName>
    <definedName name="TB73bcccc1_fa5d_46b4_8341_eed5f577119d" hidden="1">#REF!</definedName>
    <definedName name="TB73cd3c7f_773b_4e74_9655_3da541e69d38" hidden="1">#REF!</definedName>
    <definedName name="TB73e103d6_8894_49b8_af4f_46ca3e5d9814" hidden="1">#REF!</definedName>
    <definedName name="TB73e4946c_e583_489b_8316_a3e4f06fe1af" hidden="1">#REF!</definedName>
    <definedName name="TB73e620e3_2b95_4bf6_a0ec_f6eafe448883" hidden="1">#REF!</definedName>
    <definedName name="TB73ee5651_6651_4379_a7de_c4e2e78df312" hidden="1">#REF!</definedName>
    <definedName name="TB73ef98cd_2ea5_41c5_82ad_fc6c84603e30" hidden="1">#REF!</definedName>
    <definedName name="TB73f7b711_604f_4798_ad3e_0dd5488ead62" hidden="1">#REF!</definedName>
    <definedName name="TB74012373_2588_4174_ba32_c4621fa03530" hidden="1">#REF!</definedName>
    <definedName name="TB7406ae41_679d_4a93_8093_47c2155b5d72" hidden="1">#REF!</definedName>
    <definedName name="TB740e410c_571c_4d14_8f15_ad61da57faec" hidden="1">#REF!</definedName>
    <definedName name="TB740f9788_42b5_49e0_9906_0ce09fea1931" hidden="1">#REF!</definedName>
    <definedName name="TB74171cad_fc8e_4198_b3d5_0bdf5c5b15fc" hidden="1">#REF!</definedName>
    <definedName name="TB7418f1f3_57a4_49fc_b7c8_3a16ddbdc056" hidden="1">#REF!</definedName>
    <definedName name="TB742219d7_58d6_4b56_a49f_97c49be1f382" hidden="1">#REF!</definedName>
    <definedName name="TB74255422_feb6_4a38_92d3_5fe243146726" hidden="1">#REF!</definedName>
    <definedName name="TB7432b584_78c1_45b4_9a17_d71ff60d46ec" hidden="1">#REF!</definedName>
    <definedName name="TB7456a79b_5953_45bd_bffb_b1921af8c77b" hidden="1">#REF!</definedName>
    <definedName name="TB7466921d_9512_4915_8e5f_6dc8460316a8" hidden="1">#REF!</definedName>
    <definedName name="TB746d6e57_8e4b_48dd_a89a_0c96b2c0050a" hidden="1">#REF!</definedName>
    <definedName name="TB7480e571_e997_445c_897e_7b27d5fa7fa2" hidden="1">#REF!</definedName>
    <definedName name="TB748b08b2_8714_4f2c_b239_d4c8f91c6567" hidden="1">#REF!</definedName>
    <definedName name="TB7490680e_27c0_4c6e_be2b_f7c05307ab68" hidden="1">#REF!</definedName>
    <definedName name="TB7490ee62_2275_4b3f_8a56_e69ed095f37c" hidden="1">#REF!</definedName>
    <definedName name="TB74a7a405_93f5_43a9_aaeb_a59eb3b059bf" hidden="1">#REF!</definedName>
    <definedName name="TB74af6143_a94b_4a21_adee_6aac6339c615" hidden="1">#REF!</definedName>
    <definedName name="TB74b19d95_001c_4b80_9c13_d8308060f9ca" hidden="1">#REF!</definedName>
    <definedName name="TB74b80455_957e_48c7_a253_9c011764374c" hidden="1">#REF!</definedName>
    <definedName name="TB74b8971d_5d31_4551_9728_69d4144ce28b" hidden="1">#REF!</definedName>
    <definedName name="TB74bdc841_182f_4447_913a_65ab5d240f58" hidden="1">#REF!</definedName>
    <definedName name="TB74c0a6d0_27f9_4e42_bc05_b458281e85e8" hidden="1">#REF!</definedName>
    <definedName name="TB74c4acb4_e0d6_4d0d_b1bc_e851ea74a55e" hidden="1">#REF!</definedName>
    <definedName name="TB74c8903e_aa65_4b02_b727_b66027d9ff4d" hidden="1">#REF!</definedName>
    <definedName name="TB74cc42f5_ff1d_4af9_aa5e_b9e55a010719" hidden="1">#REF!</definedName>
    <definedName name="TB74d37b96_ea69_429b_95dc_60778495a74c" hidden="1">#REF!</definedName>
    <definedName name="TB74d5979c_3ad0_48e3_bb2e_e9c4dcb0853e" hidden="1">#REF!</definedName>
    <definedName name="TB74d8fcb5_80c7_4406_9a6c_ca12f344ce0f" hidden="1">#REF!</definedName>
    <definedName name="TB74e631d0_d80f_42c7_95f8_b5456b85b330" hidden="1">#REF!</definedName>
    <definedName name="TB74ebddcb_a995_479a_adba_468a92c749aa" hidden="1">#REF!</definedName>
    <definedName name="TB74ee6ee3_df86_4d79_bbd2_9a248f7bac10" hidden="1">#REF!</definedName>
    <definedName name="TB74f4fd1f_11e2_444e_8828_f15d29b146b3" hidden="1">#REF!</definedName>
    <definedName name="TB74ff4793_7fbd_43ea_85b1_446103f69674" hidden="1">#REF!</definedName>
    <definedName name="TB7505e613_39dc_41db_8a63_9a612dd6f587" hidden="1">#REF!</definedName>
    <definedName name="TB7507cbbc_e773_4640_8374_a6a116a1ff84" hidden="1">#REF!</definedName>
    <definedName name="TB750cd5b5_c449_4c51_a375_014f99bdf019" hidden="1">#REF!</definedName>
    <definedName name="TB750df3ca_c90c_49df_b48b_405377f011ce" hidden="1">#REF!</definedName>
    <definedName name="TB750e894b_ad46_48df_8d19_ec125494cd0e" hidden="1">#REF!</definedName>
    <definedName name="TB75101797_17a4_42db_af5e_a8846c3494ba" hidden="1">#REF!</definedName>
    <definedName name="TB75131c40_8ea2_406c_9683_4991e777289c" hidden="1">#REF!</definedName>
    <definedName name="TB751ed39a_2921_41e5_be2b_801112d7a460" hidden="1">#REF!</definedName>
    <definedName name="TB753484c4_0d71_4ddd_a1f6_b7f93056192d" hidden="1">#REF!</definedName>
    <definedName name="TB753e66b1_b5aa_4908_812b_ac16cd22e600" hidden="1">#REF!</definedName>
    <definedName name="TB75511fcd_adb6_4a39_b343_1d529a44fcfe" hidden="1">#REF!</definedName>
    <definedName name="TB7574c6bc_05f7_4e0a_a36f_37e9f5e6e0e9" hidden="1">#REF!</definedName>
    <definedName name="TB75861b06_522e_41ee_9437_8e664cb4d812" hidden="1">#REF!</definedName>
    <definedName name="TB758b2a76_c808_4dca_a27b_3e68b081db89" hidden="1">#REF!</definedName>
    <definedName name="TB758d59ac_71b2_4354_9b1b_b86d18530ebf" hidden="1">#REF!</definedName>
    <definedName name="TB759de886_3bba_4d87_8563_8861706cc5e5" hidden="1">#REF!</definedName>
    <definedName name="TB75a0f742_6e53_4a23_b1c3_c4e637f116f5" hidden="1">#REF!</definedName>
    <definedName name="TB75a75d84_8aa3_43e0_b3e6_def889ac2e67" hidden="1">#REF!</definedName>
    <definedName name="TB75b3fea6_9d79_4803_9ddd_441cc02e557a" hidden="1">#REF!</definedName>
    <definedName name="TB75b6e31d_d0b0_4a42_856d_7542c2cef056" hidden="1">#REF!</definedName>
    <definedName name="TB75b6e996_7630_4d71_bd41_2847f22cc1d9" hidden="1">#REF!</definedName>
    <definedName name="TB75b8988d_f183_450e_a822_d598a9087c9f" hidden="1">#REF!</definedName>
    <definedName name="TB75bb7163_7867_4015_8eaf_b06d5e9636be" hidden="1">#REF!</definedName>
    <definedName name="TB75bbd755_b207_4ad6_9b18_0660cb134a0b" hidden="1">#REF!</definedName>
    <definedName name="TB75bcc73a_5fac_4bff_88b5_9804c2a5e4ee" hidden="1">#REF!</definedName>
    <definedName name="TB75c128d5_a9e7_4d75_bc3f_02b9b6ed745c" hidden="1">#REF!</definedName>
    <definedName name="TB75c4e0a9_229a_409e_a179_e69a7718b602" hidden="1">#REF!</definedName>
    <definedName name="TB75ce398f_d511_4462_b8fd_324116f218f2" hidden="1">#REF!</definedName>
    <definedName name="TB75d75129_7d2b_4529_b375_7401d70c6a00" hidden="1">#REF!</definedName>
    <definedName name="TB75e272d6_62a8_4c60_ba33_5e4cf7a0961b" hidden="1">#REF!</definedName>
    <definedName name="TB75ec615d_d3cd_4e3a_b72f_4c1684dc5026" hidden="1">#REF!</definedName>
    <definedName name="TB760822ac_669c_471c_a939_d77b55f06f43" hidden="1">#REF!</definedName>
    <definedName name="TB760a9573_5d46_4182_8cf0_6cdfd515d6cb" hidden="1">#REF!</definedName>
    <definedName name="TB7618fdac_9689_4943_9654_dde5c1f28393" hidden="1">#REF!</definedName>
    <definedName name="TB761c7054_9b7a_4da1_bd5c_791b78b2bce2" hidden="1">#REF!</definedName>
    <definedName name="TB761e298c_0d51_418d_b191_d4c92d35bf91" hidden="1">#REF!</definedName>
    <definedName name="TB76295a06_55a3_4d60_a733_c2c874816158" hidden="1">#REF!</definedName>
    <definedName name="TB7641bd80_8f2a_4346_b43f_e48e8f286ab6" hidden="1">#REF!</definedName>
    <definedName name="TB7642a3ca_b845_4140_bc63_4adb795860c1" hidden="1">#REF!</definedName>
    <definedName name="TB7658f32a_7e88_4e08_a9c7_fe929375848f" hidden="1">#REF!</definedName>
    <definedName name="TB765c6856_5568_4e22_8fbe_90353e99b596" hidden="1">#REF!</definedName>
    <definedName name="TB76601e1f_7f25_4200_b070_cf755026e409" hidden="1">#REF!</definedName>
    <definedName name="TB76646c6f_8651_4ed2_b274_755a5fa9ce7e" hidden="1">#REF!</definedName>
    <definedName name="TB7664be2e_45da_4bfc_ad6a_5ee424b7660e" hidden="1">#REF!</definedName>
    <definedName name="TB7668338b_ffe3_4950_a141_87e9a8d56ff7" hidden="1">#REF!</definedName>
    <definedName name="TB766fc6a7_b4fe_4ba5_b38a_6b6b4bc032fc" hidden="1">#REF!</definedName>
    <definedName name="TB7674091e_a8f4_408a_846c_cb06c0070719" hidden="1">#REF!</definedName>
    <definedName name="TB7674a633_38c6_4831_af91_67454d56ad95" hidden="1">#REF!</definedName>
    <definedName name="TB767c4724_e3d4_4440_9db0_28f1bcb0013d" hidden="1">#REF!</definedName>
    <definedName name="TB767e7a07_10c0_471d_8e06_e6e58631ab8f" hidden="1">#REF!</definedName>
    <definedName name="TB7685ff51_adaa_4711_89fd_a91829572412" hidden="1">#REF!</definedName>
    <definedName name="TB769304a5_7713_47b7_8982_517699f3ae26" hidden="1">#REF!</definedName>
    <definedName name="TB76967980_7e81_4e74_b316_22e35249e3a7" hidden="1">#REF!</definedName>
    <definedName name="TB769c9e3f_aa87_4e90_80e6_d3ce280a300e" hidden="1">#REF!</definedName>
    <definedName name="TB76a29bce_b34c_4007_9349_bdb0bb73e6f4" hidden="1">#REF!</definedName>
    <definedName name="TB76a36911_9ba5_4fbe_9f68_f4c1c860c678" hidden="1">#REF!</definedName>
    <definedName name="TB76a59ea6_5dfc_4d43_b3b5_42eb25a46c27" hidden="1">#REF!</definedName>
    <definedName name="TB76b249cc_6f21_46f8_9420_dd8ab24df34b" hidden="1">#REF!</definedName>
    <definedName name="TB76bac7f5_9d83_4ec0_a30c_36ed95c64437" hidden="1">#REF!</definedName>
    <definedName name="TB76be908b_cc92_4d2a_b5a7_9d60ae93a793" hidden="1">#REF!</definedName>
    <definedName name="TB76bebe24_6fb7_4ac1_ac17_82f2c6199976" hidden="1">#REF!</definedName>
    <definedName name="TB76d29ff5_d51f_43eb_bcab_efb46d4437a5" hidden="1">#REF!</definedName>
    <definedName name="TB76d634d0_9adc_4edf_9ccf_2ec2874f6d4a" hidden="1">#REF!</definedName>
    <definedName name="TB76f57411_8180_47c2_b1b9_6c6dcdf5e88f" hidden="1">#REF!</definedName>
    <definedName name="TB7721870f_b013_4f90_a056_01215713803f" hidden="1">#REF!</definedName>
    <definedName name="TB7724231c_7d45_41d5_afd8_acc271ae0407" hidden="1">#REF!</definedName>
    <definedName name="TB7725571b_06c2_4ee9_bc74_9d32efe80140" hidden="1">#REF!</definedName>
    <definedName name="TB772ab900_2a19_4e3b_a4d4_c1d0969083df" hidden="1">#REF!</definedName>
    <definedName name="TB772d3f63_2b51_48a2_832f_99608aab205a" hidden="1">#REF!</definedName>
    <definedName name="TB773bd94f_4492_4ad7_a375_8e2fb9272265" hidden="1">#REF!</definedName>
    <definedName name="TB77623ac8_b099_4071_bef1_3b1ec8d2f97d" hidden="1">#REF!</definedName>
    <definedName name="TB77680671_51ba_461e_8a11_90a7f5bf14ae" hidden="1">#REF!</definedName>
    <definedName name="TB77684678_a092_49e2_9cb6_852bd1cf3600" hidden="1">#REF!</definedName>
    <definedName name="TB776a43dd_db2d_4c4a_b247_a13d7aefd6ed" hidden="1">#REF!</definedName>
    <definedName name="TB776c35fc_0ec4_400c_bcdd_8193fee00ec2" hidden="1">#REF!</definedName>
    <definedName name="TB776ebaea_da7e_4f82_9fa3_afd89c87df0a" hidden="1">#REF!</definedName>
    <definedName name="TB776f6593_bfc5_4750_86fb_88f0521181ad" hidden="1">#REF!</definedName>
    <definedName name="TB77701657_8636_4d0e_b953_0c98ec2e5e27" hidden="1">#REF!</definedName>
    <definedName name="TB77719140_d01d_45c2_920e_841dc2e08a28" hidden="1">#REF!</definedName>
    <definedName name="TB77761643_752c_4a0c_9f70_fc0003ffd93a" hidden="1">#REF!</definedName>
    <definedName name="TB777d4878_dcc3_4a85_bf83_7ccff5f53e9d" hidden="1">#REF!</definedName>
    <definedName name="TB7783da6f_1074_4bf6_b98a_2c5ab5a97af4" hidden="1">#REF!</definedName>
    <definedName name="TB779d0268_0bf5_447e_89a0_a49d9b8582d6" hidden="1">#REF!</definedName>
    <definedName name="TB77a33554_7eee_471a_b529_864c12623d3f" hidden="1">#REF!</definedName>
    <definedName name="TB77a629cc_9e42_4693_b00b_87d68f603e47" hidden="1">#REF!</definedName>
    <definedName name="TB77b8354f_c67f_49de_a78d_18d77aaa51a1" hidden="1">#REF!</definedName>
    <definedName name="TB77c3ae2d_170a_4b1b_a0d4_35d41aedbec8" hidden="1">#REF!</definedName>
    <definedName name="TB77d5ba3b_f6e0_4c95_99cb_b0db2d536644" hidden="1">#REF!</definedName>
    <definedName name="TB77db82da_303f_4541_9334_a5d3aef57919" hidden="1">#REF!</definedName>
    <definedName name="TB77eb3e29_426f_4c1f_b72d_2cc40681d986" hidden="1">#REF!</definedName>
    <definedName name="TB77f3646c_72ac_4a6a_a1da_6b205f32e1c1" hidden="1">#REF!</definedName>
    <definedName name="TB77fa60e3_b7fd_4ac1_864a_1b8ccf3a1193" hidden="1">#REF!</definedName>
    <definedName name="TB77fe9bdc_cc3b_4faf_9f22_d2998225843f" hidden="1">#REF!</definedName>
    <definedName name="TB780330ff_1d6e_4afe_9a2c_52ffa33a562f" hidden="1">#REF!</definedName>
    <definedName name="TB780399cf_a5fd_49a6_b0b0_b2c07dbe2db9" hidden="1">#REF!</definedName>
    <definedName name="TB78093235_0b07_47d0_9db6_a082a32d0d42" hidden="1">#REF!</definedName>
    <definedName name="TB780f970b_69ec_438d_ab7c_73831ec01732" hidden="1">#REF!</definedName>
    <definedName name="TB780fbe79_d89b_4496_95d9_2f13b547829a" hidden="1">#REF!</definedName>
    <definedName name="TB78147d4c_a86a_4d26_bd80_e3e2edd37f98" hidden="1">#REF!</definedName>
    <definedName name="TB781b06b4_e94b_4a6e_8877_00800c109bd4" hidden="1">#REF!</definedName>
    <definedName name="TB782de0aa_4d29_487a_a3b7_1e21215428cb" hidden="1">#REF!</definedName>
    <definedName name="TB782ea462_de82_4ef3_9104_c4bf3718ea9a" hidden="1">#REF!</definedName>
    <definedName name="TB78310dae_b232_4a15_82e2_55b5db8552e9" hidden="1">#REF!</definedName>
    <definedName name="TB78408348_aa23_4d3b_ab33_87194d95345f" hidden="1">#REF!</definedName>
    <definedName name="TB78409671_cdbc_413e_a5da_1607b9cba442" hidden="1">#REF!</definedName>
    <definedName name="TB784183a3_921f_4653_8aa6_d1fb66616b75" hidden="1">#REF!</definedName>
    <definedName name="TB78464463_849e_4572_b9c2_3eed65218590" hidden="1">#REF!</definedName>
    <definedName name="TB784ce0b8_dcca_4a47_acf1_e90e43c09cc6" hidden="1">#REF!</definedName>
    <definedName name="TB78557c85_d09b_484b_b4ae_82bb1fe1ab1b" hidden="1">#REF!</definedName>
    <definedName name="TB788e974c_18e0_412d_8f48_5caaba338fb5" hidden="1">#REF!</definedName>
    <definedName name="TB788f5696_aefb_4b79_bc2f_32543dd90084" hidden="1">#REF!</definedName>
    <definedName name="TB78922dff_2838_4a06_a7f0_1b742b582c76" hidden="1">#REF!</definedName>
    <definedName name="TB78949c21_6655_48f4_990c_6dd8ab6c06da" hidden="1">#REF!</definedName>
    <definedName name="TB789b862a_b780_4c3a_a00a_4d769baf8297" hidden="1">#REF!</definedName>
    <definedName name="TB78ad7601_8559_45b0_b2ee_f562d755c755" hidden="1">#REF!</definedName>
    <definedName name="TB78adcc7d_b307_4577_87b7_bce7fd80b374" hidden="1">#REF!</definedName>
    <definedName name="TB78b08037_98f5_4ed2_9396_49ca662f52ff" hidden="1">#REF!</definedName>
    <definedName name="TB78b8bf1c_e3f6_4c02_9514_e75f69f1d618" hidden="1">#REF!</definedName>
    <definedName name="TB78c7214e_5577_4050_a1f0_84d5d95b13a4" hidden="1">#REF!</definedName>
    <definedName name="TB78db6574_2d2e_4518_9f2a_ee6596575586" hidden="1">#REF!</definedName>
    <definedName name="TB78ddf2a4_a82c_4df7_a623_ef2cb412d78f" hidden="1">#REF!</definedName>
    <definedName name="TB78e1d14b_3459_492b_b20a_5aab4508dec9" hidden="1">#REF!</definedName>
    <definedName name="TB78e33c5d_1dd2_4f07_907d_24ba9100d919" hidden="1">#REF!</definedName>
    <definedName name="TB78f1d27a_3eb7_4229_a439_e68d0826a296" hidden="1">#REF!</definedName>
    <definedName name="TB78f93601_08c9_4664_aa94_c8289553e51b" hidden="1">#REF!</definedName>
    <definedName name="TB790a9519_7b17_4ab6_8965_2075e41546d9" hidden="1">#REF!</definedName>
    <definedName name="TB790bf8f9_2023_402b_8ea6_807e63c1413a" hidden="1">#REF!</definedName>
    <definedName name="TB7910f8cf_a052_4f69_ab84_f1ac837b7eed" hidden="1">#REF!</definedName>
    <definedName name="TB791395ec_3f17_4ccd_af0e_8ada62713834" hidden="1">#REF!</definedName>
    <definedName name="TB791f7e19_7fca_423a_beba_1f0b75d4cbe3" hidden="1">#REF!</definedName>
    <definedName name="TB7924b5bf_9f3a_4482_94c1_d8d8e908e7e8" hidden="1">#REF!</definedName>
    <definedName name="TB79445b74_1e5e_47ed_ba20_90e95a002519" hidden="1">#REF!</definedName>
    <definedName name="TB795ffa81_d8cb_4354_a870_e66f67acda12" hidden="1">#REF!</definedName>
    <definedName name="TB79607c17_ccde_4b6d_90cf_f3ce8f394e0e" hidden="1">#REF!</definedName>
    <definedName name="TB7966a4de_cdf3_44de_94d0_21402e16b396" hidden="1">#REF!</definedName>
    <definedName name="TB796c8334_892d_4ed8_a792_db9f314836e2" hidden="1">#REF!</definedName>
    <definedName name="TB79705411_36a2_45b9_a28c_ecf00943eb25" hidden="1">#REF!</definedName>
    <definedName name="TB797da422_d465_4ebf_96cf_8667146f90b6" hidden="1">#REF!</definedName>
    <definedName name="TB797df292_3766_44ed_9f60_c60e95a9cf6a" hidden="1">#REF!</definedName>
    <definedName name="TB7982155e_3814_461a_be58_ef42f06acf82" hidden="1">#REF!</definedName>
    <definedName name="TB7988fcb6_7b82_4c9e_a111_8afef160d543" hidden="1">#REF!</definedName>
    <definedName name="TB79939348_d44d_44a1_af1a_8af4bc351548" hidden="1">#REF!</definedName>
    <definedName name="TB79a24210_aecb_4430_b792_7b6e7e397a89" hidden="1">#REF!</definedName>
    <definedName name="TB79a553a2_1bee_4f00_a531_c226f791f945" hidden="1">#REF!</definedName>
    <definedName name="TB79b02cc3_40ce_421e_a593_a378776b8558" hidden="1">#REF!</definedName>
    <definedName name="TB79b7c0d5_92e5_4e2f_ba77_44c42203b415" hidden="1">#REF!</definedName>
    <definedName name="TB79de9ed2_d22e_4f13_8a3b_f9c3ce58b45e" hidden="1">#REF!</definedName>
    <definedName name="TB79e2604b_87a6_4a3c_b28d_3599ba3ebc1a" hidden="1">#REF!</definedName>
    <definedName name="TB79ea3fe4_c4dd_49d8_b169_99b081051f65" hidden="1">#REF!</definedName>
    <definedName name="TB79ea98b9_1dc9_4f50_9c86_e21fc56b6755" hidden="1">#REF!</definedName>
    <definedName name="TB7a045796_41c0_45d8_98f0_8209648d22d7" hidden="1">#REF!</definedName>
    <definedName name="TB7a222ac8_c85d_4ba3_adea_227739d1f029" hidden="1">#REF!</definedName>
    <definedName name="TB7a28914c_d0cb_4f28_9a74_900516cc025f" hidden="1">#REF!</definedName>
    <definedName name="TB7a2e0edd_55c3_4498_a71b_cf1e09695c62" hidden="1">#REF!</definedName>
    <definedName name="TB7a3cfb82_23cd_44ea_acee_bf416bda65ad" hidden="1">#REF!</definedName>
    <definedName name="TB7a43cfc2_8206_43da_8125_5e4ac20fe486" hidden="1">#REF!</definedName>
    <definedName name="TB7a4fa918_f60f_4b15_aaf5_443d99af3b3f" hidden="1">#REF!</definedName>
    <definedName name="TB7a52a76f_7d5f_47b1_8e32_44d93459157a" hidden="1">#REF!</definedName>
    <definedName name="TB7a53e2ea_7d06_4077_a2af_f9635468c15c" hidden="1">#REF!</definedName>
    <definedName name="TB7a57a33e_392b_4189_8730_9ce337938e4b" hidden="1">#REF!</definedName>
    <definedName name="TB7a5e7013_89d5_4550_bd43_18f4af655872" hidden="1">#REF!</definedName>
    <definedName name="TB7a5f11f0_9692_4ac1_9093_b6e02f77ac5d" hidden="1">#REF!</definedName>
    <definedName name="TB7a5f9fa7_9496_4654_9a5e_e8b17909bd9a" hidden="1">#REF!</definedName>
    <definedName name="TB7a627845_f41d_42a9_a1f8_f04aa85d4b21" hidden="1">#REF!</definedName>
    <definedName name="TB7a6905b0_c6f7_4728_b962_f2f752f4d4f1" hidden="1">#REF!</definedName>
    <definedName name="TB7a7c4433_b6b3_4545_835d_8ebb8206f377" hidden="1">#REF!</definedName>
    <definedName name="TB7a818d1d_2d7b_4467_8d4c_9d88307b9016" hidden="1">#REF!</definedName>
    <definedName name="TB7a959b42_3ed7_4f13_96eb_5a343c102788" hidden="1">#REF!</definedName>
    <definedName name="TB7a99bd18_a2aa_4195_9845_8815dbb13230" hidden="1">#REF!</definedName>
    <definedName name="TB7aaacd80_9bf6_47bd_abbf_9e647c64bb2c" hidden="1">#REF!</definedName>
    <definedName name="TB7aad6dca_00f6_4594_b4e5_7ba498b2f9db" hidden="1">#REF!</definedName>
    <definedName name="TB7aaf0e5f_757c_4616_a5fe_f3c08241d50a" hidden="1">#REF!</definedName>
    <definedName name="TB7ab16710_9a5a_4b55_9eec_45215a284634" hidden="1">#REF!</definedName>
    <definedName name="TB7ab745db_969d_455b_a850_39540ca1dd42" hidden="1">#REF!</definedName>
    <definedName name="TB7ac85cf0_fcb5_42de_9f14_27140d6a657c" hidden="1">#REF!</definedName>
    <definedName name="TB7acbc7e2_91ed_4fc9_ba67_c0a1bcc46f05" hidden="1">#REF!</definedName>
    <definedName name="TB7acc1557_1f14_4983_971d_e75d5630b6c4" hidden="1">#REF!</definedName>
    <definedName name="TB7ada9e19_0f23_4004_92f8_519d3089a3d0" hidden="1">#REF!</definedName>
    <definedName name="TB7adc98e7_8c14_4417_8f61_4930d12e4384" hidden="1">#REF!</definedName>
    <definedName name="TB7af0641d_b51e_445f_b8ef_9b22f514b8b6" hidden="1">#REF!</definedName>
    <definedName name="TB7af34c18_3828_4515_874b_eae22ac3f2df" hidden="1">#REF!</definedName>
    <definedName name="TB7b1a282a_b379_4f0c_a3cc_90d05c815d66" hidden="1">#REF!</definedName>
    <definedName name="TB7b1fe947_c36e_465e_aa5a_723670e360e8" hidden="1">#REF!</definedName>
    <definedName name="TB7b28ab13_de30_4862_aeb4_4c0747af84e6" hidden="1">#REF!</definedName>
    <definedName name="TB7b293739_b7fd_4819_a38a_c51cce827d56" hidden="1">#REF!</definedName>
    <definedName name="TB7b2d56ad_30e5_45d1_9753_be4b0de9db03" hidden="1">#REF!</definedName>
    <definedName name="TB7b418106_5d15_4639_9256_a04150f87d2f" hidden="1">#REF!</definedName>
    <definedName name="TB7b45ae27_f091_496e_85c3_0aa1b8e971f6" hidden="1">#REF!</definedName>
    <definedName name="TB7b4ff2d3_89f7_4e6a_afd5_6308d369159b" hidden="1">#REF!</definedName>
    <definedName name="TB7b55a79b_6930_469c_bb58_40402f095667" hidden="1">#REF!</definedName>
    <definedName name="TB7b614cb3_9586_4ee5_9015_9ee7ccb802d8" hidden="1">#REF!</definedName>
    <definedName name="TB7b6a8f65_861d_4d98_a5c5_f6a9e465dc11" hidden="1">#REF!</definedName>
    <definedName name="TB7b71bd66_3ffd_470b_9cf0_8b99554108e5" hidden="1">#REF!</definedName>
    <definedName name="TB7b8848ac_b060_41ad_8b15_f928f14eef7a" hidden="1">#REF!</definedName>
    <definedName name="TB7b942956_a3b1_49e8_ad8c_e380b72ff989" hidden="1">#REF!</definedName>
    <definedName name="TB7b9e2222_1cd1_416a_9ec7_e7be4a8fb9e1" hidden="1">#REF!</definedName>
    <definedName name="TB7bb2f906_6b70_48f6_8ae4_f64ad0569c44" hidden="1">#REF!</definedName>
    <definedName name="TB7bb7841d_312d_450c_a146_9271c58bd151" hidden="1">#REF!</definedName>
    <definedName name="TB7bbb4e9c_df33_4e3d_aa46_2a5fc170a895" hidden="1">#REF!</definedName>
    <definedName name="TB7bbe9085_6cdc_483c_8770_401159e15269" hidden="1">#REF!</definedName>
    <definedName name="TB7bc1392d_73be_4377_9e38_42a9a391f71c" hidden="1">#REF!</definedName>
    <definedName name="TB7bc4a887_e6df_4b2b_af04_dba879aff7e3" hidden="1">#REF!</definedName>
    <definedName name="TB7bc7d91b_7b80_45a7_a774_197d07c3ddd0" hidden="1">#REF!</definedName>
    <definedName name="TB7bcd96b0_2382_424c_860d_d48670f299e6" hidden="1">#REF!</definedName>
    <definedName name="TB7bcfd9dd_1d40_422e_b6d2_27adb1323e42" hidden="1">#REF!</definedName>
    <definedName name="TB7bd31571_3065_4f8e_890e_db16c312ecba" hidden="1">#REF!</definedName>
    <definedName name="TB7bdb3500_7374_45e2_a82e_fa3502620ea9" hidden="1">#REF!</definedName>
    <definedName name="TB7bdb4932_9409_4a51_9c29_4625c271d8fe" hidden="1">#REF!</definedName>
    <definedName name="TB7be73cfb_bcb8_454f_988d_297281613ef3" hidden="1">#REF!</definedName>
    <definedName name="TB7bf0053c_9bff_49b2_abe0_1e549bcd6a0c" hidden="1">#REF!</definedName>
    <definedName name="TB7bf3b434_4993_45f5_8e6c_a075d82bc61a" hidden="1">#REF!</definedName>
    <definedName name="TB7bfebf5e_3456_4543_88dd_ff8e63e395c4" hidden="1">#REF!</definedName>
    <definedName name="TB7c05d7bb_942b_4df3_a266_a3a4eb5d6678" hidden="1">#REF!</definedName>
    <definedName name="TB7c0852f1_2347_4552_b326_c6b2c71ee6bb" hidden="1">#REF!</definedName>
    <definedName name="TB7c0ca9d4_d1a9_49f8_bfae_025b0f56359b" hidden="1">#REF!</definedName>
    <definedName name="TB7c1cf536_5f3c_4d07_bf35_9f09cc9a531d" hidden="1">#REF!</definedName>
    <definedName name="TB7c1ed2ae_b63a_40a4_87db_27f810378c1c" hidden="1">#REF!</definedName>
    <definedName name="TB7c213ac1_c821_4189_8e1d_2d24526807a2" hidden="1">#REF!</definedName>
    <definedName name="TB7c230821_8d93_4314_8c38_a0d48b281d19" hidden="1">#REF!</definedName>
    <definedName name="TB7c31f4c2_9d77_4a87_bc75_3e5559dc5bfb" hidden="1">#REF!</definedName>
    <definedName name="TB7c3710d0_1bc9_4ebf_aa46_9fcd24bf271c" hidden="1">#REF!</definedName>
    <definedName name="TB7c39c898_a537_46e0_83fa_bdc6a57f4924" hidden="1">#REF!</definedName>
    <definedName name="TB7c4329a8_00b7_4ab1_96d2_b77e23809ffe" hidden="1">#REF!</definedName>
    <definedName name="TB7c5dfee7_59ed_48f5_a3b6_305b23f1d645" hidden="1">#REF!</definedName>
    <definedName name="TB7c71ccd2_bc24_4930_8a82_b4da0286713c" hidden="1">#REF!</definedName>
    <definedName name="TB7c787ddc_be48_4d68_8d7a_0671c7275458" hidden="1">#REF!</definedName>
    <definedName name="TB7c80e21f_f960_4163_affa_b37034d4beb5" hidden="1">#REF!</definedName>
    <definedName name="TB7c863656_119b_4272_93a1_9db443d5cd2e" hidden="1">#REF!</definedName>
    <definedName name="TB7c998b35_a051_4e74_b12d_7151ba59a195" hidden="1">#REF!</definedName>
    <definedName name="TB7c9a9f4f_263b_4192_bb76_c01e0e32be2f" hidden="1">#REF!</definedName>
    <definedName name="TB7c9b2143_05f8_4208_aabe_a7e64ee28943" hidden="1">#REF!</definedName>
    <definedName name="TB7c9ddfc1_6f72_4e36_ada4_d17cd44d2f3e" hidden="1">#REF!</definedName>
    <definedName name="TB7ca38f88_3cfd_4c54_b824_e3df8a395e27" hidden="1">#REF!</definedName>
    <definedName name="TB7cad82b7_df1b_4bfe_a395_ab736556009a" hidden="1">#REF!</definedName>
    <definedName name="TB7cb6700d_050b_428f_a30a_1b1352540e43" hidden="1">#REF!</definedName>
    <definedName name="TB7cbcc946_56bd_4255_8621_aca9c0a8b7be" hidden="1">#REF!</definedName>
    <definedName name="TB7cc02014_3609_4f12_bcda_89047c587648" hidden="1">#REF!</definedName>
    <definedName name="TB7cd2a7c1_f1d1_47c4_97c1_76255624f6dd" hidden="1">#REF!</definedName>
    <definedName name="TB7ce7bee1_8c25_45f6_8744_abff517b4da1" hidden="1">#REF!</definedName>
    <definedName name="TB7cf0afa0_c588_404c_a4e0_e3ad225c7299" hidden="1">#REF!</definedName>
    <definedName name="TB7cf1d42a_b362_40fa_8004_89941785f572" hidden="1">#REF!</definedName>
    <definedName name="TB7cff9d61_960b_40ea_9f32_f811dcf5b4ed" hidden="1">#REF!</definedName>
    <definedName name="TB7d0bf998_3239_433d_9d1b_f184c48ba707" hidden="1">#REF!</definedName>
    <definedName name="TB7d0f0183_0d9a_4a5b_b04e_35aa1cecfa5d" hidden="1">#REF!</definedName>
    <definedName name="TB7d13ea29_ed78_48ec_9b3f_8a4ca2ad54f2" hidden="1">#REF!</definedName>
    <definedName name="TB7d194248_5d23_4838_b604_494ff2c2fed4" hidden="1">#REF!</definedName>
    <definedName name="TB7d1b1610_fd12_47bb_9e1e_ea0586020033" hidden="1">#REF!</definedName>
    <definedName name="TB7d2f6ef6_2a28_4661_9a0c_df9071b321b2" hidden="1">#REF!</definedName>
    <definedName name="TB7d2fce0f_bf19_46ff_ac15_72e1c99708d3" hidden="1">#REF!</definedName>
    <definedName name="TB7d34bde3_c970_4596_b30e_5e4f1f4af1d6" hidden="1">#REF!</definedName>
    <definedName name="TB7d390c85_c144_4246_87e8_d56ad44c20b3" hidden="1">#REF!</definedName>
    <definedName name="TB7d48414d_6443_4d5c_be85_f5fddab8e0a6" hidden="1">#REF!</definedName>
    <definedName name="TB7d4c96dc_3d99_40f4_aecc_086cd4347d08" hidden="1">#REF!</definedName>
    <definedName name="TB7d5a9804_7af2_4dfe_b386_f6d7e838b3f2" hidden="1">#REF!</definedName>
    <definedName name="TB7d682cbc_726c_4390_b022_0e3b7f2c7e9b" hidden="1">#REF!</definedName>
    <definedName name="TB7d778caa_9f59_4246_9aa8_423199c456bb" hidden="1">#REF!</definedName>
    <definedName name="TB7d8a5c3a_19e3_49bb_9580_58be48ac050e" hidden="1">#REF!</definedName>
    <definedName name="TB7d8c6aeb_319c_4831_9d06_41e02d27093c" hidden="1">#REF!</definedName>
    <definedName name="TB7d8dd8e7_e68f_4ecd_87c4_4ab097361d8d" hidden="1">#REF!</definedName>
    <definedName name="TB7d9420c5_5085_4d27_bf52_02194a71af61" hidden="1">#REF!</definedName>
    <definedName name="TB7daf5904_3b17_4be1_b89f_9dad8f56bfa3" hidden="1">#REF!</definedName>
    <definedName name="TB7db24dac_de60_4b62_a291_7a4964465403" hidden="1">#REF!</definedName>
    <definedName name="TB7dc3566c_7d12_4221_a8bd_0c81c8303fd9" hidden="1">#REF!</definedName>
    <definedName name="TB7dc91611_4f97_4bbd_8156_4d5d086f13bb" hidden="1">#REF!</definedName>
    <definedName name="TB7dcb8813_3143_4b06_b395_3b6ac909983f" hidden="1">#REF!</definedName>
    <definedName name="TB7dcc104d_a19f_412a_a0cc_b13e90df2bdc" hidden="1">#REF!</definedName>
    <definedName name="TB7dd72ddf_0e45_48d9_a3f6_edfbb5ee3f36" hidden="1">#REF!</definedName>
    <definedName name="TB7e07c019_867f_42d1_9eb6_7c7cf22a96f5" hidden="1">#REF!</definedName>
    <definedName name="TB7e1294d3_7e58_4ae1_bdfc_29f9d45c0c50" hidden="1">#REF!</definedName>
    <definedName name="TB7e1449d8_7283_4d07_a7e0_4583036194a0" hidden="1">#REF!</definedName>
    <definedName name="TB7e19cc85_13c1_4acd_b221_d14677cdd042" hidden="1">#REF!</definedName>
    <definedName name="TB7e1c604a_8163_48db_a375_1372f83276c6" hidden="1">#REF!</definedName>
    <definedName name="TB7e20313b_8cc2_48ba_94f2_274090ec666c" hidden="1">#REF!</definedName>
    <definedName name="TB7e2852fc_d6d2_43bd_bd60_c06b31dfe387" hidden="1">#REF!</definedName>
    <definedName name="TB7e4a32d2_1a36_46ee_ad02_ea570b37a8f6" hidden="1">#REF!</definedName>
    <definedName name="TB7e4c31db_3696_4435_bf07_9462dff3b27a" hidden="1">#REF!</definedName>
    <definedName name="TB7e4f69ce_563f_4900_8478_2a5fdcf93476" hidden="1">#REF!</definedName>
    <definedName name="TB7e58748f_cd02_43db_8831_05272c30cf4f" hidden="1">#REF!</definedName>
    <definedName name="TB7e61d3ae_08d6_49e4_bf4f_e1327a71a78d" hidden="1">#REF!</definedName>
    <definedName name="TB7e64e7db_2d10_4f86_b5e6_80f2d9fe2680" hidden="1">#REF!</definedName>
    <definedName name="TB7e660f23_e40c_4868_9f8b_ab7b8509bf4a" hidden="1">#REF!</definedName>
    <definedName name="TB7e68b3d4_4cee_42de_853c_3b8f30b2b8a8" hidden="1">#REF!</definedName>
    <definedName name="TB7e7f99e2_00fa_43fc_94b7_fd040ba319bf" hidden="1">#REF!</definedName>
    <definedName name="TB7e8bc32b_402e_42d8_9dde_5f8386a7f00d" hidden="1">#REF!</definedName>
    <definedName name="TB7e906a6a_87b3_43fc_a8e0_c68e840961e5" hidden="1">#REF!</definedName>
    <definedName name="TB7e9eda3a_659b_4932_888c_3a2aada61698" hidden="1">#REF!</definedName>
    <definedName name="TB7ea42e44_a2ff_471b_a939_8cb88a821bd3" hidden="1">#REF!</definedName>
    <definedName name="TB7eb9d05b_49a6_4e49_870c_7cd01261c2db" hidden="1">#REF!</definedName>
    <definedName name="TB7ec3822c_2bae_4a67_a250_9773c32a73de" hidden="1">#REF!</definedName>
    <definedName name="TB7ec9a55f_2b9c_44a4_865e_e4287af43349" hidden="1">#REF!</definedName>
    <definedName name="TB7ecfcd0c_8975_48e6_8efb_2b1ade3edffa" hidden="1">#REF!</definedName>
    <definedName name="TB7ed1c28b_5b90_4d88_846f_c6957070dae3" hidden="1">#REF!</definedName>
    <definedName name="TB7eee25d9_be66_4605_9a92_50c56dd7a438" hidden="1">#REF!</definedName>
    <definedName name="TB7eef6769_384f_4cfa_a3a4_37bfa7b52e91" hidden="1">#REF!</definedName>
    <definedName name="TB7ef098a7_f34e_4590_9eb3_eb7042ced530" hidden="1">#REF!</definedName>
    <definedName name="TB7ef5728c_abb8_4a88_9ed4_721ad42acc5f" hidden="1">#REF!</definedName>
    <definedName name="TB7f15a3f2_c9cf_41b0_9723_6499bec9a599" hidden="1">#REF!</definedName>
    <definedName name="TB7f16eae7_3a5c_404f_a95f_ac2e0ba26649" hidden="1">#REF!</definedName>
    <definedName name="TB7f23d6ca_df10_40b3_949d_25853ed8515d" hidden="1">#REF!</definedName>
    <definedName name="TB7f262dca_e862_4115_995a_40597c3c5445" hidden="1">#REF!</definedName>
    <definedName name="TB7f2651ef_d4f4_4465_9399_988225c78e7f" hidden="1">#REF!</definedName>
    <definedName name="TB7f2edd97_711e_4849_a289_29e845573ef7" hidden="1">#REF!</definedName>
    <definedName name="TB7f31d83b_ee19_41c4_a5d8_f3be3187da71" hidden="1">#REF!</definedName>
    <definedName name="TB7f3bc9a7_f9cf_471f_9fc8_65004770a310" hidden="1">#REF!</definedName>
    <definedName name="TB7f46c75c_f314_4536_b235_66088c214d8c" hidden="1">#REF!</definedName>
    <definedName name="TB7f539b04_67b2_416b_81db_2775c04b234d" hidden="1">#REF!</definedName>
    <definedName name="TB7f54049f_4dc8_4be2_8629_38e1bdba08de" hidden="1">#REF!</definedName>
    <definedName name="TB7f56e402_89bf_4b47_8be7_b9d902d95a37" hidden="1">#REF!</definedName>
    <definedName name="TB7f5b4141_9bd4_4813_aa97_11be54c96024" hidden="1">#REF!</definedName>
    <definedName name="TB7f5c6bba_f3bd_4f89_9fc9_4178f3aa965f" hidden="1">#REF!</definedName>
    <definedName name="TB7f6e0daa_e503_48c3_bd75_9310ead71969" hidden="1">#REF!</definedName>
    <definedName name="TB7f869d5a_3cc4_4844_a14c_7f55a9a5633f" hidden="1">#REF!</definedName>
    <definedName name="TB7f886213_ba87_40a3_8e07_1e8e2477a1c9" hidden="1">#REF!</definedName>
    <definedName name="TB7f8ea451_5d09_49e9_b71e_3f0e21c4de32" hidden="1">#REF!</definedName>
    <definedName name="TB7f93e9c4_9ce7_48f3_99f0_425a369d4513" hidden="1">#REF!</definedName>
    <definedName name="TB7f9c0f9e_3930_4ff5_b9ae_281a3bd8bc16" hidden="1">#REF!</definedName>
    <definedName name="TB7fa5679a_75f7_4da4_bc77_6a318ea131e9" hidden="1">#REF!</definedName>
    <definedName name="TB7fa992ea_00c1_49e0_8f4f_88448b93f302" hidden="1">#REF!</definedName>
    <definedName name="TB7fb8173e_2655_4f18_ab3f_3ec893d32f7c" hidden="1">#REF!</definedName>
    <definedName name="TB7fbad1a8_53be_4649_8eb1_ad633c68672a" hidden="1">#REF!</definedName>
    <definedName name="TB7fc457f0_ad9e_4e00_a745_0dbf9d6ba45e" hidden="1">#REF!</definedName>
    <definedName name="TB7fd974b9_7378_4039_9a3c_5edf331f4e06" hidden="1">#REF!</definedName>
    <definedName name="TB7fda914e_1f2e_4de4_90bb_44e1a539cc51" hidden="1">#REF!</definedName>
    <definedName name="TB7fde3a1c_ddc9_4e44_a5e3_9c6fd2acd328" hidden="1">#REF!</definedName>
    <definedName name="TB7fe92829_a404_4506_88fe_ec2999bce688" hidden="1">#REF!</definedName>
    <definedName name="TB7fea445a_2fc7_46ae_95c0_40f2b554f8af" hidden="1">#REF!</definedName>
    <definedName name="TB8012be72_8b22_4448_b40a_f08d8460d5ef" hidden="1">#REF!</definedName>
    <definedName name="TB8013af9b_f07b_49fd_ae3a_dfbad131ad1e" hidden="1">#REF!</definedName>
    <definedName name="TB801501fd_8997_4b0f_a3ff_0e84d3c196fe" hidden="1">#REF!</definedName>
    <definedName name="TB802e5eb1_8970_45ac_9cae_08f8f5f3e722" hidden="1">#REF!</definedName>
    <definedName name="TB80374b8b_996b_4100_bd2d_22e1772e6656" hidden="1">#REF!</definedName>
    <definedName name="TB80448147_db99_454f_8c85_5b29d5aa5e88" hidden="1">#REF!</definedName>
    <definedName name="TB804f245d_ae3a_4cbb_bffe_79b41f6ab8c4" hidden="1">#REF!</definedName>
    <definedName name="TB8052a50f_5705_4bf0_a387_7a9c8fa7c85c" hidden="1">#REF!</definedName>
    <definedName name="TB8057cdd0_c168_4a50_b061_8039587f0a69" hidden="1">#REF!</definedName>
    <definedName name="TB8063485a_d85c_4b6b_8881_c0b4b99e9f1f" hidden="1">#REF!</definedName>
    <definedName name="TB8077842b_fa29_4f34_b474_8be301fb1374" hidden="1">#REF!</definedName>
    <definedName name="TB8077af4b_2bba_4103_bf53_f0dc425f3800" hidden="1">#REF!</definedName>
    <definedName name="TB80a87acf_b09e_4a1d_a5f6_af481733d909" hidden="1">#REF!</definedName>
    <definedName name="TB80aaf2eb_6e2d_42b6_af35_e69d4fa5e734" hidden="1">#REF!</definedName>
    <definedName name="TB80ae111b_91ce_4116_90f6_5be8104c55c2" hidden="1">#REF!</definedName>
    <definedName name="TB80b0f62c_af28_4fa5_b00d_470f69a8b31d" hidden="1">#REF!</definedName>
    <definedName name="TB80c21a32_7747_4681_b663_acea35b932db" hidden="1">#REF!</definedName>
    <definedName name="TB80c27a1d_65de_4cc4_938a_9d19569e3e33" hidden="1">#REF!</definedName>
    <definedName name="TB80c6bc26_efab_47c6_8bdd_b1bd467cd207" hidden="1">#REF!</definedName>
    <definedName name="TB80e193df_7c70_486d_843c_cbd9d39db03b" hidden="1">#REF!</definedName>
    <definedName name="TB80eef828_b22e_4818_9863_a8bc31199b97" hidden="1">#REF!</definedName>
    <definedName name="TB81009ead_c4a7_473a_b071_5ccc41e0d72d" hidden="1">#REF!</definedName>
    <definedName name="TB8108dfe1_ba54_4596_893d_97c9cbd342fa" hidden="1">#REF!</definedName>
    <definedName name="TB810a712a_26bc_429c_bba0_f179d2d2e33e" hidden="1">#REF!</definedName>
    <definedName name="TB810f8a7f_1123_4e38_9a2d_0e6c5a9a43cb" hidden="1">#REF!</definedName>
    <definedName name="TB8111dc3e_8057_47ad_ab9f_18f1f9e2b6e7" hidden="1">#REF!</definedName>
    <definedName name="TB8120dd6f_07ce_4d16_a07e_b44561755c86" hidden="1">#REF!</definedName>
    <definedName name="TB813116ee_b596_4c07_b5b5_7f9e5aa2c752" hidden="1">#REF!</definedName>
    <definedName name="TB813b7ed2_661c_487f_8437_fa06eff45562" hidden="1">#REF!</definedName>
    <definedName name="TB8140f65b_dadd_4aa2_9c59_4e0e4d903fc0" hidden="1">#REF!</definedName>
    <definedName name="TB81505abe_a483_4f46_a8c4_7fb1b82cbba0" hidden="1">#REF!</definedName>
    <definedName name="TB8157b3df_3480_4f3e_9033_7aa9b57d59b7" hidden="1">#REF!</definedName>
    <definedName name="TB815a693c_f072_4388_b4e4_e775d746667c" hidden="1">#REF!</definedName>
    <definedName name="TB81664a14_e1bb_4e53_8608_54feaa61fa27" hidden="1">#REF!</definedName>
    <definedName name="TB8169d18f_7e19_4023_a089_0fd98729cb80" hidden="1">#REF!</definedName>
    <definedName name="TB81723b61_da88_4225_96c7_26f170e7da70" hidden="1">#REF!</definedName>
    <definedName name="TB8177afd8_452a_4a88_87cb_e20d99ae24b6" hidden="1">#REF!</definedName>
    <definedName name="TB817f1b2f_1695_4f11_b9f3_94b1acad3da7" hidden="1">#REF!</definedName>
    <definedName name="TB81843c4c_8ee5_4176_8e7d_d039363b5bcc" hidden="1">#REF!</definedName>
    <definedName name="TB8195195c_1f35_4e80_b7c8_f600f3f20975" hidden="1">#REF!</definedName>
    <definedName name="TB81afedce_b099_4464_a6ad_814235c8a725" hidden="1">#REF!</definedName>
    <definedName name="TB81c30c3d_90f0_45b3_8427_e9f96ef14fc1" hidden="1">#REF!</definedName>
    <definedName name="TB81c74f69_9c10_4afa_9d1c_d2a9b7ad2b2b" hidden="1">#REF!</definedName>
    <definedName name="TB81d133cb_ba27_4c00_a4af_85ff77c574fa" hidden="1">#REF!</definedName>
    <definedName name="TB81db2b91_77bc_40be_8cdc_2173281c8959" hidden="1">#REF!</definedName>
    <definedName name="TB81e6a090_2e7e_4826_a674_ab4e77a4a6ec" hidden="1">#REF!</definedName>
    <definedName name="TB81ebdf27_bdda_4f0f_b5fb_49264d60f22d" hidden="1">#REF!</definedName>
    <definedName name="TB81ec0030_a179_44ba_b1e2_f08a68ad1ef4" hidden="1">#REF!</definedName>
    <definedName name="TB820d28d8_bf26_41e3_9eba_2170b4244640" hidden="1">#REF!</definedName>
    <definedName name="TB82130758_e17f_493e_bb32_55f9be30dea0" hidden="1">#REF!</definedName>
    <definedName name="TB821c133e_cfda_47e8_87b4_c9ee76470b46" hidden="1">#REF!</definedName>
    <definedName name="TB821cedd4_9d09_4bd2_b3e3_79816203f7d7" hidden="1">#REF!</definedName>
    <definedName name="TB82221e24_897d_4e09_800f_f92a5dd32c8b" hidden="1">#REF!</definedName>
    <definedName name="TB822c78f1_f7c7_43e8_9c02_f5cc675f98e1" hidden="1">#REF!</definedName>
    <definedName name="TB822e4158_0cc5_4507_9195_b7cc54dcb9a7" hidden="1">#REF!</definedName>
    <definedName name="TB822ee2d0_55b0_4d9c_90bc_fad91811eae0" hidden="1">#REF!</definedName>
    <definedName name="TB8232783f_788f_4790_a237_d345d36a59e3" hidden="1">#REF!</definedName>
    <definedName name="TB82507891_a9fa_4533_b1bc_e829fe7b36ff" hidden="1">#REF!</definedName>
    <definedName name="TB82578a9e_4e47_405b_bdd0_49a134fad4a3" hidden="1">#REF!</definedName>
    <definedName name="TB825900f3_5053_4e06_ad0c_15a7b93623d7" hidden="1">#REF!</definedName>
    <definedName name="TB8259f9ee_0e0b_41ef_87fc_1cad13aa722c" hidden="1">#REF!</definedName>
    <definedName name="TB82621e2b_76ee_4edb_b2b5_6ae549e03733" hidden="1">#REF!</definedName>
    <definedName name="TB8281847c_e45f_4e23_8769_463ec46a56e4" hidden="1">#REF!</definedName>
    <definedName name="TB8290604a_2930_4448_9be8_a98726b10fd6" hidden="1">#REF!</definedName>
    <definedName name="TB82929cc5_ec6b_4540_9000_21bf8ad61787" hidden="1">#REF!</definedName>
    <definedName name="TB829c9c9e_583a_42c9_a291_10ef4938cd34" hidden="1">#REF!</definedName>
    <definedName name="TB829e5dba_ba0a_46fa_9a45_334f87bd79eb" hidden="1">#REF!</definedName>
    <definedName name="TB82a2912d_c565_4523_a011_ce895b1f7e36" hidden="1">#REF!</definedName>
    <definedName name="TB82a78268_b69e_4ad0_acc6_b658f7571a7c" hidden="1">#REF!</definedName>
    <definedName name="TB82ad08ab_294b_42bc_9e4d_c6cf2aa3ddac" hidden="1">#REF!</definedName>
    <definedName name="TB82b60e74_0eaa_4be1_a736_e5627de312b9" hidden="1">#REF!</definedName>
    <definedName name="TB82bddbd9_eb77_4fe4_ac5f_0df8e404e7ec" hidden="1">#REF!</definedName>
    <definedName name="TB82cec2a9_1537_4d42_83c4_a2d3ceeaecb3" hidden="1">#REF!</definedName>
    <definedName name="TB82ddabdb_3107_42dd_95ca_641252e5b546" hidden="1">#REF!</definedName>
    <definedName name="TB82e957f5_ec7b_4870_a010_b997c26169a3" hidden="1">#REF!</definedName>
    <definedName name="TB8300cea7_d3cb_4810_bcb0_b13571f3e595" hidden="1">#REF!</definedName>
    <definedName name="TB8300ed6f_5f10_4a7c_a444_2171f7335149" hidden="1">#REF!</definedName>
    <definedName name="TB830af1c5_6d0e_4632_84b8_51f40824342d" hidden="1">#REF!</definedName>
    <definedName name="TB830c7a63_7b72_426a_ba90_1e59108451d3" hidden="1">#REF!</definedName>
    <definedName name="TB83102997_a337_46c2_b092_eb09949bb1b7" hidden="1">#REF!</definedName>
    <definedName name="TB8319b550_d895_4844_910a_7d5f0f8b49fb" hidden="1">#REF!</definedName>
    <definedName name="TB832229d6_5bf0_4ad9_b86f_c4e273024c07" hidden="1">#REF!</definedName>
    <definedName name="TB832497e6_733b_4936_a897_20774827837f" hidden="1">#REF!</definedName>
    <definedName name="TB832a796e_9228_49e6_9284_9c62bda3750f" hidden="1">#REF!</definedName>
    <definedName name="TB8332ab2d_af7d_44c3_95bc_efc6134423f8" hidden="1">#REF!</definedName>
    <definedName name="TB8342e015_8922_4887_9d2b_197cd789859b" hidden="1">#REF!</definedName>
    <definedName name="TB83503ec0_9a12_4ac5_a904_4a8f826bad2f" hidden="1">#REF!</definedName>
    <definedName name="TB8363e6b0_eaa9_4a2b_867e_86afe2e7352c" hidden="1">#REF!</definedName>
    <definedName name="TB836868d8_fcad_4c91_899b_e93d88f1a434" hidden="1">#REF!</definedName>
    <definedName name="TB838038c4_db24_4a21_b551_a178af71109d" hidden="1">#REF!</definedName>
    <definedName name="TB838a99be_13fd_4e62_b934_4b96c5e21c47" hidden="1">#REF!</definedName>
    <definedName name="TB838bfc5f_e260_4f8a_8895_865c19292d71" hidden="1">#REF!</definedName>
    <definedName name="TB838f2bda_a2f9_41f3_9750_5b3c6b0973b1" hidden="1">#REF!</definedName>
    <definedName name="TB8391e94b_efc4_44f6_9c97_f14cb18ee468" hidden="1">#REF!</definedName>
    <definedName name="TB839a7257_e489_4c5a_b9b5_dc2d00462321" hidden="1">#REF!</definedName>
    <definedName name="TB83a4b99d_2eae_43aa_9b81_d426786d1e31" hidden="1">#REF!</definedName>
    <definedName name="TB83acf5d6_cc60_479d_a6a8_884021858504" hidden="1">#REF!</definedName>
    <definedName name="TB83b31a25_b12c_4fba_bea9_560fa8bcc90c" hidden="1">#REF!</definedName>
    <definedName name="TB83c4b14a_d0ec_4585_b231_7a2ad6a97ad3" hidden="1">#REF!</definedName>
    <definedName name="TB83cc4085_021b_4a56_a076_06d845289aa8" hidden="1">#REF!</definedName>
    <definedName name="TB83cf3f5f_55e8_4cad_857a_f99b15270668" hidden="1">#REF!</definedName>
    <definedName name="TB83e16b66_577d_4a03_ba34_d9afdbba2f34" hidden="1">#REF!</definedName>
    <definedName name="TB83f48738_d244_4b16_96e8_f4a7b3868e0e" hidden="1">#REF!</definedName>
    <definedName name="TB840827ce_725b_40e3_b39b_0a62602bf566" hidden="1">#REF!</definedName>
    <definedName name="TB840bf1d9_7ccd_4421_9e9f_95bfc24bf308" hidden="1">#REF!</definedName>
    <definedName name="TB840f3ad8_1510_4ecd_a53a_e693513b476c" hidden="1">#REF!</definedName>
    <definedName name="TB84101ab4_9407_4fad_a100_be221f838663" hidden="1">#REF!</definedName>
    <definedName name="TB84118eb0_bee6_4d6e_acd6_f0d2cb6a4f2f" hidden="1">#REF!</definedName>
    <definedName name="TB8417fc1c_4e0e_4640_8b25_cd5479ccd667" hidden="1">#REF!</definedName>
    <definedName name="TB84268819_c8e5_4de6_8b9b_e6c738ee65fe" hidden="1">#REF!</definedName>
    <definedName name="TB843c2008_fa58_40a4_af21_592aa1c9f44f" hidden="1">#REF!</definedName>
    <definedName name="TB843f3496_ad87_4631_9d1c_7705faa4bdbd" hidden="1">#REF!</definedName>
    <definedName name="TB84495ff0_0975_4312_9744_e6841a7277f4" hidden="1">#REF!</definedName>
    <definedName name="TB8481d173_dcf0_4fe5_acc9_98c3ed72dd9d" hidden="1">#REF!</definedName>
    <definedName name="TB8489433b_5cee_4499_aad7_a408a9f88641" hidden="1">#REF!</definedName>
    <definedName name="TB848a2ad6_33f1_46c0_b264_20404ff05e17" hidden="1">#REF!</definedName>
    <definedName name="TB848e0196_7005_4dc2_af7d_d9ccc5722bd4" hidden="1">#REF!</definedName>
    <definedName name="TB848f6f87_b5c5_4d4d_823c_34f594c7d579" hidden="1">#REF!</definedName>
    <definedName name="TB849a899b_980b_4f98_ba68_04d6d0aa47ef" hidden="1">#REF!</definedName>
    <definedName name="TB849d03ca_7730_4d0f_9e45_7233690156db" hidden="1">#REF!</definedName>
    <definedName name="TB84a29399_4a27_4a5f_9ca4_8402d4fca22e" hidden="1">#REF!</definedName>
    <definedName name="TB84b027b6_84e5_4d64_b70a_33c71769d0b3" hidden="1">#REF!</definedName>
    <definedName name="TB84bc10e3_07d5_437c_b9ae_a69076df9f40" hidden="1">#REF!</definedName>
    <definedName name="TB84bc33af_205b_4400_a110_0e05c6d0f180" hidden="1">#REF!</definedName>
    <definedName name="TB84bdb6d0_f8d8_42d3_aa92_4e03fee73369" hidden="1">#REF!</definedName>
    <definedName name="TB84c552d5_5336_4c09_aae6_7e8b9d04b23a" hidden="1">#REF!</definedName>
    <definedName name="TB84dd8eba_2a22_46e2_815e_80f4ac8bfa66" hidden="1">#REF!</definedName>
    <definedName name="TB84f5bbf2_3aaa_481e_8afe_e5096b388d90" hidden="1">#REF!</definedName>
    <definedName name="TB84f8090d_7235_445d_adcf_00ba7379de21" hidden="1">#REF!</definedName>
    <definedName name="TB851b002a_f7a3_4db3_92fb_73e9ee626a07" hidden="1">#REF!</definedName>
    <definedName name="TB851fed37_84bf_44e6_8aa8_af3296ce8fb3" hidden="1">#REF!</definedName>
    <definedName name="TB8534975d_6330_4be1_ab00_d6e70639ddec" hidden="1">#REF!</definedName>
    <definedName name="TB853a6fdf_2104_4ead_83e2_9160a2deda4e" hidden="1">#REF!</definedName>
    <definedName name="TB855122f7_6b06_431b_b8e5_64264907e501" hidden="1">#REF!</definedName>
    <definedName name="TB8580f4d9_baa4_4dee_ae54_828649b508aa" hidden="1">#REF!</definedName>
    <definedName name="TB8588d23a_3137_4d10_bd91_37cd63008e2a" hidden="1">#REF!</definedName>
    <definedName name="TB859a6105_6e81_4bae_9568_d99a1e224733" hidden="1">#REF!</definedName>
    <definedName name="TB85a33a58_2f43_42d3_af06_7b719996b4d2" hidden="1">#REF!</definedName>
    <definedName name="TB85ba67c4_4ba3_4643_a503_937e40a01cde" hidden="1">#REF!</definedName>
    <definedName name="TB85be101c_99ee_4fb5_95f1_8c37cc79326f" hidden="1">#REF!</definedName>
    <definedName name="TB85c43f50_2b7b_43c8_b53c_f2131d11f2dd" hidden="1">#REF!</definedName>
    <definedName name="TB85cb8914_dec8_4f04_848b_b3ee879d6e81" hidden="1">#REF!</definedName>
    <definedName name="TB85cc28e5_f86a_4e4f_9d17_1961a9914ed9" hidden="1">#REF!</definedName>
    <definedName name="TB85d07173_655f_4308_9ba6_8623d582e8f0" hidden="1">#REF!</definedName>
    <definedName name="TB85ee7a52_aa51_4b3f_bb21_0545d46f2928" hidden="1">#REF!</definedName>
    <definedName name="TB85ef09d1_8f31_4b6f_a8c0_294581b9ffcf" hidden="1">#REF!</definedName>
    <definedName name="TB85f05c41_810d_475d_bc9b_53963ef419de" hidden="1">#REF!</definedName>
    <definedName name="TB85f2da1a_6d51_4ade_ac2c_403005ec9cff" hidden="1">#REF!</definedName>
    <definedName name="TB86031cb9_532c_4b69_9a70_016c7653f82b" hidden="1">#REF!</definedName>
    <definedName name="TB863f7877_aead_4da7_bef9_b6eb9f038ece" hidden="1">#REF!</definedName>
    <definedName name="TB86458875_a72f_44ff_acf4_3c00bec7ac62" hidden="1">#REF!</definedName>
    <definedName name="TB865d30b7_647c_446f_8bfe_8aab771327e4" hidden="1">#REF!</definedName>
    <definedName name="TB865e09d5_ed02_4ddf_aeed_9786dc5660bf" hidden="1">#REF!</definedName>
    <definedName name="TB865f628c_460c_4753_a808_d1f6dc4fa09f" hidden="1">#REF!</definedName>
    <definedName name="TB8669e425_c5c2_45df_a709_1404cc94d114" hidden="1">#REF!</definedName>
    <definedName name="TB867db5a6_8958_4b42_817f_ba574a66a0c0" hidden="1">#REF!</definedName>
    <definedName name="TB867ebc2e_b78d_4db7_8009_e81cbdab30ae" hidden="1">#REF!</definedName>
    <definedName name="TB86875a11_2774_4352_b311_33c3676927bd" hidden="1">#REF!</definedName>
    <definedName name="TB86886052_2fa1_44a7_a84b_30ca59253bff" hidden="1">#REF!</definedName>
    <definedName name="TB86aaaa43_df07_474b_aade_3117a197b0bb" hidden="1">#REF!</definedName>
    <definedName name="TB86bc487a_1c1c_40c5_a6d3_e9bde32f3230" hidden="1">#REF!</definedName>
    <definedName name="TB86c1795e_4bf2_44e7_bba2_8b648b3096b1" hidden="1">#REF!</definedName>
    <definedName name="TB86ca440f_4df8_44f3_924c_a1ae403180f9" hidden="1">#REF!</definedName>
    <definedName name="TB86cb7086_9161_456a_bbfd_c013443405aa" hidden="1">#REF!</definedName>
    <definedName name="TB86d36761_e45e_4e67_b3c3_2e76b3bf037e" hidden="1">#REF!</definedName>
    <definedName name="TB86e1e9c6_037f_4bb5_9849_f55261c745f0" hidden="1">#REF!</definedName>
    <definedName name="TB86f6798a_8e31_4f2b_9d7b_f527b71964cd" hidden="1">#REF!</definedName>
    <definedName name="TB870528f6_c578_478d_aed3_b41c0fb9f1b3" hidden="1">#REF!</definedName>
    <definedName name="TB871850a7_a411_4649_bd76_4e1ee66ca99b" hidden="1">#REF!</definedName>
    <definedName name="TB871fdbc7_239e_4786_9ef5_2d0e3dc4b399" hidden="1">#REF!</definedName>
    <definedName name="TB8720f141_eb1c_4793_a908_4c7ba0bb933d" hidden="1">#REF!</definedName>
    <definedName name="TB87289dea_8e1a_41c4_8fa5_3e41c40fa8e3" hidden="1">#REF!</definedName>
    <definedName name="TB872ca0a9_e813_4f1a_afdb_6e90ba5ee80b" hidden="1">#REF!</definedName>
    <definedName name="TB873cee19_157c_40aa_b4a1_384ec46299f2" hidden="1">#REF!</definedName>
    <definedName name="TB8745916e_69c0_4160_8f2a_1e292724c005" hidden="1">#REF!</definedName>
    <definedName name="TB875778aa_2b29_4762_a2ca_2992fe0d476f" hidden="1">#REF!</definedName>
    <definedName name="TB8774fdd4_0cbf_4d38_9c87_1dfde544f842" hidden="1">#REF!</definedName>
    <definedName name="TB877f8243_9bfa_4164_a608_9b9c0df9346a" hidden="1">#REF!</definedName>
    <definedName name="TB8785e191_d56f_4352_a422_1b303139aad4" hidden="1">#REF!</definedName>
    <definedName name="TB878d420b_9492_44f6_9702_cee56b97b33f" hidden="1">#REF!</definedName>
    <definedName name="TB8796f0d1_4f64_4fd9_a214_9a0704c3975a" hidden="1">#REF!</definedName>
    <definedName name="TB879d96ec_134b_4ca9_a0e7_21846a641608" hidden="1">#REF!</definedName>
    <definedName name="TB879f1e7f_a72f_4481_93d2_23c3cea66c39" hidden="1">#REF!</definedName>
    <definedName name="TB87a117ec_d210_4701_9963_faedb42a6f1c" hidden="1">#REF!</definedName>
    <definedName name="TB87b02ddf_2088_48db_b3a7_9cba2cf4e091" hidden="1">#REF!</definedName>
    <definedName name="TB87b30797_2a40_42ac_8d6d_07f4ca1d9b3c" hidden="1">#REF!</definedName>
    <definedName name="TB87b35881_41f3_4bbf_be23_dad851208af3" hidden="1">#REF!</definedName>
    <definedName name="TB87b56fd2_3e74_4343_b788_097009e71315" hidden="1">#REF!</definedName>
    <definedName name="TB87ba4aee_ddae_45c3_9a5c_8c126fb64cd7" hidden="1">#REF!</definedName>
    <definedName name="TB87bdf9f0_269f_48b7_a443_12b8dcc6ae61" hidden="1">#REF!</definedName>
    <definedName name="TB87d8fb71_a6fd_477f_8903_ce2cf64509d7" hidden="1">#REF!</definedName>
    <definedName name="TB87dc5aa5_8e04_4c34_816b_176752d4c66b" hidden="1">#REF!</definedName>
    <definedName name="TB87e3a0a0_c291_406b_b7df_4ece96ea0047" hidden="1">#REF!</definedName>
    <definedName name="TB87e6e846_fcf4_4cb0_b6c3_86d4975326eb" hidden="1">#REF!</definedName>
    <definedName name="TB87f24545_38de_4e44_ba8d_5b16ef869b41" hidden="1">#REF!</definedName>
    <definedName name="TB8802956f_2c50_4b85_bb47_e0b239bcb59d" hidden="1">#REF!</definedName>
    <definedName name="TB8807c633_4b2b_4855_8ab5_6a0de27a8c24" hidden="1">#REF!</definedName>
    <definedName name="TB8813de8f_01ee_4b88_8b4e_841e2c1f6fee" hidden="1">#REF!</definedName>
    <definedName name="TB88168944_623d_4f90_8d3f_c47886621a2c" hidden="1">#REF!</definedName>
    <definedName name="TB881b0897_09ec_44e8_9a09_d9701f11eb11" hidden="1">#REF!</definedName>
    <definedName name="TB881e71ff_3607_4ecb_a695_7f1f53fd0267" hidden="1">#REF!</definedName>
    <definedName name="TB881f88ba_096d_42ca_9897_47300d07f1af" hidden="1">#REF!</definedName>
    <definedName name="TB8820599f_ab1a_4128_b387_907a84f76a39" hidden="1">#REF!</definedName>
    <definedName name="TB88243f3f_141e_4896_b740_1b328deb642b" hidden="1">#REF!</definedName>
    <definedName name="TB88267881_99ae_40bf_99c0_20d44318f48a" hidden="1">#REF!</definedName>
    <definedName name="TB88324cd1_523d_40c1_ac78_5c60f35e59c9" hidden="1">#REF!</definedName>
    <definedName name="TB88381dba_6af4_4067_9cde_05845ea5d3dd" hidden="1">#REF!</definedName>
    <definedName name="TB8847e1a3_7744_4395_a529_0988983b10eb" hidden="1">#REF!</definedName>
    <definedName name="TB884f05ad_4dce_42b8_a060_725f1ea47792" hidden="1">#REF!</definedName>
    <definedName name="TB884f41bd_f87f_43fa_8586_37790fd1acf0" hidden="1">#REF!</definedName>
    <definedName name="TB885128e1_210c_41f1_9940_7e3e02b0584e" hidden="1">#REF!</definedName>
    <definedName name="TB88549234_da04_449a_afaa_9ee3b64da069" hidden="1">#REF!</definedName>
    <definedName name="TB88564be9_9cb5_4ae8_acb1_1868e5fa705b" hidden="1">#REF!</definedName>
    <definedName name="TB885715f1_4a73_4137_b167_b4338455681a" hidden="1">#REF!</definedName>
    <definedName name="TB885b517e_9fb9_4be5_8ff7_d5875c3e13cd" hidden="1">#REF!</definedName>
    <definedName name="TB8868f7d0_2f84_479d_8396_50c6745b9d80" hidden="1">#REF!</definedName>
    <definedName name="TB8879bb6d_6720_4f24_a853_b983f8381eff" hidden="1">#REF!</definedName>
    <definedName name="TB887e118b_279a_4e7a_a640_ffba033a9750" hidden="1">#REF!</definedName>
    <definedName name="TB8883a93e_d699_4ed3_8591_2157e0779c66" hidden="1">#REF!</definedName>
    <definedName name="TB88916ec3_daf4_452a_ae7b_7a0154dea9c5" hidden="1">#REF!</definedName>
    <definedName name="TB8896222c_daab_488b_bb66_ad55ebc9c491" hidden="1">#REF!</definedName>
    <definedName name="TB889f1e4c_f9b7_44d4_be7a_39b69cfa655f" hidden="1">#REF!</definedName>
    <definedName name="TB88a03c77_98e7_4781_9d70_0885b5c8d84b" hidden="1">#REF!</definedName>
    <definedName name="TB88a2b08d_6de3_42b1_aef7_692ad3b7da1c" hidden="1">#REF!</definedName>
    <definedName name="TB88a736b1_8601_444d_9f28_d91617316215" hidden="1">#REF!</definedName>
    <definedName name="TB88a8c32f_2a95_459b_8d24_a7080537c976" hidden="1">#REF!</definedName>
    <definedName name="TB88af9f39_a4b1_4a3c_a3dc_7ac7152f2950" hidden="1">#REF!</definedName>
    <definedName name="TB88b2da25_6a0b_4418_81b2_446eb80e8c0d" hidden="1">#REF!</definedName>
    <definedName name="TB88b48ece_e4b1_415d_bd82_da9434b06f98" hidden="1">#REF!</definedName>
    <definedName name="TB88b76432_1698_4abe_8288_2ae07ce0aa08" hidden="1">#REF!</definedName>
    <definedName name="TB88bb82f0_6a85_49f9_9dde_3916b1352704" hidden="1">#REF!</definedName>
    <definedName name="TB88bda120_e7b0_49ae_b1ed_5fe75a402ee3" hidden="1">#REF!</definedName>
    <definedName name="TB88bedc53_1807_4cd5_b097_dbf4fb9fcb8b" hidden="1">#REF!</definedName>
    <definedName name="TB88d9ee06_f36a_481b_a6f0_373c8ab78d77" hidden="1">#REF!</definedName>
    <definedName name="TB88fa1eaf_af3f_4a6e_9a5b_993a6184551f" hidden="1">#REF!</definedName>
    <definedName name="TB89029e2e_7cfa_4e65_ad85_870171eb906e" hidden="1">#REF!</definedName>
    <definedName name="TB890e256b_a156_4904_8a28_f81fd3f44528" hidden="1">#REF!</definedName>
    <definedName name="TB8916ed61_2925_465e_bb6b_cfe6ea415317" hidden="1">#REF!</definedName>
    <definedName name="TB891b5257_a760_44e5_9b04_6b3e698798e6" hidden="1">#REF!</definedName>
    <definedName name="TB8921071f_3f66_474b_9a5d_da7536254fea" hidden="1">#REF!</definedName>
    <definedName name="TB8928c8df_d56c_4acd_a807_5ddf2fb7c4a2" hidden="1">#REF!</definedName>
    <definedName name="TB8940f01b_7bdf_44d4_9234_90b243459e69" hidden="1">#REF!</definedName>
    <definedName name="TB89413334_27b6_4db8_a3ec_e1338d7e01f6" hidden="1">#REF!</definedName>
    <definedName name="TB89518cec_3709_494c_89ae_3f567c8f08df" hidden="1">#REF!</definedName>
    <definedName name="TB895f7ca5_cab6_4c9c_9416_f373a724fec4" hidden="1">#REF!</definedName>
    <definedName name="TB896baac7_d5e8_458b_b6a4_7014c5aadc77" hidden="1">#REF!</definedName>
    <definedName name="TB896ed26f_4990_4886_8d24_91c481a13b99" hidden="1">#REF!</definedName>
    <definedName name="TB89720263_82f2_4de4_8042_ce566e434acc" hidden="1">#REF!</definedName>
    <definedName name="TB89777514_d330_47d7_bec0_34dca39420c2" hidden="1">#REF!</definedName>
    <definedName name="TB897fb7e3_5723_493e_bb0b_c3391b0003ea" hidden="1">#REF!</definedName>
    <definedName name="TB8983f4f8_031a_442a_bd63_0bfc14956373" hidden="1">#REF!</definedName>
    <definedName name="TB8984b8e8_64be_41d5_8a0f_8c4f4c269498" hidden="1">#REF!</definedName>
    <definedName name="TB898cd764_37b3_42a8_8db1_db309150cb46" hidden="1">#REF!</definedName>
    <definedName name="TB898ec538_4823_4be3_9559_a121255587bb" hidden="1">#REF!</definedName>
    <definedName name="TB89900b59_82f3_4058_bc36_375c39235432" hidden="1">#REF!</definedName>
    <definedName name="TB89a3e872_b42f_4e54_bb45_ef18d7a4cb91" hidden="1">#REF!</definedName>
    <definedName name="TB89a78095_b150_43cf_96ad_03fc7dc3121d" hidden="1">#REF!</definedName>
    <definedName name="TB89b46a97_f361_4e06_b34c_8dcb13de3cc6" hidden="1">#REF!</definedName>
    <definedName name="TB89b5bf6b_8bd4_49a5_8ac6_2d913f37f4f9" hidden="1">#REF!</definedName>
    <definedName name="TB89b93fad_f61e_4842_93bf_ae1ea77b4edf" hidden="1">#REF!</definedName>
    <definedName name="TB89d2c3c4_b6f7_4ef8_8a70_0326c8700fea" hidden="1">#REF!</definedName>
    <definedName name="TB89d79ec0_10f7_4098_967f_d0289273d85c" hidden="1">#REF!</definedName>
    <definedName name="TB89da7d6e_4fea_418d_b762_ccad5f2e8412" hidden="1">#REF!</definedName>
    <definedName name="TB89e0dfcd_9cc7_4b18_844b_d493f21c5c2d" hidden="1">#REF!</definedName>
    <definedName name="TB89ec5752_76e1_412a_ae6f_bc11b77d52e8" hidden="1">#REF!</definedName>
    <definedName name="TB89f31572_cde2_473b_84c5_156b595f4bfd" hidden="1">#REF!</definedName>
    <definedName name="TB89f3f963_b0a9_499a_9dee_176c75d244ef" hidden="1">#REF!</definedName>
    <definedName name="TB89f72e38_e461_4496_b60f_2816df8dadc1" hidden="1">#REF!</definedName>
    <definedName name="TB89f9ed32_7686_42ff_a14c_95925353efa3" hidden="1">#REF!</definedName>
    <definedName name="TB89fa2598_821c_4a1b_9cfb_967de786c5a7" hidden="1">#REF!</definedName>
    <definedName name="TB8a1575ab_7d1d_42e8_a98c_b9643345475e" hidden="1">#REF!</definedName>
    <definedName name="TB8a1628aa_7ee2_4733_a9ff_c15d8e76f4f2" hidden="1">#REF!</definedName>
    <definedName name="TB8a16af94_8e27_49c4_a441_05f6e40c8394" hidden="1">#REF!</definedName>
    <definedName name="TB8a46c862_87f1_4ab4_808b_3c4838a645b1" hidden="1">#REF!</definedName>
    <definedName name="TB8a4bf906_c01a_4791_a49e_b1145ad73058" hidden="1">#REF!</definedName>
    <definedName name="TB8a4ccc01_7194_4cfe_84d6_c4685a1ba369" hidden="1">#REF!</definedName>
    <definedName name="TB8a627ad7_89ac_4812_81af_fd65f37123b1" hidden="1">#REF!</definedName>
    <definedName name="TB8a663efe_ffc1_4146_99f7_d51b4c8373a8" hidden="1">#REF!</definedName>
    <definedName name="TB8a84e409_0e3a_40bd_937f_b293795176d4" hidden="1">#REF!</definedName>
    <definedName name="TB8a8f5930_b7f2_4584_9895_8e65cb5ddb92" hidden="1">#REF!</definedName>
    <definedName name="TB8aa419b0_c816_4a78_9349_5dedc3a8456b" hidden="1">#REF!</definedName>
    <definedName name="TB8aa5f982_523c_4798_a6a8_2f13f2387a09" hidden="1">#REF!</definedName>
    <definedName name="TB8aaaa8e1_e495_458c_822b_e911cca784b3" hidden="1">#REF!</definedName>
    <definedName name="TB8aaf1ef1_59d9_47b7_a71d_6a54b4d1230b" hidden="1">#REF!</definedName>
    <definedName name="TB8aaf4d23_deec_4a91_ba3b_c0f09e07df99" hidden="1">#REF!</definedName>
    <definedName name="TB8ab1cc95_2b7a_4934_a1a3_e0177549aeaa" hidden="1">#REF!</definedName>
    <definedName name="TB8aba48e5_2d99_4506_9aab_a7daf920a234" hidden="1">#REF!</definedName>
    <definedName name="TB8ace6baa_28e5_4d9e_ae9d_b736dd4f3d60" hidden="1">#REF!</definedName>
    <definedName name="TB8ad1d0ba_b43c_4acb_a876_f6eab83553d5" hidden="1">#REF!</definedName>
    <definedName name="TB8ad2c9b9_8c23_4e0f_8524_d4de76959902" hidden="1">#REF!</definedName>
    <definedName name="TB8ad5437d_2cfd_4881_b1da_26b196fa124b" hidden="1">#REF!</definedName>
    <definedName name="TB8ae02834_f6af_4536_bc64_bc6443c81531" hidden="1">#REF!</definedName>
    <definedName name="TB8aedbd0b_20a9_429e_964f_c1fafcde4c05" hidden="1">#REF!</definedName>
    <definedName name="TB8af4d8a0_353a_44ba_b346_c3db8cd3f085" hidden="1">#REF!</definedName>
    <definedName name="TB8af8c3c1_e1c0_400e_8868_213c159b9d4b" hidden="1">#REF!</definedName>
    <definedName name="TB8b148e57_9557_40b2_8311_12a1439617fe" hidden="1">#REF!</definedName>
    <definedName name="TB8b19217a_21b6_4aae_8cf6_a7f8157ee94a" hidden="1">#REF!</definedName>
    <definedName name="TB8b195eb2_3276_4ac5_8944_f9b24b4a79cd" hidden="1">#REF!</definedName>
    <definedName name="TB8b1b4dbf_ed55_4e7e_ad1f_9eb6e875e2a1" hidden="1">#REF!</definedName>
    <definedName name="TB8b223d14_5d4c_476c_8264_b4067f642c4c" hidden="1">#REF!</definedName>
    <definedName name="TB8b347f3f_caf6_4fed_b663_4f5ef7e135e3" hidden="1">#REF!</definedName>
    <definedName name="TB8b397a08_e445_4175_bea9_fc99b39b4f82" hidden="1">#REF!</definedName>
    <definedName name="TB8b4057a1_11a6_4f99_92f9_c6214264cb7e" hidden="1">#REF!</definedName>
    <definedName name="TB8b4a2151_2d6d_4ca7_8274_03646162aac1" hidden="1">#REF!</definedName>
    <definedName name="TB8b4ee865_a9a3_46d8_8c26_2f76589a92b7" hidden="1">#REF!</definedName>
    <definedName name="TB8b51c561_bd17_4838_97df_894857ecd13f" hidden="1">#REF!</definedName>
    <definedName name="TB8b5bd8e5_2301_4be4_992e_aaf2ef25a440" hidden="1">#REF!</definedName>
    <definedName name="TB8b62caca_48b4_4e38_b452_ad120f4656a8" hidden="1">#REF!</definedName>
    <definedName name="TB8b66997f_d6e8_446e_b072_6068c898ae0f" hidden="1">#REF!</definedName>
    <definedName name="TB8b6f44ca_31e1_43dc_a9cc_8c8573005dce" hidden="1">#REF!</definedName>
    <definedName name="TB8b7887ff_e3da_47ca_a3e4_06fb8c623653" hidden="1">#REF!</definedName>
    <definedName name="TB8b7d2e9f_2c18_4807_bdf4_e569abae9fcf" hidden="1">#REF!</definedName>
    <definedName name="TB8b7e03d1_0607_4b2a_ae39_640db0821bd5" hidden="1">#REF!</definedName>
    <definedName name="TB8b98d774_c4ec_49f6_97a3_cf28e02fecac" hidden="1">#REF!</definedName>
    <definedName name="TB8b9bf508_dd4b_4cba_88b6_b3c1a24d1f7c" hidden="1">#REF!</definedName>
    <definedName name="TB8ba03d5e_bfd8_4269_bfff_0140604571d3" hidden="1">#REF!</definedName>
    <definedName name="TB8ba184bd_8294_479f_adff_75d593541161" hidden="1">#REF!</definedName>
    <definedName name="TB8badfbb3_769c_43e4_8577_612ab057e8e2" hidden="1">#REF!</definedName>
    <definedName name="TB8bc07f90_8ce0_481f_9265_80642ab854ae" hidden="1">#REF!</definedName>
    <definedName name="TB8bca4f36_1ade_476a_84f6_2d0051f512f7" hidden="1">#REF!</definedName>
    <definedName name="TB8bd33121_7152_4e08_8a36_201c9259a707" hidden="1">#REF!</definedName>
    <definedName name="TB8bd687b8_4289_4296_ae1e_b8b0d4b7c719" hidden="1">#REF!</definedName>
    <definedName name="TB8be8dc31_9e10_4e32_b9ce_2b3e631a2e20" hidden="1">#REF!</definedName>
    <definedName name="TB8bf18a47_8cf0_40d3_8d5e_0af669752285" hidden="1">#REF!</definedName>
    <definedName name="TB8bf42188_57b1_420f_bc0a_ea15e34cc6e3" hidden="1">#REF!</definedName>
    <definedName name="TB8c03ed15_0cb2_45be_ac26_0522aaf7341d" hidden="1">#REF!</definedName>
    <definedName name="TB8c0660c2_3e4d_4aad_bf26_c3f433bcf952" hidden="1">#REF!</definedName>
    <definedName name="TB8c0c14f1_03d5_47dc_8f3f_999f93394203" hidden="1">#REF!</definedName>
    <definedName name="TB8c1a4804_34a4_4dfe_8042_d38327b0a696" hidden="1">#REF!</definedName>
    <definedName name="TB8c1b12ad_36e7_4792_9066_2e4a4c96430a" hidden="1">#REF!</definedName>
    <definedName name="TB8c1c0b40_6161_4d0c_81b3_b2042a29b88a" hidden="1">#REF!</definedName>
    <definedName name="TB8c201fde_5f44_49eb_8f71_bee50913a542" hidden="1">#REF!</definedName>
    <definedName name="TB8c27b79a_a8c8_498f_a78c_73887b9e266a" hidden="1">#REF!</definedName>
    <definedName name="TB8c3a10ad_bb08_4bc4_8edf_00a4cffd4ee2" hidden="1">#REF!</definedName>
    <definedName name="TB8c42ab6f_80da_4ad6_886d_fd14beb93610" hidden="1">#REF!</definedName>
    <definedName name="TB8c42b8f7_fca3_4fd8_806d_69fdb256d9ec" hidden="1">#REF!</definedName>
    <definedName name="TB8c4346b0_dbd1_41ff_a044_20d690fed79e" hidden="1">#REF!</definedName>
    <definedName name="TB8c4750d0_0173_4012_9872_49beac4896c3" hidden="1">#REF!</definedName>
    <definedName name="TB8c4cdd12_49ac_4f8f_a817_972d4b66caa6" hidden="1">#REF!</definedName>
    <definedName name="TB8c72ee59_72e3_4288_9aae_68ced67e7ec5" hidden="1">#REF!</definedName>
    <definedName name="TB8c73235d_9a50_45d9_ac33_226008656418" hidden="1">#REF!</definedName>
    <definedName name="TB8ca506a5_99ad_4e9f_ad08_7f826c49b0c9" hidden="1">#REF!</definedName>
    <definedName name="TB8cb6ce79_9491_4c4b_939d_b1d90d93cae6" hidden="1">#REF!</definedName>
    <definedName name="TB8cc05ee6_cf35_446c_a136_bd2f860131e4" hidden="1">#REF!</definedName>
    <definedName name="TB8cc59ac0_e230_4d12_8c3d_5bfb4a4019ce" hidden="1">#REF!</definedName>
    <definedName name="TB8ccc7d38_94f9_4da1_b41b_df5304f4dce7" hidden="1">#REF!</definedName>
    <definedName name="TB8cd3be45_bdb7_4064_9278_8afc711035c4" hidden="1">#REF!</definedName>
    <definedName name="TB8ce1951b_bf13_43e8_b80c_f0ee00d388ff" hidden="1">#REF!</definedName>
    <definedName name="TB8ce611bd_214d_4d3c_ae7b_7083f50e808f" hidden="1">#REF!</definedName>
    <definedName name="TB8ce904e3_78e2_4517_a8f0_1228a263e3a7" hidden="1">#REF!</definedName>
    <definedName name="TB8d21849c_2ee6_4d6d_b5f1_43e31773f8e3" hidden="1">#REF!</definedName>
    <definedName name="TB8d4c3f0e_ef7a_4873_a36d_833a5c18bb84" hidden="1">#REF!</definedName>
    <definedName name="TB8d5386e5_b3a7_45c3_8cb8_eef0a5d234c9" hidden="1">#REF!</definedName>
    <definedName name="TB8d6ebd20_6126_4d43_9b98_2581e72460e5" hidden="1">#REF!</definedName>
    <definedName name="TB8d773ad9_63bd_4bc2_8c10_a7fe7c59198b" hidden="1">#REF!</definedName>
    <definedName name="TB8d78d3d6_7618_4a93_98a7_dd1608fca425" hidden="1">#REF!</definedName>
    <definedName name="TB8d7ad7d1_7aa2_41cc_bb9f_6357ca4b60d4" hidden="1">#REF!</definedName>
    <definedName name="TB8d841bc8_baf5_4b78_8a65_e33caf000d48" hidden="1">#REF!</definedName>
    <definedName name="TB8d86da5d_d659_4099_aee8_de7513d521c7" hidden="1">#REF!</definedName>
    <definedName name="TB8d9a28b9_9de6_432f_a6a0_e499b88484fc" hidden="1">#REF!</definedName>
    <definedName name="TB8da9ea05_d55c_4d28_81ef_36150b1737f7" hidden="1">#REF!</definedName>
    <definedName name="TB8daa668f_60b1_42ab_b505_230247bba9f3" hidden="1">#REF!</definedName>
    <definedName name="TB8dab2f1f_661b_49f2_8cb0_81a65039d039" hidden="1">#REF!</definedName>
    <definedName name="TB8db772d3_5cd7_48d9_8672_ca6f6de177d5" hidden="1">#REF!</definedName>
    <definedName name="TB8dbd3832_63b4_4b4a_9ced_173287aa3e20" hidden="1">#REF!</definedName>
    <definedName name="TB8dc22dfa_1ed2_4902_b945_7382d2786c23" hidden="1">#REF!</definedName>
    <definedName name="TB8dd6b284_0b3b_4111_8a91_fc9c9dc66821" hidden="1">#REF!</definedName>
    <definedName name="TB8ddeefd8_4196_4c08_90bf_30cbff7e9895" hidden="1">#REF!</definedName>
    <definedName name="TB8ddf5277_129a_4728_9ae2_f98fda919aaa" hidden="1">#REF!</definedName>
    <definedName name="TB8de269db_cfbd_4656_a595_00ccdb60e68c" hidden="1">#REF!</definedName>
    <definedName name="TB8df63702_86e6_4db8_92ef_1d56e4b36ad0" hidden="1">#REF!</definedName>
    <definedName name="TB8df9f08c_76b1_4703_8d8d_3bff4474607e" hidden="1">#REF!</definedName>
    <definedName name="TB8e12cd12_bb99_4c20_9752_eecfecd2a2a1" hidden="1">#REF!</definedName>
    <definedName name="TB8e2080d1_45e3_4eab_ae8d_c7127f784b73" hidden="1">#REF!</definedName>
    <definedName name="TB8e223667_d550_44d7_a668_2614d5e75eb0" hidden="1">#REF!</definedName>
    <definedName name="TB8e356354_0370_4730_928a_2054fe30cb4c" hidden="1">#REF!</definedName>
    <definedName name="TB8e37dbb6_fd12_4feb_91ce_d2533aabf544" hidden="1">#REF!</definedName>
    <definedName name="TB8e38b2b8_362e_4d8e_8cd1_df09c946d375" hidden="1">#REF!</definedName>
    <definedName name="TB8e3f5418_977f_4126_b14f_3cffb034080a" hidden="1">#REF!</definedName>
    <definedName name="TB8e4b9c3b_be4b_4071_8253_0253bac1e632" hidden="1">#REF!</definedName>
    <definedName name="TB8e564dc8_629f_4026_9fef_be33a8410e5a" hidden="1">#REF!</definedName>
    <definedName name="TB8e57fa60_9507_458c_8351_8d666eef1bb4" hidden="1">#REF!</definedName>
    <definedName name="TB8e63b8d7_23d5_431a_9f9e_2ac3609a5148" hidden="1">#REF!</definedName>
    <definedName name="TB8e67ad50_c41e_4d8e_878b_794e766c2ab1" hidden="1">#REF!</definedName>
    <definedName name="TB8e68de95_8f97_4612_bdeb_630ced1bc7ed" hidden="1">#REF!</definedName>
    <definedName name="TB8e76bde0_2161_4f30_8886_e1721a8b0483" hidden="1">#REF!</definedName>
    <definedName name="TB8e7a9751_dd97_496b_aed4_289d22e66aae" hidden="1">#REF!</definedName>
    <definedName name="TB8e80894f_2837_4f14_93d7_83af7f015dae" hidden="1">#REF!</definedName>
    <definedName name="TB8e813c6e_1822_44c6_b3e4_d908cf175c74" hidden="1">#REF!</definedName>
    <definedName name="TB8e8584c6_ab1b_4f10_afa3_9c7ae4cce719" hidden="1">#REF!</definedName>
    <definedName name="TB8e9461dc_ddd5_4e36_b7f1_842295eae890" hidden="1">#REF!</definedName>
    <definedName name="TB8e9ad6a4_2cf9_412d_abab_24ca58d63ded" hidden="1">#REF!</definedName>
    <definedName name="TB8e9f2746_a4a3_47c6_80f2_aeb6533bf3eb" hidden="1">#REF!</definedName>
    <definedName name="TB8ea1c425_9d0d_4248_acec_ff7c476230b8" hidden="1">#REF!</definedName>
    <definedName name="TB8ea8225e_028e_46ca_8616_1c820e46eb77" hidden="1">#REF!</definedName>
    <definedName name="TB8eaa11a9_68ec_4264_ba8b_69c78cefc3b5" hidden="1">#REF!</definedName>
    <definedName name="TB8eade5ae_5741_4dde_950a_4bc219464b94" hidden="1">#REF!</definedName>
    <definedName name="TB8eb86a67_52ad_4fcb_8479_3f1d4adda562" hidden="1">#REF!</definedName>
    <definedName name="TB8eb92457_8ace_45be_9fe8_c9cbf7a5479c" hidden="1">#REF!</definedName>
    <definedName name="TB8ec8e7a1_c1ac_4437_b28f_75cee6143d1f" hidden="1">#REF!</definedName>
    <definedName name="TB8ed8b805_730a_43fc_adde_220ed31f5b1c" hidden="1">#REF!</definedName>
    <definedName name="TB8eeb8875_fb6a_4052_819e_51cdb2a26e2d" hidden="1">#REF!</definedName>
    <definedName name="TB8eec5678_4c1b_4646_bba5_d8554496db2b" hidden="1">#REF!</definedName>
    <definedName name="TB8ef6d03f_3edf_47dc_adf0_eed567f2c233" hidden="1">#REF!</definedName>
    <definedName name="TB8ef91ab5_f494_4243_8202_c20b849f2b22" hidden="1">#REF!</definedName>
    <definedName name="TB8ef95f4e_0f5d_4e96_ac99_6e07128a7606" hidden="1">#REF!</definedName>
    <definedName name="TB8efca8a7_fcd9_48d1_a1b0_ef0c53afe5aa" hidden="1">#REF!</definedName>
    <definedName name="TB8efdc037_3cb3_478e_aa43_dffa48491b34" hidden="1">#REF!</definedName>
    <definedName name="TB8f06414e_3839_4337_96cb_6fa280d956c7" hidden="1">#REF!</definedName>
    <definedName name="TB8f07d972_8fd4_484b_a471_220d86c1b1ce" hidden="1">#REF!</definedName>
    <definedName name="TB8f0b9740_1f1e_4afe_bb94_174e42252aa5" hidden="1">#REF!</definedName>
    <definedName name="TB8f0e4020_03ab_402e_bb56_9d1ffa377a5d" hidden="1">#REF!</definedName>
    <definedName name="TB8f1d8835_b482_4c9d_b46f_7fd15c15242b" hidden="1">#REF!</definedName>
    <definedName name="TB8f205e16_80c8_4ff9_ae2b_cf1f3c0c947d" hidden="1">#REF!</definedName>
    <definedName name="TB8f3073be_31f8_4bc4_bda7_7a998c583905" hidden="1">#REF!</definedName>
    <definedName name="TB8f38ee36_4361_4099_a74e_ef2a66a0f27e" hidden="1">#REF!</definedName>
    <definedName name="TB8f47e646_2937_4577_8c5b_0e3190a5d12b" hidden="1">#REF!</definedName>
    <definedName name="TB8f4ed21e_2a8c_4e13_a4fc_087255788b78" hidden="1">#REF!</definedName>
    <definedName name="TB8f52bdfa_544a_4ba7_b30f_d7f44941bad1" hidden="1">#REF!</definedName>
    <definedName name="TB8f65d4d6_8b30_4617_91a5_2cd07b5dfe55" hidden="1">#REF!</definedName>
    <definedName name="TB8f6bb69e_c068_4530_bccb_96a16b9d5daf" hidden="1">#REF!</definedName>
    <definedName name="TB8f71da58_d389_408a_b002_9952ad8f0515" hidden="1">#REF!</definedName>
    <definedName name="TB8f774694_80e4_4421_a392_c6ded2342b30" hidden="1">#REF!</definedName>
    <definedName name="TB8f79de08_1a9b_4cae_b91e_f11f8dacd799" hidden="1">#REF!</definedName>
    <definedName name="TB8f9c85a5_784b_4273_bc86_29485f60a4ad" hidden="1">#REF!</definedName>
    <definedName name="TB8fa6dde1_87b7_4308_91f8_b000adc1a884" hidden="1">#REF!</definedName>
    <definedName name="TB8fae9505_997a_4c20_ae51_956c5e75720e" hidden="1">#REF!</definedName>
    <definedName name="TB8fc3341b_b7a3_44da_8012_468ff996c630" hidden="1">#REF!</definedName>
    <definedName name="TB8fc9cc6e_3795_4e47_9ba3_c20309090cac" hidden="1">#REF!</definedName>
    <definedName name="TB8fcf1196_dd23_47ec_a805_75e140509fbe" hidden="1">#REF!</definedName>
    <definedName name="TB8fe31795_55eb_4e98_9c37_1a6859fa4981" hidden="1">#REF!</definedName>
    <definedName name="TB8fe342f3_1cce_4dec_81d2_336938f495bf" hidden="1">#REF!</definedName>
    <definedName name="TB8fe69296_0984_4ee0_a925_c7f15080e3e7" hidden="1">#REF!</definedName>
    <definedName name="TB8fed8514_7f38_4165_8832_e79f8e941040" hidden="1">#REF!</definedName>
    <definedName name="TB8ff71385_720e_4ced_870f_318e492154a2" hidden="1">#REF!</definedName>
    <definedName name="TB9003e0c8_fa78_4668_b45a_622866a76cc8" hidden="1">#REF!</definedName>
    <definedName name="TB900c4385_13e6_4256_af79_2d5c74c81edf" hidden="1">#REF!</definedName>
    <definedName name="TB900f7f55_c95c_4124_a9f1_658ac3db6395" hidden="1">#REF!</definedName>
    <definedName name="TB900fa7d5_0956_4dda_b934_15a86cc2cb5b" hidden="1">#REF!</definedName>
    <definedName name="TB901b7332_6c4a_402c_bddb_8bf785f885ca" hidden="1">#REF!</definedName>
    <definedName name="TB902a237e_fb3e_47de_a3fc_3fa09a69e1b2" hidden="1">#REF!</definedName>
    <definedName name="TB90309ac4_4ffa_44c5_8130_94f5ae7c132b" hidden="1">#REF!</definedName>
    <definedName name="TB9030d413_bcae_4c77_89d7_0616fbc8952b" hidden="1">#REF!</definedName>
    <definedName name="TB903cfc7d_d62c_4671_b5b7_5d40e50a86f4" hidden="1">#REF!</definedName>
    <definedName name="TB904090e1_3e50_4793_b611_bdf7d90619f8" hidden="1">#REF!</definedName>
    <definedName name="TB90488a10_c297_41c1_ba57_de81d7b2b694" hidden="1">#REF!</definedName>
    <definedName name="TB9054f436_4f88_4e8a_a41f_2c299f0cf8a4" hidden="1">#REF!</definedName>
    <definedName name="TB90592f9f_3ad9_4d38_9a04_cba3798dbd71" hidden="1">#REF!</definedName>
    <definedName name="TB90613386_c48d_4a39_a1fa_16df16dc4134" hidden="1">#REF!</definedName>
    <definedName name="TB906813cb_1351_415d_934e_a27bef5795c8" hidden="1">#REF!</definedName>
    <definedName name="TB906d4b7c_4b4e_4b9d_b5c8_19198f278d26" hidden="1">#REF!</definedName>
    <definedName name="TB907a2b13_e2d5_4c2b_be72_bd4ea38f6371" hidden="1">#REF!</definedName>
    <definedName name="TB907b9463_3929_4ca5_b4cf_522121639aba" hidden="1">#REF!</definedName>
    <definedName name="TB90808f9c_9d31_4677_a092_8a9b7a184183" hidden="1">#REF!</definedName>
    <definedName name="TB90939b88_ad05_4e98_9adf_0f1b9ac56afa" hidden="1">#REF!</definedName>
    <definedName name="TB90a4354d_23fa_4936_b7e7_ae24bcd5ed61" hidden="1">#REF!</definedName>
    <definedName name="TB90aa779c_555f_4059_993d_2f8494b8e02d" hidden="1">#REF!</definedName>
    <definedName name="TB90b0aa60_f1ec_4b5b_ba6a_ad329d0a122e" hidden="1">#REF!</definedName>
    <definedName name="TB90ce3d6b_c1ed_45f2_99c5_6472633862de" hidden="1">#REF!</definedName>
    <definedName name="TB90d241b8_59fc_43a5_9388_7d9818904286" hidden="1">#REF!</definedName>
    <definedName name="TB90d560e0_bfd9_4f92_8c07_284ba4e50a0b" hidden="1">#REF!</definedName>
    <definedName name="TB90d69066_e7ca_403f_9e9e_bca02ca95b2b" hidden="1">#REF!</definedName>
    <definedName name="TB90ead438_7977_4da3_bb8b_fbc93d4f0353" hidden="1">#REF!</definedName>
    <definedName name="TB90ec33ff_35c9_4ba5_8616_49608468c068" hidden="1">#REF!</definedName>
    <definedName name="TB90eeda6f_c43f_44f4_b639_cb4b01660089" hidden="1">#REF!</definedName>
    <definedName name="TB90fe57ed_5eca_4280_93d3_929127b0df76" hidden="1">#REF!</definedName>
    <definedName name="TB910fa2ae_b901_4a11_af15_6ba1d984231d" hidden="1">#REF!</definedName>
    <definedName name="TB9115f0b1_7fb7_43c7_931d_768031c7ab5f" hidden="1">#REF!</definedName>
    <definedName name="TB91170707_7580_41c0_87cc_f699e2f7d9ce" hidden="1">#REF!</definedName>
    <definedName name="TB911775d6_8f56_465a_9730_fde10c2060be" hidden="1">#REF!</definedName>
    <definedName name="TB912d4aba_a8ac_4468_af3b_870c1c63605b" hidden="1">#REF!</definedName>
    <definedName name="TB913693e6_e8e4_4473_baf8_6e90a415e82e" hidden="1">#REF!</definedName>
    <definedName name="TB9136a40b_8d98_43cb_bb42_d589f5f7732e" hidden="1">#REF!</definedName>
    <definedName name="TB913baeda_8327_4740_ad89_1e35f2939e23" hidden="1">#REF!</definedName>
    <definedName name="TB91576743_476d_4421_894c_4c428563ff5e" hidden="1">#REF!</definedName>
    <definedName name="TB9163741c_4ae3_4240_955d_7eb123e39512" hidden="1">#REF!</definedName>
    <definedName name="TB916983de_fa49_42bf_93d0_af5e13259e29" hidden="1">#REF!</definedName>
    <definedName name="TB917089ca_8786_4269_8ec0_effb2c95b435" hidden="1">#REF!</definedName>
    <definedName name="TB91714368_a726_4dd7_80ae_c7484bfd24c8" hidden="1">#REF!</definedName>
    <definedName name="TB91715f93_8ee7_4de7_ac42_573053d6d1e7" hidden="1">#REF!</definedName>
    <definedName name="TB9171a3ef_7171_46d7_be50_c170f55a904d" hidden="1">#REF!</definedName>
    <definedName name="TB919746c5_bc95_4016_a5da_ed0e57d9068d" hidden="1">#REF!</definedName>
    <definedName name="TB91b6583e_5ccf_4110_8b28_630a2e2a93dc" hidden="1">#REF!</definedName>
    <definedName name="TB91b88ac9_d31e_4628_9d15_29891c38ee54" hidden="1">#REF!</definedName>
    <definedName name="TB91be0df3_e2f8_4727_a496_17666b32e499" hidden="1">#REF!</definedName>
    <definedName name="TB91c16fea_ea09_4abd_85d8_ad95ee823d03" hidden="1">#REF!</definedName>
    <definedName name="TB91c1d515_6b4e_49f3_875e_da71973558c3" hidden="1">#REF!</definedName>
    <definedName name="TB91c5cea4_837b_4b88_a1f7_62e470cfe151" hidden="1">#REF!</definedName>
    <definedName name="TB91d10ebf_8ff9_478d_a2f3_88fd1bd90c45" hidden="1">#REF!</definedName>
    <definedName name="TB91dd45ae_cb45_49c0_b556_e3ce74f91b9d" hidden="1">#REF!</definedName>
    <definedName name="TB91f2e6d2_c12a_4cca_aa8e_da829f0d4298" hidden="1">#REF!</definedName>
    <definedName name="TB9200ac67_fe39_4dae_aae5_efaa983bc20c" hidden="1">#REF!</definedName>
    <definedName name="TB9206c272_2c4c_4d76_9b13_079b7b41c8e6" hidden="1">#REF!</definedName>
    <definedName name="TB920a554d_155e_411a_a37f_9d6828514e1e" hidden="1">#REF!</definedName>
    <definedName name="TB9211b4e8_cabe_444b_8544_11c08f5abe13" hidden="1">#REF!</definedName>
    <definedName name="TB9217f8ee_d458_492b_9845_1caa2403e30b" hidden="1">#REF!</definedName>
    <definedName name="TB92299c20_5ed4_49cf_9d36_e3f817c0cf2f" hidden="1">#REF!</definedName>
    <definedName name="TB922d52eb_7da4_4653_aa9a_b5f46775d88e" hidden="1">#REF!</definedName>
    <definedName name="TB92352ad4_904f_4524_9e77_d132393fef61" hidden="1">#REF!</definedName>
    <definedName name="TB92656717_7b80_4860_97cb_e3eb96651c78" hidden="1">#REF!</definedName>
    <definedName name="TB926771f0_037b_4ed2_a0eb_aa05f968dd40" hidden="1">#REF!</definedName>
    <definedName name="TB9269be89_25fd_4a8d_967e_c0339da6c579" hidden="1">#REF!</definedName>
    <definedName name="TB927e7eca_f448_4800_b7a8_868f22221a79" hidden="1">#REF!</definedName>
    <definedName name="TB9284ff84_484e_45c7_b5f4_33eb49f74a8e" hidden="1">#REF!</definedName>
    <definedName name="TB928793db_51a9_4c92_9acb_e7b1b4530a8d" hidden="1">#REF!</definedName>
    <definedName name="TB9290fde4_eaa7_48a9_a0c7_7db43fbfb180" hidden="1">#REF!</definedName>
    <definedName name="TB92a116fc_6040_4772_a1c2_3354c16c1927" hidden="1">#REF!</definedName>
    <definedName name="TB92a343ba_2650_4595_893a_6cea5fb80e18" hidden="1">#REF!</definedName>
    <definedName name="TB92a49ffa_bf9b_45c9_94c0_f22c11130938" hidden="1">#REF!</definedName>
    <definedName name="TB92a795cf_1572_4504_ad48_1b9553e27a5b" hidden="1">#REF!</definedName>
    <definedName name="TB92b31031_25e3_4fdd_802a_c5cab48cc7f8" hidden="1">#REF!</definedName>
    <definedName name="TB92b52c37_04cb_4fc4_bdf0_8f3fa73df802" hidden="1">#REF!</definedName>
    <definedName name="TB92bb220a_4ae1_41ca_a91c_96b7abb7f196" hidden="1">#REF!</definedName>
    <definedName name="TB92c75ed5_7acc_4e5b_8a22_ce04905d1731" hidden="1">#REF!</definedName>
    <definedName name="TB92ce837e_456f_47a4_ade8_056664b4c316" hidden="1">#REF!</definedName>
    <definedName name="TB92d97f5c_337a_4879_8772_ab8162a321fe" hidden="1">#REF!</definedName>
    <definedName name="TB92e74c3c_3913_4326_b841_2ef5d9b76a48" hidden="1">#REF!</definedName>
    <definedName name="TB9314a0eb_3145_45ba_b72c_0f342454c02f" hidden="1">#REF!</definedName>
    <definedName name="TB93178a24_eac6_47bd_8533_6e3ae33901dd" hidden="1">#REF!</definedName>
    <definedName name="TB931e921e_43f8_4bdd_9b4a_8b483904bf36" hidden="1">#REF!</definedName>
    <definedName name="TB932013af_dfb5_43a7_810b_775717f65679" hidden="1">#REF!</definedName>
    <definedName name="TB932ce969_4869_4b1c_865e_c8016b13b707" hidden="1">#REF!</definedName>
    <definedName name="TB93489f70_4e07_4947_83cc_108f725536be" hidden="1">#REF!</definedName>
    <definedName name="TB934c5f1e_86bd_45c8_9a7c_f6e1ba1b67b3" hidden="1">#REF!</definedName>
    <definedName name="TB9356809c_38ba_432a_b655_159649852f0c" hidden="1">#REF!</definedName>
    <definedName name="TB93675ea7_0a26_4ff2_8713_229ea1abbe2f" hidden="1">#REF!</definedName>
    <definedName name="TB936a4c04_c76c_4ca3_a826_a4e40db65db5" hidden="1">#REF!</definedName>
    <definedName name="TB936b12b5_768a_48e2_8d46_1bc2d0286aa9" hidden="1">#REF!</definedName>
    <definedName name="TB93774a44_a037_46b2_a144_add859fd6175" hidden="1">#REF!</definedName>
    <definedName name="TB937cc24d_5e13_4da9_b159_ada9565384ec" hidden="1">#REF!</definedName>
    <definedName name="TB93857cae_68f9_416d_a810_02ef5cf30183" hidden="1">#REF!</definedName>
    <definedName name="TB9385cb4e_8b0f_40ed_b711_278dacecf662" hidden="1">#REF!</definedName>
    <definedName name="TB938c49c8_bd8a_4769_ab88_400db1a0bd4e" hidden="1">#REF!</definedName>
    <definedName name="TB93930b4c_cd71_43d9_804a_1707233dc299" hidden="1">#REF!</definedName>
    <definedName name="TB93aa44d6_63a0_45cc_8d62_6776e1e093c5" hidden="1">#REF!</definedName>
    <definedName name="TB93add178_db91_4278_966b_3047309622aa" hidden="1">#REF!</definedName>
    <definedName name="TB93aeb8d0_5045_4331_9c1d_9320a35d9ddf" hidden="1">#REF!</definedName>
    <definedName name="TB93c18672_5642_45b2_b390_0751ab163afa" hidden="1">#REF!</definedName>
    <definedName name="TB93c7c898_c218_4826_8098_c31924f70294" hidden="1">#REF!</definedName>
    <definedName name="TB93dbaa70_2f42_41b1_a06f_a1ae78850b71" hidden="1">#REF!</definedName>
    <definedName name="TB93de8b96_15fc_4c2e_bac9_fa037c140fb3" hidden="1">#REF!</definedName>
    <definedName name="TB93e9201e_0729_41c8_83f0_153e8c75ba6d" hidden="1">#REF!</definedName>
    <definedName name="TB93f81d38_f796_4100_bef1_1bf3278b077b" hidden="1">#REF!</definedName>
    <definedName name="TB94004ccf_ba2f_4f97_87a5_c74795a107b2" hidden="1">#REF!</definedName>
    <definedName name="TB9406320b_2aa8_4ab3_8f60_572957194c0d" hidden="1">#REF!</definedName>
    <definedName name="TB940cad1f_9a9b_444c_bc68_14e659ff5ac5" hidden="1">#REF!</definedName>
    <definedName name="TB941a9843_6719_44fd_aad8_920b01c8288f" hidden="1">#REF!</definedName>
    <definedName name="TB941c8260_0e0a_4248_b3bd_9d2c540397fa" hidden="1">#REF!</definedName>
    <definedName name="TB9439271e_a414_4859_a814_0eeab9b1e786" hidden="1">#REF!</definedName>
    <definedName name="TB943dab9b_74db_452a_b4fd_d0e92e4b0b42" hidden="1">#REF!</definedName>
    <definedName name="TB944bd805_9d03_4287_bb39_94cb6e2d0f49" hidden="1">#REF!</definedName>
    <definedName name="TB944e4f98_1a35_42b3_9cc3_94c4eb73faf9" hidden="1">#REF!</definedName>
    <definedName name="TB945556b9_229a_4d76_88fc_9c2ddbc6b64b" hidden="1">#REF!</definedName>
    <definedName name="TB947371b9_ecd1_4c7e_a9e4_b710a0662d66" hidden="1">#REF!</definedName>
    <definedName name="TB94795a71_d14b_4a8e_b78f_f0352b412517" hidden="1">#REF!</definedName>
    <definedName name="TB947bdb39_40f3_4ad8_a5c2_9ef843a41cd8" hidden="1">#REF!</definedName>
    <definedName name="TB9480594e_9bc5_4e31_a557_ea948df5ea97" hidden="1">#REF!</definedName>
    <definedName name="TB949ae55f_c47a_468a_a95d_ae6a54e560d0" hidden="1">#REF!</definedName>
    <definedName name="TB949dec4a_6747_4d15_a6b6_a24e8a9b4f70" hidden="1">#REF!</definedName>
    <definedName name="TB94a5e067_cbef_4797_aad1_fa56dd5e7375" hidden="1">#REF!</definedName>
    <definedName name="TB94ba2d7f_ed2c_44c1_858f_f67f88275b10" hidden="1">#REF!</definedName>
    <definedName name="TB94be4cb8_0dff_452a_bbec_b3a27e32d4b6" hidden="1">#REF!</definedName>
    <definedName name="TB94be6f8e_4935_4182_83b1_09f0a6896cd8" hidden="1">#REF!</definedName>
    <definedName name="TB94be7ab9_f10d_4d39_87ef_b12934517ca4" hidden="1">#REF!</definedName>
    <definedName name="TB94c45c46_f02d_4340_b49e_fe4819f28a53" hidden="1">#REF!</definedName>
    <definedName name="TB94e0aef9_695a_426f_97f5_1f53871ba747" hidden="1">#REF!</definedName>
    <definedName name="TB94f02e55_67e7_44e0_acaa_5167d0b03da2" hidden="1">#REF!</definedName>
    <definedName name="TB94fe0ac7_9d18_4797_9fe6_7d9f71ebaeb1" hidden="1">#REF!</definedName>
    <definedName name="TB9501e4fc_6091_4987_b660_fbd716d447e0" hidden="1">#REF!</definedName>
    <definedName name="TB9507f282_67b8_41f6_8035_6353bac02437" hidden="1">#REF!</definedName>
    <definedName name="TB95093586_a3f1_42e1_9292_f3b76855061a" hidden="1">#REF!</definedName>
    <definedName name="TB9518f12e_648d_4830_97b1_0c0840a0851f" hidden="1">#REF!</definedName>
    <definedName name="TB951ee4ed_ca9a_482e_8fb3_caebce87f297" hidden="1">#REF!</definedName>
    <definedName name="TB9528b56a_6e93_4202_bcb6_6c407eb20723" hidden="1">#REF!</definedName>
    <definedName name="TB952bd1ea_7200_489f_9c81_785ccfbbfcc6" hidden="1">#REF!</definedName>
    <definedName name="TB95327bbe_1ef5_4a7b_8608_9f4b209f54bf" hidden="1">#REF!</definedName>
    <definedName name="TB95440f11_5676_42bb_a564_fb8747249955" hidden="1">#REF!</definedName>
    <definedName name="TB95469b1a_bff8_43dd_87f6_8879abaad633" hidden="1">#REF!</definedName>
    <definedName name="TB954b0009_efe9_46fe_a606_46ae8507233a" hidden="1">#REF!</definedName>
    <definedName name="TB95542470_a040_4aa6_9c96_9f24da45cac7" hidden="1">#REF!</definedName>
    <definedName name="TB9558e8c1_624a_4d9d_b21f_a4e8bf97f7ec" hidden="1">#REF!</definedName>
    <definedName name="TB9569675f_4496_4b86_905b_9e4c8eef24cd" hidden="1">#REF!</definedName>
    <definedName name="TB95767bf0_5d8e_4f1f_a650_2285be09c387" hidden="1">#REF!</definedName>
    <definedName name="TB957cc41a_aa2a_4644_990d_514faebdfac8" hidden="1">#REF!</definedName>
    <definedName name="TB9581870a_84c0_4627_9c36_682203c00cbf" hidden="1">#REF!</definedName>
    <definedName name="TB958da9f2_9562_4def_a57e_b51161459d51" hidden="1">#REF!</definedName>
    <definedName name="TB958dba45_82fd_4d00_b804_2bac2e4b6cc8" hidden="1">#REF!</definedName>
    <definedName name="TB95a6f6be_6812_4e6f_ac29_cac3d9572f11" hidden="1">#REF!</definedName>
    <definedName name="TB95a8276d_432b_4e92_b809_57641a293b25" hidden="1">#REF!</definedName>
    <definedName name="TB95bec147_8e1c_4b6b_9773_e09f7e62a388" hidden="1">#REF!</definedName>
    <definedName name="TB95cded33_ba8d_4a59_9226_4600e2f59952" hidden="1">#REF!</definedName>
    <definedName name="TB95eb0b5e_dc76_41dc_aaaa_9c99619ccec1" hidden="1">#REF!</definedName>
    <definedName name="TB95f24a05_8d14_4e02_ad72_f91035c193eb" hidden="1">#REF!</definedName>
    <definedName name="TB960b97a4_71ad_43f0_af9b_b155f8d3846e" hidden="1">#REF!</definedName>
    <definedName name="TB963c51da_b6ae_4485_a42a_9b6efdde4975" hidden="1">#REF!</definedName>
    <definedName name="TB963edd44_acf7_4fa2_91d1_d50e7c6abf22" hidden="1">#REF!</definedName>
    <definedName name="TB9645062d_4fb5_4c87_b6f9_4523c2720d5f" hidden="1">#REF!</definedName>
    <definedName name="TB9645df86_830a_41a3_ac5e_0130eb913090" hidden="1">#REF!</definedName>
    <definedName name="TB96473f88_e521_4d73_aa95_1b26279db9bd" hidden="1">#REF!</definedName>
    <definedName name="TB964f4ead_55c2_4fcc_a55c_e215bbace564" hidden="1">#REF!</definedName>
    <definedName name="TB965d2d06_8f76_4939_8a57_26a0bd92c496" hidden="1">#REF!</definedName>
    <definedName name="TB96624b1a_23aa_4e06_abae_cc89078d3379" hidden="1">#REF!</definedName>
    <definedName name="TB96630361_4b5e_46cb_81a5_a4a98fb3bf43" hidden="1">#REF!</definedName>
    <definedName name="TB96685574_0820_47c9_a381_44687cf43339" hidden="1">#REF!</definedName>
    <definedName name="TB96776a82_beff_4833_962c_93dd3b6daa06" hidden="1">#REF!</definedName>
    <definedName name="TB9678e464_7880_46df_99cf_fd537f2efc0c" hidden="1">#REF!</definedName>
    <definedName name="TB9679e027_bac5_4126_8c62_cf2ceb164eab" hidden="1">#REF!</definedName>
    <definedName name="TB968053c2_f711_4e26_aa33_461238a9f806" hidden="1">#REF!</definedName>
    <definedName name="TB9683b1c5_5497_4574_b45c_26ebd26bc8c2" hidden="1">#REF!</definedName>
    <definedName name="TB96895c4a_3fbc_4562_af7c_322135fbeb66" hidden="1">#REF!</definedName>
    <definedName name="TB968a1bad_af61_4e94_913a_72ea4b3ce90b" hidden="1">#REF!</definedName>
    <definedName name="TB968e2253_9564_4562_ac4d_cee95857e02d" hidden="1">#REF!</definedName>
    <definedName name="TB9697272f_568c_466c_a2dd_980458bb2f06" hidden="1">#REF!</definedName>
    <definedName name="TB96a23018_e7ac_45c4_813c_13abe39a06c8" hidden="1">#REF!</definedName>
    <definedName name="TB96aedcf7_d6bc_4eed_a426_e32c27a218cc" hidden="1">#REF!</definedName>
    <definedName name="TB96b041f3_78bd_441b_8f95_5c83d200076a" hidden="1">#REF!</definedName>
    <definedName name="TB96b94a63_fe61_4916_9419_76608fa6221d" hidden="1">#REF!</definedName>
    <definedName name="TB96bb7113_dcff_4ab7_899b_9b5372edbe75" hidden="1">#REF!</definedName>
    <definedName name="TB96c110cf_5795_415e_843c_bbdabe4bb2e7" hidden="1">#REF!</definedName>
    <definedName name="TB96c75155_da7d_45c9_ae10_ce49e6ddac60" hidden="1">#REF!</definedName>
    <definedName name="TB96d18f35_2ea6_4ad7_a383_3b735e2f1eb8" hidden="1">#REF!</definedName>
    <definedName name="TB96e42282_fb94_4832_b1d6_cee3849f4e86" hidden="1">#REF!</definedName>
    <definedName name="TB96e903e8_d5f6_4378_b76d_633b9abec80e" hidden="1">#REF!</definedName>
    <definedName name="TB96ffcd03_94d3_4b08_8549_9066b04aba85" hidden="1">#REF!</definedName>
    <definedName name="TB97018e0f_6f09_4ed1_a4ff_c96ee14b1243" hidden="1">#REF!</definedName>
    <definedName name="TB9711d62a_9974_479f_9e90_82d9f80689cd" hidden="1">#REF!</definedName>
    <definedName name="TB9713c4d1_ce9b_4add_b889_361d52e3bba6" hidden="1">#REF!</definedName>
    <definedName name="TB97192917_1e9e_478e_afda_5ad0191f838b" hidden="1">#REF!</definedName>
    <definedName name="TB971ddee1_8226_41c8_a7ec_6f16430c019e" hidden="1">#REF!</definedName>
    <definedName name="TB97245d16_26f7_4b6e_8ab5_7a98aa6406d3" hidden="1">#REF!</definedName>
    <definedName name="TB97281b68_89e4_4856_858d_30ea043f997b" hidden="1">#REF!</definedName>
    <definedName name="TB97297a02_0d70_49b1_8138_dfc9925669df" hidden="1">#REF!</definedName>
    <definedName name="TB972e2ea2_f5ff_4f0a_999a_2364182c4996" hidden="1">#REF!</definedName>
    <definedName name="TB973d4ce3_7ee7_4684_80fd_82bd19345d57" hidden="1">#REF!</definedName>
    <definedName name="TB974093a4_4f7b_4b43_b236_693ea2ccae60" hidden="1">#REF!</definedName>
    <definedName name="TB974c1b70_2a66_4faa_8b6b_5f20d21efaf2" hidden="1">#REF!</definedName>
    <definedName name="TB977beac4_6512_4f76_8869_c773e6d523a6" hidden="1">#REF!</definedName>
    <definedName name="TB977ea1f9_4a5b_4162_b88d_cb04faa53e7c" hidden="1">#REF!</definedName>
    <definedName name="TB977f7831_7088_4486_a5ef_4e9c2313a69e" hidden="1">#REF!</definedName>
    <definedName name="TB9783e801_7bb1_4010_9c0d_33d4f3995d07" hidden="1">#REF!</definedName>
    <definedName name="TB97888496_5317_441d_81aa_52194e2a1840" hidden="1">#REF!</definedName>
    <definedName name="TB9796a743_14f9_4804_8bc1_f7a13cf62595" hidden="1">#REF!</definedName>
    <definedName name="TB9797c690_26de_4f59_9c63_8de239689d92" hidden="1">#REF!</definedName>
    <definedName name="TB979814cb_9cc5_41bb_84fa_d55e05bcc4bf" hidden="1">#REF!</definedName>
    <definedName name="TB97a7f3b4_966f_4777_b9aa_d918de97c7a2" hidden="1">#REF!</definedName>
    <definedName name="TB97af1771_0311_4d6c_8ae5_cc1777bd64e9" hidden="1">#REF!</definedName>
    <definedName name="TB97ba4b90_564d_4f11_82ed_b807d94aac81" hidden="1">#REF!</definedName>
    <definedName name="TB97bc8182_3bc6_4737_b170_57e15de7aea3" hidden="1">#REF!</definedName>
    <definedName name="TB97c57ab0_7a5a_4d7a_9baa_067e639f5b49" hidden="1">#REF!</definedName>
    <definedName name="TB97c90cf6_14e8_4ebf_8ddf_9bae4d370c3a" hidden="1">#REF!</definedName>
    <definedName name="TB97ca35bf_026a_4776_ba64_ce0d47baedd1" hidden="1">#REF!</definedName>
    <definedName name="TB97ca612e_d8d6_40cc_95b7_3d342b0ae58c" hidden="1">#REF!</definedName>
    <definedName name="TB97e16a32_e5b4_471b_93ad_3ba3d01bfa0e" hidden="1">#REF!</definedName>
    <definedName name="TB97f12a1a_a383_4c21_835b_6f8587d830f9" hidden="1">#REF!</definedName>
    <definedName name="TB97f2c99b_61e8_437f_ad65_c853b9d70925" hidden="1">#REF!</definedName>
    <definedName name="TB98127253_a57d_42d9_9527_d471207c7837" hidden="1">#REF!</definedName>
    <definedName name="TB98184526_a02f_4084_910f_91094cc2439e" hidden="1">#REF!</definedName>
    <definedName name="TB98284b16_8ffa_4178_b90c_498fc9262d3e" hidden="1">#REF!</definedName>
    <definedName name="TB98290e9b_f08d_495b_80b4_8c94c898c574" hidden="1">#REF!</definedName>
    <definedName name="TB98330d54_223c_4288_9b9c_2cbfd8bd95fe" hidden="1">#REF!</definedName>
    <definedName name="TB98420e1b_f909_4caf_9cc9_70b69fc51af4" hidden="1">#REF!</definedName>
    <definedName name="TB98547534_a7f6_4a0a_b832_57e192254613" hidden="1">#REF!</definedName>
    <definedName name="TB98558eb2_8fff_4d65_8915_1d13a5a195ee" hidden="1">#REF!</definedName>
    <definedName name="TB985f8157_5aec_46fc_b164_fb7d51255d04" hidden="1">#REF!</definedName>
    <definedName name="TB98635473_3817_40fa_8abd_67ebab76a411" hidden="1">#REF!</definedName>
    <definedName name="TB9863c8a2_e433_481c_9e26_e7b9459167d7" hidden="1">#REF!</definedName>
    <definedName name="TB98658054_2f8e_44db_a1a0_2788b026b55b" hidden="1">#REF!</definedName>
    <definedName name="TB98717efa_543e_4580_a1fc_8ddade35962f" hidden="1">#REF!</definedName>
    <definedName name="TB98745be5_b783_447e_8870_2ab831ecac77" hidden="1">#REF!</definedName>
    <definedName name="TB9875a8a7_04fc_4657_bf65_2a8288d85787" hidden="1">#REF!</definedName>
    <definedName name="TB98827f2a_3207_4599_9051_7e3e271b0597" hidden="1">#REF!</definedName>
    <definedName name="TB9898678b_6ba1_4ec5_9a73_6b46ed68c019" hidden="1">#REF!</definedName>
    <definedName name="TB989d8288_0784_4a3c_b8ee_b044d5a9ee0f" hidden="1">#REF!</definedName>
    <definedName name="TB98a47c7f_159f_48fe_984f_28b0f4f53e59" hidden="1">#REF!</definedName>
    <definedName name="TB98a62bcc_a67e_4e46_94eb_3f33cf780dfe" hidden="1">#REF!</definedName>
    <definedName name="TB98a8252b_c17d_4108_adb5_764fb3c8b2cc" hidden="1">#REF!</definedName>
    <definedName name="TB98acc7c5_2f6f_4a0b_8d63_3f94166968b5" hidden="1">#REF!</definedName>
    <definedName name="TB98b3c53b_396d_4fdf_910c_a529a15e9b05" hidden="1">#REF!</definedName>
    <definedName name="TB98b6a31a_a7b9_4e87_bf6c_c7f86b0ce717" hidden="1">#REF!</definedName>
    <definedName name="TB98b9ea62_fa2a_4439_9aca_9403aa619197" hidden="1">#REF!</definedName>
    <definedName name="TB98bb756d_6ce6_43b3_82c9_c3e0d126c34b" hidden="1">#REF!</definedName>
    <definedName name="TB98bbc9ee_9edc_4ca2_a1d5_469d07f3a978" hidden="1">#REF!</definedName>
    <definedName name="TB98f1a5a2_7cdf_491d_b875_031c4710df67" hidden="1">#REF!</definedName>
    <definedName name="TB990f77bc_e7ce_4638_9ed9_bce79b772455" hidden="1">#REF!</definedName>
    <definedName name="TB991bd7b9_f520_42ba_a2ca_d01242ed7889" hidden="1">#REF!</definedName>
    <definedName name="TB992a805f_af08_4c8e_99eb_54fde05a187f" hidden="1">#REF!</definedName>
    <definedName name="TB993246d6_06cc_482c_b4cf_4add579244ba" hidden="1">#REF!</definedName>
    <definedName name="TB99339d6c_798c_4e27_939f_2982f2def174" hidden="1">#REF!</definedName>
    <definedName name="TB994068ef_aec1_4e9c_9012_edf55b2a32d4" hidden="1">#REF!</definedName>
    <definedName name="TB994b47ce_f434_4607_a90a_439c0f398a97" hidden="1">#REF!</definedName>
    <definedName name="TB99862c94_a0a6_4893_b507_9192641b835e" hidden="1">#REF!</definedName>
    <definedName name="TB9987b8c3_f9bf_4f00_91c0_62778cff1ca9" hidden="1">#REF!</definedName>
    <definedName name="TB99af4435_f2f7_4a3a_8686_e1f87b0c7353" hidden="1">#REF!</definedName>
    <definedName name="TB99da54bb_4912_4926_83bb_e86638ff73d0" hidden="1">#REF!</definedName>
    <definedName name="TB99db6362_c139_4c98_a5f9_bfe47260911b" hidden="1">#REF!</definedName>
    <definedName name="TB99e01875_3213_4705_9eab_cdcb7cc109dc" hidden="1">#REF!</definedName>
    <definedName name="TB99e0bcbb_d8e7_4936_957c_55183f15d356" hidden="1">#REF!</definedName>
    <definedName name="TB99e35e76_bb1c_499d_a189_c32986b23084" hidden="1">#REF!</definedName>
    <definedName name="TB99e36656_1c04_423d_9bc8_98bb758df01d" hidden="1">#REF!</definedName>
    <definedName name="TB99f9ef49_ce36_4727_a450_cd6156e6eaac" hidden="1">#REF!</definedName>
    <definedName name="TB99fc6c09_eb9a_4151_92e2_1f6d78e39a15" hidden="1">#REF!</definedName>
    <definedName name="TB9a05ca0f_344c_45c1_8d6f_960f0a8b1d1c" hidden="1">#REF!</definedName>
    <definedName name="TB9a0cb0b8_fcb0_4791_a3ca_bc78866f84d1" hidden="1">#REF!</definedName>
    <definedName name="TB9a0e1792_d8de_459f_988a_6b621866e381" hidden="1">#REF!</definedName>
    <definedName name="TB9a151c0e_6fd3_409f_b2f6_66754be55915" hidden="1">#REF!</definedName>
    <definedName name="TB9a1f2fd2_94b7_466c_bb34_5294f8bd6765" hidden="1">#REF!</definedName>
    <definedName name="TB9a20a447_70ae_49d4_a745_5e7f8110501f" hidden="1">#REF!</definedName>
    <definedName name="TB9a24de53_4c32_4675_b9fd_03fc569a84d8" hidden="1">#REF!</definedName>
    <definedName name="TB9a342bf1_897a_4ae9_81c8_75d401624ca0" hidden="1">#REF!</definedName>
    <definedName name="TB9a3ca441_b4ad_4c44_8202_f36eb9bf6e71" hidden="1">#REF!</definedName>
    <definedName name="TB9a420c61_b8fb_47b2_b120_5d8053e8c431" hidden="1">#REF!</definedName>
    <definedName name="TB9a436e53_5684_45fa_a266_9dbc8fcba2f6" hidden="1">#REF!</definedName>
    <definedName name="TB9a501943_056e_45a9_a4d3_41edd1cd4f63" hidden="1">#REF!</definedName>
    <definedName name="TB9a585b98_860f_4d66_9e7a_8562bfe9295a" hidden="1">#REF!</definedName>
    <definedName name="TB9a58ced0_1e48_47a6_9e64_af4ad5cdbe29" hidden="1">#REF!</definedName>
    <definedName name="TB9a7b873d_f502_491f_96a8_4abc34951030" hidden="1">#REF!</definedName>
    <definedName name="TB9a7dc464_f0a0_424a_8c1c_8509751c180f" hidden="1">#REF!</definedName>
    <definedName name="TB9a7e7375_76fe_43da_a09a_07171e2f2511" hidden="1">#REF!</definedName>
    <definedName name="TB9a80d9cd_a345_4814_93f1_d6d28657631a" hidden="1">#REF!</definedName>
    <definedName name="TB9a8dfee8_c116_4380_9d33_d174d1b4e9ef" hidden="1">#REF!</definedName>
    <definedName name="TB9a98d704_1a1f_4655_aa60_a3f9e6e50e42" hidden="1">#REF!</definedName>
    <definedName name="TB9a99de1b_78b1_4660_803a_ce617183d4ab" hidden="1">#REF!</definedName>
    <definedName name="TB9aa5ab74_69f7_4118_96df_81f388be73a5" hidden="1">#REF!</definedName>
    <definedName name="TB9aa5e773_26a2_4aa6_999e_16e23e7deea9" hidden="1">#REF!</definedName>
    <definedName name="TB9aab0edf_622d_4233_bfb5_dcebba78d9de" hidden="1">#REF!</definedName>
    <definedName name="TB9ab6a947_2ed5_423c_a81f_8221e19d71a8" hidden="1">#REF!</definedName>
    <definedName name="TB9abb8b38_84ca_4a96_8a9c_ad85edffa8e2" hidden="1">#REF!</definedName>
    <definedName name="TB9abf41ab_82dc_4de3_9a73_fd51ce88ea3f" hidden="1">#REF!</definedName>
    <definedName name="TB9ac459e4_f694_4559_9058_627394465668" hidden="1">#REF!</definedName>
    <definedName name="TB9ac949c8_7253_42fc_82db_84fff3107c30" hidden="1">#REF!</definedName>
    <definedName name="TB9ace693b_c92e_41c3_bc3d_1a95b5e23286" hidden="1">#REF!</definedName>
    <definedName name="TB9ad83e90_de94_4da4_a09d_c29cd5c8b324" hidden="1">#REF!</definedName>
    <definedName name="TB9adfb22f_90ee_4339_bacc_3714d4cd1ea7" hidden="1">#REF!</definedName>
    <definedName name="TB9aefe46f_21be_42ae_9244_0ffc6fc42a78" hidden="1">#REF!</definedName>
    <definedName name="TB9b077641_177a_40e8_8023_f7f927d8e666" hidden="1">#REF!</definedName>
    <definedName name="TB9b1180ef_4c9b_4132_9975_df1f3fc38039" hidden="1">#REF!</definedName>
    <definedName name="TB9b12f3b5_7868_40d7_bb57_b76bbe3218c4" hidden="1">#REF!</definedName>
    <definedName name="TB9b13dcd7_eed7_4e04_be7d_d91a5313901f" hidden="1">#REF!</definedName>
    <definedName name="TB9b15cfc1_6052_424e_ac1b_f9f0ca88446b" hidden="1">#REF!</definedName>
    <definedName name="TB9b240408_830d_4f34_be86_828cefeb156f" hidden="1">#REF!</definedName>
    <definedName name="TB9b25acbd_7b20_4bb1_ab0a_f0406b503670" hidden="1">#REF!</definedName>
    <definedName name="TB9b286a43_9b88_4bef_9a86_f7bb8d165e0b" hidden="1">#REF!</definedName>
    <definedName name="TB9b3b7e82_92c0_4f6e_9d43_b4337e274753" hidden="1">#REF!</definedName>
    <definedName name="TB9b42dfc2_5332_4b2c_8a11_bb356e5e6521" hidden="1">#REF!</definedName>
    <definedName name="TB9b570eab_b281_4b17_a8cb_004d7f22be10" hidden="1">#REF!</definedName>
    <definedName name="TB9b5b666d_ba5f_49ab_9785_5b7435592771" hidden="1">#REF!</definedName>
    <definedName name="TB9b5b7f45_fa5e_4939_b41d_a2c32c92a117" hidden="1">#REF!</definedName>
    <definedName name="TB9b5dc59e_8e9f_46d8_a924_cc8071dc988e" hidden="1">#REF!</definedName>
    <definedName name="TB9b6863fa_d17b_4dbb_981f_76c0e6ebb190" hidden="1">#REF!</definedName>
    <definedName name="TB9b73cc75_e5e3_4f44_9bb6_01074686849c" hidden="1">#REF!</definedName>
    <definedName name="TB9b77ebe9_0b0b_4964_b511_5af248fe81d8" hidden="1">#REF!</definedName>
    <definedName name="TB9b7c284e_b8b4_45af_aa80_b9fcaa80e5b2" hidden="1">#REF!</definedName>
    <definedName name="TB9b7c6ca7_e481_48cd_89c6_0aad6abefc8d" hidden="1">#REF!</definedName>
    <definedName name="TB9b80b775_bd7b_4d20_85f2_e92afd3c84ba" hidden="1">#REF!</definedName>
    <definedName name="TB9b839191_850e_4514_a680_0b17d28e1823" hidden="1">#REF!</definedName>
    <definedName name="TB9b9015ff_357d_4afa_b269_ba741005babf" hidden="1">#REF!</definedName>
    <definedName name="TB9bb2e1d1_f8b4_4192_93fd_ffe66725590b" hidden="1">#REF!</definedName>
    <definedName name="TB9bc37040_253a_4c83_baa0_883ff13c216a" hidden="1">#REF!</definedName>
    <definedName name="TB9bce05b0_f35d_4991_a9fc_37a87e061900" hidden="1">#REF!</definedName>
    <definedName name="TB9bd7d5fb_f7eb_4d21_a7b0_ed0a938a4f36" hidden="1">#REF!</definedName>
    <definedName name="TB9bdf0371_3fb1_4da5_9ba7_49b393234bf2" hidden="1">#REF!</definedName>
    <definedName name="TB9be60307_e6bf_4652_9415_d5c19c25811e" hidden="1">#REF!</definedName>
    <definedName name="TB9be7f853_6649_48a5_b851_aa937962db9c" hidden="1">#REF!</definedName>
    <definedName name="TB9bec9730_7a08_4138_b41c_c8a54750ca41" hidden="1">#REF!</definedName>
    <definedName name="TB9bf8d0dc_00f1_4098_ad02_246faf225c94" hidden="1">#REF!</definedName>
    <definedName name="TB9bfb0b98_260b_4696_bbfa_d8e74c2563f9" hidden="1">#REF!</definedName>
    <definedName name="TB9bfdaba0_c2ed_4d5a_9106_150ef5501345" hidden="1">#REF!</definedName>
    <definedName name="TB9c08035d_ea94_4962_81cf_75c714463d1d" hidden="1">#REF!</definedName>
    <definedName name="TB9c0c5751_066e_41a3_a092_20547be06171" hidden="1">#REF!</definedName>
    <definedName name="TB9c0ce9ea_ea7a_45af_94a5_a84a5603f926" hidden="1">#REF!</definedName>
    <definedName name="TB9c0fc1ad_35b7_4aa4_8ea7_77ad3e512a6a" hidden="1">#REF!</definedName>
    <definedName name="TB9c0fc4bd_15a9_470c_9921_8130f3653d3f" hidden="1">#REF!</definedName>
    <definedName name="TB9c141b6e_b3dd_431d_b162_3d072670c5f0" hidden="1">#REF!</definedName>
    <definedName name="TB9c1e337b_970f_4c30_b41c_7222b7ac0059" hidden="1">#REF!</definedName>
    <definedName name="TB9c2151fd_296e_46f9_ba6a_e2d47912bcb2" hidden="1">#REF!</definedName>
    <definedName name="TB9c264e55_9968_4f5c_bd30_a086af747fac" hidden="1">#REF!</definedName>
    <definedName name="TB9c26d1b9_6601_408c_ac0d_c5382b0e4606" hidden="1">#REF!</definedName>
    <definedName name="TB9c313f30_2132_4cdd_8075_2849a5ac7397" hidden="1">#REF!</definedName>
    <definedName name="TB9c34092b_428d_41f6_b8fd_29eab7d88c7f" hidden="1">#REF!</definedName>
    <definedName name="TB9c34411b_7877_4b08_891e_957c75fc7929" hidden="1">#REF!</definedName>
    <definedName name="TB9c3a943f_f380_4ec1_9c58_17e98c99d78f" hidden="1">#REF!</definedName>
    <definedName name="TB9c3b3ddb_5392_42dd_b412_f3412d15bca1" hidden="1">#REF!</definedName>
    <definedName name="TB9c41fc7b_506d_4b7d_ae11_0e1ef591ea55" hidden="1">#REF!</definedName>
    <definedName name="TB9c514d0e_86f0_4b18_8867_d30e64fb540a" hidden="1">#REF!</definedName>
    <definedName name="TB9c51915c_3f7b_4444_9dab_4babd8f73195" hidden="1">#REF!</definedName>
    <definedName name="TB9c700763_1adf_412d_951e_e94201eac277" hidden="1">#REF!</definedName>
    <definedName name="TB9c7166bc_2735_4614_b7fd_553f9c20406d" hidden="1">#REF!</definedName>
    <definedName name="TB9c7718cf_fb27_458e_a486_bda398dd01b1" hidden="1">#REF!</definedName>
    <definedName name="TB9c832bf9_c4b0_443a_b4ce_6e1595713721" hidden="1">#REF!</definedName>
    <definedName name="TB9c9c486a_728f_4b04_91ce_9dbf60d5e790" hidden="1">#REF!</definedName>
    <definedName name="TB9c9c878e_bb95_41ad_9d10_a4857648c1d7" hidden="1">#REF!</definedName>
    <definedName name="TB9ca0c16c_60fc_4794_9896_c1398079e7b6" hidden="1">#REF!</definedName>
    <definedName name="TB9ca2ef19_955f_46f6_ad6d_1a5e4238e913" hidden="1">#REF!</definedName>
    <definedName name="TB9ca4ba48_254f_4bcf_8124_f33d7713d149" hidden="1">#REF!</definedName>
    <definedName name="TB9cb04b0b_158e_403b_8dc6_3a0fed97104c" hidden="1">#REF!</definedName>
    <definedName name="TB9cbacbf3_2d30_48a5_9f37_cd258b4418eb" hidden="1">#REF!</definedName>
    <definedName name="TB9cbbdac5_4e31_409a_8525_0a0bd0b16f0a" hidden="1">#REF!</definedName>
    <definedName name="TB9cbf7419_8b23_4673_8c0a_6399cce25b84" hidden="1">#REF!</definedName>
    <definedName name="TB9cd0ec42_21bf_42bf_9a85_fcc459d16b2e" hidden="1">#REF!</definedName>
    <definedName name="TB9cd644b3_c4cd_47e8_95d7_0bbfd4d76f0e" hidden="1">#REF!</definedName>
    <definedName name="TB9ce1b4ae_5ca8_4c79_b1b0_a5379b003e3d" hidden="1">#REF!</definedName>
    <definedName name="TB9cf31072_38ba_4af1_8db9_42495050a4f1" hidden="1">#REF!</definedName>
    <definedName name="TB9cf7ebc8_10f4_4382_ab10_bff0b44f28eb" hidden="1">#REF!</definedName>
    <definedName name="TB9d16b6a2_9621_44d2_844b_1343c5d8e672" hidden="1">#REF!</definedName>
    <definedName name="TB9d283c8b_f766_4ad5_8086_64483b216d67" hidden="1">#REF!</definedName>
    <definedName name="TB9d353498_988e_484b_a41e_e249403f059d" hidden="1">#REF!</definedName>
    <definedName name="TB9d43f6d0_1024_4217_9845_ede486a54b05" hidden="1">#REF!</definedName>
    <definedName name="TB9d56d8f6_6749_4665_9d32_964c3f07cb4d" hidden="1">#REF!</definedName>
    <definedName name="TB9d674ded_f484_417d_a60b_410e973d9645" hidden="1">#REF!</definedName>
    <definedName name="TB9d7f6d23_adc6_424b_ad4a_af85bc015f56" hidden="1">#REF!</definedName>
    <definedName name="TB9d84a69e_f492_4641_b0dc_f2b39afc7098" hidden="1">#REF!</definedName>
    <definedName name="TB9da3cb56_ce9d_4858_b763_49c63c760890" hidden="1">#REF!</definedName>
    <definedName name="TB9da5f04c_86e2_4a67_8130_9edd6922979e" hidden="1">#REF!</definedName>
    <definedName name="TB9daaba82_728f_4844_bc8d_a65ff4535fbe" hidden="1">#REF!</definedName>
    <definedName name="TB9dab0eeb_4136_4c07_86ad_62eb586aedd9" hidden="1">#REF!</definedName>
    <definedName name="TB9db3d99c_0f58_40b1_8771_ef78eb8dcd7a" hidden="1">#REF!</definedName>
    <definedName name="TB9db70f42_ccb6_427f_b427_82db3b6f11dd" hidden="1">#REF!</definedName>
    <definedName name="TB9db99a9c_66f0_4fe6_943f_18b070a45a47" hidden="1">#REF!</definedName>
    <definedName name="TB9dba953c_dacc_466f_a8cc_2f7596b393db" hidden="1">#REF!</definedName>
    <definedName name="TB9dc96312_37df_4a2f_aea0_5b16854cf709" hidden="1">#REF!</definedName>
    <definedName name="TB9dcad1ce_8454_4dfe_b4ac_b764056e926d" hidden="1">#REF!</definedName>
    <definedName name="TB9dcde99e_7185_43f5_89ea_484a22b93786" hidden="1">#REF!</definedName>
    <definedName name="TB9dcf1843_64d3_48b9_9301_0aba2e07314e" hidden="1">#REF!</definedName>
    <definedName name="TB9dd266ac_0eb8_403d_b3fe_2b6027ab8c11" hidden="1">#REF!</definedName>
    <definedName name="TB9dd41fa3_5463_4854_b5e3_4166076ad5b8" hidden="1">#REF!</definedName>
    <definedName name="TB9dd7b858_b184_414a_8452_86380d254311" hidden="1">#REF!</definedName>
    <definedName name="TB9ddd884a_c0d6_4d95_ad93_b385c7cafd88" hidden="1">#REF!</definedName>
    <definedName name="TB9de6db79_c77b_40b6_96ce_461f4840acd2" hidden="1">#REF!</definedName>
    <definedName name="TB9de7455c_b9c2_408d_b996_afe080017fd4" hidden="1">#REF!</definedName>
    <definedName name="TB9de9e853_58c5_4bfd_bbf9_5ebd5f19f6a2" hidden="1">#REF!</definedName>
    <definedName name="TB9dea71cf_8c27_41c6_82bb_f1e77e44c02c" hidden="1">#REF!</definedName>
    <definedName name="TB9deb745d_5c1e_4208_a782_a534f1ce569a" hidden="1">#REF!</definedName>
    <definedName name="TB9dec1e99_5475_4861_8170_bb84c5fb863d" hidden="1">#REF!</definedName>
    <definedName name="TB9df2ca34_7f63_44d2_9219_4c6ec3576885" hidden="1">#REF!</definedName>
    <definedName name="TB9dfc4568_97d4_461a_a47f_23da93b6c679" hidden="1">#REF!</definedName>
    <definedName name="TB9dfce27a_b8ba_4cdf_b018_d2144dc93865" hidden="1">#REF!</definedName>
    <definedName name="TB9e04302e_55c6_4f9f_a720_ba2b5254c3d7" hidden="1">#REF!</definedName>
    <definedName name="TB9e0e47ce_864a_4f48_844a_4ea4cd00d2e5" hidden="1">#REF!</definedName>
    <definedName name="TB9e131c2b_34ca_4d5a_bcec_ae8d7ba40fd3" hidden="1">#REF!</definedName>
    <definedName name="TB9e2a33b6_0e06_4a36_bd18_a176de403e8b" hidden="1">#REF!</definedName>
    <definedName name="TB9e2a4576_f45a_4730_bed4_b1975d3d7091" hidden="1">#REF!</definedName>
    <definedName name="TB9e394311_faa4_4a93_9c38_8397e1eb9fb5" hidden="1">#REF!</definedName>
    <definedName name="TB9e42c0cc_3b90_4073_aa45_cd03a65769df" hidden="1">#REF!</definedName>
    <definedName name="TB9e464e86_7a82_4c3f_83a2_ce2722fc7e08" hidden="1">#REF!</definedName>
    <definedName name="TB9e4c2189_82dd_4065_ae84_ab6fc2bb371f" hidden="1">#REF!</definedName>
    <definedName name="TB9e4c7346_f021_4b3c_968d_30239e560ca4" hidden="1">#REF!</definedName>
    <definedName name="TB9e50569d_6c83_4307_8ba1_3c6de5391450" hidden="1">#REF!</definedName>
    <definedName name="TB9e529abc_b5d6_4089_b08d_a67914cf3641" hidden="1">#REF!</definedName>
    <definedName name="TB9e5fd834_7041_4764_827d_c6fbfecd777d" hidden="1">#REF!</definedName>
    <definedName name="TB9e65d8f3_08ba_4437_8aff_3142c9c700f8" hidden="1">#REF!</definedName>
    <definedName name="TB9e6e2c64_377a_49cf_9423_aa7ebab16d33" hidden="1">#REF!</definedName>
    <definedName name="TB9e7adc22_5f00_409c_becf_3281a7d34058" hidden="1">#REF!</definedName>
    <definedName name="TB9e7f138a_f006_457f_a625_52aae36f9934" hidden="1">#REF!</definedName>
    <definedName name="TB9e9003a9_5df4_4671_8c73_ae495cfdc16d" hidden="1">#REF!</definedName>
    <definedName name="TB9e9f3a47_2c21_4891_9521_ca36e346b609" hidden="1">#REF!</definedName>
    <definedName name="TB9eaa04e3_5a5a_486e_a35e_07caef9e6825" hidden="1">#REF!</definedName>
    <definedName name="TB9eaa959d_ba54_49a6_a503_fe81a6fbeb22" hidden="1">#REF!</definedName>
    <definedName name="TB9eacf714_8f55_41c6_a7c6_335ec740d7d4" hidden="1">#REF!</definedName>
    <definedName name="TB9eb471a6_9a8e_4938_9207_f74802b18da8" hidden="1">#REF!</definedName>
    <definedName name="TB9ebed5c9_570a_4f0e_b058_8a3618b6a49c" hidden="1">#REF!</definedName>
    <definedName name="TB9ed8ff00_c32a_4d35_8445_2c5247f9d1b3" hidden="1">#REF!</definedName>
    <definedName name="TB9ed98514_f6ad_4960_b9f7_551995d81203" hidden="1">#REF!</definedName>
    <definedName name="TB9edd2792_439c_4985_8c5e_d453bfd926b2" hidden="1">#REF!</definedName>
    <definedName name="TB9ee5131d_8653_4b1a_bbef_7f2166dca4f3" hidden="1">#REF!</definedName>
    <definedName name="TB9ee53ce3_078e_42ab_9ac3_cc9eb2052a9e" hidden="1">#REF!</definedName>
    <definedName name="TB9ef082c6_45af_48e1_925e_0980d5228e3e" hidden="1">#REF!</definedName>
    <definedName name="TB9ef98262_4d63_4445_af13_3a69b22b2040" hidden="1">#REF!</definedName>
    <definedName name="TB9f092712_4c92_46a4_8867_9e8616de52a2" hidden="1">#REF!</definedName>
    <definedName name="TB9f0b71f3_5e3a_4cd9_84fa_3a53f4223fab" hidden="1">#REF!</definedName>
    <definedName name="TB9f13f11d_b4a0_4b7b_9d7a_f978927442f5" hidden="1">#REF!</definedName>
    <definedName name="TB9f1515ec_dd5a_43af_abf0_94174828c014" hidden="1">#REF!</definedName>
    <definedName name="TB9f1ea4b3_81a3_4f27_bc05_a776e0bc9755" hidden="1">#REF!</definedName>
    <definedName name="TB9f27d2a6_4693_4afa_88b9_4ea8eebd89ef" hidden="1">#REF!</definedName>
    <definedName name="TB9f2ace08_34b7_4b5c_b8cd_685b3c3bc267" hidden="1">#REF!</definedName>
    <definedName name="TB9f2def3b_2a3a_4dfa_8797_dd4e53999678" hidden="1">#REF!</definedName>
    <definedName name="TB9f41ea3a_23a1_4412_9a79_f8eb80f2a036" hidden="1">#REF!</definedName>
    <definedName name="TB9f4af3ab_78b1_4027_9575_b910dbacfb0f" hidden="1">#REF!</definedName>
    <definedName name="TB9f4d7089_7e7f_43f4_a6ec_46dfcdc58beb" hidden="1">#REF!</definedName>
    <definedName name="TB9f4e48ef_3602_4326_a714_78671c55a16a" hidden="1">#REF!</definedName>
    <definedName name="TB9f668aa5_5622_42f3_b085_93710934f95d" hidden="1">#REF!</definedName>
    <definedName name="TB9f8a7af6_190d_42dc_8af3_26154aae5a20" hidden="1">#REF!</definedName>
    <definedName name="TB9f8bd93f_eb69_443c_9b0f_ede426e90db7" hidden="1">#REF!</definedName>
    <definedName name="TB9f94b3fb_60c1_4281_8916_3b63d79df4b4" hidden="1">#REF!</definedName>
    <definedName name="TB9f94cb10_d4e3_420c_855f_037d20bd4d00" hidden="1">#REF!</definedName>
    <definedName name="TB9f96a6bf_99e4_4762_a64f_0288551fb3d2" hidden="1">#REF!</definedName>
    <definedName name="TB9fa9d992_0bbc_46eb_a7eb_1a267afdab2a" hidden="1">#REF!</definedName>
    <definedName name="TB9faccd57_406b_4f92_83b6_0a93060c62f9" hidden="1">#REF!</definedName>
    <definedName name="TB9fbef418_ce83_4069_8437_874ef0076775" hidden="1">#REF!</definedName>
    <definedName name="TB9fd84b36_746b_4062_9c7b_a639f5b77c13" hidden="1">#REF!</definedName>
    <definedName name="TB9fe41eaa_7152_4aea_a699_7e820e9f9bb1" hidden="1">#REF!</definedName>
    <definedName name="TB9fe70e0b_86b6_43b4_8543_4d5f34be3e44" hidden="1">#REF!</definedName>
    <definedName name="TB9fe79481_e585_43a2_a554_1c3f526deb40" hidden="1">#REF!</definedName>
    <definedName name="TB9fecaec5_b374_49c2_86a0_24aaf9b0381b" hidden="1">#REF!</definedName>
    <definedName name="TB9fef46a6_fabe_43bc_94ce_7c34a78fae52" hidden="1">#REF!</definedName>
    <definedName name="TB9ff332ab_f8ea_4af9_b9f7_d18a54df247f" hidden="1">#REF!</definedName>
    <definedName name="TB9ff35830_6556_437e_8740_fd4dfc1506cc" hidden="1">#REF!</definedName>
    <definedName name="TB9fff7d64_0a8d_441a_beb1_33ea0b98f12b" hidden="1">#REF!</definedName>
    <definedName name="TBa00046fa_164d_4946_bc76_79d5b2c3b678" hidden="1">#REF!</definedName>
    <definedName name="TBa00804d6_f0ed_4229_b80c_c0a148424f35" hidden="1">#REF!</definedName>
    <definedName name="TBa012ccad_69ae_4bda_a6e8_6a2798926c51" hidden="1">#REF!</definedName>
    <definedName name="TBa01797ea_b1b3_49b9_ba43_a94611f11ccd" hidden="1">#REF!</definedName>
    <definedName name="TBa01fc475_4ec6_4349_a9b3_e3344ba9fed0" hidden="1">#REF!</definedName>
    <definedName name="TBa01fcd8b_8a63_4f14_9c27_7896ff42d564" hidden="1">#REF!</definedName>
    <definedName name="TBa023353e_1363_4b94_9d16_f917272d6329" hidden="1">#REF!</definedName>
    <definedName name="TBa04ac6ab_2f80_40d1_b6b6_b4a03a05e720" hidden="1">#REF!</definedName>
    <definedName name="TBa04c6086_d9d7_44c9_aba1_33b85aafb3e0" hidden="1">#REF!</definedName>
    <definedName name="TBa051a12f_787b_43c8_ab20_d4c543a210e4" hidden="1">#REF!</definedName>
    <definedName name="TBa05c2204_6254_4594_97bd_61dd0797bb7d" hidden="1">#REF!</definedName>
    <definedName name="TBa061f75d_b7f1_4f57_8fda_04e7006d6782" hidden="1">#REF!</definedName>
    <definedName name="TBa06b14af_e150_4640_ba5b_d82a05863613" hidden="1">#REF!</definedName>
    <definedName name="TBa071deb4_17fd_4f0b_9ba0_7a19dd6bcd45" hidden="1">#REF!</definedName>
    <definedName name="TBa07c6064_24cb_49db_ba23_101cb76afce4" hidden="1">#REF!</definedName>
    <definedName name="TBa07f3f0f_882f_4bf3_8600_f88834fdc7ab" hidden="1">#REF!</definedName>
    <definedName name="TBa0827f92_665c_451d_aac8_0d34e5c12bb8" hidden="1">#REF!</definedName>
    <definedName name="TBa08a5ba7_64fe_46d0_8c10_7a4def2774e9" hidden="1">#REF!</definedName>
    <definedName name="TBa08f5c41_0a5a_4701_b449_53568032f4bc" hidden="1">#REF!</definedName>
    <definedName name="TBa08fd1a0_63df_48b5_96f0_2447cd76b8d5" hidden="1">#REF!</definedName>
    <definedName name="TBa09ae5ca_e112_47cc_b985_a0b8ce31d949" hidden="1">#REF!</definedName>
    <definedName name="TBa09f4275_20e9_4866_aaed_55fe2036cf09" hidden="1">#REF!</definedName>
    <definedName name="TBa0a20176_6a60_4fa9_9dc4_fa8ff63bbf1a" hidden="1">#REF!</definedName>
    <definedName name="TBa0af25df_21e5_4a56_b308_a5126843c48b" hidden="1">#REF!</definedName>
    <definedName name="TBa0d306f5_3d1b_4b3e_970c_c035448c40ed" hidden="1">#REF!</definedName>
    <definedName name="TBa0d777ea_6c33_4f86_8d02_faae171da49c" hidden="1">#REF!</definedName>
    <definedName name="TBa0e2bf93_3fe7_4ea2_8ac1_9e911738c646" hidden="1">#REF!</definedName>
    <definedName name="TBa0ed75f0_1b74_4004_bcf4_bb0411baa1b1" hidden="1">#REF!</definedName>
    <definedName name="TBa0eda984_af3b_4a1a_bd66_40081253476e" hidden="1">#REF!</definedName>
    <definedName name="TBa0f1f969_70ba_43ac_9da3_c91176802687" hidden="1">#REF!</definedName>
    <definedName name="TBa0fd2cc0_4c23_4adb_8a0c_764c4157c02f" hidden="1">#REF!</definedName>
    <definedName name="TBa133ed54_823d_4851_a4df_b4297b23d353" hidden="1">#REF!</definedName>
    <definedName name="TBa13d2b2b_0730_4c98_8a6d_11ae4efef21a" hidden="1">#REF!</definedName>
    <definedName name="TBa13fb02c_ad81_433b_a8f2_7f4d8143036c" hidden="1">#REF!</definedName>
    <definedName name="TBa1410cf3_1904_4c29_aa9e_994d5b936001" hidden="1">#REF!</definedName>
    <definedName name="TBa14202d2_0141_41a1_9fa5_fedc6827cec0" hidden="1">#REF!</definedName>
    <definedName name="TBa14883e1_1295_4d81_ac52_6acd32ec5e21" hidden="1">#REF!</definedName>
    <definedName name="TBa14f90ea_6b46_4d41_98c0_092ed7d82da4" hidden="1">#REF!</definedName>
    <definedName name="TBa155ee20_1202_4afc_a7fd_d6d42fc72e2b" hidden="1">#REF!</definedName>
    <definedName name="TBa15d6188_ffd4_4bb0_b713_b6aaead1e291" hidden="1">#REF!</definedName>
    <definedName name="TBa160fcc9_1865_486b_86ed_df04c4a403cc" hidden="1">#REF!</definedName>
    <definedName name="TBa163c5bb_6155_4782_afcc_b6485c63a1c8" hidden="1">#REF!</definedName>
    <definedName name="TBa17044f2_665d_46bb_a7e2_fb050b37b9ca" hidden="1">#REF!</definedName>
    <definedName name="TBa18cfd28_e694_4d61_aea3_221761a8f443" hidden="1">#REF!</definedName>
    <definedName name="TBa1918708_72a5_42eb_b91c_7d044a74dad8" hidden="1">#REF!</definedName>
    <definedName name="TBa195477c_9f9e_4233_bd8f_ddacdc1a4de2" hidden="1">#REF!</definedName>
    <definedName name="TBa19902af_4f83_40c8_8397_53a3a48f59b8" hidden="1">#REF!</definedName>
    <definedName name="TBa1abe960_2f66_4a7c_a760_e05ea57ba1dd" hidden="1">#REF!</definedName>
    <definedName name="TBa1b3114e_a519_4fd2_aecd_e33b876dbd6a" hidden="1">#REF!</definedName>
    <definedName name="TBa1c009ab_27dd_49e3_a244_57ddc9ada6f8" hidden="1">#REF!</definedName>
    <definedName name="TBa1c84997_3152_4f1e_96e7_a1e6c5925eda" hidden="1">#REF!</definedName>
    <definedName name="TBa1cad034_96bb_40d8_b150_847d0245b38f" hidden="1">#REF!</definedName>
    <definedName name="TBa1d75814_06ab_45b5_aea1_37dea87a00af" hidden="1">#REF!</definedName>
    <definedName name="TBa1dbb251_73a8_4191_89df_d2b877511372" hidden="1">#REF!</definedName>
    <definedName name="TBa1e1321a_1688_49f6_9688_7b6030e61512" hidden="1">#REF!</definedName>
    <definedName name="TBa1e3ef6e_2a0b_4bb0_9acc_ca49c55099a2" hidden="1">#REF!</definedName>
    <definedName name="TBa200794d_3f07_423d_9fa3_1bc568f00ea3" hidden="1">#REF!</definedName>
    <definedName name="TBa2031540_56ed_44e1_b7f9_228435a96452" hidden="1">#REF!</definedName>
    <definedName name="TBa205e1cc_02a2_4d56_889f_c588dbd02802" hidden="1">#REF!</definedName>
    <definedName name="TBa20ea4cc_923e_4956_a885_d61d86e5b45d" hidden="1">#REF!</definedName>
    <definedName name="TBa21bdf44_02a5_40e4_92cb_be4fa2654deb" hidden="1">#REF!</definedName>
    <definedName name="TBa22ccf4b_5aa9_43e2_9234_6c53e4e5d501" hidden="1">#REF!</definedName>
    <definedName name="TBa2324651_3374_4f94_9e39_26ea1f62b3be" hidden="1">#REF!</definedName>
    <definedName name="TBa250beef_f1e3_4831_9dc5_775b1058a136" hidden="1">#REF!</definedName>
    <definedName name="TBa25d27c6_c54d_4d87_a4b1_9cb1e59e9c1c" hidden="1">#REF!</definedName>
    <definedName name="TBa26338eb_f602_4bbc_ac50_e7c53b23801b" hidden="1">#REF!</definedName>
    <definedName name="TBa2670f84_b9ac_4110_a245_8e4be2f0e8d8" hidden="1">#REF!</definedName>
    <definedName name="TBa273eb38_9560_48d4_85d5_0ce9b43b0756" hidden="1">#REF!</definedName>
    <definedName name="TBa2771d08_f548_45b1_8d1a_6cadf5c2cc83" hidden="1">#REF!</definedName>
    <definedName name="TBa27bf2f1_05dd_4ae2_a6bc_0acd32639dea" hidden="1">#REF!</definedName>
    <definedName name="TBa29b10d0_00b9_4567_a151_e6709553254b" hidden="1">#REF!</definedName>
    <definedName name="TBa2a78268_693a_4175_a0bc_92cb6ab0d7fe" hidden="1">#REF!</definedName>
    <definedName name="TBa2a98c22_5f7c_435c_a12d_a6ec1bd39894" hidden="1">#REF!</definedName>
    <definedName name="TBa2c3054c_c93b_4f31_b902_dd34b330fab5" hidden="1">#REF!</definedName>
    <definedName name="TBa2db9b9c_8ac3_47a0_9e21_d0e7878f607a" hidden="1">#REF!</definedName>
    <definedName name="TBa2dfd8ea_0fb2_4e8f_82bf_d93a03b7551c" hidden="1">#REF!</definedName>
    <definedName name="TBa2e299af_e553_414f_91a8_5611f1fa4a3f" hidden="1">#REF!</definedName>
    <definedName name="TBa2e61890_d16f_4649_906b_78225b1d84ca" hidden="1">#REF!</definedName>
    <definedName name="TBa2e9c17e_964a_4294_8008_ad9fda79c37b" hidden="1">#REF!</definedName>
    <definedName name="TBa2f7a6a8_7ed1_4515_855e_d5df69a6e44b" hidden="1">#REF!</definedName>
    <definedName name="TBa306bbd9_575d_4cd6_8660_cf83f461bdff" hidden="1">#REF!</definedName>
    <definedName name="TBa30b8fa5_5d4b_4d3f_90a3_1c9f2e5f1494" hidden="1">#REF!</definedName>
    <definedName name="TBa31b133d_458b_4d0d_b67b_5177a9669870" hidden="1">#REF!</definedName>
    <definedName name="TBa32411b6_585c_44af_93c2_ea5b868868df" hidden="1">#REF!</definedName>
    <definedName name="TBa3335754_2a79_44d5_862e_e4b951a1c44b" hidden="1">#REF!</definedName>
    <definedName name="TBa33e82dd_9670_4a34_924e_15119914fba8" hidden="1">#REF!</definedName>
    <definedName name="TBa33f1781_c798_414e_b63c_5edad75def0f" hidden="1">#REF!</definedName>
    <definedName name="TBa3423e81_2920_4240_b1bc_22b16902aa00" hidden="1">#REF!</definedName>
    <definedName name="TBa345d2ca_9d89_49af_92c7_7781113e0ec5" hidden="1">#REF!</definedName>
    <definedName name="TBa35ca992_cd8b_4000_a21c_9f0766dbc1f9" hidden="1">#REF!</definedName>
    <definedName name="TBa36d0a1f_d8bb_45ca_be7e_d12e5b50eaa5" hidden="1">#REF!</definedName>
    <definedName name="TBa3857416_b7c1_4119_9826_c35bd6ec9d10" hidden="1">#REF!</definedName>
    <definedName name="TBa392a6a1_5a11_49cd_91b1_fd7795bd4a7a" hidden="1">#REF!</definedName>
    <definedName name="TBa3b2ec42_388a_40e3_826e_5ed55506d764" hidden="1">#REF!</definedName>
    <definedName name="TBa3b747a8_d572_4632_ae34_383218b74e60" hidden="1">#REF!</definedName>
    <definedName name="TBa3b9b542_1dd7_4b17_b8d2_43b3b842e9cf" hidden="1">#REF!</definedName>
    <definedName name="TBa3babe8a_5274_48bf_a966_60426ddff014" hidden="1">#REF!</definedName>
    <definedName name="TBa3c3b3b2_f5ad_429a_9593_1a98c21fa2ef" hidden="1">#REF!</definedName>
    <definedName name="TBa3d07d4e_593f_424b_a88e_0240f889712b" hidden="1">#REF!</definedName>
    <definedName name="TBa3d11228_4267_4d2e_85c3_ac9e3a3faa70" hidden="1">#REF!</definedName>
    <definedName name="TBa3d229fe_5e14_4ff7_a65f_a4b71a099038" hidden="1">#REF!</definedName>
    <definedName name="TBa3ea26cf_1bdf_436e_a76d_4da526f219a2" hidden="1">#REF!</definedName>
    <definedName name="TBa3ec415d_4cce_4ac3_98d5_358e18c8cb34" hidden="1">#REF!</definedName>
    <definedName name="TBa3ef8763_498b_452d_9293_c24d0552e57d" hidden="1">#REF!</definedName>
    <definedName name="TBa3f41fa9_8038_4920_8029_4ca1bddfe16f" hidden="1">#REF!</definedName>
    <definedName name="TBa3fd223f_d04f_4def_9e90_329cff2e5092" hidden="1">#REF!</definedName>
    <definedName name="TBa40986b0_7e84_401b_9ab2_9aebf455f7e1" hidden="1">#REF!</definedName>
    <definedName name="TBa4141722_8701_4f57_9f9a_e86e56b4e5a4" hidden="1">#REF!</definedName>
    <definedName name="TBa420865e_cbe9_4060_ab2b_794603ef289b" hidden="1">#REF!</definedName>
    <definedName name="TBa4292b3f_6ebc_4aba_9cb5_32d71c6dad30" hidden="1">#REF!</definedName>
    <definedName name="TBa42eb11c_9d82_4867_90ca_db782c9d4b29" hidden="1">#REF!</definedName>
    <definedName name="TBa4356499_0968_4df6_a1d9_56f39f9c3a25" hidden="1">#REF!</definedName>
    <definedName name="TBa437a400_bb99_4dfd_a62a_3a4d91db366d" hidden="1">#REF!</definedName>
    <definedName name="TBa43fdc04_0536_45b1_a9c5_42c25e266929" hidden="1">#REF!</definedName>
    <definedName name="TBa444cbb1_d56e_48e1_8f01_db48e8a1d231" hidden="1">#REF!</definedName>
    <definedName name="TBa45ae29d_26bb_430b_9283_8780c91bfc93" hidden="1">#REF!</definedName>
    <definedName name="TBa46e8c5d_01cb_4c3b_96f1_2eff3a532748" hidden="1">#REF!</definedName>
    <definedName name="TBa4784e62_d5fa_41ff_b38b_e4a95e456be0" hidden="1">#REF!</definedName>
    <definedName name="TBa4841dcf_5f13_4ccb_9013_beb1288d6aa4" hidden="1">#REF!</definedName>
    <definedName name="TBa485bb3f_b03c_4602_ac6f_819ce0c62e7b" hidden="1">#REF!</definedName>
    <definedName name="TBa4868085_2afb_45f8_a5fb_8cae95aa52cc" hidden="1">#REF!</definedName>
    <definedName name="TBa48d4086_6e10_4e39_a082_8f024ac75e6f" hidden="1">#REF!</definedName>
    <definedName name="TBa48fb881_d300_4344_9916_fd2400aecae8" hidden="1">#REF!</definedName>
    <definedName name="TBa49f3bea_0d54_43ef_85aa_e848a40a870e" hidden="1">#REF!</definedName>
    <definedName name="TBa4a3f365_d62f_4aee_8795_1adeb2c44c43" hidden="1">#REF!</definedName>
    <definedName name="TBa4c0f0a3_3eee_4cb7_a866_a77578f0ded7" hidden="1">#REF!</definedName>
    <definedName name="TBa4c57651_8480_4dfc_82f3_bf30f3b959ff" hidden="1">#REF!</definedName>
    <definedName name="TBa4cda44f_4b2d_4b06_bbac_19bcc52e5d5a" hidden="1">#REF!</definedName>
    <definedName name="TBa4d1f147_b025_42cf_b6e3_99ec4560914b" hidden="1">#REF!</definedName>
    <definedName name="TBa4dd946d_cd45_493b_a322_629658420ec5" hidden="1">#REF!</definedName>
    <definedName name="TBa4ef1764_adbf_4580_b355_cc139509f536" hidden="1">#REF!</definedName>
    <definedName name="TBa4f44a22_1674_4765_bd82_67eaa8f54d07" hidden="1">#REF!</definedName>
    <definedName name="TBa4f82c2b_fb0e_495f_9790_f70816c27a18" hidden="1">#REF!</definedName>
    <definedName name="TBa4fc728a_5ea6_445e_a01d_60e929223db6" hidden="1">#REF!</definedName>
    <definedName name="TBa501349d_27b6_4724_80a8_3d721a83f8cf" hidden="1">#REF!</definedName>
    <definedName name="TBa502c5a5_32f4_412f_a4d2_61be5345a7b6" hidden="1">#REF!</definedName>
    <definedName name="TBa502d8bc_bc52_41a6_8618_8641ec40902d" hidden="1">#REF!</definedName>
    <definedName name="TBa5168b88_e2b1_450a_9dfa_08e35d4d6a7e" hidden="1">#REF!</definedName>
    <definedName name="TBa524dd2d_6d7c_4759_b903_d9897c4300a6" hidden="1">#REF!</definedName>
    <definedName name="TBa52f79c2_651c_4953_8f27_86a80814fe26" hidden="1">#REF!</definedName>
    <definedName name="TBa545bda9_4bb3_4b15_870c_cee67e5a5a68" hidden="1">#REF!</definedName>
    <definedName name="TBa54a4150_9b75_4755_9af8_905e0489d52c" hidden="1">#REF!</definedName>
    <definedName name="TBa56751c3_7102_4c9e_80bd_f5a62b975540" hidden="1">#REF!</definedName>
    <definedName name="TBa57161fd_c0de_4844_82b4_847a229650e0" hidden="1">#REF!</definedName>
    <definedName name="TBa576a8c6_198e_4802_a4fe_3601713bf6ce" hidden="1">#REF!</definedName>
    <definedName name="TBa57c0e87_79a4_4011_9ba1_7139480bbf14" hidden="1">#REF!</definedName>
    <definedName name="TBa594d626_308b_47aa_a859_544afee6ffcb" hidden="1">#REF!</definedName>
    <definedName name="TBa5a5f8fa_5102_4142_bda1_9b28529fb654" hidden="1">#REF!</definedName>
    <definedName name="TBa5b223f8_d072_4193_b490_927ea22ea154" hidden="1">#REF!</definedName>
    <definedName name="TBa5b341e8_eed0_4fff_9e19_dccc176c78e7" hidden="1">#REF!</definedName>
    <definedName name="TBa5b4d5ea_fef9_4796_8b05_9aef88c55136" hidden="1">#REF!</definedName>
    <definedName name="TBa5bc2be1_0b47_42a3_9673_7df352a4fe97" hidden="1">#REF!</definedName>
    <definedName name="TBa5e2b39c_331b_4414_bf62_1b0ce5e7709e" hidden="1">#REF!</definedName>
    <definedName name="TBa5e42d5c_e02a_4f81_be83_5cc5bd60988c" hidden="1">#REF!</definedName>
    <definedName name="TBa5e9603a_9203_420b_bc07_447e868ad6c7" hidden="1">#REF!</definedName>
    <definedName name="TBa5fba844_7be7_45f9_8839_a09d728704bf" hidden="1">#REF!</definedName>
    <definedName name="TBa5fce117_0470_46ae_ab40_cf444ab422b2" hidden="1">#REF!</definedName>
    <definedName name="TBa60d6db2_b894_464f_af90_a9ac349a62d3" hidden="1">#REF!</definedName>
    <definedName name="TBa60eccce_363e_49b0_8852_78f647148bad" hidden="1">#REF!</definedName>
    <definedName name="TBa610b12f_4126_4358_a25a_991a268f73af" hidden="1">#REF!</definedName>
    <definedName name="TBa611283f_f298_421a_a0c9_e0eab2879cdc" hidden="1">#REF!</definedName>
    <definedName name="TBa6116755_d5d5_4ec7_8bcd_52a707078561" hidden="1">#REF!</definedName>
    <definedName name="TBa614a942_ab0e_4338_bea8_5cea7f00f7fe" hidden="1">#REF!</definedName>
    <definedName name="TBa617f9a3_bacd_4dd8_b475_589b7e5a1aa0" hidden="1">#REF!</definedName>
    <definedName name="TBa619ed4a_7bed_4801_be7e_3a67c4c445ed" hidden="1">#REF!</definedName>
    <definedName name="TBa620fb59_ecdb_416b_9d7d_9ec8885e0306" hidden="1">#REF!</definedName>
    <definedName name="TBa626ad38_ef1e_43c1_b083_dcbcbaf1636f" hidden="1">#REF!</definedName>
    <definedName name="TBa642fed8_de68_4359_950d_969dfe8a365d" hidden="1">#REF!</definedName>
    <definedName name="TBa648a748_9c8a_4f42_b46e_60a2a4579016" hidden="1">#REF!</definedName>
    <definedName name="TBa652ac92_d4bd_427c_8718_da0ad3f7ad2c" hidden="1">#REF!</definedName>
    <definedName name="TBa65b1622_5f01_462b_a2e3_2f9b5ede8d11" hidden="1">#REF!</definedName>
    <definedName name="TBa6661049_a3e7_4fd2_81cf_021e5e069be4" hidden="1">#REF!</definedName>
    <definedName name="TBa668eb88_11eb_49da_abf6_97dd4545bd80" hidden="1">#REF!</definedName>
    <definedName name="TBa6714d12_c1c5_411a_b644_0ff518e1702c" hidden="1">#REF!</definedName>
    <definedName name="TBa672f88c_617d_4779_8d5a_7a259098aa7f" hidden="1">#REF!</definedName>
    <definedName name="TBa67bab3c_6361_439b_a446_eda9cc0540ad" hidden="1">#REF!</definedName>
    <definedName name="TBa68c6eb0_2ae0_408a_b05d_3f0d78d93039" hidden="1">#REF!</definedName>
    <definedName name="TBa693d1dd_104c_47d7_b6b0_9b64b4e1cb53" hidden="1">#REF!</definedName>
    <definedName name="TBa69ae76b_f8a5_46ba_8e19_939604b3bb5e" hidden="1">#REF!</definedName>
    <definedName name="TBa6a4289f_0dcd_47f1_81e8_eb79f23ad52f" hidden="1">#REF!</definedName>
    <definedName name="TBa6a58b24_6c91_4069_9caa_e348dd8b18e0" hidden="1">#REF!</definedName>
    <definedName name="TBa6a88ff2_af4e_4534_b06f_2a3b9260f0b5" hidden="1">#REF!</definedName>
    <definedName name="TBa6b46bc1_b996_422c_9d89_c3afd6f6a0fa" hidden="1">#REF!</definedName>
    <definedName name="TBa6bc35bf_599b_435c_a4ae_c20dade23e49" hidden="1">#REF!</definedName>
    <definedName name="TBa6bf94da_64a4_4d43_8fc3_724b46c36503" hidden="1">#REF!</definedName>
    <definedName name="TBa6bfafda_8d02_498c_8bad_6820739b8349" hidden="1">#REF!</definedName>
    <definedName name="TBa6cf8275_7627_47ee_a1a2_f4ff455ebaf6" hidden="1">#REF!</definedName>
    <definedName name="TBa6d121c6_180e_4fd7_a40c_3daa56aac232" hidden="1">#REF!</definedName>
    <definedName name="TBa6d2339a_97e3_4b98_9976_735b4825b853" hidden="1">#REF!</definedName>
    <definedName name="TBa6e5bf89_6fe9_41db_ac66_1a0a1b34be70" hidden="1">#REF!</definedName>
    <definedName name="TBa6e6505e_7047_457c_8645_353d3d364b30" hidden="1">#REF!</definedName>
    <definedName name="TBa6e8c111_f4bc_4c7f_b23f_c70778115f82" hidden="1">#REF!</definedName>
    <definedName name="TBa7017cd9_b012_47a7_9427_e7a21c9243f1" hidden="1">#REF!</definedName>
    <definedName name="TBa70d6f4b_437d_4a17_ac27_ba1acddf3a8e" hidden="1">#REF!</definedName>
    <definedName name="TBa7141bee_6257_44f8_87d9_422b46ee88cd" hidden="1">#REF!</definedName>
    <definedName name="TBa71ebd5c_d99c_401d_8eb7_aebf6382b865" hidden="1">#REF!</definedName>
    <definedName name="TBa727824f_18d2_46b3_a8e0_bb1a6536f09c" hidden="1">#REF!</definedName>
    <definedName name="TBa72adbfa_41f4_45e9_84c9_dec394c6e9e7" hidden="1">#REF!</definedName>
    <definedName name="TBa72c9c72_ed4f_4e57_bcae_9c9a77ec5078" hidden="1">#REF!</definedName>
    <definedName name="TBa74772d8_5a25_43e4_bde7_8c88eb4a1679" hidden="1">#REF!</definedName>
    <definedName name="TBa74c137a_4823_4666_a350_91d836feb982" hidden="1">#REF!</definedName>
    <definedName name="TBa74d4b1e_0df8_4718_83d9_fa258fe47111" hidden="1">#REF!</definedName>
    <definedName name="TBa752fc16_33cb_4086_ae72_22794bcd480a" hidden="1">#REF!</definedName>
    <definedName name="TBa757cb71_717a_4221_a24a_6d179e03149f" hidden="1">#REF!</definedName>
    <definedName name="TBa75adb48_3219_49fe_9419_60f20a226b0e" hidden="1">#REF!</definedName>
    <definedName name="TBa76ce75a_41fc_4af0_85f6_66a9fbe56af6" hidden="1">#REF!</definedName>
    <definedName name="TBa7798a32_5bbb_4b2e_b613_8f5d1a1efb94" hidden="1">#REF!</definedName>
    <definedName name="TBa78cd23b_771d_41da_82f9_3854bdc42e78" hidden="1">#REF!</definedName>
    <definedName name="TBa791b3a1_0a8b_470e_a9c2_25fa497c796b" hidden="1">#REF!</definedName>
    <definedName name="TBa79c0503_01e4_4625_9096_38adde202b45" hidden="1">#REF!</definedName>
    <definedName name="TBa79eca0c_36f3_45d0_a2f9_f7d2cdcbacd4" hidden="1">#REF!</definedName>
    <definedName name="TBa7ade666_7289_4252_882e_4f93dc8797eb" hidden="1">#REF!</definedName>
    <definedName name="TBa7b67a19_5acd_4c76_8537_f477fec8c570" hidden="1">#REF!</definedName>
    <definedName name="TBa7bd8f52_68d0_41e9_8dc8_179df0576adc" hidden="1">#REF!</definedName>
    <definedName name="TBa7ce1a90_9bfc_4e47_875c_0968fc6789d4" hidden="1">#REF!</definedName>
    <definedName name="TBa7d692a0_b29f_4d7f_9168_2fc65382f28d" hidden="1">#REF!</definedName>
    <definedName name="TBa7e5e168_da68_4a9b_869a_08dbf996c473" hidden="1">#REF!</definedName>
    <definedName name="TBa7ec1a10_9ecd_4772_b878_cd0bc03d987b" hidden="1">#REF!</definedName>
    <definedName name="TBa7f7fd9f_8bbe_4934_810f_03d0d1a65563" hidden="1">#REF!</definedName>
    <definedName name="TBa7fc108a_da0d_4e82_b1b4_d98b093a199a" hidden="1">#REF!</definedName>
    <definedName name="TBa80bc7d4_bd24_45b6_a9b6_911cfbee4e6e" hidden="1">#REF!</definedName>
    <definedName name="TBa81b7a6c_f106_4aeb_9ad1_6435ac1129e0" hidden="1">#REF!</definedName>
    <definedName name="TBa81ff23e_3929_43dc_8dea_0db4ff6399a5" hidden="1">#REF!</definedName>
    <definedName name="TBa829cf5c_72e5_43f6_91a2_518302eb16e4" hidden="1">#REF!</definedName>
    <definedName name="TBa83b9fb7_8570_44d0_b43e_51d25b238f55" hidden="1">#REF!</definedName>
    <definedName name="TBa840116a_0b30_417e_901e_7e1fa424f024" hidden="1">#REF!</definedName>
    <definedName name="TBa85a6cf4_c743_4ddb_85e4_d7f7b39db6b6" hidden="1">#REF!</definedName>
    <definedName name="TBa85c5c42_9c05_4e70_ba86_8887f00aeba4" hidden="1">#REF!</definedName>
    <definedName name="TBa85fb8d0_4d75_4c18_8da5_6feaf8850fb8" hidden="1">#REF!</definedName>
    <definedName name="TBa86f7985_c976_4076_839a_a120f383c7a3" hidden="1">#REF!</definedName>
    <definedName name="TBa8738823_49d8_4b8d_98b1_baf79f24ee71" hidden="1">#REF!</definedName>
    <definedName name="TBa87733b0_deba_4ad9_b303_0c614e899203" hidden="1">#REF!</definedName>
    <definedName name="TBa877bfaf_e37f_4a6f_9653_861d3668825a" hidden="1">#REF!</definedName>
    <definedName name="TBa880b40a_326f_47c9_ab94_b742bf7b0069" hidden="1">#REF!</definedName>
    <definedName name="TBa8954308_119d_410c_a331_73196744e86b" hidden="1">#REF!</definedName>
    <definedName name="TBa89ca22e_9de8_44d1_a56a_3aa17d976e81" hidden="1">#REF!</definedName>
    <definedName name="TBa8d163e5_10d8_466e_8a48_1e10450523ad" hidden="1">#REF!</definedName>
    <definedName name="TBa8d97f7e_6922_42b4_baf1_061e1fa9d3c1" hidden="1">#REF!</definedName>
    <definedName name="TBa8def021_6455_4c8c_9989_87af3879a77a" hidden="1">#REF!</definedName>
    <definedName name="TBa8df1525_60ec_4b19_a912_f3686704a6e0" hidden="1">#REF!</definedName>
    <definedName name="TBa8e0073d_bf79_42c6_82af_58d4f1859ee8" hidden="1">#REF!</definedName>
    <definedName name="TBa8ed8488_4d55_4fbe_91d0_9fbc1e80fdda" hidden="1">#REF!</definedName>
    <definedName name="TBa8f3eb7b_5667_43f0_bfeb_0a4db325c261" hidden="1">#REF!</definedName>
    <definedName name="TBa8f8c5c3_90b6_4c4b_83fa_99f94549da9c" hidden="1">#REF!</definedName>
    <definedName name="TBa8fc0fe8_ad60_40a4_bdc3_6d4494e1fb2e" hidden="1">#REF!</definedName>
    <definedName name="TBa900289c_de78_4873_b00b_14726b91abf2" hidden="1">#REF!</definedName>
    <definedName name="TBa90548d6_2091_4e0a_acec_fabb3a0e49fa" hidden="1">#REF!</definedName>
    <definedName name="TBa90af563_345b_44c5_a206_58aceea32553" hidden="1">#REF!</definedName>
    <definedName name="TBa91d6c85_2863_41da_92b3_b2d7cf336eb6" hidden="1">#REF!</definedName>
    <definedName name="TBa91f54b5_65ee_4a1a_9f3f_6d2c5d124dbe" hidden="1">#REF!</definedName>
    <definedName name="TBa91f7456_d341_470e_b301_113d10bdb111" hidden="1">#REF!</definedName>
    <definedName name="TBa92433c7_9eeb_46ff_a0a3_a3bad16ba653" hidden="1">#REF!</definedName>
    <definedName name="TBa9288be1_5a75_48a0_bc0c_b957a6349b29" hidden="1">#REF!</definedName>
    <definedName name="TBa940b229_e20b_440e_97e6_6c76d2c0bb40" hidden="1">#REF!</definedName>
    <definedName name="TBa9627aff_7d6f_4a88_9e20_91dea92ac1ba" hidden="1">#REF!</definedName>
    <definedName name="TBa96fde73_5671_4dd2_bb4c_0d71b2599f2b" hidden="1">#REF!</definedName>
    <definedName name="TBa977ad56_6a9b_499d_b098_359752eb384e" hidden="1">#REF!</definedName>
    <definedName name="TBa988d7b6_dd93_4ec9_8f90_70ca9e47cbba" hidden="1">#REF!</definedName>
    <definedName name="TBa993982e_6468_42f1_827b_7e8b8a51de74" hidden="1">#REF!</definedName>
    <definedName name="TBa9a3b775_65bd_4cfd_8b32_07db7c480a0a" hidden="1">#REF!</definedName>
    <definedName name="TBa9b980e7_5d00_4798_89b1_f46d7150d198" hidden="1">#REF!</definedName>
    <definedName name="TBa9cbda2f_a9e7_408c_bb86_ad66a1c5d396" hidden="1">#REF!</definedName>
    <definedName name="TBa9d12ec8_439b_49a8_8839_f1b17c73b60f" hidden="1">#REF!</definedName>
    <definedName name="TBa9d44aa6_fb97_437b_9ef3_96daf8ed6f8a" hidden="1">#REF!</definedName>
    <definedName name="TBa9d68350_c846_4db3_b55d_62d0de3510c3" hidden="1">#REF!</definedName>
    <definedName name="TBa9e93c33_4f7a_4880_bd64_e489c00bc8de" hidden="1">#REF!</definedName>
    <definedName name="TBa9ee0589_7147_49ef_b326_e5db28b6d679" hidden="1">#REF!</definedName>
    <definedName name="TBa9f2086a_0026_46d4_9670_d4f49ed023e4" hidden="1">#REF!</definedName>
    <definedName name="TBaa0c6945_7c38_414e_94b5_2c24cbcc66b6" hidden="1">#REF!</definedName>
    <definedName name="TBaa0fba1c_1ef9_4a38_a2ef_ae26cb0484e7" hidden="1">#REF!</definedName>
    <definedName name="TBaa1a1b70_ffdf_43c7_ae00_7f44c5885bc7" hidden="1">#REF!</definedName>
    <definedName name="TBaa29d1d1_9ff3_4f21_b051_3ccd7e67c13b" hidden="1">#REF!</definedName>
    <definedName name="TBaa30364f_6648_495a_91ba_50dd642054d7" hidden="1">#REF!</definedName>
    <definedName name="TBaa3963cb_8733_46c3_805a_9d5ea9de5e93" hidden="1">#REF!</definedName>
    <definedName name="TBaa55d782_11a3_4772_b279_d61a25c19cad" hidden="1">#REF!</definedName>
    <definedName name="TBaa5829ae_5901_4b14_9079_a2d5dce913ce" hidden="1">#REF!</definedName>
    <definedName name="TBaa59a6c5_83fd_447e_b47c_50924b650516" hidden="1">#REF!</definedName>
    <definedName name="TBaa5b4656_695b_484a_9133_72e318985df4" hidden="1">#REF!</definedName>
    <definedName name="TBaa684e99_579b_4e83_8799_362703f59826" hidden="1">#REF!</definedName>
    <definedName name="TBaa6dd942_86fe_4100_a887_6cf53fd965a5" hidden="1">#REF!</definedName>
    <definedName name="TBaa7f5739_b3e1_4dc7_9b25_8f84de0ea82a" hidden="1">#REF!</definedName>
    <definedName name="TBaa84cda9_e294_4d6e_b904_8563272147c0" hidden="1">#REF!</definedName>
    <definedName name="TBaa8e3a42_62ed_478d_9794_4fa6c27645ba" hidden="1">#REF!</definedName>
    <definedName name="TBaa90c085_4dff_465a_8673_9a0b3faa4b9c" hidden="1">#REF!</definedName>
    <definedName name="TBaa927d70_e600_4550_b19a_07c015fa7620" hidden="1">#REF!</definedName>
    <definedName name="TBaab3fea6_7410_4618_bf12_86c607a6bdec" hidden="1">#REF!</definedName>
    <definedName name="TBaacd3e7b_abd9_426a_8d8c_4fb37d1e85df" hidden="1">#REF!</definedName>
    <definedName name="TBaad50e74_f977_40b8_979c_c2b4181e0d80" hidden="1">#REF!</definedName>
    <definedName name="TBaade451d_b1df_42ae_961e_287588438ad6" hidden="1">#REF!</definedName>
    <definedName name="TBaadebe3c_1652_4c24_b5f8_af1004be1556" hidden="1">#REF!</definedName>
    <definedName name="TBaae3a813_fc9b_42dd_95f5_e120ab2dbba4" hidden="1">#REF!</definedName>
    <definedName name="TBaaedc272_73d4_4ef7_9742_6c7d6d6846b2" hidden="1">#REF!</definedName>
    <definedName name="TBab0c5623_307a_4bef_8784_0709f3042646" hidden="1">#REF!</definedName>
    <definedName name="TBab0f8b88_ae83_4a0e_a745_efce59653fd7" hidden="1">#REF!</definedName>
    <definedName name="TBab37a46d_dd07_478a_9dea_f5eb658945fc" hidden="1">#REF!</definedName>
    <definedName name="TBab38a9c6_952e_4b52_b550_483c1d942b6c" hidden="1">#REF!</definedName>
    <definedName name="TBab458cbf_cfb5_4861_81ca_31c2bd5f2f6f" hidden="1">#REF!</definedName>
    <definedName name="TBab5a38c6_636a_4e0a_901b_a687dda57816" hidden="1">#REF!</definedName>
    <definedName name="TBab5a4cd2_53f1_406c_8189_ccdf32e8cba1" hidden="1">#REF!</definedName>
    <definedName name="TBab68e3d9_b4f0_4d90_a21f_18bffd4faa0e" hidden="1">#REF!</definedName>
    <definedName name="TBab7b0449_d733_4fe4_94a0_d8542040517b" hidden="1">#REF!</definedName>
    <definedName name="TBab9bc73a_0102_4e3a_947b_8c005d390bf9" hidden="1">#REF!</definedName>
    <definedName name="TBabaff1be_1e22_4deb_8cef_05723e792f7b" hidden="1">#REF!</definedName>
    <definedName name="TBabb1752a_178a_4110_95f1_6a22367fcd99" hidden="1">#REF!</definedName>
    <definedName name="TBabbe3ff6_27ee_4d41_ba6c_ea339c971cc1" hidden="1">#REF!</definedName>
    <definedName name="TBabc01387_38d8_4d54_8973_7584d4fd94d5" hidden="1">#REF!</definedName>
    <definedName name="TBabc8b511_3818_4eb9_9fc7_f2077a63e284" hidden="1">#REF!</definedName>
    <definedName name="TBabccf8e0_f087_4c52_bec1_574b7dd8c3ab" hidden="1">#REF!</definedName>
    <definedName name="TBabdf2534_b54e_4e92_bdd9_e91d9745e70a" hidden="1">#REF!</definedName>
    <definedName name="TBabe485cc_2e70_46d9_b244_adcd968add34" hidden="1">#REF!</definedName>
    <definedName name="TBabf30394_d81e_4c45_bf6b_aea89036d48a" hidden="1">#REF!</definedName>
    <definedName name="TBabf46666_c9a0_4d97_ae8e_f5c258c70746" hidden="1">#REF!</definedName>
    <definedName name="TBac076198_3ab4_439a_8140_cf3e047705db" hidden="1">#REF!</definedName>
    <definedName name="TBac0a65a6_b8c3_4c5b_a36b_022bbd13f477" hidden="1">#REF!</definedName>
    <definedName name="TBac202e80_d7a3_4a2f_bfad_293fb4275f83" hidden="1">#REF!</definedName>
    <definedName name="TBac22e752_703e_4215_9a6c_f53937cf06ce" hidden="1">#REF!</definedName>
    <definedName name="TBac23a710_eeea_436a_a100_54100ae39195" hidden="1">#REF!</definedName>
    <definedName name="TBac29e044_8c4c_4b59_9e28_9fd7eb4a4e3d" hidden="1">#REF!</definedName>
    <definedName name="TBac38d9e7_5c0c_4f4b_8cf7_acdea019a15a" hidden="1">#REF!</definedName>
    <definedName name="TBac41a347_91c7_46a3_b4f7_1792d94c0f87" hidden="1">#REF!</definedName>
    <definedName name="TBac51a73b_bf6d_43d5_bab7_eb538925dbb8" hidden="1">#REF!</definedName>
    <definedName name="TBac52733e_985d_4ba3_8df6_5eedd1f8cc88" hidden="1">#REF!</definedName>
    <definedName name="TBac5291c2_027d_4ed7_8182_7ff1fab5a82d" hidden="1">#REF!</definedName>
    <definedName name="TBac5ea23f_f4e7_4add_8dd2_a1e766d619bf" hidden="1">#REF!</definedName>
    <definedName name="TBac707762_af91_4cc5_a17d_b020b771efe7" hidden="1">#REF!</definedName>
    <definedName name="TBac75d54d_22e1_4f29_9275_9c66930eb89b" hidden="1">#REF!</definedName>
    <definedName name="TBac830e30_9e0e_4169_814d_05a56a1b58a6" hidden="1">#REF!</definedName>
    <definedName name="TBac84e89a_52f5_42af_b2be_e2a75910058e" hidden="1">#REF!</definedName>
    <definedName name="TBac896a0b_0075_445b_bfaa_c585f50aa4af" hidden="1">#REF!</definedName>
    <definedName name="TBac8c9d71_76f8_4650_82f9_0f0df9feada5" hidden="1">#REF!</definedName>
    <definedName name="TBac929985_2a96_43b3_ad04_8564313375c0" hidden="1">#REF!</definedName>
    <definedName name="TBac9f9849_a5ca_4cc5_bc67_afc116ccbeb1" hidden="1">#REF!</definedName>
    <definedName name="TBaca4f23d_e6dc_4e5a_b865_6ac4289377e1" hidden="1">#REF!</definedName>
    <definedName name="TBaca9184d_a6b9_4f83_9050_5606157fd7bf" hidden="1">#REF!</definedName>
    <definedName name="TBacaa5fec_c353_4919_9dd0_7a9cb02854ff" hidden="1">#REF!</definedName>
    <definedName name="TBacad1c64_30b4_41bd_ae6e_36b14e1a7f84" hidden="1">#REF!</definedName>
    <definedName name="TBacb384b8_33af_4434_893e_ae26f9190911" hidden="1">#REF!</definedName>
    <definedName name="TBacb998bf_beba_4368_ab05_a11d9f0eb82d" hidden="1">#REF!</definedName>
    <definedName name="TBacba36a8_1a95_4c7f_be1f_6635b08d4dce" hidden="1">#REF!</definedName>
    <definedName name="TBaccae5fd_78c6_4117_876f_273d0ebc2149" hidden="1">#REF!</definedName>
    <definedName name="TBacd11d5a_2cd0_4b20_8528_5efe6940b422" hidden="1">#REF!</definedName>
    <definedName name="TBacd8638f_1058_49ec_b71a_ed1e0953d5d2" hidden="1">#REF!</definedName>
    <definedName name="TBace3ddb7_d5fb_4981_afa2_67ca45008592" hidden="1">#REF!</definedName>
    <definedName name="TBacecd47d_9ba1_4365_a990_9d5acfa6a167" hidden="1">#REF!</definedName>
    <definedName name="TBacf4528f_7152_4d87_bbd5_59ae70019406" hidden="1">#REF!</definedName>
    <definedName name="TBacf57e9e_1720_4bd1_9aec_55a12c21b6a6" hidden="1">#REF!</definedName>
    <definedName name="TBacfefb69_a28d_412e_aeb7_82f0161a3763" hidden="1">#REF!</definedName>
    <definedName name="TBad081317_a631_46c8_a040_35709666b819" hidden="1">#REF!</definedName>
    <definedName name="TBad0ad855_746d_4bd4_a7f4_a0f86aa20097" hidden="1">#REF!</definedName>
    <definedName name="TBad0e61ad_a6fb_492d_b641_ecb52c9b72f4" hidden="1">#REF!</definedName>
    <definedName name="TBad1366e9_186b_4563_aeec_3bff5d04d656" hidden="1">#REF!</definedName>
    <definedName name="TBad1e7b09_2b06_458f_8083_e7d1d3818bfd" hidden="1">#REF!</definedName>
    <definedName name="TBad1fe44b_71d4_473b_af09_39f06bba752f" hidden="1">#REF!</definedName>
    <definedName name="TBad28234d_f961_46a3_88f6_d1a9ff9df0da" hidden="1">#REF!</definedName>
    <definedName name="TBad321e3d_6778_4c4e_8730_67e508cad3f8" hidden="1">#REF!</definedName>
    <definedName name="TBad3abe94_4453_47b2_a609_e6a05c7a844e" hidden="1">#REF!</definedName>
    <definedName name="TBad414d63_2d98_433e_b0ca_5b79501b66d7" hidden="1">#REF!</definedName>
    <definedName name="TBad4881b8_620d_4a5f_9de5_c1509fd5158d" hidden="1">#REF!</definedName>
    <definedName name="TBad4fdd66_c766_4884_a37a_c5609b811a67" hidden="1">#REF!</definedName>
    <definedName name="TBad5aec7a_2082_4586_bcfe_8334f077118b" hidden="1">#REF!</definedName>
    <definedName name="TBad60cc1b_7067_4e64_8880_e9579f55dc97" hidden="1">#REF!</definedName>
    <definedName name="TBad736404_d779_4b12_bc00_f31bad4af0b0" hidden="1">#REF!</definedName>
    <definedName name="TBad74f669_5ddc_47e0_801a_9f8b84c1db94" hidden="1">#REF!</definedName>
    <definedName name="TBad79b6cb_b8dc_4c09_a13d_36df0baec8ac" hidden="1">#REF!</definedName>
    <definedName name="TBad86450f_d590_4c9a_ae3d_d6abd1101754" hidden="1">#REF!</definedName>
    <definedName name="TBad94d7b3_9e18_4596_8002_40b0eb24e628" hidden="1">#REF!</definedName>
    <definedName name="TBada45f95_a712_494f_b0bf_118cdba86a2b" hidden="1">#REF!</definedName>
    <definedName name="TBadb861c5_a1c5_4ac3_a0eb_41050020b733" hidden="1">#REF!</definedName>
    <definedName name="TBadcd3e81_7641_467f_a267_be04508c9256" hidden="1">#REF!</definedName>
    <definedName name="TBadd2c52f_e26a_468d_87c9_57e2f86dfb44" hidden="1">#REF!</definedName>
    <definedName name="TBadedc41c_a64c_447f_8d78_b19fb147c480" hidden="1">#REF!</definedName>
    <definedName name="TBadf5b42d_f27f_463e_9baf_dc660502ecb3" hidden="1">#REF!</definedName>
    <definedName name="TBadf76d1d_8662_4783_a30c_91e99931b7d5" hidden="1">#REF!</definedName>
    <definedName name="TBadf7ac4d_0942_48ad_82cc_f31471ed5b8e" hidden="1">#REF!</definedName>
    <definedName name="TBadfab91d_af9d_4086_8ba7_180cdf9a14d0" hidden="1">#REF!</definedName>
    <definedName name="TBadfdddd3_ce32_4d70_9435_bc0b25c2132e" hidden="1">#REF!</definedName>
    <definedName name="TBadff0981_9cf5_408d_8f5c_ae28c829dbd5" hidden="1">#REF!</definedName>
    <definedName name="TBae2db9eb_9677_4059_868f_031bcdd38f6f" hidden="1">#REF!</definedName>
    <definedName name="TBae2dd47f_2b15_428e_9313_9c7c4d4586e6" hidden="1">#REF!</definedName>
    <definedName name="TBae306515_fd4a_4ce1_889e_ceba97253635" hidden="1">#REF!</definedName>
    <definedName name="TBae3247c6_5067_443b_b75b_e09e2634239b" hidden="1">#REF!</definedName>
    <definedName name="TBae3d3b48_284d_4a86_bc0b_961f733ab942" hidden="1">#REF!</definedName>
    <definedName name="TBae448c8e_8243_45b6_9ed6_25a4296925e5" hidden="1">#REF!</definedName>
    <definedName name="TBae47037e_76d7_42a1_89b1_77de75247cd2" hidden="1">#REF!</definedName>
    <definedName name="TBae4947a9_6a17_43cd_b6dc_3530aa028b7e" hidden="1">#REF!</definedName>
    <definedName name="TBae4d1ae2_c9fd_46ed_9400_217d9d65bceb" hidden="1">#REF!</definedName>
    <definedName name="TBae4d600b_f25a_4a23_afec_899b7b54641d" hidden="1">#REF!</definedName>
    <definedName name="TBae53792c_7de7_46a5_8dda_b28eeefa6e14" hidden="1">#REF!</definedName>
    <definedName name="TBae5f00fc_3f00_4609_9651_307e151b9767" hidden="1">#REF!</definedName>
    <definedName name="TBae6801d1_b0dc_4fa3_aeb5_b1f5cb53e49f" hidden="1">#REF!</definedName>
    <definedName name="TBae68f099_6db9_41e7_b64c_8d1f32989d49" hidden="1">#REF!</definedName>
    <definedName name="TBae6e3879_4094_4d42_95bb_4c5c31ccf395" hidden="1">#REF!</definedName>
    <definedName name="TBae6f62fc_4fe4_4558_b447_4db4df90edef" hidden="1">#REF!</definedName>
    <definedName name="TBae843677_e06a_435b_b3e9_54fdcb84c553" hidden="1">#REF!</definedName>
    <definedName name="TBae8a5197_4740_42c5_9eb9_87e18ecc1bab" hidden="1">#REF!</definedName>
    <definedName name="TBae926acc_1c3f_4b4a_9d2a_a0e398299b51" hidden="1">#REF!</definedName>
    <definedName name="TBae930bd5_ef66_4166_bfaf_a1a5ffe00f0b" hidden="1">#REF!</definedName>
    <definedName name="TBaea59e68_8eca_4ba1_8278_61026bac9e5c" hidden="1">#REF!</definedName>
    <definedName name="TBaea89e4b_dac0_42db_b26e_d5bb764e5327" hidden="1">#REF!</definedName>
    <definedName name="TBaea8efaf_3982_4205_8511_f365f8cfbfd1" hidden="1">#REF!</definedName>
    <definedName name="TBaeaac3e6_7bc3_4214_9ffa_f1c6b92e4156" hidden="1">#REF!</definedName>
    <definedName name="TBaeb9708a_9662_4ff7_8611_b65c495e50c8" hidden="1">#REF!</definedName>
    <definedName name="TBaebcab0a_9a3b_4eae_a886_c5c6443109e4" hidden="1">#REF!</definedName>
    <definedName name="TBaec43eb8_076f_4fb6_aad7_14246e9e062a" hidden="1">#REF!</definedName>
    <definedName name="TBaec4dd39_4e11_4e2f_83e6_e71878cc73eb" hidden="1">#REF!</definedName>
    <definedName name="TBaed0a4f8_d357_4248_b9e8_f34cec62494f" hidden="1">#REF!</definedName>
    <definedName name="TBaed28fec_76c7_41c8_9c93_f514f038da03" hidden="1">#REF!</definedName>
    <definedName name="TBaedb9130_d2d7_454d_8700_914a85c34034" hidden="1">#REF!</definedName>
    <definedName name="TBaef60357_643a_486d_a2de_e4c5460c9043" hidden="1">#REF!</definedName>
    <definedName name="TBaefb1454_6668_4f22_bae7_43308d014eb2" hidden="1">#REF!</definedName>
    <definedName name="TBaf0ecfdd_2702_45b7_ba42_ac5795588082" hidden="1">#REF!</definedName>
    <definedName name="TBaf10bebe_86ea_4177_ba71_86e0ff89698e" hidden="1">#REF!</definedName>
    <definedName name="TBaf1c6ca8_7c05_4cb6_80d0_f093e05d6dc5" hidden="1">#REF!</definedName>
    <definedName name="TBaf40f9a2_4f16_4358_a650_2dfef4332d15" hidden="1">#REF!</definedName>
    <definedName name="TBaf42997e_3b35_404a_a7da_fef659a71260" hidden="1">#REF!</definedName>
    <definedName name="TBaf51fbde_0d79_40e3_ac27_045aee7f7c14" hidden="1">#REF!</definedName>
    <definedName name="TBaf550c03_f904_4cc0_afa2_2a3d181b2574" hidden="1">#REF!</definedName>
    <definedName name="TBaf5742d6_aa3c_4993_aa23_0da55e86aa26" hidden="1">#REF!</definedName>
    <definedName name="TBaf57be0a_39c7_4987_9f43_b4ad6cdb0b67" hidden="1">#REF!</definedName>
    <definedName name="TBaf6855a3_a2b6_4fc2_8095_f30938c7943b" hidden="1">#REF!</definedName>
    <definedName name="TBaf6963ef_e215_400f_86d2_09bb5aa6f04e" hidden="1">#REF!</definedName>
    <definedName name="TBaf7d7569_e68d_4e36_b509_0af437c27ded" hidden="1">#REF!</definedName>
    <definedName name="TBaf7f53f3_d740_4ee6_8f9b_9e14205d72e6" hidden="1">#REF!</definedName>
    <definedName name="TBaf8ba1da_5086_416c_a0e0_93439437cbe5" hidden="1">#REF!</definedName>
    <definedName name="TBaf966443_27db_4eac_981d_6bc4dd279903" hidden="1">#REF!</definedName>
    <definedName name="TBaf96d7d3_b294_40b0_a4b7_068a7cc3c439" hidden="1">#REF!</definedName>
    <definedName name="TBaf9fb86d_5a9c_4bf9_9379_163329a3b2bd" hidden="1">#REF!</definedName>
    <definedName name="TBafa4b1bd_57dc_4075_88aa_2aa4303f21ec" hidden="1">#REF!</definedName>
    <definedName name="TBafa636d1_978c_4dbf_b7a5_da1ad8082ade" hidden="1">#REF!</definedName>
    <definedName name="TBafaae615_7143_4cdc_9b55_85a67064aaa9" hidden="1">#REF!</definedName>
    <definedName name="TBafb8df19_a1fc_480e_8100_d5b8d64be44b" hidden="1">#REF!</definedName>
    <definedName name="TBafc2c831_1797_4331_a728_f622c253a784" hidden="1">#REF!</definedName>
    <definedName name="TBafd3469e_dc45_42e0_acfe_99bf3b808618" hidden="1">#REF!</definedName>
    <definedName name="TBafd36f89_07d2_4785_a698_0ba4e190faf9" hidden="1">#REF!</definedName>
    <definedName name="TBafde2c79_48d0_4adf_abc7_4409ae7d6604" hidden="1">#REF!</definedName>
    <definedName name="TBafdec70b_f9c0_4537_b6f2_2a78e05a210a" hidden="1">#REF!</definedName>
    <definedName name="TBafedb78c_6227_4518_9b47_baec6f3a3a55" hidden="1">#REF!</definedName>
    <definedName name="TBaff1cb84_f36f_4641_b88a_af691820e9e8" hidden="1">#REF!</definedName>
    <definedName name="TBaff68f1f_003d_4f3b_b044_d1d39d0509fc" hidden="1">#REF!</definedName>
    <definedName name="TBaffac161_e038_43ec_a3b8_6b0b06be73e5" hidden="1">#REF!</definedName>
    <definedName name="TBb0010518_78ce_4ea7_8db3_7391e6db6810" hidden="1">#REF!</definedName>
    <definedName name="TBb0147637_8847_4c1b_9f33_5b927353f7c8" hidden="1">#REF!</definedName>
    <definedName name="TBb017cc08_8dec_45bc_b802_28dddf704984" hidden="1">#REF!</definedName>
    <definedName name="TBb01bcaf0_0556_441b_ab6c_0c100d738ec6" hidden="1">#REF!</definedName>
    <definedName name="TBb0256c91_275e_4ce5_b1e7_c8100a7f7835" hidden="1">#REF!</definedName>
    <definedName name="TBb02c4791_e34f_465d_af0b_6da43117ff62" hidden="1">#REF!</definedName>
    <definedName name="TBb0318a56_9e82_47d9_9518_ef9dde12111d" hidden="1">#REF!</definedName>
    <definedName name="TBb0488a95_ab18_4bdf_8c1c_d69eb1c2d5a3" hidden="1">#REF!</definedName>
    <definedName name="TBb04a3af9_be6a_4090_804b_1956ada5c511" hidden="1">#REF!</definedName>
    <definedName name="TBb06629aa_e04f_4f12_b51f_e84a542d0ab6" hidden="1">#REF!</definedName>
    <definedName name="TBb06ce263_d3c0_47e4_a3fa_b844939abce5" hidden="1">#REF!</definedName>
    <definedName name="TBb06f1e4e_4592_4700_b939_ac6ac84bf21a" hidden="1">#REF!</definedName>
    <definedName name="TBb0722d65_d484_47bf_b59a_88c6ed89c2d1" hidden="1">#REF!</definedName>
    <definedName name="TBb07461a0_4a6b_41b7_b978_0931dcc7b284" hidden="1">#REF!</definedName>
    <definedName name="TBb07c22a7_48f9_4ff3_8a97_106016e4c095" hidden="1">#REF!</definedName>
    <definedName name="TBb07c3a88_bcdb_41ed_90fc_08fdef9ab6e4" hidden="1">#REF!</definedName>
    <definedName name="TBb08804d3_b11a_48a0_a6b3_f7c2f5b67a4b" hidden="1">#REF!</definedName>
    <definedName name="TBb08fe4d7_92a1_4bf0_bac5_bf4ba986c048" hidden="1">#REF!</definedName>
    <definedName name="TBb091a2aa_426a_4845_91ef_e96a2b71bfce" hidden="1">#REF!</definedName>
    <definedName name="TBb098e012_89d7_4c1f_93e3_f3a5d13208a8" hidden="1">#REF!</definedName>
    <definedName name="TBb09a52ef_5a27_4d5d_9468_a928e4739fbb" hidden="1">#REF!</definedName>
    <definedName name="TBb09d5bb7_c082_4c8d_b21b_8a87ff96b572" hidden="1">#REF!</definedName>
    <definedName name="TBb09df645_5920_43de_83e9_7a9a62b3d146" hidden="1">#REF!</definedName>
    <definedName name="TBb0a6d4fd_85bd_4969_ab46_03e13b41b7d9" hidden="1">#REF!</definedName>
    <definedName name="TBb0a802fe_d382_44d1_a691_2c5f1206b7d2" hidden="1">#REF!</definedName>
    <definedName name="TBb0a830e9_8d02_427d_b585_1494956032e1" hidden="1">#REF!</definedName>
    <definedName name="TBb0c2a38c_8b9d_414d_8aff_42a093a5762c" hidden="1">#REF!</definedName>
    <definedName name="TBb0c70249_fcc2_4611_babc_ee5bfdee5f83" hidden="1">#REF!</definedName>
    <definedName name="TBb0d47d46_14dd_40dd_8f13_a6017c0875d1" hidden="1">#REF!</definedName>
    <definedName name="TBb0d90cbb_36ea_4f44_b227_fcaf3a3eb66f" hidden="1">#REF!</definedName>
    <definedName name="TBb0f2d153_cca6_4c19_ad0b_eef21ae4ee0d" hidden="1">#REF!</definedName>
    <definedName name="TBb0f7e735_d95b_4ed8_aff7_7cb334b176a7" hidden="1">#REF!</definedName>
    <definedName name="TBb0fdce77_0b50_44b5_8bd8_117fed44db80" hidden="1">#REF!</definedName>
    <definedName name="TBb102daa0_1945_48b1_8996_7a6a5b614fb8" hidden="1">#REF!</definedName>
    <definedName name="TBb12cd186_97b0_4645_972e_9c49785aea2d" hidden="1">#REF!</definedName>
    <definedName name="TBb12d86aa_b342_48d9_83d7_3395622a4c59" hidden="1">#REF!</definedName>
    <definedName name="TBb137cad2_0b48_49a7_90b2_05eb7d3455e7" hidden="1">#REF!</definedName>
    <definedName name="TBb13a5c78_6a95_4ad1_8fdd_f6dd6f6b0a14" hidden="1">#REF!</definedName>
    <definedName name="TBb13f5686_d982_42a6_911f_de370281b807" hidden="1">#REF!</definedName>
    <definedName name="TBb149fc74_3508_4af7_b33c_bbf9a4311563" hidden="1">#REF!</definedName>
    <definedName name="TBb14c192e_f6e8_4f35_97df_12a3812778ec" hidden="1">#REF!</definedName>
    <definedName name="TBb14e04fa_ac11_4ee3_b0e8_99af0f0a31f5" hidden="1">#REF!</definedName>
    <definedName name="TBb14fab34_911f_4509_9dbb_8c426e15aaef" hidden="1">#REF!</definedName>
    <definedName name="TBb155c97f_733c_477e_995f_7c7dfb2d0b44" hidden="1">#REF!</definedName>
    <definedName name="TBb15e2566_48db_4a39_9241_8b8e84dd1554" hidden="1">#REF!</definedName>
    <definedName name="TBb160bfb5_8ed8_4c08_a6fa_8ec341a02213" hidden="1">#REF!</definedName>
    <definedName name="TBb1635a4d_5971_401d_b341_994ccf435281" hidden="1">#REF!</definedName>
    <definedName name="TBb17cb8a0_6f01_4dd5_bf4b_9f9a4d643990" hidden="1">#REF!</definedName>
    <definedName name="TBb17d086c_3cb9_4906_aff4_747420124794" hidden="1">#REF!</definedName>
    <definedName name="TBb17d1ae4_78cd_4fb5_b7f4_d55ca61dd780" hidden="1">#REF!</definedName>
    <definedName name="TBb17e02f2_5f77_4b6a_9913_b9efc12467b9" hidden="1">#REF!</definedName>
    <definedName name="TBb1a88cc1_1016_4171_9592_3f860297b037" hidden="1">#REF!</definedName>
    <definedName name="TBb1a8acf7_b109_447d_834a_0ebfb77c3dba" hidden="1">#REF!</definedName>
    <definedName name="TBb1b925cc_f99b_4840_b6ee_7328855a86de" hidden="1">#REF!</definedName>
    <definedName name="TBb1c202d0_2bf9_4821_81cc_6e8b0188fb0d" hidden="1">#REF!</definedName>
    <definedName name="TBb1c73dee_56bc_491a_a811_f2f2e95f599d" hidden="1">#REF!</definedName>
    <definedName name="TBb1cb4675_2c02_41d6_aafb_84e247a022e8" hidden="1">#REF!</definedName>
    <definedName name="TBb1d7d3e3_4f78_4acd_aff9_8ece04b579ee" hidden="1">#REF!</definedName>
    <definedName name="TBb1d8d353_d7e5_47a8_8011_69f0e0d0acd0" hidden="1">#REF!</definedName>
    <definedName name="TBb1eff79a_b516_42df_94b4_16417fcee82e" hidden="1">#REF!</definedName>
    <definedName name="TBb1f914e7_cabc_4c95_9ab2_b4c759182dc8" hidden="1">#REF!</definedName>
    <definedName name="TBb1f9618f_7922_4fa3_8c89_941ce15d54d7" hidden="1">#REF!</definedName>
    <definedName name="TBb207d0f1_b584_409e_b5e1_76cfec8b321f" hidden="1">#REF!</definedName>
    <definedName name="TBb209a74b_627e_4afe_8d00_4ea9b5a1d1e4" hidden="1">#REF!</definedName>
    <definedName name="TBb20cf182_b55d_4dea_a603_4f1043daf3f0" hidden="1">#REF!</definedName>
    <definedName name="TBb2123c57_4200_485f_92cc_420b88271dc1" hidden="1">#REF!</definedName>
    <definedName name="TBb218011b_c800_44e3_b2b6_131b59326269" hidden="1">#REF!</definedName>
    <definedName name="TBb21ac8b4_0701_454f_ac81_7dfd9d9c4b71" hidden="1">#REF!</definedName>
    <definedName name="TBb21b4259_6783_43ba_bafe_bc5bdd3016dc" hidden="1">#REF!</definedName>
    <definedName name="TBb21bb3a8_3fb8_4825_83a7_741f7df19aa8" hidden="1">#REF!</definedName>
    <definedName name="TBb224f1ad_8f39_40e3_8ee9_fd0eb6902e69" hidden="1">#REF!</definedName>
    <definedName name="TBb22baa93_c6b1_465d_879e_59054f307534" hidden="1">#REF!</definedName>
    <definedName name="TBb23110db_ecd3_493e_bfc6_4fd856a0ffc7" hidden="1">#REF!</definedName>
    <definedName name="TBb234a34e_8dd0_4b76_851b_21b66ed82cca" hidden="1">#REF!</definedName>
    <definedName name="TBb25bfd7f_d2cd_4cea_927c_646f33abc323" hidden="1">#REF!</definedName>
    <definedName name="TBb264180a_a039_4e84_a0a0_ff963b9b6139" hidden="1">#REF!</definedName>
    <definedName name="TBb265cf53_ecb1_4e86_9877_d37a4ce8801b" hidden="1">#REF!</definedName>
    <definedName name="TBb26a6e18_0384_49ca_b476_75cfc9e772ac" hidden="1">#REF!</definedName>
    <definedName name="TBb26ec619_6c0c_41dd_bf3f_1c354876ea3e" hidden="1">#REF!</definedName>
    <definedName name="TBb26fe053_affb_43e7_ae64_88f377b89529" hidden="1">#REF!</definedName>
    <definedName name="TBb270136e_5309_49fa_86dd_5c4f00269fd1" hidden="1">#REF!</definedName>
    <definedName name="TBb2716602_adfd_4b69_98bc_c8c63e6dd455" hidden="1">#REF!</definedName>
    <definedName name="TBb2766394_3171_45fe_a2cc_70278447c21b" hidden="1">#REF!</definedName>
    <definedName name="TBb27f7c4e_504c_4767_99ea_358b636ef0c9" hidden="1">#REF!</definedName>
    <definedName name="TBb286837f_d2c2_4212_aab2_923a9b44d9c3" hidden="1">#REF!</definedName>
    <definedName name="TBb2954071_2002_4e0e_9f13_a83e71cee830" hidden="1">#REF!</definedName>
    <definedName name="TBb298425b_68ec_49e2_a6ed_6d25416ac906" hidden="1">#REF!</definedName>
    <definedName name="TBb29d2326_06a8_42fe_af56_8559e2c50205" hidden="1">#REF!</definedName>
    <definedName name="TBb2afc2db_09d1_4cb7_bbf1_b1c64d7551e7" hidden="1">#REF!</definedName>
    <definedName name="TBb2c1d302_ca9e_4b1a_8942_14e80920d60d" hidden="1">#REF!</definedName>
    <definedName name="TBb2c84f4d_9e7f_40e7_8b0f_1c8970d67006" hidden="1">#REF!</definedName>
    <definedName name="TBb2d01f51_a529_4ea3_90cb_959963e05f26" hidden="1">#REF!</definedName>
    <definedName name="TBb2d435ec_2d9d_435f_9891_bae39206709b" hidden="1">#REF!</definedName>
    <definedName name="TBb2e03bda_c033_4bb1_a52b_7ca363188938" hidden="1">#REF!</definedName>
    <definedName name="TBb2e6aeaa_4cdd_46c4_be5a_e0f5d381e891" hidden="1">#REF!</definedName>
    <definedName name="TBb301fdac_19b0_4d43_9475_a5ab91778f47" hidden="1">#REF!</definedName>
    <definedName name="TBb30303a8_dfcf_4efe_89ab_b9a97768ca14" hidden="1">#REF!</definedName>
    <definedName name="TBb30833ee_0705_461f_813d_7bf632a80568" hidden="1">#REF!</definedName>
    <definedName name="TBb30c4224_d571_4847_b7b1_54d2bf283dff" hidden="1">#REF!</definedName>
    <definedName name="TBb31646ac_aebd_443c_9d90_2525f954938f" hidden="1">#REF!</definedName>
    <definedName name="TBb31f524a_2133_4503_b288_8246a9f42715" hidden="1">#REF!</definedName>
    <definedName name="TBb3293e5c_53e9_4ddb_b6cf_82eceb9e04fe" hidden="1">#REF!</definedName>
    <definedName name="TBb33dbe13_fb94_4738_81a8_6ff8ea0b9fc4" hidden="1">#REF!</definedName>
    <definedName name="TBb33e6e29_f6cc_46f3_b639_2084120ff35a" hidden="1">#REF!</definedName>
    <definedName name="TBb3405dc2_7c09_4f38_9a2b_8ba13fbfcdff" hidden="1">#REF!</definedName>
    <definedName name="TBb3433419_4d79_4585_b5d3_fb5c1a7661ce" hidden="1">#REF!</definedName>
    <definedName name="TBb34715fa_e74e_4e0b_a85c_3960d3588920" hidden="1">#REF!</definedName>
    <definedName name="TBb3472419_e3f7_4a6e_9368_92b09c8fafdf" hidden="1">#REF!</definedName>
    <definedName name="TBb349639e_ee14_44e6_a35b_883913525707" hidden="1">#REF!</definedName>
    <definedName name="TBb34bcc33_8678_45ea_8b48_416fb4cfe5a2" hidden="1">#REF!</definedName>
    <definedName name="TBb35039e3_a218_4aff_9267_a7a0db6ec12e" hidden="1">#REF!</definedName>
    <definedName name="TBb357c2ab_4a3b_4a20_9a95_1be04ec5dd06" hidden="1">#REF!</definedName>
    <definedName name="TBb3638bb9_b4d5_48ac_94c4_d42b2bd30e51" hidden="1">#REF!</definedName>
    <definedName name="TBb36796f8_c097_44ab_97ad_f3f4dff9fe22" hidden="1">#REF!</definedName>
    <definedName name="TBb389fd5f_5a4b_4bab_a962_536ba2a720b6" hidden="1">#REF!</definedName>
    <definedName name="TBb38b1f08_1f0b_41da_8ad7_ffb724f99b8a" hidden="1">#REF!</definedName>
    <definedName name="TBb3a0736d_1bc7_4cc9_bfa0_5ef781c6ea5f" hidden="1">#REF!</definedName>
    <definedName name="TBb3a0d0fc_9be8_4795_90b2_78452a625686" hidden="1">#REF!</definedName>
    <definedName name="TBb3a8a69d_baf1_4008_8f04_8f4ab0de1452" hidden="1">#REF!</definedName>
    <definedName name="TBb3ab66bb_c7e5_4250_b400_cf2fd722b567" hidden="1">#REF!</definedName>
    <definedName name="TBb3ac6e08_c7af_4653_9ca6_981ebe9b33d1" hidden="1">#REF!</definedName>
    <definedName name="TBb3b16596_ab79_4f4c_97d8_f2f72774ace5" hidden="1">#REF!</definedName>
    <definedName name="TBb3bf0991_7dab_444b_b1a0_3bc7bc11e247" hidden="1">#REF!</definedName>
    <definedName name="TBb3c85bb9_c0d6_40f1_9d8f_da00ced43f4b" hidden="1">#REF!</definedName>
    <definedName name="TBb3d2e936_3c26_4c6e_b8d0_3efbcce0f353" hidden="1">#REF!</definedName>
    <definedName name="TBb3efd573_3aff_4e45_a36f_3803bae3cc04" hidden="1">#REF!</definedName>
    <definedName name="TBb3f39429_b669_4228_a529_c34cbde79edb" hidden="1">#REF!</definedName>
    <definedName name="TBb4155542_e6fc_4ad0_9c01_0bc0042ecfff" hidden="1">#REF!</definedName>
    <definedName name="TBb424e4f7_2763_4bc2_9a3a_dd075f485faa" hidden="1">#REF!</definedName>
    <definedName name="TBb432bb10_a3cc_4510_97d2_75fd66405bdd" hidden="1">#REF!</definedName>
    <definedName name="TBb43c706e_78d6_4b58_80ac_f77a854b162b" hidden="1">#REF!</definedName>
    <definedName name="TBb4502e3d_f8f6_47d2_af7e_e9ad738055a1" hidden="1">#REF!</definedName>
    <definedName name="TBb450d05a_9f9d_4394_b18a_a11a4da648ff" hidden="1">#REF!</definedName>
    <definedName name="TBb4605096_c26d_4290_ad71_a9cea8843bdf" hidden="1">#REF!</definedName>
    <definedName name="TBb4691619_f530_4419_83da_2924c3707d31" hidden="1">#REF!</definedName>
    <definedName name="TBb48e25dd_67ab_408e_a8fd_9faf85d6842a" hidden="1">#REF!</definedName>
    <definedName name="TBb4911480_ea59_43e6_8510_68cbb666945f" hidden="1">#REF!</definedName>
    <definedName name="TBb4944b5e_9e40_4871_901d_ee61f6573ad3" hidden="1">#REF!</definedName>
    <definedName name="TBb4946579_a91f_4f68_ac2d_4334a46c2306" hidden="1">#REF!</definedName>
    <definedName name="TBb49800e3_f627_498d_ba16_b8d91ae18767" hidden="1">#REF!</definedName>
    <definedName name="TBb499cd2f_5b84_4a57_9cca_1d89d611eaa4" hidden="1">#REF!</definedName>
    <definedName name="TBb4a207e4_3fa4_45aa_8836_d4c7a42d6f3b" hidden="1">#REF!</definedName>
    <definedName name="TBb4b15772_23a7_4fcc_b0a8_f7a4a1050d1d" hidden="1">#REF!</definedName>
    <definedName name="TBb4bdaca9_96a4_47ce_9aef_9c70dd706989" hidden="1">#REF!</definedName>
    <definedName name="TBb4cc70c4_0855_47ec_9591_282cfb2584c8" hidden="1">#REF!</definedName>
    <definedName name="TBb4cf4424_438a_4af1_8aa9_5eab8ba7881c" hidden="1">#REF!</definedName>
    <definedName name="TBb4d11510_b01f_44b0_8e24_2b2f39f7105d" hidden="1">#REF!</definedName>
    <definedName name="TBb4d290e7_7d73_4482_8fa4_11666c2f6e50" hidden="1">#REF!</definedName>
    <definedName name="TBb4de1f5f_1863_48ec_a0bd_26f2e910ec50" hidden="1">#REF!</definedName>
    <definedName name="TBb4eb98d0_15f5_4ecc_8896_242e87f1192d" hidden="1">#REF!</definedName>
    <definedName name="TBb4f2df7f_32c1_43b7_b263_b571af54d1a2" hidden="1">#REF!</definedName>
    <definedName name="TBb50128ed_54e6_45b5_a084_93c9c5c841ba" hidden="1">#REF!</definedName>
    <definedName name="TBb501a8e8_b9a5_4849_abfb_18fd963c8d81" hidden="1">#REF!</definedName>
    <definedName name="TBb502538b_12af_48ae_ad07_5965249fc0be" hidden="1">#REF!</definedName>
    <definedName name="TBb5066583_3f44_4604_95e2_9ad7e67aa382" hidden="1">#REF!</definedName>
    <definedName name="TBb50da9e6_44b6_41ac_8ed9_5d4aaae8dd8c" hidden="1">#REF!</definedName>
    <definedName name="TBb50dfeeb_3d69_41f5_a739_32abbd07e2dc" hidden="1">#REF!</definedName>
    <definedName name="TBb50ffe73_1ac6_4482_9223_e61244cff32e" hidden="1">#REF!</definedName>
    <definedName name="TBb5155e05_ca92_4387_8027_a712a593ac7c" hidden="1">#REF!</definedName>
    <definedName name="TBb51705db_c5f3_4073_8b07_af1a408e4fac" hidden="1">#REF!</definedName>
    <definedName name="TBb52099af_7ae4_4701_88ab_b3a094b80788" hidden="1">#REF!</definedName>
    <definedName name="TBb523183a_08bb_4af6_bc4a_26cb5e0c6d6f" hidden="1">#REF!</definedName>
    <definedName name="TBb5240823_f9f7_40d2_ac0d_b8399cb0eca2" hidden="1">#REF!</definedName>
    <definedName name="TBb525b0a4_f4b2_4c95_aa46_9fb48691132e" hidden="1">#REF!</definedName>
    <definedName name="TBb528220c_497f_499d_9432_c0bde812b54f" hidden="1">#REF!</definedName>
    <definedName name="TBb538ecac_d70b_460e_8042_53d32315018f" hidden="1">#REF!</definedName>
    <definedName name="TBb5392cc6_dc92_4276_8422_90ec23d81b04" hidden="1">#REF!</definedName>
    <definedName name="TBb5474e19_8c2d_47f0_af4c_0f652706a8d9" hidden="1">#REF!</definedName>
    <definedName name="TBb548ffec_82c6_4d93_a761_f113bb4b8cd0" hidden="1">#REF!</definedName>
    <definedName name="TBb56f856f_0d81_43c5_a742_57e913b20271" hidden="1">#REF!</definedName>
    <definedName name="TBb57bffa7_5787_4ebc_91ce_5e6b6daf550c" hidden="1">#REF!</definedName>
    <definedName name="TBb58332bf_e8c9_4844_8e10_e6b132080d1b" hidden="1">#REF!</definedName>
    <definedName name="TBb584acc0_35fe_41b4_92b6_1859c94539cd" hidden="1">#REF!</definedName>
    <definedName name="TBb5850ff8_0ba5_4bb6_b832_7649f9838155" hidden="1">#REF!</definedName>
    <definedName name="TBb594f605_64b5_43a8_a038_3aabdbeb82d5" hidden="1">#REF!</definedName>
    <definedName name="TBb5aa865b_779a_496c_ba43_7c28c4602377" hidden="1">#REF!</definedName>
    <definedName name="TBb5af9ae6_fa0e_436c_bfa7_5e0cb9af9d77" hidden="1">#REF!</definedName>
    <definedName name="TBb5baaeaf_5f33_49fb_b247_e7a1a7bde2e3" hidden="1">#REF!</definedName>
    <definedName name="TBb5bb0236_c681_43f5_a2d8_b6a6bf91b054" hidden="1">#REF!</definedName>
    <definedName name="TBb5bd68ce_3ffb_419f_9096_566cdca20b21" hidden="1">#REF!</definedName>
    <definedName name="TBb5c03c2a_a286_4c2f_80ef_87e1f303a883" hidden="1">#REF!</definedName>
    <definedName name="TBb5c38015_4f37_4fad_be8a_c50f1290f9f4" hidden="1">#REF!</definedName>
    <definedName name="TBb5c4a116_e6b1_4578_a958_920f0c3d576d" hidden="1">#REF!</definedName>
    <definedName name="TBb5c69f20_1267_4044_81e0_8776b8eb9515" hidden="1">#REF!</definedName>
    <definedName name="TBb5cb6fb4_484c_4fa8_814a_a6cbbc86f903" hidden="1">#REF!</definedName>
    <definedName name="TBb5d958ff_62d6_4798_b2d2_755fcab0e472" hidden="1">#REF!</definedName>
    <definedName name="TBb5dd39cf_2eab_4f52_b6b8_01d376ce026b" hidden="1">#REF!</definedName>
    <definedName name="TBb605490d_d35e_4911_859e_7d664e3d7f92" hidden="1">#REF!</definedName>
    <definedName name="TBb613f3a7_5642_4e4d_b3c6_e6a767c3d7eb" hidden="1">#REF!</definedName>
    <definedName name="TBb6238d6a_899c_4057_b3df_88a8cf51f5a9" hidden="1">#REF!</definedName>
    <definedName name="TBb62425b8_fa0f_4d28_aa13_e8a202df18a7" hidden="1">#REF!</definedName>
    <definedName name="TBb6245c42_948d_4808_9d7c_fa3434df406f" hidden="1">#REF!</definedName>
    <definedName name="TBb627d4e1_eef7_4007_93ef_24de822e1f15" hidden="1">#REF!</definedName>
    <definedName name="TBb63d6952_9bc8_479e_953c_e285b91853ee" hidden="1">#REF!</definedName>
    <definedName name="TBb63f2cdf_a2f0_47cd_98d0_4e8711e85bf5" hidden="1">#REF!</definedName>
    <definedName name="TBb63f89fa_9aa1_4e80_af1b_4e7a55a89b4e" hidden="1">#REF!</definedName>
    <definedName name="TBb640aa21_cf12_4121_a259_ab7ce53062ad" hidden="1">#REF!</definedName>
    <definedName name="TBb645ee16_ea8b_4925_b74a_05570211c3e6" hidden="1">#REF!</definedName>
    <definedName name="TBb646e618_638c_4556_b800_71eb69a933aa" hidden="1">#REF!</definedName>
    <definedName name="TBb6529c65_e400_418b_866d_e26ec4bfbfff" hidden="1">#REF!</definedName>
    <definedName name="TBb6609562_f818_4031_b6ca_936f0ed12b14" hidden="1">#REF!</definedName>
    <definedName name="TBb662f558_fce0_4dd0_9683_a92cbbec6567" hidden="1">#REF!</definedName>
    <definedName name="TBb67c19f1_ef1a_4eb7_a5d3_ee1925d153b8" hidden="1">#REF!</definedName>
    <definedName name="TBb67c6bb3_4c1a_4bdf_a9ae_ddc9c59f2663" hidden="1">#REF!</definedName>
    <definedName name="TBb67e594b_e626_4386_862f_2e985ce616d5" hidden="1">#REF!</definedName>
    <definedName name="TBb689d904_713f_4ee1_b369_41ab0a900aab" hidden="1">#REF!</definedName>
    <definedName name="TBb68e922e_bf89_4f36_ac03_968e8348758d" hidden="1">#REF!</definedName>
    <definedName name="TBb6b3c209_e471_40d0_81b2_901d85d3e116" hidden="1">#REF!</definedName>
    <definedName name="TBb6bdb693_572f_4f38_b824_12f34a0bc90f" hidden="1">#REF!</definedName>
    <definedName name="TBb6cbd6ae_ee36_41cd_8e55_e6c0e012b65e" hidden="1">#REF!</definedName>
    <definedName name="TBb6d7fbde_30df_40b9_9e1e_74bb6e5d092b" hidden="1">#REF!</definedName>
    <definedName name="TBb6de5795_3331_4544_b005_92e3aa7bd631" hidden="1">#REF!</definedName>
    <definedName name="TBb6e08b4e_f584_449e_87a0_36cd9fdf9014" hidden="1">#REF!</definedName>
    <definedName name="TBb6e3edd2_38de_4d5b_93d0_5a7d8707f91e" hidden="1">#REF!</definedName>
    <definedName name="TBb6e8a77b_6ae7_4f2c_a5ea_ac80fe53582e" hidden="1">#REF!</definedName>
    <definedName name="TBb6e9cf2a_2d71_4d21_92b4_5e379d51a4a9" hidden="1">#REF!</definedName>
    <definedName name="TBb6ea3355_7494_4cae_858c_43b9c47bb89a" hidden="1">#REF!</definedName>
    <definedName name="TBb6febd81_3656_4ff2_b941_6d79261dee7c" hidden="1">#REF!</definedName>
    <definedName name="TBb70726ac_baa6_474d_b8e8_7859c9027fdb" hidden="1">#REF!</definedName>
    <definedName name="TBb70a6343_f2b6_4a34_a7d8_39b4fcd64c47" hidden="1">#REF!</definedName>
    <definedName name="TBb71ee078_03a3_4c3b_826f_1d4cbc738d42" hidden="1">#REF!</definedName>
    <definedName name="TBb7275d93_a489_49ec_837b_e94dbde42244" hidden="1">#REF!</definedName>
    <definedName name="TBb72fe42f_6276_4750_91f3_d9c40829d977" hidden="1">#REF!</definedName>
    <definedName name="TBb747c775_da8e_442b_a461_14f5874e21b0" hidden="1">#REF!</definedName>
    <definedName name="TBb74eae85_e62e_4f3f_987a_0f90f2471a2b" hidden="1">#REF!</definedName>
    <definedName name="TBb75a0273_c0c2_44c5_baa5_c71fc2ca1cf6" hidden="1">#REF!</definedName>
    <definedName name="TBb7618787_f15a_4796_8408_7df4d6f80da7" hidden="1">#REF!</definedName>
    <definedName name="TBb7688efa_8698_451a_b941_846a6867360e" hidden="1">#REF!</definedName>
    <definedName name="TBb769708f_155d_427c_993e_3b25f3007ca9" hidden="1">#REF!</definedName>
    <definedName name="TBb771a1f5_4f28_4133_8638_50f32c77f047" hidden="1">#REF!</definedName>
    <definedName name="TBb7749db7_875f_4e90_a6db_f1bc606917ed" hidden="1">#REF!</definedName>
    <definedName name="TBb77cba1e_5c89_4de3_b4d4_93319e9fc564" hidden="1">#REF!</definedName>
    <definedName name="TBb77d4c8f_5c6a_49cf_8ac2_1f7e99491050" hidden="1">#REF!</definedName>
    <definedName name="TBb78d865d_62e0_4b51_b826_85ed56f7f7b7" hidden="1">#REF!</definedName>
    <definedName name="TBb7905b95_a5fa_4a25_9487_cc2c13ca350e" hidden="1">#REF!</definedName>
    <definedName name="TBb79632f9_04a2_4b33_82d1_9af5b37d9056" hidden="1">#REF!</definedName>
    <definedName name="TBb7a398c7_e354_413a_9b10_30f0a9a99c04" hidden="1">#REF!</definedName>
    <definedName name="TBb7a50c62_3fcd_4231_a73e_585fe604b127" hidden="1">#REF!</definedName>
    <definedName name="TBb7a6166e_0fd1_4020_87c0_a6e310eb5128" hidden="1">#REF!</definedName>
    <definedName name="TBb7a6dbfe_5d51_42e6_b7b0_dc47b729211b" hidden="1">#REF!</definedName>
    <definedName name="TBb7aae963_bc64_4980_aa5c_146396085f11" hidden="1">#REF!</definedName>
    <definedName name="TBb7abc736_3fd9_40d2_8c49_6aa297c493de" hidden="1">#REF!</definedName>
    <definedName name="TBb7b01b9c_2ca9_4adc_82e1_de429e4396f1" hidden="1">#REF!</definedName>
    <definedName name="TBb7b28345_3798_4ba5_8e16_fc917db769cf" hidden="1">#REF!</definedName>
    <definedName name="TBb7b6491b_a299_4da8_8fa2_d5a23e5ed61f" hidden="1">#REF!</definedName>
    <definedName name="TBb7c11a26_e871_4b79_b157_cb312e1fe3c9" hidden="1">#REF!</definedName>
    <definedName name="TBb7c5bb54_3d17_41bd_9111_69e132001060" hidden="1">#REF!</definedName>
    <definedName name="TBb7c9484b_44ae_4942_bfb7_d6a8cce7faaa" hidden="1">#REF!</definedName>
    <definedName name="TBb7d19c7c_bcfa_4cc4_bf0a_47de8ae37573" hidden="1">#REF!</definedName>
    <definedName name="TBb7e4dbb0_3bd1_4af4_9241_ddd9ed079d14" hidden="1">#REF!</definedName>
    <definedName name="TBb7f13c64_74b5_4363_9994_869c7ad4dd65" hidden="1">#REF!</definedName>
    <definedName name="TBb7f3f4f4_aa9b_4fb6_b901_4d62c9fce933" hidden="1">#REF!</definedName>
    <definedName name="TBb7fc1d66_ef08_4741_b221_f0492a56ae4c" hidden="1">#REF!</definedName>
    <definedName name="TBb7ff8f71_1983_4850_a5c5_5616787bfad5" hidden="1">#REF!</definedName>
    <definedName name="TBb8071222_4040_4bb1_98ba_8f92a315b439" hidden="1">#REF!</definedName>
    <definedName name="TBb808d71f_69cc_4c3c_92ea_12e43840a294" hidden="1">#REF!</definedName>
    <definedName name="TBb80924ba_b72b_4785_a369_8a655b4529e1" hidden="1">#REF!</definedName>
    <definedName name="TBb80b6897_07b5_46c3_a386_4c40779ea311" hidden="1">#REF!</definedName>
    <definedName name="TBb81686df_41e6_4259_aa88_84941edfe250" hidden="1">#REF!</definedName>
    <definedName name="TBb83b6f20_0134_42d6_a929_79290e8a6886" hidden="1">#REF!</definedName>
    <definedName name="TBb8506815_be20_402c_9f3f_8235558f5856" hidden="1">#REF!</definedName>
    <definedName name="TBb8530f10_ba8e_48ba_8f27_8d24be89b69d" hidden="1">#REF!</definedName>
    <definedName name="TBb8633285_a895_47ed_aae4_60eb536289c9" hidden="1">#REF!</definedName>
    <definedName name="TBb869bd68_cccc_4b96_a84c_f1a8b05059ae" hidden="1">#REF!</definedName>
    <definedName name="TBb86ff61f_db64_4ecd_8524_f82492853591" hidden="1">#REF!</definedName>
    <definedName name="TBb87c6f55_5f64_44a9_b918_5aaed6613551" hidden="1">#REF!</definedName>
    <definedName name="TBb87e1bcd_8814_42ce_aaeb_eccb2837d874" hidden="1">#REF!</definedName>
    <definedName name="TBb88c55f4_64df_46cd_85cf_f114b7d0efab" hidden="1">#REF!</definedName>
    <definedName name="TBb88d93d9_efad_4b18_83a7_9f163c15604f" hidden="1">#REF!</definedName>
    <definedName name="TBb89aec2d_8c0f_4005_90c1_596c0f93d42f" hidden="1">#REF!</definedName>
    <definedName name="TBb8d84a59_9893_4050_9735_b3dd5587f3f8" hidden="1">#REF!</definedName>
    <definedName name="TBb8db78f3_e684_4ad7_9594_cd60cbc19a44" hidden="1">#REF!</definedName>
    <definedName name="TBb8e0399b_8ddc_4c8b_b254_40575f1a0c80" hidden="1">#REF!</definedName>
    <definedName name="TBb8e4ec92_8e81_4a9d_af11_00bdf59da512" hidden="1">#REF!</definedName>
    <definedName name="TBb8eb1547_ead5_4a0f_991e_93434495efc0" hidden="1">#REF!</definedName>
    <definedName name="TBb8edbe74_c1d7_403c_9ea9_a091995c3c53" hidden="1">#REF!</definedName>
    <definedName name="TBb8f40363_4d0b_4b8d_94d9_5ed38c87a24c" hidden="1">#REF!</definedName>
    <definedName name="TBb8fe3553_af1b_43d9_bc7f_6921775e120a" hidden="1">#REF!</definedName>
    <definedName name="TBb9036705_8c28_4992_984d_bc6a1ea4e382" hidden="1">#REF!</definedName>
    <definedName name="TBb9049128_d5bf_4e74_b6f2_0a8b79d56a40" hidden="1">#REF!</definedName>
    <definedName name="TBb90c0577_2584_4e66_98e0_c8d91aaf0cd7" hidden="1">#REF!</definedName>
    <definedName name="TBb91540ab_8be0_4ee7_a258_1fae3f0ba073" hidden="1">#REF!</definedName>
    <definedName name="TBb91aeb5f_9a1f_46d6_ba17_d09ffda317bc" hidden="1">#REF!</definedName>
    <definedName name="TBb91eec9e_1cd6_459d_85a0_3793c400896b" hidden="1">#REF!</definedName>
    <definedName name="TBb922699b_9dd8_41d8_a34b_037e37d9f685" hidden="1">#REF!</definedName>
    <definedName name="TBb92bfc6d_5ff8_41d8_be8f_5e2af07b962a" hidden="1">#REF!</definedName>
    <definedName name="TBb95b6db0_43f0_4baa_8c5b_7db702a9e2ff" hidden="1">#REF!</definedName>
    <definedName name="TBb974c82f_c0d9_4ca2_a150_162d3ea8ee5b" hidden="1">#REF!</definedName>
    <definedName name="TBb981a4c1_0992_4ef9_8b80_0164bcb745c9" hidden="1">#REF!</definedName>
    <definedName name="TBb9821d3f_3843_4f66_bfc6_20c5cc2bc091" hidden="1">#REF!</definedName>
    <definedName name="TBb983ff8f_96a6_4340_a89a_854824c7ed36" hidden="1">#REF!</definedName>
    <definedName name="TBb98c2faa_09c5_4e1a_8314_b71b2a5d2f41" hidden="1">#REF!</definedName>
    <definedName name="TBb99166b5_2045_4c9a_b776_134ec92ecfa0" hidden="1">#REF!</definedName>
    <definedName name="TBb991be01_5fda_4352_94c1_cbe0e0faf411" hidden="1">#REF!</definedName>
    <definedName name="TBb9ad8766_6455_4e58_9e21_2b0e438eac26" hidden="1">#REF!</definedName>
    <definedName name="TBb9b211ab_4c2c_42c4_abf9_244c790ce173" hidden="1">#REF!</definedName>
    <definedName name="TBb9bc2b02_9228_4404_a985_25d79f30035b" hidden="1">#REF!</definedName>
    <definedName name="TBb9bf44f9_dfe4_44f1_9d7e_f59078e150d3" hidden="1">#REF!</definedName>
    <definedName name="TBb9c0e564_41e9_4dfb_8d8c_ae5ca2aa84c8" hidden="1">#REF!</definedName>
    <definedName name="TBb9c3ec1d_516c_4248_a57a_61a0dafcbfa2" hidden="1">#REF!</definedName>
    <definedName name="TBb9cf6a37_affa_4783_95b3_dd801e1f7831" hidden="1">#REF!</definedName>
    <definedName name="TBb9cf8cce_22d1_4a79_afdb_d42cbfe016d4" hidden="1">#REF!</definedName>
    <definedName name="TBb9d9e80d_0bc1_4816_bea4_e5820f45447b" hidden="1">#REF!</definedName>
    <definedName name="TBb9e22fb2_3151_4c7b_82ee_6e2121f0359d" hidden="1">#REF!</definedName>
    <definedName name="TBb9e6dd95_3fca_4fda_b95c_499999bbffbd" hidden="1">#REF!</definedName>
    <definedName name="TBb9ed67c4_4810_42be_9842_3c8c1b957aee" hidden="1">#REF!</definedName>
    <definedName name="TBba0db76f_8d27_43b1_94cb_d62f8bd913cc" hidden="1">#REF!</definedName>
    <definedName name="TBba0fc6e2_9011_40fa_8561_edf82029ee54" hidden="1">#REF!</definedName>
    <definedName name="TBba18ac7d_99c8_4217_8a54_66b0c4372d60" hidden="1">#REF!</definedName>
    <definedName name="TBba38fcac_e225_4eb6_985e_7cea55f3ca1c" hidden="1">#REF!</definedName>
    <definedName name="TBba3fb37b_e7da_4096_a4fc_7f02888374fd" hidden="1">#REF!</definedName>
    <definedName name="TBba430c29_c368_4824_8be4_6d0e91a8b48e" hidden="1">#REF!</definedName>
    <definedName name="TBba43753a_f98f_4b19_a299_9f636148c38d" hidden="1">#REF!</definedName>
    <definedName name="TBba5636af_d843_4314_a55d_581fdd48d37f" hidden="1">#REF!</definedName>
    <definedName name="TBba588183_5485_4f0e_8d95_708cb300186a" hidden="1">#REF!</definedName>
    <definedName name="TBba5fed00_b13b_41fb_ad2f_2707c64d0d28" hidden="1">#REF!</definedName>
    <definedName name="TBba66169c_12df_46cb_94a4_37463a9050bf" hidden="1">#REF!</definedName>
    <definedName name="TBba756c70_3add_4b1e_bddd_d4dde444c0fb" hidden="1">#REF!</definedName>
    <definedName name="TBba807a85_5c94_4551_ba70_25e8fa1643fd" hidden="1">#REF!</definedName>
    <definedName name="TBba83a396_d882_4b37_9e84_2ba3fc408da1" hidden="1">#REF!</definedName>
    <definedName name="TBba86dcc2_9023_4161_8472_85019ac11d0c" hidden="1">#REF!</definedName>
    <definedName name="TBba9c2e85_3422_424d_a568_839162e47de3" hidden="1">#REF!</definedName>
    <definedName name="TBbaaf273b_0937_4e10_bfde_f38c30c46796" hidden="1">#REF!</definedName>
    <definedName name="TBbabd8b25_1892_47ae_980c_32ab126bfaa2" hidden="1">#REF!</definedName>
    <definedName name="TBbabecef1_68ec_4f38_a991_7fc5f1022036" hidden="1">#REF!</definedName>
    <definedName name="TBbac181fa_e87f_4abf_82a4_24739a230779" hidden="1">#REF!</definedName>
    <definedName name="TBbad59568_2a27_49b2_8d17_f928fa8f3a04" hidden="1">#REF!</definedName>
    <definedName name="TBbadf311a_e380_4ffb_977a_0615552b2d58" hidden="1">#REF!</definedName>
    <definedName name="TBbae3ba95_9b81_49b2_90c2_14de05240327" hidden="1">#REF!</definedName>
    <definedName name="TBbaeba86e_4e67_48f6_8620_886725ef979a" hidden="1">#REF!</definedName>
    <definedName name="TBbb119330_ea7b_4931_8be5_26cb517d56d5" hidden="1">#REF!</definedName>
    <definedName name="TBbb19968c_1475_4bd2_b317_9c5d92edf2cd" hidden="1">#REF!</definedName>
    <definedName name="TBbb26df61_ec74_4e1a_823a_d25e2d39814a" hidden="1">#REF!</definedName>
    <definedName name="TBbb2c0554_81ae_4d38_be48_b5ad9bd01bdb" hidden="1">#REF!</definedName>
    <definedName name="TBbb31f8a4_7115_4afd_8623_ce470322520b" hidden="1">#REF!</definedName>
    <definedName name="TBbb32aa54_b3b3_466f_8a72_34602a49fce5" hidden="1">#REF!</definedName>
    <definedName name="TBbb3f312c_fb42_434d_ab0e_941332ee0413" hidden="1">#REF!</definedName>
    <definedName name="TBbb3f3712_c43c_49a8_b018_67c8297357b6" hidden="1">#REF!</definedName>
    <definedName name="TBbb4ba03f_4375_466a_8c67_6dd99853d02c" hidden="1">#REF!</definedName>
    <definedName name="TBbb4e7a89_7648_4f69_a19f_445a130aa78b" hidden="1">#REF!</definedName>
    <definedName name="TBbb56c135_ee27_4875_a36c_06596d8ecc85" hidden="1">#REF!</definedName>
    <definedName name="TBbb6627c6_48b2_4637_b616_784a54d32faa" hidden="1">#REF!</definedName>
    <definedName name="TBbb66fb1a_f5fd_4073_930c_f147f8d93929" hidden="1">#REF!</definedName>
    <definedName name="TBbb6954d7_ce8b_4d79_a194_6ba76fcffcf0" hidden="1">#REF!</definedName>
    <definedName name="TBbb69e885_a7c3_43bf_90a4_9d8575e845d8" hidden="1">#REF!</definedName>
    <definedName name="TBbb72f60f_a652_45e5_a917_5c950e011dce" hidden="1">#REF!</definedName>
    <definedName name="TBbb8c2309_6711_4183_b5b4_28f74e764691" hidden="1">#REF!</definedName>
    <definedName name="TBbb8f79d2_8f9f_4609_98ce_36fce4e8e63d" hidden="1">#REF!</definedName>
    <definedName name="TBbb987d5f_9ed0_4c5d_86a7_e0ae4a5c8a8e" hidden="1">#REF!</definedName>
    <definedName name="TBbb9e7f60_d3fa_4dfe_9996_f4d6f0f4cbad" hidden="1">#REF!</definedName>
    <definedName name="TBbba08960_0000_430d_b876_d26ddd82b467" hidden="1">#REF!</definedName>
    <definedName name="TBbba9c092_56a1_4d6d_9b0c_b360425eecc6" hidden="1">#REF!</definedName>
    <definedName name="TBbbb184d7_e438_4390_9d2f_f6462398d71c" hidden="1">#REF!</definedName>
    <definedName name="TBbbbb31f4_90b6_4d68_a716_378d1570f1fb" hidden="1">#REF!</definedName>
    <definedName name="TBbbbd49b2_705f_427c_8f9a_a0d0e918c28c" hidden="1">#REF!</definedName>
    <definedName name="TBbbbdaf42_c556_420a_948f_3e1a25d5b262" hidden="1">#REF!</definedName>
    <definedName name="TBbbc4e347_9906_4552_ac68_ae3363db5279" hidden="1">#REF!</definedName>
    <definedName name="TBbbc85820_bb2a_4863_a074_53d37c67ee0b" hidden="1">#REF!</definedName>
    <definedName name="TBbbe80151_9059_4fba_90d5_7ce22b3ed4d1" hidden="1">#REF!</definedName>
    <definedName name="TBbbe8bff4_df62_477c_b630_8f0267831f6f" hidden="1">#REF!</definedName>
    <definedName name="TBbc02347a_a241_40b5_944e_8c9c269a2ebb" hidden="1">#REF!</definedName>
    <definedName name="TBbc09edc7_deed_4188_8179_c2b9038bd5fa" hidden="1">#REF!</definedName>
    <definedName name="TBbc0d31e2_437c_451c_afbe_d80ac7444179" hidden="1">#REF!</definedName>
    <definedName name="TBbc1d2c1a_c867_4dcd_bf41_6685220f1a2e" hidden="1">#REF!</definedName>
    <definedName name="TBbc2d9109_bb30_43fa_a991_e4c1412ba2f3" hidden="1">#REF!</definedName>
    <definedName name="TBbc30c4d8_c62a_458d_abfb_9092d5ab5759" hidden="1">#REF!</definedName>
    <definedName name="TBbc37cb4e_1fe2_4fc6_8155_baf047956266" hidden="1">#REF!</definedName>
    <definedName name="TBbc437820_1eec_4320_88c3_249e63189947" hidden="1">#REF!</definedName>
    <definedName name="TBbc48a600_589f_48bc_b55d_b6e8e0b23268" hidden="1">#REF!</definedName>
    <definedName name="TBbc5184f9_655a_4dd4_949d_52a6901c2908" hidden="1">#REF!</definedName>
    <definedName name="TBbc5f0a33_56bd_442f_83a5_0aca1abf2297" hidden="1">#REF!</definedName>
    <definedName name="TBbc611684_4aee_4466_b47f_5f16d25a1824" hidden="1">#REF!</definedName>
    <definedName name="TBbc62cf0a_9867_4d08_9ce5_fb1c350fcd63" hidden="1">#REF!</definedName>
    <definedName name="TBbc8996d1_ff17_49eb_a3b8_cefc49d4fd3c" hidden="1">#REF!</definedName>
    <definedName name="TBbc9aaaf5_aefd_45d4_b24f_90fc250789be" hidden="1">#REF!</definedName>
    <definedName name="TBbc9d2f85_9045_40a9_ae55_f047ec291a7e" hidden="1">#REF!</definedName>
    <definedName name="TBbc9de01d_b8d4_4a15_b048_d22121f3c9e8" hidden="1">#REF!</definedName>
    <definedName name="TBbcabdca9_5b51_4650_9c47_ec8415950155" hidden="1">#REF!</definedName>
    <definedName name="TBbcb55127_6745_4f15_9cf7_1b8229a7f463" hidden="1">#REF!</definedName>
    <definedName name="TBbcba9417_f1f4_4fe7_aa25_ec2c6ecc9f36" hidden="1">#REF!</definedName>
    <definedName name="TBbcbc9b24_bd61_4e96_9626_ff07426f05c5" hidden="1">#REF!</definedName>
    <definedName name="TBbcbdca14_fd66_4f71_85f5_9ea3b3b1acc6" hidden="1">#REF!</definedName>
    <definedName name="TBbcc90fce_9102_43a7_b73c_963063d28f56" hidden="1">#REF!</definedName>
    <definedName name="TBbcc94c3f_7201_4768_981f_32a1763baf09" hidden="1">#REF!</definedName>
    <definedName name="TBbccd78a9_a22e_426f_b5d4_c2afe04b332a" hidden="1">#REF!</definedName>
    <definedName name="TBbceee9ae_c4a1_4eb8_b87d_f061fe15656c" hidden="1">#REF!</definedName>
    <definedName name="TBbcf290a3_6455_4b25_8624_fd2952f36003" hidden="1">#REF!</definedName>
    <definedName name="TBbd0177c7_d9ec_4ca0_b4e3_df5edc31fd73" hidden="1">#REF!</definedName>
    <definedName name="TBbd124aaa_e303_4265_beff_667956c4a031" hidden="1">#REF!</definedName>
    <definedName name="TBbd149f09_ea7b_462a_aef0_5dd86087fd74" hidden="1">#REF!</definedName>
    <definedName name="TBbd1d3fcb_e579_45e3_bac5_b188bea29577" hidden="1">#REF!</definedName>
    <definedName name="TBbd2af30e_0662_46eb_a894_1c722ec5ad19" hidden="1">#REF!</definedName>
    <definedName name="TBbd2d8c15_7f32_46d4_96e3_377327348db0" hidden="1">#REF!</definedName>
    <definedName name="TBbd3b8870_16f9_4f0c_b44f_58c1455ec1eb" hidden="1">#REF!</definedName>
    <definedName name="TBbd4cff9b_6a5f_4f7c_bced_ad2b11592dd5" hidden="1">#REF!</definedName>
    <definedName name="TBbd501741_a277_41d9_8216_9911d77b17c1" hidden="1">#REF!</definedName>
    <definedName name="TBbd6973f0_3a83_49f5_adad_0d591d16841e" hidden="1">#REF!</definedName>
    <definedName name="TBbd6ee2dd_dd03_4663_8b48_673a10a2a62e" hidden="1">#REF!</definedName>
    <definedName name="TBbd72d241_c95a_4b7a_9016_2424a65807d2" hidden="1">#REF!</definedName>
    <definedName name="TBbd7ce7d5_95ba_4e80_9c47_32967f71721f" hidden="1">#REF!</definedName>
    <definedName name="TBbd897d3f_6d08_4a81_aa69_1c4df6ce2ab7" hidden="1">#REF!</definedName>
    <definedName name="TBbd935ef2_b045_47c4_9ca6_77184d3f4451" hidden="1">#REF!</definedName>
    <definedName name="TBbd9b343d_f5bf_4e52_b126_742a3eddc383" hidden="1">#REF!</definedName>
    <definedName name="TBbda66ee5_63ec_416b_a160_9fd5ddbd9094" hidden="1">#REF!</definedName>
    <definedName name="TBbdaf6c81_320a_40aa_9822_88eddbe30248" hidden="1">#REF!</definedName>
    <definedName name="TBbdc4e36e_4024_4d5b_bb16_a32fd7071b12" hidden="1">#REF!</definedName>
    <definedName name="TBbdccd259_51e7_4b8b_a5ba_dabe93c74d54" hidden="1">#REF!</definedName>
    <definedName name="TBbdd25852_1513_4a2b_b9df_f39e66567495" hidden="1">#REF!</definedName>
    <definedName name="TBbdd4f856_3fc6_40aa_a2ac_5b5b11e9444b" hidden="1">#REF!</definedName>
    <definedName name="TBbdd5f5fb_1463_4d56_aa76_9b4b7b5c8d7e" hidden="1">#REF!</definedName>
    <definedName name="TBbdd6555a_67ba_4c78_bc00_f8e1faa30a30" hidden="1">#REF!</definedName>
    <definedName name="TBbdd8ca75_8f90_4e30_9b47_a6c1e40e5074" hidden="1">#REF!</definedName>
    <definedName name="TBbde14cd6_74a3_4a7e_a448_b61375115ef4" hidden="1">#REF!</definedName>
    <definedName name="TBbde74ac3_eeef_4667_9d53_d9aaffc2fc64" hidden="1">#REF!</definedName>
    <definedName name="TBbdfb46ed_f594_46a0_b4e9_af50aed0e37b" hidden="1">#REF!</definedName>
    <definedName name="TBbe0121af_a39d_4aba_bb25_4b2f1745012d" hidden="1">#REF!</definedName>
    <definedName name="TBbe193876_fe0f_499c_9aaa_3d4e0b1628e6" hidden="1">#REF!</definedName>
    <definedName name="TBbe21579b_00c1_4b5e_bd04_6d4fe9014d49" hidden="1">#REF!</definedName>
    <definedName name="TBbe236da9_4764_498e_984d_e98515c69d1b" hidden="1">#REF!</definedName>
    <definedName name="TBbe244ca5_4d87_494e_9fb6_2bc9d310e5ae" hidden="1">#REF!</definedName>
    <definedName name="TBbe35c65d_8183_4b70_8290_31e6a722955f" hidden="1">#REF!</definedName>
    <definedName name="TBbe43acad_085a_4bd1_98af_fe29c697da8e" hidden="1">#REF!</definedName>
    <definedName name="TBbe4a3339_fc7f_4b41_9ade_e0842c2be2a1" hidden="1">#REF!</definedName>
    <definedName name="TBbe524c64_0ce1_42d6_afec_3982f87c536b" hidden="1">#REF!</definedName>
    <definedName name="TBbe6116a6_f068_4c34_9354_cc70838fd1d5" hidden="1">#REF!</definedName>
    <definedName name="TBbe7069ae_5d5a_4e9c_8afe_30953c938073" hidden="1">#REF!</definedName>
    <definedName name="TBbe74b733_66b9_4329_986b_659e467b34da" hidden="1">#REF!</definedName>
    <definedName name="TBbe80da0f_0496_4720_8837_8951cf27abfd" hidden="1">#REF!</definedName>
    <definedName name="TBbea522bb_7da5_42c7_8847_d30dcd2522de" hidden="1">#REF!</definedName>
    <definedName name="TBbea53ef6_035f_4008_a799_39652dad0f77" hidden="1">#REF!</definedName>
    <definedName name="TBbeb6c23f_d9e0_4a65_9e7d_a4830db6f106" hidden="1">#REF!</definedName>
    <definedName name="TBbebdd61e_d5ed_4070_ab0f_df76f7facdcd" hidden="1">#REF!</definedName>
    <definedName name="TBbec87771_e8df_421f_9d33_dc113919acb7" hidden="1">#REF!</definedName>
    <definedName name="TBbed2c2ed_7e21_4c0c_9f4c_e43311c33930" hidden="1">#REF!</definedName>
    <definedName name="TBbed74810_e41c_4644_9a73_7fcd3d772c90" hidden="1">#REF!</definedName>
    <definedName name="TBbee398ac_9c7a_46eb_b938_30dcffbf5f40" hidden="1">#REF!</definedName>
    <definedName name="TBbf0f7066_d268_4a48_9a47_5aa858d31fbf" hidden="1">#REF!</definedName>
    <definedName name="TBbf1f824c_0164_47e8_9645_f9be1b105370" hidden="1">#REF!</definedName>
    <definedName name="TBbf1fd413_f539_4fb2_b3b6_a6ceeb65cc08" hidden="1">#REF!</definedName>
    <definedName name="TBbf2984ec_d666_477f_942e_e989bd9e46a4" hidden="1">#REF!</definedName>
    <definedName name="TBbf2bb676_d9ee_4482_a565_90cb2a7897c6" hidden="1">#REF!</definedName>
    <definedName name="TBbf2eb5c9_8abd_45e0_ac9b_912becc384b6" hidden="1">#REF!</definedName>
    <definedName name="TBbf32514b_25ff_489d_9a40_5f033334eb38" hidden="1">#REF!</definedName>
    <definedName name="TBbf3f1a29_399b_441e_81bb_6df47e03924b" hidden="1">#REF!</definedName>
    <definedName name="TBbf4ce320_e84e_4bc8_ab39_3d83818adbee" hidden="1">#REF!</definedName>
    <definedName name="TBbf54d72d_a496_4759_813e_0c398ebdfaca" hidden="1">#REF!</definedName>
    <definedName name="TBbf5711fc_3780_4582_bae7_93a81c7064a8" hidden="1">#REF!</definedName>
    <definedName name="TBbf5bb103_2fce_4860_8e0f_e1adea3fbbc6" hidden="1">#REF!</definedName>
    <definedName name="TBbf612bea_1c0f_47d0_bcf8_bd77109d8ba7" hidden="1">#REF!</definedName>
    <definedName name="TBbf671d5c_53e3_4412_83be_f3817fb30751" hidden="1">#REF!</definedName>
    <definedName name="TBbf70dcde_bab7_4af8_bb0b_de8589f919ba" hidden="1">#REF!</definedName>
    <definedName name="TBbf733375_8c01_46bb_a179_c2df15ba6b7d" hidden="1">#REF!</definedName>
    <definedName name="TBbf80a2b6_8083_4949_9b2a_8df897b9b3b4" hidden="1">#REF!</definedName>
    <definedName name="TBbf819ac2_0989_4106_a5ea_9ca72d7a0bc5" hidden="1">#REF!</definedName>
    <definedName name="TBbf84ee8f_05f6_4715_900f_38aa1915208e" hidden="1">#REF!</definedName>
    <definedName name="TBbf96185c_5c7c_4170_8609_f057ca20bcee" hidden="1">#REF!</definedName>
    <definedName name="TBbf9b3d7a_10b4_4445_8866_4aff945ba7f5" hidden="1">#REF!</definedName>
    <definedName name="TBbfa07739_1943_4a0d_a00f_01f4dc7881d5" hidden="1">#REF!</definedName>
    <definedName name="TBbfb96343_513b_4411_968d_547fe780210e" hidden="1">#REF!</definedName>
    <definedName name="TBbfbebb67_c44d_4aab_a9b1_392e17addeab" hidden="1">#REF!</definedName>
    <definedName name="TBbfcfcfba_d150_4802_811b_6fc6d84f1c37" hidden="1">#REF!</definedName>
    <definedName name="TBbfdd9d6e_bd5d_491a_9d2f_749fabe6696d" hidden="1">#REF!</definedName>
    <definedName name="TBbfe4982a_fe01_4e27_9bed_52950540ef47" hidden="1">#REF!</definedName>
    <definedName name="TBbfeeba63_47d8_40da_ba78_fc9ec18554d2" hidden="1">#REF!</definedName>
    <definedName name="TBbffb2922_b12f_4d1f_be56_b3f80ec021a8" hidden="1">#REF!</definedName>
    <definedName name="TBbffbf265_4883_44e2_95ed_21aaa49d7a20" hidden="1">#REF!</definedName>
    <definedName name="TBbffeb13a_1ecb_43f8_8eb5_121f56e72f37" hidden="1">#REF!</definedName>
    <definedName name="TBc006de63_c44b_416a_9eb0_4e18c4f8e091" hidden="1">#REF!</definedName>
    <definedName name="TBc0176a22_cf51_4578_b4c5_d045d9b5eb42" hidden="1">#REF!</definedName>
    <definedName name="TBc0184617_4bff_425c_8a35_7797fe86dd99" hidden="1">#REF!</definedName>
    <definedName name="TBc01afec2_5f8c_43ab_ab62_ac07d06932c1" hidden="1">#REF!</definedName>
    <definedName name="TBc01eff30_6eb7_462f_8459_5c4e07768e25" hidden="1">#REF!</definedName>
    <definedName name="TBc027f9d7_1950_4adc_a36a_4ce277f54883" hidden="1">#REF!</definedName>
    <definedName name="TBc0280f2d_a91e_4350_a75f_ba378be88530" hidden="1">#REF!</definedName>
    <definedName name="TBc02973ab_8079_4bf6_833e_893dfdbd50a1" hidden="1">#REF!</definedName>
    <definedName name="TBc0354b73_9e9d_4f8a_9df5_8958f8c740ba" hidden="1">#REF!</definedName>
    <definedName name="TBc03aa361_c130_4805_83b4_179ce9f1f319" hidden="1">#REF!</definedName>
    <definedName name="TBc046b7ab_b128_4fdf_9121_851184032c38" hidden="1">#REF!</definedName>
    <definedName name="TBc054d25d_a3da_4bb4_bc13_77f662bf6e58" hidden="1">#REF!</definedName>
    <definedName name="TBc05af3e2_aa2b_4cd2_9439_497605a6a29c" hidden="1">#REF!</definedName>
    <definedName name="TBc05d1e0c_ba55_412d_aebc_719605db507f" hidden="1">#REF!</definedName>
    <definedName name="TBc05fcaa3_d2cb_464d_9580_546176314fc5" hidden="1">#REF!</definedName>
    <definedName name="TBc060efe0_65c9_4f59_883d_5005e700215e" hidden="1">#REF!</definedName>
    <definedName name="TBc069e970_76af_4045_86af_328d5a56a432" hidden="1">#REF!</definedName>
    <definedName name="TBc07e7d07_e1fb_4b71_a425_16cf42e3001a" hidden="1">#REF!</definedName>
    <definedName name="TBc08f9e1e_3c78_449f_8c88_c8f3099388eb" hidden="1">#REF!</definedName>
    <definedName name="TBc0aae124_77c2_4fae_b577_f3b04828645a" hidden="1">#REF!</definedName>
    <definedName name="TBc0b176d9_90ad_4528_a395_4edcd9017c2b" hidden="1">#REF!</definedName>
    <definedName name="TBc0b39e1c_cb19_4162_bd56_e3794e27880b" hidden="1">#REF!</definedName>
    <definedName name="TBc0cd6a73_8441_483f_b153_8313daee47ee" hidden="1">#REF!</definedName>
    <definedName name="TBc0d67914_e025_4f6a_9ddd_3551ea5b4caf" hidden="1">#REF!</definedName>
    <definedName name="TBc0d79723_a3c6_445b_9505_a898ef7bef89" hidden="1">#REF!</definedName>
    <definedName name="TBc0e159eb_33c1_41c3_a472_069699654a63" hidden="1">#REF!</definedName>
    <definedName name="TBc0e77722_e234_435c_8bd8_fa390ce4c3cd" hidden="1">#REF!</definedName>
    <definedName name="TBc0f00364_12fe_4b4c_9f2c_d42fe7eaaef4" hidden="1">#REF!</definedName>
    <definedName name="TBc0fb9f8b_7887_4d05_97c7_16a878b1bd1d" hidden="1">#REF!</definedName>
    <definedName name="TBc10bc61a_0bfc_4555_b59a_8ea223300ffe" hidden="1">#REF!</definedName>
    <definedName name="TBc115777d_f12b_45a9_bee3_ebca99a912ba" hidden="1">#REF!</definedName>
    <definedName name="TBc11fc65a_b99a_43f7_aac1_9622ba5dcc91" hidden="1">#REF!</definedName>
    <definedName name="TBc1251d34_0160_42ae_ba37_221a2ffccf46" hidden="1">#REF!</definedName>
    <definedName name="TBc1371e28_111b_413e_ba78_72c56bcd6a35" hidden="1">#REF!</definedName>
    <definedName name="TBc13d8be7_393f_400a_b684_e5c875f933a4" hidden="1">#REF!</definedName>
    <definedName name="TBc147ce3d_eb6e_4b56_8bff_f01c14491b1e" hidden="1">#REF!</definedName>
    <definedName name="TBc14b95a5_7319_4925_8567_472ae4d97656" hidden="1">#REF!</definedName>
    <definedName name="TBc151785d_a911_4c4d_a167_38fe7e187bc9" hidden="1">#REF!</definedName>
    <definedName name="TBc1764737_e1f7_44b3_9108_cc5d9dde8835" hidden="1">#REF!</definedName>
    <definedName name="TBc186216b_16d6_4b89_8d27_2620598b3064" hidden="1">#REF!</definedName>
    <definedName name="TBc186e573_53a0_436e_9f30_898dba0bb37f" hidden="1">#REF!</definedName>
    <definedName name="TBc1965b07_2fe3_4696_b379_34789a2f0a09" hidden="1">#REF!</definedName>
    <definedName name="TBc1a4bfd2_662c_442c_89a8_e4d7982b8829" hidden="1">#REF!</definedName>
    <definedName name="TBc1b018bc_1296_44c4_9964_c10562157901" hidden="1">#REF!</definedName>
    <definedName name="TBc1c0da38_7991_4dbf_9865_2926c1ebbed6" hidden="1">#REF!</definedName>
    <definedName name="TBc1c2025e_8462_4016_b5e4_c1170e29a0b8" hidden="1">#REF!</definedName>
    <definedName name="TBc1d67d7f_22ef_4da1_81d1_c0afe8a2fd06" hidden="1">#REF!</definedName>
    <definedName name="TBc1d7b3d1_97d3_4d7d_8ece_2b6e9410f4f8" hidden="1">#REF!</definedName>
    <definedName name="TBc1d7bdc1_c026_4f84_8cf1_a073f5a4306f" hidden="1">#REF!</definedName>
    <definedName name="TBc1dea276_1973_4930_a167_0d973fbf01f5" hidden="1">#REF!</definedName>
    <definedName name="TBc1e0eb1b_bbf4_4685_a31d_251fe0605404" hidden="1">#REF!</definedName>
    <definedName name="TBc1ef83eb_20d8_4372_91ae_3dad65f85166" hidden="1">#REF!</definedName>
    <definedName name="TBc1f10481_2893_440d_b385_dd547089359b" hidden="1">#REF!</definedName>
    <definedName name="TBc1f763a1_4a10_4881_b351_fa496e38e642" hidden="1">#REF!</definedName>
    <definedName name="TBc201d4ac_c81d_4092_b0b0_5bd9aaea3302" hidden="1">#REF!</definedName>
    <definedName name="TBc2058ef6_40de_4fe8_ad0b_4d8d7668ea13" hidden="1">#REF!</definedName>
    <definedName name="TBc212aabf_4118_42a5_bede_ffb73def9dad" hidden="1">#REF!</definedName>
    <definedName name="TBc2142228_2f33_49dd_8d03_40c863680c74" hidden="1">#REF!</definedName>
    <definedName name="TBc21bed33_5afd_4cbd_8f19_9c1897ca2f94" hidden="1">#REF!</definedName>
    <definedName name="TBc22899fa_3a29_44f6_af03_044824d45a17" hidden="1">#REF!</definedName>
    <definedName name="TBc228a598_b567_40bc_8c5b_4ab1eee99b09" hidden="1">#REF!</definedName>
    <definedName name="TBc22c7116_0f5a_41f6_8394_fe844248b89d" hidden="1">#REF!</definedName>
    <definedName name="TBc2313bcd_7ecb_4e21_a712_ce3bffcbb290" hidden="1">#REF!</definedName>
    <definedName name="TBc233ac19_7e4f_4430_9ba8_856f7e06f45a" hidden="1">#REF!</definedName>
    <definedName name="TBc233d8e1_800d_43f8_8960_65beca674e8a" hidden="1">#REF!</definedName>
    <definedName name="TBc2355479_ac49_450b_b125_09b5a9d696e5" hidden="1">#REF!</definedName>
    <definedName name="TBc2435ad2_071f_4086_802b_c86355228c99" hidden="1">#REF!</definedName>
    <definedName name="TBc24900dd_cb33_4126_a145_266aa88995cc" hidden="1">#REF!</definedName>
    <definedName name="TBc24b7788_6686_4634_a59a_9f3881bd1753" hidden="1">#REF!</definedName>
    <definedName name="TBc25c7aeb_97d6_40eb_96af_01507c0664fb" hidden="1">#REF!</definedName>
    <definedName name="TBc2697ed8_9ea4_464a_bf91_5943b0e23fb6" hidden="1">#REF!</definedName>
    <definedName name="TBc278589a_f003_46bf_a73a_687db3a21568" hidden="1">#REF!</definedName>
    <definedName name="TBc2886e8d_9581_40ba_8942_e2e933fe08af" hidden="1">#REF!</definedName>
    <definedName name="TBc2932a5e_177f_4666_8371_b6446de33034" hidden="1">#REF!</definedName>
    <definedName name="TBc29c89bd_4eeb_4890_9a82_4e4abea80f80" hidden="1">#REF!</definedName>
    <definedName name="TBc29f4958_2862_4193_9c8b_401d5a00c227" hidden="1">#REF!</definedName>
    <definedName name="TBc2a57ce8_0cec_451e_99ca_37af52f03ae0" hidden="1">#REF!</definedName>
    <definedName name="TBc2c96e99_6439_4632_ac05_c88b5a419ba9" hidden="1">#REF!</definedName>
    <definedName name="TBc2d4edaa_eb03_4e4a_8711_cbd9b259ba3f" hidden="1">#REF!</definedName>
    <definedName name="TBc2d7da52_d31a_4d85_9900_76d697dcf1cf" hidden="1">#REF!</definedName>
    <definedName name="TBc2e65491_3e83_4f83_913c_8ddc3df9a33b" hidden="1">#REF!</definedName>
    <definedName name="TBc2e65fa6_7428_4a80_a30b_4b32d69e299b" hidden="1">#REF!</definedName>
    <definedName name="TBc2f22123_d034_4bfb_b283_28a7f85069af" hidden="1">#REF!</definedName>
    <definedName name="TBc3068988_142e_454c_92b3_bad95de01c75" hidden="1">#REF!</definedName>
    <definedName name="TBc3278675_7add_49bc_974d_c292b685666d" hidden="1">#REF!</definedName>
    <definedName name="TBc32e221a_7b9d_4a77_ade4_4866ad42941c" hidden="1">#REF!</definedName>
    <definedName name="TBc34854ac_f669_4452_a538_af0f386bcc50" hidden="1">#REF!</definedName>
    <definedName name="TBc34a91b5_1602_4cb8_ae70_be7abe4ae15d" hidden="1">#REF!</definedName>
    <definedName name="TBc3669f7b_207c_4730_b12d_2d83708e6909" hidden="1">#REF!</definedName>
    <definedName name="TBc36d7461_5ba5_4088_85a2_8d62787fe978" hidden="1">#REF!</definedName>
    <definedName name="TBc383944a_167c_491d_b45e_a7ae92ead896" hidden="1">#REF!</definedName>
    <definedName name="TBc39e1042_f9ec_4170_ae0d_8e58b66bbdda" hidden="1">#REF!</definedName>
    <definedName name="TBc3a417b1_1bdd_4e0a_aff6_44cc1400addb" hidden="1">#REF!</definedName>
    <definedName name="TBc3ab60d6_076e_4096_a3de_a317a242781e" hidden="1">#REF!</definedName>
    <definedName name="TBc3bcef17_e8a6_4156_8341_2523a7bbcba6" hidden="1">#REF!</definedName>
    <definedName name="TBc3c30b25_fd28_482e_b36e_8fee68d87968" hidden="1">#REF!</definedName>
    <definedName name="TBc3c3386b_3b6e_4941_aa95_3409808bfb16" hidden="1">#REF!</definedName>
    <definedName name="TBc3c5970e_5889_4cd5_9871_b77a1a4d7bbe" hidden="1">#REF!</definedName>
    <definedName name="TBc3cb815e_bec7_4e7e_a1db_47c78a1824c4" hidden="1">#REF!</definedName>
    <definedName name="TBc3cea4b2_8525_4867_87d0_e88a28ae8eb0" hidden="1">#REF!</definedName>
    <definedName name="TBc3d07487_25ab_4bdd_9219_d688f30352fa" hidden="1">#REF!</definedName>
    <definedName name="TBc3dee84f_c4c4_420f_b4af_5aa04991b8fa" hidden="1">#REF!</definedName>
    <definedName name="TBc3e04c16_5a5b_4990_8f1e_34ee65eac662" hidden="1">#REF!</definedName>
    <definedName name="TBc3f4c05a_4854_4f34_8600_90b34daaf900" hidden="1">#REF!</definedName>
    <definedName name="TBc412d016_51ef_42e7_878d_61a7d33cf32b" hidden="1">#REF!</definedName>
    <definedName name="TBc4199b64_3231_4c66_955b_56ad2086f497" hidden="1">#REF!</definedName>
    <definedName name="TBc4290561_1072_48f3_981e_9f8f84b606e0" hidden="1">#REF!</definedName>
    <definedName name="TBc42cba1f_f8ca_4b18_b3ca_592aed5e89d7" hidden="1">#REF!</definedName>
    <definedName name="TBc4324434_8671_4c95_bf4f_b9f7d13ba962" hidden="1">#REF!</definedName>
    <definedName name="TBc432d25a_b704_4c9a_be9a_57527f5d700f" hidden="1">#REF!</definedName>
    <definedName name="TBc454487d_0b4e_4fce_b608_269682eb635a" hidden="1">#REF!</definedName>
    <definedName name="TBc45e2825_214e_4de6_86c2_27132babe8a0" hidden="1">#REF!</definedName>
    <definedName name="TBc465d76f_bb9d_4906_842f_d47ceedadd59" hidden="1">#REF!</definedName>
    <definedName name="TBc46d0e9b_f682_43e9_9dba_96d1802384be" hidden="1">#REF!</definedName>
    <definedName name="TBc46e5f38_6d8b_4671_9d78_916ae8a7f5b7" hidden="1">#REF!</definedName>
    <definedName name="TBc471ecd9_da01_4361_a5a8_72795bddbd44" hidden="1">#REF!</definedName>
    <definedName name="TBc47428d6_6a34_4a50_8e3a_dcd9def8f211" hidden="1">#REF!</definedName>
    <definedName name="TBc4764b7a_8099_4f26_a4ec_a90620bfb2e4" hidden="1">#REF!</definedName>
    <definedName name="TBc47ff79b_61aa_4680_ae36_db11ab1d99aa" hidden="1">#REF!</definedName>
    <definedName name="TBc482dc90_372a_4fdc_9fd8_ff0e63404b9d" hidden="1">#REF!</definedName>
    <definedName name="TBc484ad92_56f4_4a34_b8dd_7e80563df005" hidden="1">#REF!</definedName>
    <definedName name="TBc48bc566_03fb_41d5_a782_0c8518b2d6b4" hidden="1">#REF!</definedName>
    <definedName name="TBc4959ad5_cc89_4c3e_ac7e_db400da147c2" hidden="1">#REF!</definedName>
    <definedName name="TBc49fcf7f_7bb4_4896_a57d_60fc705fc14d" hidden="1">#REF!</definedName>
    <definedName name="TBc4a090a4_bebd_49d8_9df5_ac323d399329" hidden="1">#REF!</definedName>
    <definedName name="TBc4a6712b_c12d_465e_b92d_24419e0e6e01" hidden="1">#REF!</definedName>
    <definedName name="TBc4a82e3f_423b_47a1_9354_36d6e921fdac" hidden="1">#REF!</definedName>
    <definedName name="TBc4b09bde_5e00_4a01_9d7b_3d42b2e56608" hidden="1">#REF!</definedName>
    <definedName name="TBc4ca4516_e32b_4d9b_8229_a2a8633e5aba" hidden="1">#REF!</definedName>
    <definedName name="TBc4d4daf7_387a_424f_8ab3_a7dec2f98f8c" hidden="1">#REF!</definedName>
    <definedName name="TBc4db97c5_781e_4d05_be9d_a890b1715f7c" hidden="1">#REF!</definedName>
    <definedName name="TBc4e7d0c6_195f_4b9d_84f2_8c164b0bbae2" hidden="1">#REF!</definedName>
    <definedName name="TBc4e8941b_382f_464b_b3ff_d3fb661030f3" hidden="1">#REF!</definedName>
    <definedName name="TBc4f42bc3_93a4_4059_9a09_8c4525c2c4cd" hidden="1">#REF!</definedName>
    <definedName name="TBc4f5449d_6669_4e28_b53e_4b4ad52b82e3" hidden="1">#REF!</definedName>
    <definedName name="TBc4f9d976_a8d3_4004_86e7_2ac530528897" hidden="1">#REF!</definedName>
    <definedName name="TBc511627e_c0d9_4418_83fb_3ffd68ff6c1b" hidden="1">#REF!</definedName>
    <definedName name="TBc51686fe_13ed_40dd_b68e_54d5d6e1593d" hidden="1">#REF!</definedName>
    <definedName name="TBc51bf8a6_5ec5_497d_bf0e_d1f66339ada1" hidden="1">#REF!</definedName>
    <definedName name="TBc52aa67d_1d57_4a64_8e62_4a27dbdfdc8e" hidden="1">#REF!</definedName>
    <definedName name="TBc52b1a83_225d_445e_b046_1c2aac790890" hidden="1">#REF!</definedName>
    <definedName name="TBc52dedf6_3199_41a9_b064_e55ce2339275" hidden="1">#REF!</definedName>
    <definedName name="TBc53ad652_25f6_4f19_a436_95d87b8891ae" hidden="1">#REF!</definedName>
    <definedName name="TBc544b22b_00ae_4b95_9467_b520a9f7c8a5" hidden="1">#REF!</definedName>
    <definedName name="TBc548edad_2ca7_4e69_9d7d_00ad8afe86c0" hidden="1">#REF!</definedName>
    <definedName name="TBc561ca00_f69c_4153_a3ef_a7adf3609352" hidden="1">#REF!</definedName>
    <definedName name="TBc5623f54_53a5_4897_bb5f_dc374083fed4" hidden="1">#REF!</definedName>
    <definedName name="TBc567e62d_c708_4350_a633_bd99d6ad65e2" hidden="1">#REF!</definedName>
    <definedName name="TBc58628b9_6998_4525_a6ea_d60516aa9e96" hidden="1">#REF!</definedName>
    <definedName name="TBc58e12a8_2452_4960_9bae_66a29b1ae95b" hidden="1">#REF!</definedName>
    <definedName name="TBc598795d_5878_4e74_8d3e_65c2b416d5c3" hidden="1">#REF!</definedName>
    <definedName name="TBc599b528_e508_4fc3_9dbe_48f45ab111ad" hidden="1">#REF!</definedName>
    <definedName name="TBc59dd61d_8ec1_4846_8e81_64175d4d9146" hidden="1">#REF!</definedName>
    <definedName name="TBc5a401a0_9864_4745_9944_b5822f891b52" hidden="1">#REF!</definedName>
    <definedName name="TBc5b2be2e_2745_4041_87e0_216455e66f11" hidden="1">#REF!</definedName>
    <definedName name="TBc5b61f7b_71d2_4c61_b881_d5245090912e" hidden="1">#REF!</definedName>
    <definedName name="TBc5b7d4eb_949f_46a1_b0b7_7f98386afe6b" hidden="1">#REF!</definedName>
    <definedName name="TBc5b9dde1_c662_4919_ada6_205c45780e7a" hidden="1">#REF!</definedName>
    <definedName name="TBc5bcbce8_6c54_4f87_916d_9b6b5fa9c1af" hidden="1">#REF!</definedName>
    <definedName name="TBc5c62633_2f1d_40af_99de_a07ade90373d" hidden="1">#REF!</definedName>
    <definedName name="TBc5cb8788_b741_4828_9a97_c5ac6e077b58" hidden="1">#REF!</definedName>
    <definedName name="TBc5dd658b_f901_48ab_acda_5b7a89602461" hidden="1">#REF!</definedName>
    <definedName name="TBc5e050db_24f6_4194_99cc_3114010efc4f" hidden="1">#REF!</definedName>
    <definedName name="TBc5e3fd75_60b6_440c_ae08_ffcbf953ac72" hidden="1">#REF!</definedName>
    <definedName name="TBc5e6b30e_524c_45da_8b7a_417f10acda33" hidden="1">#REF!</definedName>
    <definedName name="TBc5e8ecd8_cbea_4d87_99b5_65bcd31a2b26" hidden="1">#REF!</definedName>
    <definedName name="TBc5ed7b41_ef7e_40d3_9a23_b57f6ff053a8" hidden="1">#REF!</definedName>
    <definedName name="TBc61600ac_0663_48fa_a9b2_0743397e4276" hidden="1">#REF!</definedName>
    <definedName name="TBc626b6ec_adba_466d_b182_c06763cc2412" hidden="1">#REF!</definedName>
    <definedName name="TBc63a2af0_4ed6_434a_b11c_6c71276d70d4" hidden="1">#REF!</definedName>
    <definedName name="TBc63e8219_4707_4154_a9df_47179a6ece53" hidden="1">#REF!</definedName>
    <definedName name="TBc6449310_edb2_4115_8fe4_64fb378f5a8d" hidden="1">#REF!</definedName>
    <definedName name="TBc65f5a26_80a4_4fa3_a95b_de0bfb0bcd7a" hidden="1">#REF!</definedName>
    <definedName name="TBc672948c_bf5c_4450_8f3b_2caaec3e20c3" hidden="1">#REF!</definedName>
    <definedName name="TBc67dabe6_1569_473b_a7f6_219d95f86fe2" hidden="1">#REF!</definedName>
    <definedName name="TBc69a6b44_35b2_4953_a7c0_462d94fb1445" hidden="1">#REF!</definedName>
    <definedName name="TBc69daba4_3530_4331_8078_7b447481217b" hidden="1">#REF!</definedName>
    <definedName name="TBc69e5d82_bf1b_4c5f_a81e_03a98fa41a81" hidden="1">#REF!</definedName>
    <definedName name="TBc6afffd1_abc9_4af5_aaba_8e09d36c8b0d" hidden="1">#REF!</definedName>
    <definedName name="TBc6c272e1_79a6_4d80_8845_392e4d107ed1" hidden="1">#REF!</definedName>
    <definedName name="TBc6f48904_bbd7_4799_a9d2_febada400162" hidden="1">#REF!</definedName>
    <definedName name="TBc6f4d51e_1692_4b29_8684_b58aee4d57a4" hidden="1">#REF!</definedName>
    <definedName name="TBc6f98a90_db40_4f3e_a6b3_68b0d25d2a1d" hidden="1">#REF!</definedName>
    <definedName name="TBc704f844_9061_4b74_a6b2_23ac0ee021f8" hidden="1">#REF!</definedName>
    <definedName name="TBc70e5864_8fe0_470b_b86f_847495f4314a" hidden="1">#REF!</definedName>
    <definedName name="TBc71171dd_cefe_450a_a001_31390846e184" hidden="1">#REF!</definedName>
    <definedName name="TBc7201adf_f5cc_447b_9d25_92c9704d7a76" hidden="1">#REF!</definedName>
    <definedName name="TBc72eeaab_988f_48e2_a2c7_5584323d65c9" hidden="1">#REF!</definedName>
    <definedName name="TBc73186cf_6674_4f47_b210_2383efccf34e" hidden="1">#REF!</definedName>
    <definedName name="TBc7496ee6_5709_44d0_b51c_d939fcc6e741" hidden="1">#REF!</definedName>
    <definedName name="TBc753ca86_3f82_42fd_8cf3_f5f28dcc2ff6" hidden="1">#REF!</definedName>
    <definedName name="TBc75c907e_ea4b_4201_8d70_bd526bfd1f4e" hidden="1">#REF!</definedName>
    <definedName name="TBc77acaee_59ea_45ea_a81a_157deefbdbd2" hidden="1">#REF!</definedName>
    <definedName name="TBc780672d_dfe5_493f_90dc_f8ef3a72dcdb" hidden="1">#REF!</definedName>
    <definedName name="TBc7890db4_67a2_44bd_97dc_aad8fffec84b" hidden="1">#REF!</definedName>
    <definedName name="TBc78a5465_d604_4dfe_abfe_770d5592e23f" hidden="1">#REF!</definedName>
    <definedName name="TBc792408d_b7df_4dad_a44c_d83963ab1754" hidden="1">#REF!</definedName>
    <definedName name="TBc7b7cc6a_49c1_41d4_ad80_e21d324462c9" hidden="1">#REF!</definedName>
    <definedName name="TBc7c2751b_cf50_40e7_9837_b91245214973" hidden="1">#REF!</definedName>
    <definedName name="TBc7c7a8ad_2f2b_4fd8_b957_c1b59f4d990e" hidden="1">#REF!</definedName>
    <definedName name="TBc7cec05e_9080_4fa1_8253_50a995c73571" hidden="1">#REF!</definedName>
    <definedName name="TBc7d9b8bd_f7ea_4034_97fe_3d0afbc34983" hidden="1">#REF!</definedName>
    <definedName name="TBc7e1d966_af57_4591_b565_222fe3fd4197" hidden="1">#REF!</definedName>
    <definedName name="TBc800c043_155f_4b87_820a_46e02321a16d" hidden="1">#REF!</definedName>
    <definedName name="TBc801b3a8_8168_4f40_9c28_9da29daabe7b" hidden="1">#REF!</definedName>
    <definedName name="TBc8112a93_f71a_4fe7_8953_36279743d312" hidden="1">#REF!</definedName>
    <definedName name="TBc8130c7d_f80b_4c93_8d32_5666cefda415" hidden="1">#REF!</definedName>
    <definedName name="TBc814436a_af8f_4bee_8fca_f3487503272b" hidden="1">#REF!</definedName>
    <definedName name="TBc8161146_0a66_4607_ba8c_e18884cf3ebb" hidden="1">#REF!</definedName>
    <definedName name="TBc81e52b1_9464_4306_a2db_0d2a44398897" hidden="1">#REF!</definedName>
    <definedName name="TBc81f8ada_1cbc_428f_affa_6c6f98cb5bd5" hidden="1">#REF!</definedName>
    <definedName name="TBc821505e_959b_4bca_bcf6_7187664a6ee6" hidden="1">#REF!</definedName>
    <definedName name="TBc825705e_ddae_4536_8daf_948cae6850ce" hidden="1">#REF!</definedName>
    <definedName name="TBc82a6fbd_db04_4b6a_bfe2_f4d009408ade" hidden="1">#REF!</definedName>
    <definedName name="TBc82aee71_fc6f_4476_97d6_512ea9060ed7" hidden="1">#REF!</definedName>
    <definedName name="TBc83b9572_1291_4b8c_9196_1d0d3ca6aefe" hidden="1">#REF!</definedName>
    <definedName name="TBc83d283d_b6f7_4f72_a6d7_64fc8214ef15" hidden="1">#REF!</definedName>
    <definedName name="TBc846e3de_d7b7_4670_8e5b_19d446dd7f5e" hidden="1">#REF!</definedName>
    <definedName name="TBc85be957_f7b1_44b0_a448_d263d6da114b" hidden="1">#REF!</definedName>
    <definedName name="TBc870fb95_af8f_48bc_9195_aae0c7098c1f" hidden="1">#REF!</definedName>
    <definedName name="TBc87743a3_f818_4439_ab9e_b9d240df0841" hidden="1">#REF!</definedName>
    <definedName name="TBc88a62b5_357f_4701_b15e_b5d4f3486adb" hidden="1">#REF!</definedName>
    <definedName name="TBc88b926b_596b_4638_9802_5c1940b2c672" hidden="1">#REF!</definedName>
    <definedName name="TBc8a32def_5c79_44b0_8e53_e690a7c733c1" hidden="1">#REF!</definedName>
    <definedName name="TBc8ad727f_3acb_4f0c_843d_a5f71897973a" hidden="1">#REF!</definedName>
    <definedName name="TBc8c45d43_3e77_43a2_9efa_fe29c000a7b9" hidden="1">#REF!</definedName>
    <definedName name="TBc8cf5f36_a063_49b3_ae60_e3aa0eb9faf0" hidden="1">#REF!</definedName>
    <definedName name="TBc8f3e67e_7d1f_48f6_8d65_036b93fdd289" hidden="1">#REF!</definedName>
    <definedName name="TBc8f4b264_b81b_46ab_abc9_3ff21a613b00" hidden="1">#REF!</definedName>
    <definedName name="TBc8f51cb9_a98e_4415_a0bf_7192ab649949" hidden="1">#REF!</definedName>
    <definedName name="TBc90e0b29_3344_476c_acf4_30420ebeca29" hidden="1">#REF!</definedName>
    <definedName name="TBc90fe0b3_d2a8_4120_a51b_ec8de08f600a" hidden="1">#REF!</definedName>
    <definedName name="TBc92fc349_79b3_4e37_844d_bb53f3e20007" hidden="1">#REF!</definedName>
    <definedName name="TBc932c6ce_7f06_4254_81db_ad6f5dc5d474" hidden="1">#REF!</definedName>
    <definedName name="TBc934c648_d0f9_4991_9d6a_fdecdc622ec6" hidden="1">#REF!</definedName>
    <definedName name="TBc93c9622_d7a0_4787_a787_41f0dffaf5ef" hidden="1">#REF!</definedName>
    <definedName name="TBc9423430_025b_4a97_b064_2dc0b8790325" hidden="1">#REF!</definedName>
    <definedName name="TBc94f03b5_5360_4538_bf71_61aeaa4d7c6d" hidden="1">#REF!</definedName>
    <definedName name="TBc94ff455_80b4_42a2_b1ef_5b7564b6248b" hidden="1">#REF!</definedName>
    <definedName name="TBc958e65a_8d92_4194_b2cf_697db8e799c2" hidden="1">#REF!</definedName>
    <definedName name="TBc95e9b3c_160e_470b_9927_7e70d911b0ae" hidden="1">#REF!</definedName>
    <definedName name="TBc97b91da_589a_4776_ab2d_5a9516f9c3ba" hidden="1">#REF!</definedName>
    <definedName name="TBc97f846c_aed6_4ffa_9ec8_d04aeb514a19" hidden="1">#REF!</definedName>
    <definedName name="TBc984ef42_72c9_4b7c_bf1c_e8d95c6a2056" hidden="1">#REF!</definedName>
    <definedName name="TBc9969596_b90b_4222_82c3_f96a661a6a92" hidden="1">#REF!</definedName>
    <definedName name="TBc99741b6_4172_4e13_a3bb_80f79fa87304" hidden="1">#REF!</definedName>
    <definedName name="TBc999e8e9_4330_4ec6_a48d_a372243cbcbe" hidden="1">#REF!</definedName>
    <definedName name="TBc99b3201_efe5_4ed5_a473_64985280f403" hidden="1">#REF!</definedName>
    <definedName name="TBc9ac9634_94c1_49bc_87a0_6b87e59c747e" hidden="1">#REF!</definedName>
    <definedName name="TBc9bd2814_5b64_450a_8d3b_303f98e64d0d" hidden="1">#REF!</definedName>
    <definedName name="TBc9c567eb_8f16_4c3e_8060_6c9a16d553dc" hidden="1">#REF!</definedName>
    <definedName name="TBc9d3b515_a32b_451b_92c7_a69545982059" hidden="1">#REF!</definedName>
    <definedName name="TBc9d54eae_5eac_41c8_bf51_d61c24289f6b" hidden="1">#REF!</definedName>
    <definedName name="TBc9d68477_7636_4c44_bea6_e8e9f8de0e04" hidden="1">#REF!</definedName>
    <definedName name="TBc9e262b8_316d_46c9_9cd2_c1f594713c77" hidden="1">#REF!</definedName>
    <definedName name="TBc9e6a92b_be00_4378_bcbb_c5f02214c765" hidden="1">#REF!</definedName>
    <definedName name="TBc9ee0070_c343_4dec_8d93_8d85ef7ba43f" hidden="1">#REF!</definedName>
    <definedName name="TBc9f4d847_70dd_463b_b67e_3fd376a46b23" hidden="1">#REF!</definedName>
    <definedName name="TBc9fd7a72_bc37_4b80_a348_46ee5c6670fc" hidden="1">#REF!</definedName>
    <definedName name="TBc9fdad29_045f_40c6_8666_6227d86ceb53" hidden="1">#REF!</definedName>
    <definedName name="TBca0bac47_9730_4e67_a358_40ce6340b84f" hidden="1">#REF!</definedName>
    <definedName name="TBca1007ef_84a4_4911_912d_b8e158034943" hidden="1">#REF!</definedName>
    <definedName name="TBca148d5d_0718_47e0_acd4_184efdf8a3b1" hidden="1">#REF!</definedName>
    <definedName name="TBca2cd56d_80cb_4560_adba_f36ef9bee360" hidden="1">#REF!</definedName>
    <definedName name="TBca462601_9c50_4315_a50a_afd394a16660" hidden="1">#REF!</definedName>
    <definedName name="TBca484166_21d3_4070_9c57_0c5fc3aeb250" hidden="1">#REF!</definedName>
    <definedName name="TBca4b008e_b448_4959_b553_c133799cf750" hidden="1">#REF!</definedName>
    <definedName name="TBca4d9698_418b_422e_8139_350793c7acf8" hidden="1">#REF!</definedName>
    <definedName name="TBca662d31_dad3_49ee_b65e_8d04327a7b71" hidden="1">#REF!</definedName>
    <definedName name="TBca7093bc_aa21_45e0_a0c8_6a8ce0af079a" hidden="1">#REF!</definedName>
    <definedName name="TBca7808cd_c67c_40e4_bb0a_9784f4475557" hidden="1">#REF!</definedName>
    <definedName name="TBca80049e_5743_4240_b087_a26ae0aa5859" hidden="1">#REF!</definedName>
    <definedName name="TBca80339c_72e9_4651_9817_76a689523443" hidden="1">#REF!</definedName>
    <definedName name="TBcaa85977_a187_43fa_89dd_ac325bc3446e" hidden="1">#REF!</definedName>
    <definedName name="TBcaade92b_637a_4e1e_b880_6b0a4aeb776c" hidden="1">#REF!</definedName>
    <definedName name="TBcac35f1f_1138_4294_b247_cc3505815420" hidden="1">#REF!</definedName>
    <definedName name="TBcac8e373_769e_48ed_8439_479d6352f3d7" hidden="1">#REF!</definedName>
    <definedName name="TBcad3ac60_fb40_4dce_b136_ee2d3e39b4ef" hidden="1">#REF!</definedName>
    <definedName name="TBcad7b06a_ec48_4b65_82b4_cf071eed8c1c" hidden="1">#REF!</definedName>
    <definedName name="TBcaf07ce8_ad8c_4de4_a7ee_9df313b4590c" hidden="1">#REF!</definedName>
    <definedName name="TBcafa924c_63e7_451f_b0dc_e83717dc19de" hidden="1">#REF!</definedName>
    <definedName name="TBcafc81e0_d2a5_49f5_ba49_4bcd85a409b4" hidden="1">#REF!</definedName>
    <definedName name="TBcb04a159_4b33_4ec8_8fe5_dca038bce5f6" hidden="1">#REF!</definedName>
    <definedName name="TBcb14ab75_b2d3_44da_938d_5365f9543818" hidden="1">#REF!</definedName>
    <definedName name="TBcb228301_0480_42e8_a8a1_d1bb56a2a89b" hidden="1">#REF!</definedName>
    <definedName name="TBcb50cba1_b39b_438d_8a32_5598d0f4fcc9" hidden="1">#REF!</definedName>
    <definedName name="TBcb75a9d0_8e90_4bdf_8e6e_6afa92f7a834" hidden="1">#REF!</definedName>
    <definedName name="TBcb8a40d3_4195_41b1_8455_a505c25a2078" hidden="1">#REF!</definedName>
    <definedName name="TBcb8c1619_b6a7_4300_bec9_92a24a2fed11" hidden="1">#REF!</definedName>
    <definedName name="TBcb8da5a5_f907_434a_939b_a75c5447dab2" hidden="1">#REF!</definedName>
    <definedName name="TBcba4cd80_d462_4708_a746_48b6540030fa" hidden="1">#REF!</definedName>
    <definedName name="TBcba6076c_9ab6_428c_9649_bb90c41d49a2" hidden="1">#REF!</definedName>
    <definedName name="TBcbab3872_f1d0_4005_a7d8_b0d4c0213cdd" hidden="1">#REF!</definedName>
    <definedName name="TBcbb84fba_66f6_4c46_9f46_6b77a40a92fc" hidden="1">#REF!</definedName>
    <definedName name="TBcbc00a48_85c0_481f_b44b_548d5157a848" hidden="1">#REF!</definedName>
    <definedName name="TBcbcfacd5_022c_469d_8623_2fc2470f2f53" hidden="1">#REF!</definedName>
    <definedName name="TBcbd21e5e_4041_4fcd_a1dc_f96c24f35bc1" hidden="1">#REF!</definedName>
    <definedName name="TBcbd2dde2_bb4b_4175_8078_7ab08ba09e00" hidden="1">#REF!</definedName>
    <definedName name="TBcbd5867e_7266_4d42_a54c_4d368f27d5b1" hidden="1">#REF!</definedName>
    <definedName name="TBcbdc4e13_01d3_4d3e_a194_bf928c460938" hidden="1">#REF!</definedName>
    <definedName name="TBcbdd472b_629c_4317_94aa_396cab7d4707" hidden="1">#REF!</definedName>
    <definedName name="TBcbdf3e64_272a_486a_970c_450d3ced3746" hidden="1">#REF!</definedName>
    <definedName name="TBcbe770de_9f00_4802_bc54_bd5af10b5afb" hidden="1">#REF!</definedName>
    <definedName name="TBcbed9f0a_3f78_4165_a737_a169368291cf" hidden="1">#REF!</definedName>
    <definedName name="TBcbfd31ef_15ae_4f25_a903_df8eec21eb81" hidden="1">#REF!</definedName>
    <definedName name="TBcc20ecb4_8903_404b_9acf_39eae5c52b4f" hidden="1">#REF!</definedName>
    <definedName name="TBcc2d079d_7418_48c4_977e_2bda6bc94bb1" hidden="1">#REF!</definedName>
    <definedName name="TBcc366964_29d7_4c20_ac8b_ea3b301ff51f" hidden="1">#REF!</definedName>
    <definedName name="TBcc36d004_36a9_4d44_a2e9_54522c5dbb33" hidden="1">#REF!</definedName>
    <definedName name="TBcc4b52cd_04c6_4c39_948f_defbc5ed2490" hidden="1">#REF!</definedName>
    <definedName name="TBcc4c7779_7be4_43ef_8b2d_9273ec302661" hidden="1">#REF!</definedName>
    <definedName name="TBcc52bb9b_c7a2_48ce_814a_1e03c0fb1060" hidden="1">#REF!</definedName>
    <definedName name="TBcc57056c_fa60_494d_9bef_073b2afa1a7b" hidden="1">#REF!</definedName>
    <definedName name="TBcc6cfed0_1785_4e51_850c_4de89abee2e5" hidden="1">#REF!</definedName>
    <definedName name="TBcc6ded24_9254_489c_ac13_3c935a823125" hidden="1">#REF!</definedName>
    <definedName name="TBcc8b5f9a_1850_46a3_8868_375aa3d57f66" hidden="1">#REF!</definedName>
    <definedName name="TBcc8be584_d512_4051_b945_8bb82d31639a" hidden="1">#REF!</definedName>
    <definedName name="TBcc9c7290_4473_4697_a5fd_1491f4fb35e5" hidden="1">#REF!</definedName>
    <definedName name="TBcc9f3dbe_a717_4185_83b9_489f1c7a9cb7" hidden="1">#REF!</definedName>
    <definedName name="TBcca7e258_e5ce_4560_86b7_9be04006348b" hidden="1">#REF!</definedName>
    <definedName name="TBcca95a65_25e7_4c5d_8c72_6257bcd57627" hidden="1">#REF!</definedName>
    <definedName name="TBccafe585_be18_4bf8_8499_014085125d3c" hidden="1">#REF!</definedName>
    <definedName name="TBccd385ef_61ac_464d_9039_eef7dcb248dd" hidden="1">#REF!</definedName>
    <definedName name="TBccefbb28_280a_44ef_8243_bda74cbd639f" hidden="1">#REF!</definedName>
    <definedName name="TBccf21ecd_797f_4885_bfe2_b5f61fbeae04" hidden="1">#REF!</definedName>
    <definedName name="TBccf6a251_eba6_475f_a558_b04454edd4b6" hidden="1">#REF!</definedName>
    <definedName name="TBccf6e7ee_8296_43bb_a828_19c464ba824c" hidden="1">#REF!</definedName>
    <definedName name="TBcd1aac9e_4ea7_4e42_8b69_9abe21b86504" hidden="1">#REF!</definedName>
    <definedName name="TBcd1e0896_b822_4cdf_9ff1_befe83a5e188" hidden="1">#REF!</definedName>
    <definedName name="TBcd23407a_0dfb_4449_8fc4_9786eddaaca7" hidden="1">#REF!</definedName>
    <definedName name="TBcd2517cf_2dea_48d2_8a96_264e3d5cb552" hidden="1">#REF!</definedName>
    <definedName name="TBcd3288e9_cbcd_4e23_b374_07a2210a8fca" hidden="1">#REF!</definedName>
    <definedName name="TBcd34cdb1_8446_4e69_b96d_fde68a6fb96f" hidden="1">#REF!</definedName>
    <definedName name="TBcd38e77c_dfda_4ac9_b17b_55f7357639af" hidden="1">#REF!</definedName>
    <definedName name="TBcd4c46cd_7615_42da_923c_e63aefb64bba" hidden="1">#REF!</definedName>
    <definedName name="TBcd52cede_28aa_4449_a292_c426e86be095" hidden="1">#REF!</definedName>
    <definedName name="TBcd5c11de_41bc_4479_8074_bec608dd900f" hidden="1">#REF!</definedName>
    <definedName name="TBcd61700c_0fd4_4432_81ad_b3464fc572b5" hidden="1">#REF!</definedName>
    <definedName name="TBcd6bad36_55a1_469e_b522_5f43c8bf6153" hidden="1">#REF!</definedName>
    <definedName name="TBcd6c87fb_678a_482f_b300_f52e94059f00" hidden="1">#REF!</definedName>
    <definedName name="TBcd7c62f8_933e_4d7b_b8db_a8b569c372da" hidden="1">#REF!</definedName>
    <definedName name="TBcd85c3e2_f0b3_4d72_877f_944b6e9a82b8" hidden="1">#REF!</definedName>
    <definedName name="TBcd88b4b7_e269_4c9e_9eaf_edb9bf70b9d4" hidden="1">#REF!</definedName>
    <definedName name="TBcd902f2a_8e6a_4c9b_b5a7_937bf2ba71ba" hidden="1">#REF!</definedName>
    <definedName name="TBcd9370a9_6622_4eb6_8cfb_859449335225" hidden="1">#REF!</definedName>
    <definedName name="TBcda1ac3f_9bd1_46f2_a400_4594991a6e75" hidden="1">#REF!</definedName>
    <definedName name="TBcdad8a50_8ff0_4cfa_9af3_ec7cd40dee75" hidden="1">#REF!</definedName>
    <definedName name="TBcdad95d5_1972_456d_b95a_357f2d6bc456" hidden="1">#REF!</definedName>
    <definedName name="TBcdba582b_3f34_49cf_832f_278b130cd1ba" hidden="1">#REF!</definedName>
    <definedName name="TBcdbf978c_f8e6_4c15_899f_d48f5e11b932" hidden="1">#REF!</definedName>
    <definedName name="TBcdc90ed4_2ce1_412f_87d8_f7ec267b88a8" hidden="1">#REF!</definedName>
    <definedName name="TBcdcac244_ce15_4d70_9f01_66dcc539acbb" hidden="1">#REF!</definedName>
    <definedName name="TBcdd0eb92_fe22_4d38_a702_aef13c90ca51" hidden="1">#REF!</definedName>
    <definedName name="TBcdd13115_9ca1_466f_96e6_2d23292f5c44" hidden="1">#REF!</definedName>
    <definedName name="TBcde3895c_2ae1_469b_be50_1f017df1ae48" hidden="1">#REF!</definedName>
    <definedName name="TBcde540aa_f31f_4f2b_b4cd_268eb137ea35" hidden="1">#REF!</definedName>
    <definedName name="TBcde9a9ab_0098_4705_aabd_8906d1e2051b" hidden="1">#REF!</definedName>
    <definedName name="TBcdeda500_f1a0_468b_982e_12397b7a404a" hidden="1">#REF!</definedName>
    <definedName name="TBcdf1c79e_7463_417a_8f31_71193b000d57" hidden="1">#REF!</definedName>
    <definedName name="TBce0f8f07_e096_400e_8243_e490dcda8aca" hidden="1">#REF!</definedName>
    <definedName name="TBce156ddf_0338_4dcd_ba51_ece52aecb460" hidden="1">#REF!</definedName>
    <definedName name="TBce1b2a6b_f146_4bc8_a4f9_07454d901e88" hidden="1">#REF!</definedName>
    <definedName name="TBce1b4809_a5cd_4141_afce_56bd89dd6021" hidden="1">#REF!</definedName>
    <definedName name="TBce2af63f_89b3_4409_93de_41944b7e980a" hidden="1">#REF!</definedName>
    <definedName name="TBce2b84e8_4297_4efc_a081_bc36de9197f0" hidden="1">#REF!</definedName>
    <definedName name="TBce2d36b9_d781_4ae0_a95c_0b83b7f72594" hidden="1">#REF!</definedName>
    <definedName name="TBce312326_c87b_4749_8151_dc410b4debe5" hidden="1">#REF!</definedName>
    <definedName name="TBce368813_a23d_49b0_b796_483538d33430" hidden="1">#REF!</definedName>
    <definedName name="TBce373610_436f_450f_8ea2_d266355bf5a5" hidden="1">#REF!</definedName>
    <definedName name="TBce4d355c_519b_45eb_9076_04ac47df96d5" hidden="1">#REF!</definedName>
    <definedName name="TBce5e77f5_cdf4_4903_af7e_c3247b7db6b3" hidden="1">#REF!</definedName>
    <definedName name="TBce6342f7_7438_4f1a_9cf2_531bb4a20aa7" hidden="1">#REF!</definedName>
    <definedName name="TBce667851_5dd7_4c06_8eee_6579465c3305" hidden="1">#REF!</definedName>
    <definedName name="TBce8ba3a3_1600_4cb4_9c25_d9d028914df2" hidden="1">#REF!</definedName>
    <definedName name="TBce9334e5_a344_4c8c_86be_3ef67591cafb" hidden="1">#REF!</definedName>
    <definedName name="TBce93d869_265d_47f3_90d7_d18a2142dce6" hidden="1">#REF!</definedName>
    <definedName name="TBcea24991_bb74_4c73_921d_7c4be9590a9e" hidden="1">#REF!</definedName>
    <definedName name="TBceaa28d1_10fd_4af9_98f5_8707f336e47f" hidden="1">#REF!</definedName>
    <definedName name="TBceaf4d63_ab14_448a_a2bb_5f1e3d809ec4" hidden="1">#REF!</definedName>
    <definedName name="TBcebefe97_e0e9_424a_aa96_cfc5afa9aa76" hidden="1">#REF!</definedName>
    <definedName name="TBcec8aaa8_e1e0_44a2_ae13_37d2485f52bb" hidden="1">#REF!</definedName>
    <definedName name="TBced88e7c_b12d_4912_80c8_02f75317b7d7" hidden="1">#REF!</definedName>
    <definedName name="TBcee12758_4222_4a96_9722_745b6fc8806e" hidden="1">#REF!</definedName>
    <definedName name="TBcef28cb8_f16b_4a28_b175_c1462f1ad2ed" hidden="1">#REF!</definedName>
    <definedName name="TBcf156174_09df_48d7_9319_5f92ee896c8e" hidden="1">#REF!</definedName>
    <definedName name="TBcf197a12_4e18_4bf6_a35d_65f303dec73c" hidden="1">#REF!</definedName>
    <definedName name="TBcf1bfa38_7d75_4ab2_96f5_d20e04a631cc" hidden="1">#REF!</definedName>
    <definedName name="TBcf1c6d3b_5374_4b7a_828f_c14fb2f751ab" hidden="1">#REF!</definedName>
    <definedName name="TBcf1feb75_5756_4d94_a367_9f1bf1085ea5" hidden="1">#REF!</definedName>
    <definedName name="TBcf3ade24_2c0b_4197_b2ac_197944401e9a" hidden="1">#REF!</definedName>
    <definedName name="TBcf3c5b38_8f7e_46ab_a104_5c591fa2edab" hidden="1">#REF!</definedName>
    <definedName name="TBcf420a08_e396_4774_b420_879e2cb01b6b" hidden="1">#REF!</definedName>
    <definedName name="TBcf46056c_0ed4_4f3c_ab86_21fa96755e4e" hidden="1">#REF!</definedName>
    <definedName name="TBcf522056_d187_4f5c_a370_452b45b644f3" hidden="1">#REF!</definedName>
    <definedName name="TBcf5875df_b58e_42c8_a8d1_c63cf6ba6eb4" hidden="1">#REF!</definedName>
    <definedName name="TBcf600966_6fc9_4d09_a655_c78c24ba1fe4" hidden="1">#REF!</definedName>
    <definedName name="TBcf6a6383_0b52_418c_a27a_ae6a48dea68a" hidden="1">#REF!</definedName>
    <definedName name="TBcf6afb0e_6e49_496e_88ee_ed72f347b7c1" hidden="1">#REF!</definedName>
    <definedName name="TBcf7c91a9_051c_4e06_aa94_4eeb5bad0007" hidden="1">#REF!</definedName>
    <definedName name="TBcf8268a2_5ce3_43f0_b1f2_0426f0adf310" hidden="1">#REF!</definedName>
    <definedName name="TBcf9ca734_8342_4504_8d63_ddc55eafeda4" hidden="1">#REF!</definedName>
    <definedName name="TBcfa4c69a_ce84_461d_bd6d_af8992e8c3e0" hidden="1">#REF!</definedName>
    <definedName name="TBcfc45111_02c3_47cd_9011_3c2a039347b5" hidden="1">#REF!</definedName>
    <definedName name="TBcff3e355_59d0_4255_9afc_08b5ee546778" hidden="1">#REF!</definedName>
    <definedName name="TBcff42d59_5f59_4f59_9978_4c2dc0ba782b" hidden="1">#REF!</definedName>
    <definedName name="TBcff5beaa_5bda_49c8_8852_6b5bf6614839" hidden="1">#REF!</definedName>
    <definedName name="TBcfff8277_8e1b_4852_893c_afdce355cb2a" hidden="1">#REF!</definedName>
    <definedName name="TBd00f0fa7_0bf4_4076_bb4a_4b817d44df85" hidden="1">#REF!</definedName>
    <definedName name="TBd0126271_c0c6_4b5f_988a_4ff817f51cf0" hidden="1">#REF!</definedName>
    <definedName name="TBd0158e81_a2f1_481e_9f8a_b646f180ca4e" hidden="1">#REF!</definedName>
    <definedName name="TBd021ffc4_7db9_479a_841f_5cbe44a74900" hidden="1">#REF!</definedName>
    <definedName name="TBd02435bb_1401_49d1_8b79_acadb43a714a" hidden="1">#REF!</definedName>
    <definedName name="TBd02723df_361c_4699_ac11_4c9b99f827a9" hidden="1">#REF!</definedName>
    <definedName name="TBd02a2435_21e8_4774_abc3_b6118052b96d" hidden="1">#REF!</definedName>
    <definedName name="TBd031bc88_83df_4bb0_8c93_ed353864fea8" hidden="1">#REF!</definedName>
    <definedName name="TBd040af2b_586c_408c_a84c_917b6a4ab45d" hidden="1">#REF!</definedName>
    <definedName name="TBd04a806b_841d_4b0a_9ffe_57fd5d84a345" hidden="1">#REF!</definedName>
    <definedName name="TBd04b58d4_50e4_49f8_9517_a291dbb5c541" hidden="1">#REF!</definedName>
    <definedName name="TBd04f4389_00a3_4181_9279_6e7d0c858e11" hidden="1">#REF!</definedName>
    <definedName name="TBd05b4405_ff99_4125_909d_5c53c0a615d2" hidden="1">#REF!</definedName>
    <definedName name="TBd05b66c8_83a7_453f_8b17_370bfb6ca47a" hidden="1">#REF!</definedName>
    <definedName name="TBd05b983b_5140_47c7_b284_7d964f02b844" hidden="1">#REF!</definedName>
    <definedName name="TBd05d040c_1bc6_407c_91ed_99f86f84e1e7" hidden="1">#REF!</definedName>
    <definedName name="TBd06fd0c4_e25c_4ed2_a05d_1a87e24d4795" hidden="1">#REF!</definedName>
    <definedName name="TBd0762658_20eb_4609_9ea0_38ed1b31df08" hidden="1">#REF!</definedName>
    <definedName name="TBd0821989_ceed_4abc_898a_ec4ed88beb58" hidden="1">#REF!</definedName>
    <definedName name="TBd092f3e7_c0e9_41d1_9f87_a4a963b86345" hidden="1">#REF!</definedName>
    <definedName name="TBd095f34c_8682_49ea_8c63_b4a01f4cf24c" hidden="1">#REF!</definedName>
    <definedName name="TBd0de47a3_9767_4e0f_a18d_f80237a954ff" hidden="1">#REF!</definedName>
    <definedName name="TBd0e5a349_9f4b_4f86_9d93_50f0378c45eb" hidden="1">#REF!</definedName>
    <definedName name="TBd0ebdfe9_44c9_4229_b727_1d51a7dfbca2" hidden="1">#REF!</definedName>
    <definedName name="TBd0f8a8f5_6833_4ff1_ae83_7683187e817a" hidden="1">#REF!</definedName>
    <definedName name="TBd1057e3a_7c84_4b05_8499_a32dc3133572" hidden="1">#REF!</definedName>
    <definedName name="TBd109304f_af82_4c81_83a5_497978790b2f" hidden="1">#REF!</definedName>
    <definedName name="TBd10ac94b_fa03_43cd_b99d_db858da9021c" hidden="1">#REF!</definedName>
    <definedName name="TBd10cf711_a58a_4cbe_92fb_3fd900ea458f" hidden="1">#REF!</definedName>
    <definedName name="TBd11191a5_7138_423a_94ab_11992d00a0cd" hidden="1">#REF!</definedName>
    <definedName name="TBd118bfdb_509f_407f_88d4_884adf469218" hidden="1">#REF!</definedName>
    <definedName name="TBd11959f9_7b34_43b1_b98d_0a43d28e1a56" hidden="1">#REF!</definedName>
    <definedName name="TBd12aff10_7d75_45f0_b6f3_5f89a8c6c4c6" hidden="1">#REF!</definedName>
    <definedName name="TBd13bd402_6565_40f4_a668_1ccd997fa686" hidden="1">#REF!</definedName>
    <definedName name="TBd15875f0_603e_4375_b6bc_ee0b74bf4df6" hidden="1">#REF!</definedName>
    <definedName name="TBd15d35ac_1caa_4bc3_b44d_d5fd8b74f25d" hidden="1">#REF!</definedName>
    <definedName name="TBd1792d3e_6b69_4434_aa21_0a9025edc711" hidden="1">#REF!</definedName>
    <definedName name="TBd1927645_695e_4323_b225_c67f5df1ed26" hidden="1">#REF!</definedName>
    <definedName name="TBd1b11d41_fc4d_4599_ad51_352170c4b163" hidden="1">#REF!</definedName>
    <definedName name="TBd1be576a_086f_4542_8696_a51587340fa8" hidden="1">#REF!</definedName>
    <definedName name="TBd1c21337_5718_4639_b87a_82457edfbdca" hidden="1">#REF!</definedName>
    <definedName name="TBd1c6819f_248d_44a9_b75d_3f8f89697d01" hidden="1">#REF!</definedName>
    <definedName name="TBd1c9c033_ca43_44a9_b7f6_9c05c6e532d2" hidden="1">#REF!</definedName>
    <definedName name="TBd1cdecb2_022d_4468_b319_cdaae739308a" hidden="1">#REF!</definedName>
    <definedName name="TBd1dbb97d_b7b3_4e9c_af17_f3663ff06b4c" hidden="1">#REF!</definedName>
    <definedName name="TBd1dbf32b_bfe0_4e91_8e6f_cf70d9e61a79" hidden="1">#REF!</definedName>
    <definedName name="TBd1ed1017_e0bd_4757_ab82_58366961e449" hidden="1">#REF!</definedName>
    <definedName name="TBd1ed5349_0b8b_4f9b_ae59_0b68d1ab308f" hidden="1">#REF!</definedName>
    <definedName name="TBd1fff625_e26c_46a9_b991_5b7bf657c509" hidden="1">#REF!</definedName>
    <definedName name="TBd20238e0_5df6_42b0_8cc9_afc6113ba6d9" hidden="1">#REF!</definedName>
    <definedName name="TBd207f206_45cd_4b4e_a4b9_bd121cfdfa11" hidden="1">#REF!</definedName>
    <definedName name="TBd21d06c0_7965_47d8_8bd2_37fe2e8566cb" hidden="1">#REF!</definedName>
    <definedName name="TBd22953e8_f94e_47dd_90d0_6c3c4b79722a" hidden="1">#REF!</definedName>
    <definedName name="TBd22bc2f2_9518_4bf8_bcaf_f992f8290279" hidden="1">#REF!</definedName>
    <definedName name="TBd22bf402_9e74_43f8_bf19_b3e429f1730e" hidden="1">#REF!</definedName>
    <definedName name="TBd2408bc0_8aaa_45b1_81d6_0049f19d4e4f" hidden="1">#REF!</definedName>
    <definedName name="TBd2437418_6fc1_49dc_aebd_f0b3764bb82e" hidden="1">#REF!</definedName>
    <definedName name="TBd24da091_159f_42be_97fe_f99ac116cab5" hidden="1">#REF!</definedName>
    <definedName name="TBd2510d4d_24ce_4aaf_bbd6_48ea10a5f259" hidden="1">#REF!</definedName>
    <definedName name="TBd2511b45_562b_46a5_a016_61b74b0130f9" hidden="1">#REF!</definedName>
    <definedName name="TBd2623198_db1f_48a0_a99b_ba5073d28fdb" hidden="1">#REF!</definedName>
    <definedName name="TBd2770173_7a9c_4357_8b4b_dcad722137f3" hidden="1">#REF!</definedName>
    <definedName name="TBd27a423f_1c15_46ca_b254_26c8294cac13" hidden="1">#REF!</definedName>
    <definedName name="TBd282f9e3_1d26_4d06_abc3_9c7a334e9056" hidden="1">#REF!</definedName>
    <definedName name="TBd2850932_a8a6_4e56_ae45_30258cab7e86" hidden="1">#REF!</definedName>
    <definedName name="TBd2868e7c_42c4_485f_b6ca_7bc42b286125" hidden="1">#REF!</definedName>
    <definedName name="TBd289c295_a8cb_4baa_b96e_eef243101f2d" hidden="1">#REF!</definedName>
    <definedName name="TBd292d9fb_714f_45ed_9a8d_5693af267c1e" hidden="1">#REF!</definedName>
    <definedName name="TBd29669bb_c6c6_443c_9f82_4192c10339c5" hidden="1">#REF!</definedName>
    <definedName name="TBd29ebadd_01a9_4b54_9e9c_7a40bfc83c91" hidden="1">#REF!</definedName>
    <definedName name="TBd2a53b4c_b5c9_46c2_9d07_d7e8ee6c2265" hidden="1">#REF!</definedName>
    <definedName name="TBd2ac0f37_2c2c_4803_971c_b57865fa8a64" hidden="1">#REF!</definedName>
    <definedName name="TBd2bc2b76_82ec_482b_b9d0_44103d81d802" hidden="1">#REF!</definedName>
    <definedName name="TBd2bea743_fe7d_4e76_9d40_63f1872e67ac" hidden="1">#REF!</definedName>
    <definedName name="TBd2bf7c15_2a67_4f11_9314_f0754f2ceb65" hidden="1">#REF!</definedName>
    <definedName name="TBd2c821f9_2b08_4086_acb3_27209aa9da18" hidden="1">#REF!</definedName>
    <definedName name="TBd2c8fcb7_37b9_4ab9_b828_b75739748db2" hidden="1">#REF!</definedName>
    <definedName name="TBd2d3bb4f_bd26_4bed_b9a6_71da5872b4ac" hidden="1">#REF!</definedName>
    <definedName name="TBd2e3ae73_a61d_440d_9355_75659962379f" hidden="1">#REF!</definedName>
    <definedName name="TBd2f22e31_7b01_4b00_95d6_eed45200ed7a" hidden="1">#REF!</definedName>
    <definedName name="TBd2fea4bf_4be5_4b49_977f_aa61937f587e" hidden="1">#REF!</definedName>
    <definedName name="TBd310a7e4_8003_4b56_9a19_9bfbcca5b63d" hidden="1">#REF!</definedName>
    <definedName name="TBd312c958_00bd_415f_b241_194590dd32e2" hidden="1">#REF!</definedName>
    <definedName name="TBd3177563_a573_4e8c_b3d0_4c979b9a004b" hidden="1">#REF!</definedName>
    <definedName name="TBd31bbf37_7262_4e25_9aa2_1aaa134c7fb7" hidden="1">#REF!</definedName>
    <definedName name="TBd31e3850_eab6_4bc9_a0e9_86244e8c2ee3" hidden="1">#REF!</definedName>
    <definedName name="TBd3214e1b_2331_493b_9532_5debdd9de4d4" hidden="1">#REF!</definedName>
    <definedName name="TBd32c7180_fbc3_4d7d_808f_c956b4045af8" hidden="1">#REF!</definedName>
    <definedName name="TBd32d0970_1a93_4221_80af_23037877fd67" hidden="1">#REF!</definedName>
    <definedName name="TBd32f66f9_c2f9_4bf5_b336_c670c244afab" hidden="1">#REF!</definedName>
    <definedName name="TBd342c198_3acd_4424_b27f_e0f422cd74ee" hidden="1">#REF!</definedName>
    <definedName name="TBd344f82f_ca8c_46ee_aa79_2b3ed350830a" hidden="1">#REF!</definedName>
    <definedName name="TBd346c4a7_aebf_4d86_b25c_ba04c289e905" hidden="1">#REF!</definedName>
    <definedName name="TBd3497dcb_c94b_4a76_98d6_bcb574f53e04" hidden="1">#REF!</definedName>
    <definedName name="TBd34e2cf3_3f3a_4aa7_8384_c8a19672df2b" hidden="1">#REF!</definedName>
    <definedName name="TBd34ebb1e_03aa_4413_be84_f1ad69ac7054" hidden="1">#REF!</definedName>
    <definedName name="TBd355a044_a776_4446_95a7_8a03f0599851" hidden="1">#REF!</definedName>
    <definedName name="TBd357a93f_521d_4046_b679_e2137d4adb3d" hidden="1">#REF!</definedName>
    <definedName name="TBd36b20d5_633e_4667_911d_e42c6a7659da" hidden="1">#REF!</definedName>
    <definedName name="TBd3817691_fef9_4a35_ab85_3aa47fa3021c" hidden="1">#REF!</definedName>
    <definedName name="TBd390ab14_f203_4dfb_9ec0_da56f562fca2" hidden="1">#REF!</definedName>
    <definedName name="TBd3923b12_4b1a_4e9d_815f_19ff6ec0f074" hidden="1">#REF!</definedName>
    <definedName name="TBd39e15b8_76e6_4145_8c6a_e33b9a46eab6" hidden="1">#REF!</definedName>
    <definedName name="TBd3a74a87_907f_4172_98e5_a7cd317190a5" hidden="1">#REF!</definedName>
    <definedName name="TBd3b63fce_2f0e_4778_8938_3003986f81e7" hidden="1">#REF!</definedName>
    <definedName name="TBd3b64f36_23af_460c_ba72_28c78e696051" hidden="1">#REF!</definedName>
    <definedName name="TBd3c60423_1d4b_4a69_9a88_656b8a47cb09" hidden="1">#REF!</definedName>
    <definedName name="TBd3d047ee_aa45_4267_8f94_4d6a73e51010" hidden="1">#REF!</definedName>
    <definedName name="TBd3db0cb6_4118_4d2d_8200_1730199d7cb8" hidden="1">#REF!</definedName>
    <definedName name="TBd3dfd30b_1668_4a50_b28a_978f5b2957f6" hidden="1">#REF!</definedName>
    <definedName name="TBd3ec5ecd_bd95_45b6_bdad_6214f782e074" hidden="1">#REF!</definedName>
    <definedName name="TBd3ff1a38_d453_47a3_ab23_36d0d6373826" hidden="1">#REF!</definedName>
    <definedName name="TBd402b724_13d1_46a6_90a7_226de9b0eed0" hidden="1">#REF!</definedName>
    <definedName name="TBd4058cdb_d2b9_4dc7_adc9_3ecc85030fbe" hidden="1">#REF!</definedName>
    <definedName name="TBd409b089_ac29_448b_84c4_0d3da3a16098" hidden="1">#REF!</definedName>
    <definedName name="TBd414a798_1efb_486a_a4d2_1d46f7c56438" hidden="1">#REF!</definedName>
    <definedName name="TBd428fcf4_a0ff_4625_98b0_9931efe4dee6" hidden="1">#REF!</definedName>
    <definedName name="TBd4492eb5_685f_4d56_ba1e_552141057ab8" hidden="1">#REF!</definedName>
    <definedName name="TBd45c7b6e_2dc6_4a13_81fb_acc2770c2015" hidden="1">#REF!</definedName>
    <definedName name="TBd45e7e06_d105_4652_8c14_15637e987cb8" hidden="1">#REF!</definedName>
    <definedName name="TBd460d939_9477_4e27_a383_ced3c931a0ba" hidden="1">#REF!</definedName>
    <definedName name="TBd4688110_3e1b_4efa_8dee_a38b4ff5051e" hidden="1">#REF!</definedName>
    <definedName name="TBd46b95e0_3e53_482d_a5c3_cc2f4360aab2" hidden="1">#REF!</definedName>
    <definedName name="TBd47da621_8712_4a9d_b6bd_404254cc5022" hidden="1">#REF!</definedName>
    <definedName name="TBd4944976_bdae_4f46_aaff_addf7fcf1772" hidden="1">#REF!</definedName>
    <definedName name="TBd4a438e6_bb44_47f5_8be0_9f154470d6e0" hidden="1">#REF!</definedName>
    <definedName name="TBd4b3cfab_9867_40f3_aa0a_4b67846fca67" hidden="1">#REF!</definedName>
    <definedName name="TBd4bf4c01_a3f5_40b6_8d11_a627e6a86609" hidden="1">#REF!</definedName>
    <definedName name="TBd4c97c90_5fa7_4a90_8341_3fcc1a680de7" hidden="1">#REF!</definedName>
    <definedName name="TBd4cb4d85_00ec_43b0_bb32_3a4be3cb59d4" hidden="1">#REF!</definedName>
    <definedName name="TBd4d09d7e_4af4_4648_bc0a_964515634ae9" hidden="1">#REF!</definedName>
    <definedName name="TBd4eb4285_88ea_4b52_916c_9b81bd26d535" hidden="1">#REF!</definedName>
    <definedName name="TBd4f4bccd_2ec5_4068_805b_0db924a06be9" hidden="1">#REF!</definedName>
    <definedName name="TBd4f6dc42_e410_441f_ac95_26feff265f21" hidden="1">#REF!</definedName>
    <definedName name="TBd4f785c3_d475_4ff2_ad63_fcd95376858c" hidden="1">#REF!</definedName>
    <definedName name="TBd503708e_4917_4bb1_9081_b670771c88f3" hidden="1">#REF!</definedName>
    <definedName name="TBd503d51c_ae80_4255_9707_511e80816623" hidden="1">#REF!</definedName>
    <definedName name="TBd50f2eeb_215a_4b6a_ae6a_e4050945ff2d" hidden="1">#REF!</definedName>
    <definedName name="TBd52c6a56_47ec_4dbe_862f_1c1e9f3c363f" hidden="1">#REF!</definedName>
    <definedName name="TBd5710a2d_9780_4cbf_9579_f83bea26850f" hidden="1">#REF!</definedName>
    <definedName name="TBd57e766d_4b8c_46d9_a762_5ee1c3798758" hidden="1">#REF!</definedName>
    <definedName name="TBd580812a_0b8f_49b9_ab51_dd671bf0432f" hidden="1">#REF!</definedName>
    <definedName name="TBd58aa783_debf_4698_a123_b424f23a2e8c" hidden="1">#REF!</definedName>
    <definedName name="TBd58c1114_d664_41a1_b6ad_39d8d7d68091" hidden="1">#REF!</definedName>
    <definedName name="TBd58dbd8d_4d44_46b3_9018_7f3dc7d5a9b5" hidden="1">#REF!</definedName>
    <definedName name="TBd591b3d7_80bf_4f2b_8409_768224202522" hidden="1">#REF!</definedName>
    <definedName name="TBd59aced2_ec46_4536_b1fb_c2272f83ac41" hidden="1">#REF!</definedName>
    <definedName name="TBd59bdec4_d70a_4442_8147_263bb16dcb48" hidden="1">#REF!</definedName>
    <definedName name="TBd5a19448_61a3_4da6_ab92_55666ecff954" hidden="1">#REF!</definedName>
    <definedName name="TBd5a55b6b_a372_41a0_b4d6_04058a71a867" hidden="1">#REF!</definedName>
    <definedName name="TBd5ac7f16_8428_43f6_a30a_5b255b74f5c8" hidden="1">#REF!</definedName>
    <definedName name="TBd5bb6cdc_ef1d_4517_854b_ac59a3a35dc2" hidden="1">#REF!</definedName>
    <definedName name="TBd5c5a9be_8c8e_4e01_9491_9edbf5a63651" hidden="1">#REF!</definedName>
    <definedName name="TBd5c8418d_53fc_4e6b_88d0_020c455e67e1" hidden="1">#REF!</definedName>
    <definedName name="TBd5c84c1d_cad2_48a3_8ba5_9ed784bae867" hidden="1">#REF!</definedName>
    <definedName name="TBd5d0a8a5_11b3_4e1c_9cfd_6e72d57df541" hidden="1">#REF!</definedName>
    <definedName name="TBd5f3060f_e262_4068_b888_e94fccf0ad77" hidden="1">#REF!</definedName>
    <definedName name="TBd5f5876c_ba24_4d88_96f3_c67bc3f339c2" hidden="1">#REF!</definedName>
    <definedName name="TBd5f88afe_1cb5_41b1_8fc1_9fec2cc750b3" hidden="1">#REF!</definedName>
    <definedName name="TBd6054a9a_a2fb_48c5_8396_ef4b230bab6a" hidden="1">#REF!</definedName>
    <definedName name="TBd60a1aa4_343e_4373_bf01_22ab0d6766b4" hidden="1">#REF!</definedName>
    <definedName name="TBd60f4d21_c9f9_487a_a8f2_960d1541ba3d" hidden="1">#REF!</definedName>
    <definedName name="TBd61741ae_ae03_4d20_b907_3060990f0c6c" hidden="1">#REF!</definedName>
    <definedName name="TBd618dd27_1711_49d7_ab3e_7d35b67f9dc8" hidden="1">#REF!</definedName>
    <definedName name="TBd61c930f_7921_4bec_a48a_dafad95bda71" hidden="1">#REF!</definedName>
    <definedName name="TBd62b73a1_626a_469d_9fca_6646ed02a96b" hidden="1">#REF!</definedName>
    <definedName name="TBd62b7c52_756b_4e21_bc2f_53c1753c6a35" hidden="1">#REF!</definedName>
    <definedName name="TBd6322db3_1a1f_4750_b388_1d963b3e4352" hidden="1">#REF!</definedName>
    <definedName name="TBd638063b_64a4_4ced_851a_c14f9f0e4f31" hidden="1">#REF!</definedName>
    <definedName name="TBd64e93c8_0f96_4eaf_94ff_39a6d400eca3" hidden="1">#REF!</definedName>
    <definedName name="TBd657386e_c633_4318_b08d_49caeeae6f46" hidden="1">#REF!</definedName>
    <definedName name="TBd657ca47_9119_4251_81a6_6c6c757212e4" hidden="1">#REF!</definedName>
    <definedName name="TBd65e0a7a_9214_42fd_8f2a_bb5ffc65d22c" hidden="1">#REF!</definedName>
    <definedName name="TBd6652731_9246_4696_8473_aaa0cf05924f" hidden="1">#REF!</definedName>
    <definedName name="TBd66cb318_552a_4863_8834_8474b5262550" hidden="1">#REF!</definedName>
    <definedName name="TBd6879e67_7ed5_44c5_892d_d7f23c5dd9c3" hidden="1">#REF!</definedName>
    <definedName name="TBd6898301_6793_445b_84e9_5aa29ccd12c6" hidden="1">#REF!</definedName>
    <definedName name="TBd6a2e103_3882_4de7_aafb_f7e75138747b" hidden="1">#REF!</definedName>
    <definedName name="TBd6a9a0c5_e757_4158_a4eb_f882a0d44207" hidden="1">#REF!</definedName>
    <definedName name="TBd6a9a385_a568_48ef_bbd2_4dc170096e7e" hidden="1">#REF!</definedName>
    <definedName name="TBd6b5ffbf_1eaf_4c51_a52a_1f045dca8558" hidden="1">#REF!</definedName>
    <definedName name="TBd6b76237_836f_490a_b86b_7faf66d59460" hidden="1">#REF!</definedName>
    <definedName name="TBd6d4e82b_bff5_4900_836e_abc3c4744a52" hidden="1">#REF!</definedName>
    <definedName name="TBd6d9a23c_e9fa_4073_b649_ab5b7a861eaa" hidden="1">#REF!</definedName>
    <definedName name="TBd6e88e57_a7e8_4cb2_b681_91f745224e0a" hidden="1">#REF!</definedName>
    <definedName name="TBd6e9cc17_cc96_4b4c_bfa4_2187b17be6c7" hidden="1">#REF!</definedName>
    <definedName name="TBd6f4c4f3_a672_4200_9f7d_2d231a9c440b" hidden="1">#REF!</definedName>
    <definedName name="TBd6fc7978_d0a9_47fe_b7f4_a40fed53a362" hidden="1">#REF!</definedName>
    <definedName name="TBd6ff5399_0fb5_4770_9c33_c3ab473110b3" hidden="1">#REF!</definedName>
    <definedName name="TBd7056985_88f5_4890_93a7_92f052fd7c14" hidden="1">#REF!</definedName>
    <definedName name="TBd716f0c6_fc93_46eb_af22_78448affaae8" hidden="1">#REF!</definedName>
    <definedName name="TBd73444b0_3452_4b4b_966d_96e2029aa6c3" hidden="1">#REF!</definedName>
    <definedName name="TBd734ad62_4046_481a_85b9_e73dab4b5131" hidden="1">#REF!</definedName>
    <definedName name="TBd75511f0_7f21_48d4_b21a_49fc7a25a85d" hidden="1">#REF!</definedName>
    <definedName name="TBd75cdc04_0388_4167_a4d8_8dc8e0819db9" hidden="1">#REF!</definedName>
    <definedName name="TBd7626b48_b344_4941_9243_3cbdf94271b8" hidden="1">#REF!</definedName>
    <definedName name="TBd7686354_47ff_46f7_859d_b2769c5f8258" hidden="1">#REF!</definedName>
    <definedName name="TBd77d5d92_d701_4dc8_8538_9a5f980d892a" hidden="1">#REF!</definedName>
    <definedName name="TBd787dd19_3d5e_400f_82e3_7aae67c9766b" hidden="1">#REF!</definedName>
    <definedName name="TBd7a2e550_44f2_44ee_94fe_19e400a867aa" hidden="1">#REF!</definedName>
    <definedName name="TBd7a3f49e_1a6d_4d76_8ab1_12482b3c837b" hidden="1">#REF!</definedName>
    <definedName name="TBd7b1e2c3_9e61_4901_a4b7_80f62688ddb2" hidden="1">#REF!</definedName>
    <definedName name="TBd7babce0_2ca0_4ce4_a9d1_a056f3195058" hidden="1">#REF!</definedName>
    <definedName name="TBd7cb5eb2_d554_4323_98e1_99272484ac15" hidden="1">#REF!</definedName>
    <definedName name="TBd7e3fda3_356b_47bf_bc55_13af109de24e" hidden="1">#REF!</definedName>
    <definedName name="TBd7eac9d4_9d36_4eb5_9554_08c2a9833ed0" hidden="1">#REF!</definedName>
    <definedName name="TBd7f0b039_6e82_47fb_b750_1e334a30175b" hidden="1">#REF!</definedName>
    <definedName name="TBd7fd171e_93d8_4eda_afb3_83af509cf58a" hidden="1">#REF!</definedName>
    <definedName name="TBd80e8b00_d530_43b6_aad1_40f6ef118084" hidden="1">#REF!</definedName>
    <definedName name="TBd81cf763_389b_4c10_8024_494deaa0465f" hidden="1">#REF!</definedName>
    <definedName name="TBd81da8f5_a057_4333_a2e0_42c2da7450e7" hidden="1">#REF!</definedName>
    <definedName name="TBd82f6da4_7be3_46c1_aaf9_9441bcd40a39" hidden="1">#REF!</definedName>
    <definedName name="TBd833e1fd_796a_40f0_a586_2d87cc1c2af9" hidden="1">#REF!</definedName>
    <definedName name="TBd83d6b62_82aa_40d9_a796_17fe95da822a" hidden="1">#REF!</definedName>
    <definedName name="TBd8400c82_2e4f_49d5_bd61_25731a4eacb7" hidden="1">#REF!</definedName>
    <definedName name="TBd843d2cc_b263_44d9_b433_71f3ea1149c0" hidden="1">#REF!</definedName>
    <definedName name="TBd844c2ac_71bb_4a47_bda2_d3c81506b756" hidden="1">#REF!</definedName>
    <definedName name="TBd84a23a5_0dbe_43fc_941c_bb0b9ecff119" hidden="1">#REF!</definedName>
    <definedName name="TBd84dad68_e1a8_47b0_bea6_02db53b153b9" hidden="1">#REF!</definedName>
    <definedName name="TBd850ec91_5165_4bd2_af03_83786fde6eeb" hidden="1">#REF!</definedName>
    <definedName name="TBd85514f9_c027_44cd_b367_3432154dae92" hidden="1">#REF!</definedName>
    <definedName name="TBd861625f_175f_4164_91e3_d5bb2eb11564" hidden="1">#REF!</definedName>
    <definedName name="TBd8727f15_3745_45a3_8197_f2cdaccb7196" hidden="1">#REF!</definedName>
    <definedName name="TBd878d655_84c2_45ae_af67_70a5ad201148" hidden="1">#REF!</definedName>
    <definedName name="TBd88a3910_01f5_4493_a676_86bffa6ef9e8" hidden="1">#REF!</definedName>
    <definedName name="TBd88bee55_d4b3_4209_afd7_2e28ea4b8ef0" hidden="1">#REF!</definedName>
    <definedName name="TBd89c6fe1_980a_4af3_b07d_f0f3717e7792" hidden="1">#REF!</definedName>
    <definedName name="TBd8a577a5_ae28_4b9f_88fd_6b6dd30431b6" hidden="1">#REF!</definedName>
    <definedName name="TBd8a650f8_a467_4ef4_994f_cd429a701629" hidden="1">#REF!</definedName>
    <definedName name="TBd8b1c976_cbdc_464d_a825_140f715ebc88" hidden="1">#REF!</definedName>
    <definedName name="TBd8b393cd_ea4f_473a_ab4c_a4802f445337" hidden="1">#REF!</definedName>
    <definedName name="TBd8b4c6c2_e456_4303_a8a8_0f8b8539a1af" hidden="1">#REF!</definedName>
    <definedName name="TBd8bdad56_2ea2_4d1d_97e5_cfa9888763fe" hidden="1">#REF!</definedName>
    <definedName name="TBd8c2da27_5072_4b8f_bdcd_13e114c6873b" hidden="1">#REF!</definedName>
    <definedName name="TBd8c9025b_e1cc_4e41_9411_a0c5346cd751" hidden="1">#REF!</definedName>
    <definedName name="TBd8e120e6_f88c_4de6_abaf_768a4984f55b" hidden="1">#REF!</definedName>
    <definedName name="TBd8ecffeb_4ce6_4753_849a_66a335a8bea5" hidden="1">#REF!</definedName>
    <definedName name="TBd8f3239e_9be9_47ae_b972_1e37f02a9992" hidden="1">#REF!</definedName>
    <definedName name="TBd9094bbd_58eb_4a7b_8c58_07d489153857" hidden="1">#REF!</definedName>
    <definedName name="TBd90fe608_1b6d_4166_87c4_af4855e92297" hidden="1">#REF!</definedName>
    <definedName name="TBd9168728_b290_41bf_9bf6_0d4131873ac1" hidden="1">#REF!</definedName>
    <definedName name="TBd922a95c_4008_493e_a463_04a1b31d3551" hidden="1">#REF!</definedName>
    <definedName name="TBd93c26ec_4375_4e0c_8d30_b4ab65857be3" hidden="1">#REF!</definedName>
    <definedName name="TBd9465d77_00aa_444a_ba2f_58957e39a1a8" hidden="1">#REF!</definedName>
    <definedName name="TBd958a5af_4621_4f98_a30d_e18d5fd3b80b" hidden="1">#REF!</definedName>
    <definedName name="TBd95d4632_3549_4045_8d13_ab0a516236d3" hidden="1">#REF!</definedName>
    <definedName name="TBd967a0c8_4d09_4a92_808f_fbfe29f6faf6" hidden="1">#REF!</definedName>
    <definedName name="TBd968ebc4_55b1_457c_95c6_cd80c3f38dbb" hidden="1">#REF!</definedName>
    <definedName name="TBd981a2fb_409d_4fd5_9ef5_9682c32caace" hidden="1">#REF!</definedName>
    <definedName name="TBd98f7faa_5d5d_4f12_9761_beb168787244" hidden="1">#REF!</definedName>
    <definedName name="TBd9914803_a5a2_4741_94cd_a26634c478e9" hidden="1">#REF!</definedName>
    <definedName name="TBd993bfb5_13dd_49fa_8330_0e94b1c31b2a" hidden="1">#REF!</definedName>
    <definedName name="TBd995a331_c9ec_4e16_b1a0_86e33b494be4" hidden="1">#REF!</definedName>
    <definedName name="TBd9a1be90_f131_4bf3_97a9_40bdad304245" hidden="1">#REF!</definedName>
    <definedName name="TBd9a98b2b_bae3_4ca2_a99b_6af960ffda2a" hidden="1">#REF!</definedName>
    <definedName name="TBd9ae8b70_7cec_4044_b704_479762385c06" hidden="1">#REF!</definedName>
    <definedName name="TBd9b3206a_e492_478a_86ad_2a417b4ed832" hidden="1">#REF!</definedName>
    <definedName name="TBd9b51562_90b8_42fb_ba01_01f709a8f482" hidden="1">#REF!</definedName>
    <definedName name="TBd9b7a89b_8f95_4776_a997_ef1df3c51769" hidden="1">#REF!</definedName>
    <definedName name="TBd9bb993f_d97f_4ead_b763_0d00ce7980c5" hidden="1">#REF!</definedName>
    <definedName name="TBd9bf3fe8_3576_4c6d_ba07_7febb0e91c72" hidden="1">#REF!</definedName>
    <definedName name="TBd9c250af_0667_4c0a_a9d2_5623984473d3" hidden="1">#REF!</definedName>
    <definedName name="TBd9d4e038_78f5_4d8c_a7b6_478770b66686" hidden="1">#REF!</definedName>
    <definedName name="TBd9edc4a7_879e_4871_89ab_82cc86314f3d" hidden="1">#REF!</definedName>
    <definedName name="TBd9efe8b1_8d67_45e0_8241_db9d54d843f9" hidden="1">#REF!</definedName>
    <definedName name="TBd9f4cf16_81b3_4dca_8cc4_612e76a71533" hidden="1">#REF!</definedName>
    <definedName name="TBd9fb086b_15ca_461d_8213_de109e880261" hidden="1">#REF!</definedName>
    <definedName name="TBd9ff4d9e_fcbe_444e_bc2f_76cbfd8b67a7" hidden="1">#REF!</definedName>
    <definedName name="TBda017a85_c7c8_4dbe_8b73_11e87d529eef" hidden="1">#REF!</definedName>
    <definedName name="TBda02c7a4_3bf4_4574_8a23_c5083cf74e3b" hidden="1">#REF!</definedName>
    <definedName name="TBda0418ca_f391_45a4_9027_5cfccbb89e30" hidden="1">#REF!</definedName>
    <definedName name="TBda103ced_5920_4c43_90af_94a237774396" hidden="1">#REF!</definedName>
    <definedName name="TBda193638_6ee0_4850_a2df_3364e0d1ab48" hidden="1">#REF!</definedName>
    <definedName name="TBda19f64e_5125_4434_9b1c_63848fe7df75" hidden="1">#REF!</definedName>
    <definedName name="TBda1a32d6_22d5_43ad_8e82_edec258195c5" hidden="1">#REF!</definedName>
    <definedName name="TBda1b0836_6217_4a9a_87b0_ceab0f228c96" hidden="1">#REF!</definedName>
    <definedName name="TBda1c7466_c643_4e9f_9e8e_a923e9a403fc" hidden="1">#REF!</definedName>
    <definedName name="TBda31d33a_7133_4322_9d93_0435cbc07a8d" hidden="1">#REF!</definedName>
    <definedName name="TBda4b669f_adfd_4a38_8ae4_500ee52c9b55" hidden="1">#REF!</definedName>
    <definedName name="TBda4db811_579d_4a13_82b5_90c2dd06ad54" hidden="1">#REF!</definedName>
    <definedName name="TBda55a886_350c_4d94_a325_e6185a019f5c" hidden="1">#REF!</definedName>
    <definedName name="TBda55b512_62a7_4c86_bb87_3bb6b854113d" hidden="1">#REF!</definedName>
    <definedName name="TBda562f88_c252_47b9_86b4_80e9ad7069a3" hidden="1">#REF!</definedName>
    <definedName name="TBda5779f2_6601_499a_8085_d52b5af49269" hidden="1">#REF!</definedName>
    <definedName name="TBda698959_2c36_4d56_95ab_3ef8a8ec9622" hidden="1">#REF!</definedName>
    <definedName name="TBda748e4e_b2ad_42cf_98b1_e36120d73e58" hidden="1">#REF!</definedName>
    <definedName name="TBda7e2857_8793_4675_8d48_dc27c1c33297" hidden="1">#REF!</definedName>
    <definedName name="TBda83abd3_f3fa_4e5f_8818_8fc9fdd2382c" hidden="1">#REF!</definedName>
    <definedName name="TBda8e2eae_7d1e_4e75_ae18_53336a3d1406" hidden="1">#REF!</definedName>
    <definedName name="TBda94c012_b27e_4cf9_a545_ca64b1474bf0" hidden="1">#REF!</definedName>
    <definedName name="TBdaa36bee_8327_48b8_b2b9_f966c2b358bb" hidden="1">#REF!</definedName>
    <definedName name="TBdaaf0e5d_d777_4d7a_afb8_083ea20165d4" hidden="1">#REF!</definedName>
    <definedName name="TBdab6c223_5c36_4784_a00e_7193d20d5490" hidden="1">#REF!</definedName>
    <definedName name="TBdabe1092_38c2_4622_902e_2b6b696fc412" hidden="1">#REF!</definedName>
    <definedName name="TBdac9c852_6fea_416a_8a00_878f1dc8a1c2" hidden="1">#REF!</definedName>
    <definedName name="TBdacf206a_536e_4932_854e_eaad263ace4c" hidden="1">#REF!</definedName>
    <definedName name="TBdad346d9_97bb_4bde_8b61_1229bfc825e6" hidden="1">#REF!</definedName>
    <definedName name="TBdae0875f_9714_42f6_b610_20b7d8566ba7" hidden="1">#REF!</definedName>
    <definedName name="TBdae79910_455b_4a28_8809_a30324ddbdd5" hidden="1">#REF!</definedName>
    <definedName name="TBdaf19751_c4d8_470b_9219_b352e02e521c" hidden="1">#REF!</definedName>
    <definedName name="TBdb00b1f4_aabd_4491_9817_f5cca8694058" hidden="1">#REF!</definedName>
    <definedName name="TBdb0976f1_f8d5_409f_b30c_d3acea924b15" hidden="1">#REF!</definedName>
    <definedName name="TBdb1bf706_63a1_4f6e_ad45_628e954b9de0" hidden="1">#REF!</definedName>
    <definedName name="TBdb22575a_73cb_420b_b893_7272ab893411" hidden="1">#REF!</definedName>
    <definedName name="TBdb2a74ae_d60c_4973_aa74_7839ec7252bf" hidden="1">#REF!</definedName>
    <definedName name="TBdb2fa9ac_9752_4183_99c5_6856d876c471" hidden="1">#REF!</definedName>
    <definedName name="TBdb304ac4_7bdd_4e6d_bc69_ac7a6d16bdb6" hidden="1">#REF!</definedName>
    <definedName name="TBdb32904a_c856_41fd_8de6_f7145efccbd5" hidden="1">#REF!</definedName>
    <definedName name="TBdb42eee2_aa78_48f7_a967_9b7841a552f0" hidden="1">#REF!</definedName>
    <definedName name="TBdb43e22a_65e0_4fce_8a26_4908d4ca598e" hidden="1">#REF!</definedName>
    <definedName name="TBdb4a43f1_6326_48d8_82ef_b5c7cf760ccd" hidden="1">#REF!</definedName>
    <definedName name="TBdb4d3db8_3ca7_4939_8239_55e192df93ee" hidden="1">#REF!</definedName>
    <definedName name="TBdb50f4e3_76f8_4b5a_bfb8_eeae49911ff0" hidden="1">#REF!</definedName>
    <definedName name="TBdb52549a_93ff_4105_a517_59c25e88d0af" hidden="1">#REF!</definedName>
    <definedName name="TBdb6214fa_fffa_4efd_87fa_a8c781aa38bc" hidden="1">#REF!</definedName>
    <definedName name="TBdb639af5_fa8d_4f16_9395_4883012abb44" hidden="1">#REF!</definedName>
    <definedName name="TBdb67b6d8_392d_4e97_863f_74a775121aed" hidden="1">#REF!</definedName>
    <definedName name="TBdb67d6dc_c0e5_42ff_ba38_5c9ffd76d052" hidden="1">#REF!</definedName>
    <definedName name="TBdb6eb216_b6f4_4b49_b79c_b41d30bd3cd3" hidden="1">#REF!</definedName>
    <definedName name="TBdb7c9e91_6bd3_4283_992a_073916a91619" hidden="1">#REF!</definedName>
    <definedName name="TBdb97823b_15e1_4c06_807d_5f6c79cc8328" hidden="1">#REF!</definedName>
    <definedName name="TBdbb4bf58_28db_4369_8af6_fbc332e7497c" hidden="1">#REF!</definedName>
    <definedName name="TBdbb799a6_5ba0_4edd_a936_86632915f111" hidden="1">#REF!</definedName>
    <definedName name="TBdbb7da09_b08a_457c_b074_f9cd76a92374" hidden="1">#REF!</definedName>
    <definedName name="TBdbb942e5_8701_4233_a3bd_6d41f2e48b02" hidden="1">#REF!</definedName>
    <definedName name="TBdbc11b15_067a_42bb_931f_a23c515b2f8c" hidden="1">#REF!</definedName>
    <definedName name="TBdbc11f8e_9eb5_43b3_81a4_5d676ee507d5" hidden="1">#REF!</definedName>
    <definedName name="TBdbc23429_0543_46d0_b929_f473924f4fe3" hidden="1">#REF!</definedName>
    <definedName name="TBdbcce090_f6c5_4c3d_8819_4160d4dfdd10" hidden="1">#REF!</definedName>
    <definedName name="TBdbe66724_696b_4935_a6d4_e0548c54374c" hidden="1">#REF!</definedName>
    <definedName name="TBdbf0becf_647e_4655_bccd_701f8fe89332" hidden="1">#REF!</definedName>
    <definedName name="TBdbf8f7c9_e389_4de0_be65_5b7c24f556f4" hidden="1">#REF!</definedName>
    <definedName name="TBdc05f847_2a98_4d66_b838_ef0d384a39c4" hidden="1">#REF!</definedName>
    <definedName name="TBdc0c1b71_048e_4671_aaff_2ebf9c179711" hidden="1">#REF!</definedName>
    <definedName name="TBdc10454c_1d37_4b78_ae45_243e7de97c98" hidden="1">#REF!</definedName>
    <definedName name="TBdc140571_7158_4142_8edd_ecfacfaa5fe7" hidden="1">#REF!</definedName>
    <definedName name="TBdc2544ac_1205_44f5_a414_36b6a17723d8" hidden="1">#REF!</definedName>
    <definedName name="TBdc2c8bb2_8dc5_4e36_9403_7ebc993b1074" hidden="1">#REF!</definedName>
    <definedName name="TBdc2fe36d_af69_48eb_91ee_a4e2bf23efaf" hidden="1">#REF!</definedName>
    <definedName name="TBdc39a6ab_9847_43d6_b35a_47a82755b56d" hidden="1">#REF!</definedName>
    <definedName name="TBdc48ff20_5cdc_42ae_b123_53f7ef178353" hidden="1">#REF!</definedName>
    <definedName name="TBdc4ead31_2de2_4b33_9153_242839ba909c" hidden="1">#REF!</definedName>
    <definedName name="TBdc5becc1_caa5_4dac_b754_177c16695c17" hidden="1">#REF!</definedName>
    <definedName name="TBdc693fa4_b1c7_4777_bc37_363f9431eeed" hidden="1">#REF!</definedName>
    <definedName name="TBdc752a38_bfe1_4d07_99fa_dda38c1ecc95" hidden="1">#REF!</definedName>
    <definedName name="TBdc7e19b3_de23_4ba1_bca1_8abf9307387d" hidden="1">#REF!</definedName>
    <definedName name="TBdc83f3f6_9ef9_44ae_b192_64562df31fbd" hidden="1">#REF!</definedName>
    <definedName name="TBdc851de2_c289_4a1c_878b_69a3a1638893" hidden="1">#REF!</definedName>
    <definedName name="TBdc91c840_ad0c_4418_b924_97e89fc8a90f" hidden="1">#REF!</definedName>
    <definedName name="TBdc951c93_a1c0_4a72_8003_d157add65955" hidden="1">#REF!</definedName>
    <definedName name="TBdca20e03_d0c7_4d56_8a55_e8e927b9ec21" hidden="1">#REF!</definedName>
    <definedName name="TBdcb5a1dc_ee3d_449f_98ee_c919728d9311" hidden="1">#REF!</definedName>
    <definedName name="TBdcb970bd_040d_4a2b_b5af_d5d04a3f5dab" hidden="1">#REF!</definedName>
    <definedName name="TBdcbd7ead_5c06_4a58_a83c_97405acbbce0" hidden="1">#REF!</definedName>
    <definedName name="TBdcc707b0_e7d6_46ec_8776_f4790c3d3588" hidden="1">#REF!</definedName>
    <definedName name="TBdce35785_3d8a_4f5f_ba26_9b7b54351cf4" hidden="1">#REF!</definedName>
    <definedName name="TBdcf4a441_4255_4555_a5e7_d9d05f14939f" hidden="1">#REF!</definedName>
    <definedName name="TBdcf78cc7_986e_4bdb_b2cd_160ff40e8931" hidden="1">#REF!</definedName>
    <definedName name="TBdcfdcebd_a56c_4375_a6e8_202232d01ce4" hidden="1">#REF!</definedName>
    <definedName name="TBdd0a1a1a_009b_4178_af59_5828b220fa86" hidden="1">#REF!</definedName>
    <definedName name="TBdd0d749c_aa05_43a8_9ac8_88e349bef375" hidden="1">#REF!</definedName>
    <definedName name="TBdd1f7ce0_1981_448d_84d1_bdb75549b836" hidden="1">#REF!</definedName>
    <definedName name="TBdd24b26b_639b_419d_88d3_be84fa4be81c" hidden="1">#REF!</definedName>
    <definedName name="TBdd29ca9e_8f38_437a_abec_669d9776c385" hidden="1">#REF!</definedName>
    <definedName name="TBdd2a30ce_367d_4b9e_a2a4_e797b101dd27" hidden="1">#REF!</definedName>
    <definedName name="TBdd2c1810_a315_4cdc_8656_5cdc058a579d" hidden="1">#REF!</definedName>
    <definedName name="TBdd2cf84a_7134_480b_8286_6ce7bf36ae7d" hidden="1">#REF!</definedName>
    <definedName name="TBdd379a99_48cf_44ed_bf25_109eecd8f9c8" hidden="1">#REF!</definedName>
    <definedName name="TBdd3c2ffd_db0a_4ff5_9735_3d0f3388e8b7" hidden="1">#REF!</definedName>
    <definedName name="TBdd40825c_a2b9_48a8_91de_88ded6540c9c" hidden="1">#REF!</definedName>
    <definedName name="TBdd48be5d_005f_4a88_81c1_1a6ae3f44aaf" hidden="1">#REF!</definedName>
    <definedName name="TBdd589fd7_f9fb_4fc1_bb0f_95b7612e1194" hidden="1">#REF!</definedName>
    <definedName name="TBdd6bac7a_178f_4f96_b557_9c11825ff37d" hidden="1">#REF!</definedName>
    <definedName name="TBdd6c6a3f_3747_4042_8aa9_2f20d9d244a1" hidden="1">#REF!</definedName>
    <definedName name="TBdd6fa8e7_4812_45dc_a245_c07ea426c088" hidden="1">#REF!</definedName>
    <definedName name="TBdd772d39_3ad3_4bba_bc2b_1d900708ba2c" hidden="1">#REF!</definedName>
    <definedName name="TBdd83ff87_9045_4c0e_89b3_291982c24cb2" hidden="1">#REF!</definedName>
    <definedName name="TBdd916d0e_8f99_4692_bbdc_b5dee74bc8bc" hidden="1">#REF!</definedName>
    <definedName name="TBdd92ad27_132f_4794_9fa6_6dd07636336c" hidden="1">#REF!</definedName>
    <definedName name="TBdd9e1265_e00f_4585_9754_c2f2a9101eeb" hidden="1">#REF!</definedName>
    <definedName name="TBddbe3788_e97c_4144_8db7_6012c07c89b5" hidden="1">#REF!</definedName>
    <definedName name="TBddc57d9f_3c19_4f41_9d11_97b4744d09fd" hidden="1">#REF!</definedName>
    <definedName name="TBddc87a71_ba07_4d51_825b_e66d5bba7216" hidden="1">#REF!</definedName>
    <definedName name="TBddcfabb1_26ca_4a4e_90ea_9ad826753e23" hidden="1">#REF!</definedName>
    <definedName name="TBddd826e8_26d4_4203_9119_b235da986f50" hidden="1">#REF!</definedName>
    <definedName name="TBddd94473_91e2_4f80_b2da_b5ff1130a5f7" hidden="1">#REF!</definedName>
    <definedName name="TBdde15b7f_5b4b_4144_9212_a619662c6c23" hidden="1">#REF!</definedName>
    <definedName name="TBddf351ea_a54f_4970_bf54_89b9151b0d1e" hidden="1">#REF!</definedName>
    <definedName name="TBddfca06c_ed35_4b90_b6c5_ff468d5ae854" hidden="1">#REF!</definedName>
    <definedName name="TBddfd5457_8a27_47ed_a993_715b01c73c3a" hidden="1">#REF!</definedName>
    <definedName name="TBde11c9da_3617_4c6b_9a6f_fec6bcdb7eb0" hidden="1">#REF!</definedName>
    <definedName name="TBde1c58a3_da67_4864_97f8_537f30c72e3f" hidden="1">#REF!</definedName>
    <definedName name="TBde1e51f7_64a5_4428_a8ab_791d2efa5aa2" hidden="1">#REF!</definedName>
    <definedName name="TBde1e8769_2cb1_4fe0_87e1_605b29e7cc1c" hidden="1">#REF!</definedName>
    <definedName name="TBde5a9c91_7a85_4a97_888c_59c767333a55" hidden="1">#REF!</definedName>
    <definedName name="TBde6ff8f1_c412_4270_b43c_5db64d1e69f5" hidden="1">#REF!</definedName>
    <definedName name="TBde72300c_34fd_491a_838f_f1099511c53d" hidden="1">#REF!</definedName>
    <definedName name="TBde9a9982_9f1d_454b_8d7a_06d7b8936f2f" hidden="1">#REF!</definedName>
    <definedName name="TBdea3c97f_570b_451f_9069_ca6f2dd3ddf1" hidden="1">#REF!</definedName>
    <definedName name="TBdeabe742_742f_4463_bb40_22e481f20760" hidden="1">#REF!</definedName>
    <definedName name="TBdeb65d84_6d3c_424b_9279_a37c6bc427f4" hidden="1">#REF!</definedName>
    <definedName name="TBdec58188_11dd_44b5_b498_d0e5da2db703" hidden="1">#REF!</definedName>
    <definedName name="TBdee39692_1ffd_42eb_8e3e_9f6ec23a32bb" hidden="1">#REF!</definedName>
    <definedName name="TBdeeaf3e2_d44b_4822_b8e8_53a6e94ce43f" hidden="1">#REF!</definedName>
    <definedName name="TBdef39367_19fe_421f_b48a_db30f222aec3" hidden="1">#REF!</definedName>
    <definedName name="TBdef4d5a2_f716_477d_9276_d3071d33c468" hidden="1">#REF!</definedName>
    <definedName name="TBdf03bced_5e66_47e0_b996_e56eb86b9cb8" hidden="1">#REF!</definedName>
    <definedName name="TBdf04fe33_490a_43a2_b3ef_274c85dd4f8c" hidden="1">#REF!</definedName>
    <definedName name="TBdf11e1f0_022c_400f_8195_d0e77dd0d404" hidden="1">#REF!</definedName>
    <definedName name="TBdf16b319_2b45_4037_9772_f5e341ec3a73" hidden="1">#REF!</definedName>
    <definedName name="TBdf26dfef_dacc_4a0d_b765_f1c04fc35d07" hidden="1">#REF!</definedName>
    <definedName name="TBdf2adb2a_4422_4225_a597_bcffe2a02f76" hidden="1">#REF!</definedName>
    <definedName name="TBdf2c1c76_162f_4f77_b761_1017b294d584" hidden="1">#REF!</definedName>
    <definedName name="TBdf4b5818_fce8_44b8_a969_6af5ac0d8a6c" hidden="1">#REF!</definedName>
    <definedName name="TBdf4d275e_ef01_4d0e_b4f1_6e887d456c71" hidden="1">#REF!</definedName>
    <definedName name="TBdf506371_4364_4cf6_91a4_7c2679a4dda3" hidden="1">#REF!</definedName>
    <definedName name="TBdf521426_7d65_48a3_a1db_8de84f127375" hidden="1">#REF!</definedName>
    <definedName name="TBdf55b044_f386_42c9_b170_c36b51dd0967" hidden="1">#REF!</definedName>
    <definedName name="TBdf737d33_db27_4b51_a457_5454d0cb0598" hidden="1">#REF!</definedName>
    <definedName name="TBdf76bb0a_f20e_4b40_882e_78e3d728bff1" hidden="1">#REF!</definedName>
    <definedName name="TBdf931682_d984_4b28_98e5_304f40fbacda" hidden="1">#REF!</definedName>
    <definedName name="TBdf9d7d9f_7392_4ec8_a18a_8879d67823c1" hidden="1">#REF!</definedName>
    <definedName name="TBdfad7124_a788_49bd_87d7_829330639d9a" hidden="1">#REF!</definedName>
    <definedName name="TBdfc86d30_80df_4834_9fee_7325db86ce8e" hidden="1">#REF!</definedName>
    <definedName name="TBdfca9645_6a94_406d_9eef_b32e91ebaa41" hidden="1">#REF!</definedName>
    <definedName name="TBdfcb84b4_57df_41c2_943b_de0b08c93f60" hidden="1">#REF!</definedName>
    <definedName name="TBdfd15205_9a34_4d25_8d9f_abb6d7f3bdc2" hidden="1">#REF!</definedName>
    <definedName name="TBdfd77d0f_59da_47bb_86a9_09603bb30480" hidden="1">#REF!</definedName>
    <definedName name="TBdfd94b23_88b6_45a4_9cdb_c7d4434401db" hidden="1">#REF!</definedName>
    <definedName name="TBdfda8595_ae76_46b4_892a_096f8994ae0b" hidden="1">#REF!</definedName>
    <definedName name="TBdfde4e9a_d58e_4062_87ff_a84443df9256" hidden="1">#REF!</definedName>
    <definedName name="TBdfeb7e51_7a69_4ccf_a929_b8b6f57c7381" hidden="1">#REF!</definedName>
    <definedName name="TBdff7ed8b_ddad_4b3e_b945_c68b05b2692b" hidden="1">#REF!</definedName>
    <definedName name="TBdffe3fc2_716a_4755_b720_b72ee670124e" hidden="1">#REF!</definedName>
    <definedName name="TBe010f597_99e8_4eae_a563_0398d51f57b4" hidden="1">#REF!</definedName>
    <definedName name="TBe011aa86_6da5_4bb0_a020_7405ac75d51e" hidden="1">#REF!</definedName>
    <definedName name="TBe018080b_c7c5_4d82_9b3f_9d450b4addd5" hidden="1">#REF!</definedName>
    <definedName name="TBe01a7b73_57ff_49e6_bc56_ac4aebcfceaf" hidden="1">#REF!</definedName>
    <definedName name="TBe03066ac_a88d_4d67_bd67_e6f7c36a68cb" hidden="1">#REF!</definedName>
    <definedName name="TBe030f2fc_ede6_4642_8514_694e55b7803d" hidden="1">#REF!</definedName>
    <definedName name="TBe0362ca8_cfe0_4c69_9716_7175bcfd6840" hidden="1">#REF!</definedName>
    <definedName name="TBe039e1ea_7883_4d3a_a7eb_4ba6dba87f22" hidden="1">#REF!</definedName>
    <definedName name="TBe0439de6_8883_4ec6_b634_048a5e7d03b8" hidden="1">#REF!</definedName>
    <definedName name="TBe052b32a_a04d_411e_8f73_2d7b6afc0fd6" hidden="1">#REF!</definedName>
    <definedName name="TBe0538d7c_1305_41ef_8368_d4c8775de255" hidden="1">#REF!</definedName>
    <definedName name="TBe05a48bb_995a_4f2f_8701_b206e8c82ee0" hidden="1">#REF!</definedName>
    <definedName name="TBe05b01a0_b455_401d_ad54_fa82c7eb9aff" hidden="1">#REF!</definedName>
    <definedName name="TBe0604807_8a27_4aa0_b57d_2856f9cba983" hidden="1">#REF!</definedName>
    <definedName name="TBe07ae5ff_b715_4360_96ed_280f7436c0de" hidden="1">#REF!</definedName>
    <definedName name="TBe07ee90f_128d_4733_8817_85137e3e15d2" hidden="1">#REF!</definedName>
    <definedName name="TBe081a2cb_02f2_425d_9df4_504d2bf81ab6" hidden="1">#REF!</definedName>
    <definedName name="TBe083be53_2878_46af_a3d3_24a88d4fc5eb" hidden="1">#REF!</definedName>
    <definedName name="TBe085f71c_e969_4e62_a66c_472d1a37a4a1" hidden="1">#REF!</definedName>
    <definedName name="TBe0906c86_9ab8_4643_9c65_974b3ec0c699" hidden="1">#REF!</definedName>
    <definedName name="TBe094de49_7ac6_430c_86e9_092dac10621e" hidden="1">#REF!</definedName>
    <definedName name="TBe0976251_9672_410f_bf9b_26ffb13443ff" hidden="1">#REF!</definedName>
    <definedName name="TBe0ad855e_7c27_4acd_b645_80f30b20ab55" hidden="1">#REF!</definedName>
    <definedName name="TBe0b65b56_05a8_45a5_8669_ecebe6a5cf0f" hidden="1">#REF!</definedName>
    <definedName name="TBe0e85d86_158b_4c42_9b95_a46225f7be5b" hidden="1">#REF!</definedName>
    <definedName name="TBe0fb4eac_2e61_4b0c_bb02_0dcb7696247d" hidden="1">#REF!</definedName>
    <definedName name="TBe106a69b_c2dc_4cd2_9137_65ec75db4e19" hidden="1">#REF!</definedName>
    <definedName name="TBe11bbea4_946e_4a07_88bf_d7bc4652c9f2" hidden="1">#REF!</definedName>
    <definedName name="TBe11cd447_8c09_40e8_9c73_38f7b794dc38" hidden="1">#REF!</definedName>
    <definedName name="TBe11e92bf_9060_40f5_90cd_f8178fb45a61" hidden="1">#REF!</definedName>
    <definedName name="TBe128c5b2_6fd9_4cb6_9ab3_a05a3969cca8" hidden="1">#REF!</definedName>
    <definedName name="TBe12ffafd_8efa_411c_af20_c831fba00ca9" hidden="1">#REF!</definedName>
    <definedName name="TBe131f1a4_5b0e_4f4e_b840_fe58a10a52cb" hidden="1">#REF!</definedName>
    <definedName name="TBe14a83a3_98ab_4251_a097_9da01a64f420" hidden="1">#REF!</definedName>
    <definedName name="TBe15318bf_fe92_416f_9913_10764ff4b928" hidden="1">#REF!</definedName>
    <definedName name="TBe1664cf3_45d4_44c2_8882_38d2f300166a" hidden="1">#REF!</definedName>
    <definedName name="TBe168d9cb_af19_4b4d_9a20_bdcdc01cdc11" hidden="1">#REF!</definedName>
    <definedName name="TBe178156f_d85a_4090_ab51_4816ffe8430a" hidden="1">#REF!</definedName>
    <definedName name="TBe179317f_1a7d_4825_a74e_e9869169b84b" hidden="1">#REF!</definedName>
    <definedName name="TBe179bdb9_6d9f_4d29_882c_de4287c42e2a" hidden="1">#REF!</definedName>
    <definedName name="TBe18a4595_c115_40b8_b05f_1f397246368d" hidden="1">#REF!</definedName>
    <definedName name="TBe18eccaa_f5cf_4da7_a5ac_32249e870a87" hidden="1">#REF!</definedName>
    <definedName name="TBe19b3d0e_4914_4d12_b1de_e77ad92e1145" hidden="1">#REF!</definedName>
    <definedName name="TBe1a0ea12_d4eb_4b1d_9b62_2df5b8dc557b" hidden="1">#REF!</definedName>
    <definedName name="TBe1b09c46_cf09_4f58_8ea3_bb046ac44d6f" hidden="1">#REF!</definedName>
    <definedName name="TBe1d05e2b_ac01_41ff_9c1b_f763436a8e50" hidden="1">#REF!</definedName>
    <definedName name="TBe1f3447c_d5ec_4525_9bd5_8bfba9efafb2" hidden="1">#REF!</definedName>
    <definedName name="TBe1fd3b6c_3f1c_4fea_ba45_95caa761a9fc" hidden="1">#REF!</definedName>
    <definedName name="TBe200a6a9_779d_46c5_b0f4_320f2e300445" hidden="1">#REF!</definedName>
    <definedName name="TBe205f9a6_5042_4bdb_a65e_dc71a3f976e0" hidden="1">#REF!</definedName>
    <definedName name="TBe20723ce_e2e7_4afe_93c0_06ac55b178b5" hidden="1">#REF!</definedName>
    <definedName name="TBe210e1c1_214e_4101_8c02_dccac51d08cc" hidden="1">#REF!</definedName>
    <definedName name="TBe213e9c4_0f53_4a9c_b9f6_d271f8aac28e" hidden="1">#REF!</definedName>
    <definedName name="TBe218a816_75cd_4506_b8ca_fd8de1bffc35" hidden="1">#REF!</definedName>
    <definedName name="TBe21a332a_597b_4342_8bdf_6130bbc83a42" hidden="1">#REF!</definedName>
    <definedName name="TBe2414120_d0a4_40d7_9617_2f3dbec394af" hidden="1">#REF!</definedName>
    <definedName name="TBe24de282_3a3f_4b23_a217_c54a7ad99572" hidden="1">#REF!</definedName>
    <definedName name="TBe2520429_0d97_47f2_a208_695a4c58a8db" hidden="1">#REF!</definedName>
    <definedName name="TBe25c2bf1_8e8c_4733_9f12_13722521777e" hidden="1">#REF!</definedName>
    <definedName name="TBe2667d90_a93b_452d_837e_c0fb6e3db9d7" hidden="1">#REF!</definedName>
    <definedName name="TBe26fb946_5aad_4acd_8dfc_c764a426f140" hidden="1">#REF!</definedName>
    <definedName name="TBe27d1143_647e_4519_b170_d81114410897" hidden="1">#REF!</definedName>
    <definedName name="TBe28a2486_7789_48be_a616_6e959909ca14" hidden="1">#REF!</definedName>
    <definedName name="TBe293a052_6c40_48cb_9077_d502c727e577" hidden="1">#REF!</definedName>
    <definedName name="TBe29512ff_cb8e_416b_8e74_4b7c75c78d1c" hidden="1">#REF!</definedName>
    <definedName name="TBe29ffff0_8d04_47bc_9b37_0cf5e3dc6f36" hidden="1">#REF!</definedName>
    <definedName name="TBe2a7de43_3dcf_4f5f_9c61_d27539f7f784" hidden="1">#REF!</definedName>
    <definedName name="TBe2acb669_c6c4_4310_8335_7ca4db0c7a43" hidden="1">#REF!</definedName>
    <definedName name="TBe2bd9800_3fa7_4238_a963_b09f9beb3108" hidden="1">#REF!</definedName>
    <definedName name="TBe2c3cdc2_1071_4c7c_bed5_5e67e2a536b2" hidden="1">#REF!</definedName>
    <definedName name="TBe2d20ac3_8afd_43c3_ab5d_8519a41fb08d" hidden="1">#REF!</definedName>
    <definedName name="TBe2e3f042_a183_4843_baa5_36e3971337ca" hidden="1">#REF!</definedName>
    <definedName name="TBe2e9229a_d926_4e9d_a26c_694b1b4b38b8" hidden="1">#REF!</definedName>
    <definedName name="TBe2ecea69_49df_4d3d_92b7_817e4098a8fa" hidden="1">#REF!</definedName>
    <definedName name="TBe30ab69c_9634_427e_837f_cf4eb3927a0e" hidden="1">#REF!</definedName>
    <definedName name="TBe30d0b13_5fff_4915_bda8_f098b18eacd1" hidden="1">#REF!</definedName>
    <definedName name="TBe30e062d_ad85_4136_a7ad_b70a154ce1e6" hidden="1">#REF!</definedName>
    <definedName name="TBe312f311_ba24_4d51_88dd_9b4be3482806" hidden="1">#REF!</definedName>
    <definedName name="TBe31d9d55_1838_48ed_80ac_92e3eba9e2af" hidden="1">#REF!</definedName>
    <definedName name="TBe3316749_33d3_41b4_a0aa_964063be8e80" hidden="1">#REF!</definedName>
    <definedName name="TBe332f099_14bf_4c65_b2fc_29aca8961247" hidden="1">#REF!</definedName>
    <definedName name="TBe33d9bc7_6c39_47ba_af68_3e131e1cbd27" hidden="1">#REF!</definedName>
    <definedName name="TBe34e2678_b535_4c83_bac3_eace27a4ef1e" hidden="1">#REF!</definedName>
    <definedName name="TBe3545870_7e4f_4156_acca_a5f40ae75374" hidden="1">#REF!</definedName>
    <definedName name="TBe3596e82_bbfe_4f23_983e_2cb49817c43f" hidden="1">#REF!</definedName>
    <definedName name="TBe35dda71_478a_4e62_b3db_b286c0363faf" hidden="1">#REF!</definedName>
    <definedName name="TBe35fe350_2e00_47b5_af72_a9e19d38896c" hidden="1">#REF!</definedName>
    <definedName name="TBe360de80_bfe9_45a9_ba48_6b0696afa8b9" hidden="1">#REF!</definedName>
    <definedName name="TBe3656d5a_fddc_4dee_8a3f_8acfcbb44c72" hidden="1">#REF!</definedName>
    <definedName name="TBe36909ce_ae37_4ee1_a82b_c8cee663faf5" hidden="1">#REF!</definedName>
    <definedName name="TBe372af8c_3f87_4841_b872_6a069d0a7d68" hidden="1">#REF!</definedName>
    <definedName name="TBe38744e6_4932_41d1_b21b_b96d8a7a6ba5" hidden="1">#REF!</definedName>
    <definedName name="TBe38774b5_eadc_44e1_b017_ff895e617da5" hidden="1">#REF!</definedName>
    <definedName name="TBe3982ac0_776c_4cbc_a45d_7b1dac42f5ef" hidden="1">#REF!</definedName>
    <definedName name="TBe3aa8c61_c1e5_4871_add6_bd40c105821e" hidden="1">#REF!</definedName>
    <definedName name="TBe3bca9aa_36ad_4d80_a4d6_39bc5c65f40b" hidden="1">#REF!</definedName>
    <definedName name="TBe3be6e21_7c1c_48c1_8bc4_b002bc476f08" hidden="1">#REF!</definedName>
    <definedName name="TBe3d1b9bd_e4ae_4937_9cdc_ec44245eebfb" hidden="1">#REF!</definedName>
    <definedName name="TBe3d1bfa6_4114_4099_84d1_7dae48965342" hidden="1">#REF!</definedName>
    <definedName name="TBe3f5fe4d_0a3c_4c48_8d44_fe94d72aee3b" hidden="1">#REF!</definedName>
    <definedName name="TBe407f36c_71a5_4823_b143_c967f6fb501f" hidden="1">#REF!</definedName>
    <definedName name="TBe40901ea_e993_4335_a81f_cfbe608c09cb" hidden="1">#REF!</definedName>
    <definedName name="TBe41a3134_d6ad_42d1_90c6_a101feb8fbaf" hidden="1">#REF!</definedName>
    <definedName name="TBe41bf52b_aa33_497a_9f49_23df5bef24fe" hidden="1">#REF!</definedName>
    <definedName name="TBe41deca6_b8dd_4674_8646_454c4da9677a" hidden="1">#REF!</definedName>
    <definedName name="TBe423050e_65e4_4cc6_9cf2_ec7932864441" hidden="1">#REF!</definedName>
    <definedName name="TBe428aa17_ddae_4d92_bfeb_2bfceedcf87e" hidden="1">#REF!</definedName>
    <definedName name="TBe43373a2_9e4f_4c52_8736_13736f70ee50" hidden="1">#REF!</definedName>
    <definedName name="TBe438c5ff_8cea_4ada_8c43_e3ff5163fcdb" hidden="1">#REF!</definedName>
    <definedName name="TBe43c023f_51cf_417a_bce5_f91bc71c8043" hidden="1">#REF!</definedName>
    <definedName name="TBe457c633_95cd_4ada_8cc1_9580f53fe6a2" hidden="1">#REF!</definedName>
    <definedName name="TBe45cfd1a_536b_4f93_bf52_d7589bbf70ee" hidden="1">#REF!</definedName>
    <definedName name="TBe465d178_fb4e_418f_a244_91c43f7122b1" hidden="1">#REF!</definedName>
    <definedName name="TBe47439d3_10dc_4f30_9eba_4169283650c8" hidden="1">#REF!</definedName>
    <definedName name="TBe489e07c_6a9a_485a_b31c_f4e9f332d598" hidden="1">#REF!</definedName>
    <definedName name="TBe48c2e86_fe4d_4833_9eea_842f07b0775d" hidden="1">#REF!</definedName>
    <definedName name="TBe4929e74_816f_4e2c_932d_759fae998fcc" hidden="1">#REF!</definedName>
    <definedName name="TBe49ec553_4f93_4569_9bae_ae24edc94265" hidden="1">#REF!</definedName>
    <definedName name="TBe4a4c20b_3a5c_498c_87fe_24fdb8b28e2d" hidden="1">#REF!</definedName>
    <definedName name="TBe4a931c7_3f66_4210_86e0_3257e8f01aba" hidden="1">#REF!</definedName>
    <definedName name="TBe4b76399_7282_4692_822d_cbd673e68428" hidden="1">#REF!</definedName>
    <definedName name="TBe4bb4d17_ecaf_41d0_b12a_edf3feee33f5" hidden="1">#REF!</definedName>
    <definedName name="TBe4ca269f_0736_496a_8960_288b7ee7ce6d" hidden="1">#REF!</definedName>
    <definedName name="TBe4cfbe18_5d65_4a09_bdbb_6604ad5a052b" hidden="1">#REF!</definedName>
    <definedName name="TBe4d161ae_8071_42d8_9483_f0ca147eb806" hidden="1">#REF!</definedName>
    <definedName name="TBe4df2343_20e9_42a9_b200_86b805bdd35d" hidden="1">#REF!</definedName>
    <definedName name="TBe4e6559b_7e1c_4282_9fc7_138ba99ae320" hidden="1">#REF!</definedName>
    <definedName name="TBe4f63466_600f_491e_a82b_216489c3a8d7" hidden="1">#REF!</definedName>
    <definedName name="TBe531b8e4_c43c_4f17_a8de_93b47c931027" hidden="1">#REF!</definedName>
    <definedName name="TBe535de37_fb86_4bb2_b4e0_14fd5d0e0b41" hidden="1">#REF!</definedName>
    <definedName name="TBe536cafb_bc0f_4344_a07a_a71b0e1e30bc" hidden="1">#REF!</definedName>
    <definedName name="TBe53cffa2_b1b3_4d01_a826_8673b44fc636" hidden="1">#REF!</definedName>
    <definedName name="TBe5443bb1_11dc_48b3_87ec_e3ce763a24d6" hidden="1">#REF!</definedName>
    <definedName name="TBe5461094_5d6d_433d_b0c5_47ff30cf41a9" hidden="1">#REF!</definedName>
    <definedName name="TBe548d45a_6af5_49bc_a89a_1293fd19cc2d" hidden="1">#REF!</definedName>
    <definedName name="TBe567ba6f_5348_427b_a49f_d7266d4a6b12" hidden="1">#REF!</definedName>
    <definedName name="TBe56b50da_40d3_459d_a539_7995f136399b" hidden="1">#REF!</definedName>
    <definedName name="TBe5757009_e8bd_4737_8e3f_9666fa3ff225" hidden="1">#REF!</definedName>
    <definedName name="TBe581acd9_09c7_4ab9_8f52_a61ac254c0fa" hidden="1">#REF!</definedName>
    <definedName name="TBe58aed7c_626e_4dc3_a29f_9ae7ef86a987" hidden="1">#REF!</definedName>
    <definedName name="TBe5985244_3770_4af7_98a0_3a33b1cd4e4a" hidden="1">#REF!</definedName>
    <definedName name="TBe5a078b7_5f32_4631_b0a6_74d0e7908945" hidden="1">#REF!</definedName>
    <definedName name="TBe5a33ca6_6d65_459b_bbfc_7a644b1309f1" hidden="1">#REF!</definedName>
    <definedName name="TBe5a6c04a_7249_4d4e_b717_a86d81d274c6" hidden="1">#REF!</definedName>
    <definedName name="TBe5aa3e30_e057_4c75_b6d0_487eacf1224b" hidden="1">#REF!</definedName>
    <definedName name="TBe5b1d982_7126_4e95_b55f_c0f1f3ec6c59" hidden="1">#REF!</definedName>
    <definedName name="TBe5c699c9_b7d1_4195_95c5_04c6e92bb8db" hidden="1">#REF!</definedName>
    <definedName name="TBe5d077ee_66f0_4f58_ab5d_77181c5c696b" hidden="1">#REF!</definedName>
    <definedName name="TBe5d69654_4c38_4e3d_b83a_a064e09db5c0" hidden="1">#REF!</definedName>
    <definedName name="TBe5e731e9_eca4_4588_901a_a611f6561d20" hidden="1">#REF!</definedName>
    <definedName name="TBe5ffc363_7a4d_476c_a349_70a8cb35fbc4" hidden="1">#REF!</definedName>
    <definedName name="TBe6013af4_fcbd_465d_be1d_793cfcdc1016" hidden="1">#REF!</definedName>
    <definedName name="TBe6046711_3f6f_4210_ac8b_341ebf671b4a" hidden="1">#REF!</definedName>
    <definedName name="TBe6065fd0_2245_4c41_ad5f_8061646c1309" hidden="1">#REF!</definedName>
    <definedName name="TBe6217889_7a5b_404c_aeb7_66a8db366786" hidden="1">#REF!</definedName>
    <definedName name="TBe622fff1_dc24_42a5_98ca_4686e538f14d" hidden="1">#REF!</definedName>
    <definedName name="TBe6233165_dee6_4309_8220_0a3ce5e46bab" hidden="1">#REF!</definedName>
    <definedName name="TBe6245eae_c18f_47a6_b556_ba9ac9187068" hidden="1">#REF!</definedName>
    <definedName name="TBe62b17ee_d8f4_4583_9bfb_e70e82337edf" hidden="1">#REF!</definedName>
    <definedName name="TBe62be3da_aca2_4d63_807d_bc9a65811149" hidden="1">#REF!</definedName>
    <definedName name="TBe63af09a_9cce_4c72_8d3e_ee821f11af19" hidden="1">#REF!</definedName>
    <definedName name="TBe63e591d_078f_4131_b17c_7e329591596d" hidden="1">#REF!</definedName>
    <definedName name="TBe6510817_6631_4ce4_8ad0_db6073a4a620" hidden="1">#REF!</definedName>
    <definedName name="TBe65cacf6_76d9_4a2b_9c0c_696b053c0a3d" hidden="1">#REF!</definedName>
    <definedName name="TBe65ef49e_327c_44c3_a99a_103bdc17650f" hidden="1">#REF!</definedName>
    <definedName name="TBe665f507_40e3_4afd_ab41_9af92d51ce52" hidden="1">#REF!</definedName>
    <definedName name="TBe667a384_796a_4784_9679_a7f6eaf24340" hidden="1">#REF!</definedName>
    <definedName name="TBe670b7bd_63ac_415b_8aff_4135d426411c" hidden="1">#REF!</definedName>
    <definedName name="TBe6804199_5fcb_494b_85fb_61e10409b402" hidden="1">#REF!</definedName>
    <definedName name="TBe6869711_383c_4019_8f0f_dd9230423332" hidden="1">#REF!</definedName>
    <definedName name="TBe69921f2_e182_4dc5_b791_98f075127ff1" hidden="1">#REF!</definedName>
    <definedName name="TBe69a96af_fbb7_40a6_9046_7026994e2508" hidden="1">#REF!</definedName>
    <definedName name="TBe69cf59b_2e3b_441b_9b54_1ae6e9bb0503" hidden="1">#REF!</definedName>
    <definedName name="TBe6a59efd_2a72_4f22_8a9a_5a576a067ffd" hidden="1">#REF!</definedName>
    <definedName name="TBe6b19c54_ca23_43d0_bf2a_eef7c35e251e" hidden="1">#REF!</definedName>
    <definedName name="TBe6b3acbb_3d5b_4365_a586_cb643718d44f" hidden="1">#REF!</definedName>
    <definedName name="TBe6b5c6c7_d45a_4952_bb95_0084bbde47a9" hidden="1">#REF!</definedName>
    <definedName name="TBe6c618f7_9274_497c_8d04_44b15587ec48" hidden="1">#REF!</definedName>
    <definedName name="TBe6ca0cb0_aaa9_46a2_9ddd_858450700916" hidden="1">#REF!</definedName>
    <definedName name="TBe6d3d5ff_1be1_43df_8a21_edff42542f55" hidden="1">#REF!</definedName>
    <definedName name="TBe6d510de_ed49_4560_bf18_69b11de64357" hidden="1">#REF!</definedName>
    <definedName name="TBe6d6e0e4_4d8b_4bab_83b2_dadd17182301" hidden="1">#REF!</definedName>
    <definedName name="TBe6d8f7ab_30fc_4aa5_b12b_d5bfddfe7751" hidden="1">#REF!</definedName>
    <definedName name="TBe6e18335_361e_4fb1_997f_70c228a16ba9" hidden="1">#REF!</definedName>
    <definedName name="TBe6ef5bd7_255d_4b52_a8b4_5012250701cf" hidden="1">#REF!</definedName>
    <definedName name="TBe6f920d9_3b7c_4bf5_87f7_7d70021dcf61" hidden="1">#REF!</definedName>
    <definedName name="TBe7233716_e565_4cfb_922c_7826c5cc524b" hidden="1">#REF!</definedName>
    <definedName name="TBe72670bb_13f8_4c02_b4a4_c3e659015db4" hidden="1">#REF!</definedName>
    <definedName name="TBe72fc8bf_5db8_462a_9b8d_17d56a517ac6" hidden="1">#REF!</definedName>
    <definedName name="TBe745ffe2_5c00_47ff_87b5_c0762dce87e2" hidden="1">#REF!</definedName>
    <definedName name="TBe77052aa_2848_4b28_a45c_1de62910a363" hidden="1">#REF!</definedName>
    <definedName name="TBe78d880d_a71b_4df2_a327_db89dc06ac8b" hidden="1">#REF!</definedName>
    <definedName name="TBe78e1c60_fcb9_4ea4_a5b0_6cc57a27c0b9" hidden="1">#REF!</definedName>
    <definedName name="TBe790c260_5fca_4fd7_a1b5_a9643dedc3de" hidden="1">#REF!</definedName>
    <definedName name="TBe79f1eb9_b34b_4bf1_8f3e_72f48b26db1d" hidden="1">#REF!</definedName>
    <definedName name="TBe7acee2f_0a59_437d_ac69_66b609f24219" hidden="1">#REF!</definedName>
    <definedName name="TBe7ae32a2_4081_478b_a876_0dfc89d1fca7" hidden="1">#REF!</definedName>
    <definedName name="TBe7ae48a6_0e80_4891_86db_e8a7d7589123" hidden="1">#REF!</definedName>
    <definedName name="TBe7afe27c_97be_41b7_bfed_891a3f093c1f" hidden="1">#REF!</definedName>
    <definedName name="TBe7c5744a_61a5_4e84_a40b_6c91df0cb151" hidden="1">#REF!</definedName>
    <definedName name="TBe7d260b2_9c45_4750_b398_1e76b9f67253" hidden="1">#REF!</definedName>
    <definedName name="TBe7d56344_6811_4c28_b745_3fc8b6182e4f" hidden="1">#REF!</definedName>
    <definedName name="TBe7d792e1_de98_4a3a_9cb4_7dc2e453c7fe" hidden="1">#REF!</definedName>
    <definedName name="TBe7de1a1d_490f_4442_b337_38b2edc539c9" hidden="1">#REF!</definedName>
    <definedName name="TBe7df1a0e_7607_45a9_9af3_cedda9045032" hidden="1">#REF!</definedName>
    <definedName name="TBe7e17a93_e2e5_4df0_93b7_51737222b104" hidden="1">#REF!</definedName>
    <definedName name="TBe7e7a89d_d777_455c_9b1f_1881324a75ee" hidden="1">#REF!</definedName>
    <definedName name="TBe7ef794f_fb9b_4489_8fad_507baa71954e" hidden="1">#REF!</definedName>
    <definedName name="TBe7f48958_5266_4721_90a1_1d1d8f7c03df" hidden="1">#REF!</definedName>
    <definedName name="TBe7f63f92_91f2_4a4e_9011_c181dbf9c3de" hidden="1">#REF!</definedName>
    <definedName name="TBe801c387_d042_4a54_813b_83914a1d9c71" hidden="1">#REF!</definedName>
    <definedName name="TBe8022b0d_aa74_4afa_a5fa_de06f3bc8e70" hidden="1">#REF!</definedName>
    <definedName name="TBe80f7074_bddb_44d9_8aaf_363718ed33a0" hidden="1">#REF!</definedName>
    <definedName name="TBe81ac6e1_e55e_4450_a619_d1acef0359ef" hidden="1">#REF!</definedName>
    <definedName name="TBe81ed618_c3c1_445d_8850_6a34184c2abc" hidden="1">#REF!</definedName>
    <definedName name="TBe8244c3b_ba1f_4f97_bf08_0b5f3af19c1a" hidden="1">#REF!</definedName>
    <definedName name="TBe83309b0_9606_4bd9_ba93_70a24aa6ee3f" hidden="1">#REF!</definedName>
    <definedName name="TBe854c967_a094_4012_859c_84b8b5fb8424" hidden="1">#REF!</definedName>
    <definedName name="TBe85bb45a_589a_4d87_b16d_601f6f8672ce" hidden="1">#REF!</definedName>
    <definedName name="TBe863c71f_0fd8_4336_90a6_aa27467082fb" hidden="1">#REF!</definedName>
    <definedName name="TBe86aac99_3ce2_4e7b_b47a_91d80ad2e2f6" hidden="1">#REF!</definedName>
    <definedName name="TBe86d8076_1d4c_47d9_ade8_b73c2c255bb1" hidden="1">#REF!</definedName>
    <definedName name="TBe87a7b56_f489_4dc1_98e0_0b745072b607" hidden="1">#REF!</definedName>
    <definedName name="TBe87a9a8d_f2be_400f_b46f_e2e5a8604d3a" hidden="1">#REF!</definedName>
    <definedName name="TBe87cc83f_3d3b_4b33_9a68_f43a0f9e4023" hidden="1">#REF!</definedName>
    <definedName name="TBe881c999_79b8_433a_bf2d_27ace243965d" hidden="1">#REF!</definedName>
    <definedName name="TBe88f6bc4_95fc_4b7a_99e9_867d252c1413" hidden="1">#REF!</definedName>
    <definedName name="TBe895f4a9_0cdf_4ac2_9f4b_172272347879" hidden="1">#REF!</definedName>
    <definedName name="TBe8a2dd93_1468_4692_81da_e0f9a488b2f7" hidden="1">#REF!</definedName>
    <definedName name="TBe8a6a3f3_118c_4c13_8576_f0ce81229225" hidden="1">#REF!</definedName>
    <definedName name="TBe8b23bd2_f771_47fe_8e60_0b7958f80cd3" hidden="1">#REF!</definedName>
    <definedName name="TBe8beb86b_c6af_407b_a2f6_a1100050f83f" hidden="1">#REF!</definedName>
    <definedName name="TBe8bec17f_21fd_4490_8af3_0874f40762c5" hidden="1">#REF!</definedName>
    <definedName name="TBe8cc5844_a630_41e0_96da_88392e6498d1" hidden="1">#REF!</definedName>
    <definedName name="TBe8cf0b06_1a1e_4ff3_9624_b9b93974fabd" hidden="1">#REF!</definedName>
    <definedName name="TBe8d01a77_eeb8_4b9e_a8e6_124f119ab0b6" hidden="1">#REF!</definedName>
    <definedName name="TBe8d34127_e5b7_4a68_813e_7cc10189de83" hidden="1">#REF!</definedName>
    <definedName name="TBe8d3fe47_7272_423f_afd7_4ce17b28e087" hidden="1">#REF!</definedName>
    <definedName name="TBe8e16aa3_ba83_4787_b3e6_b4846533c21d" hidden="1">#REF!</definedName>
    <definedName name="TBe8e75741_0117_445d_bdd0_6d468b1aad49" hidden="1">#REF!</definedName>
    <definedName name="TBe8f8e4fb_e1ff_433f_9d70_c8d9b3eecdbd" hidden="1">#REF!</definedName>
    <definedName name="TBe90cb99a_7e14_414e_99db_393b66acc7c7" hidden="1">#REF!</definedName>
    <definedName name="TBe918beee_2acf_468d_8054_26999bb844e7" hidden="1">#REF!</definedName>
    <definedName name="TBe92ab338_a684_4323_aa01_caf9735083d8" hidden="1">#REF!</definedName>
    <definedName name="TBe92d9cb2_361c_4725_a84c_f2082e93216f" hidden="1">#REF!</definedName>
    <definedName name="TBe94d5bb0_52a3_4f91_b4ce_440ac0e52be6" hidden="1">#REF!</definedName>
    <definedName name="TBe951a226_b94e_42b7_a720_b075ed1bd8fd" hidden="1">#REF!</definedName>
    <definedName name="TBe959e296_a733_49b5_9756_62d4f55d704e" hidden="1">#REF!</definedName>
    <definedName name="TBe95a70ac_1b54_46d3_ac0f_81a3bff8ce03" hidden="1">#REF!</definedName>
    <definedName name="TBe95d6ff1_b1c1_4cb9_831d_30db737b5a5d" hidden="1">#REF!</definedName>
    <definedName name="TBe9700e96_e42f_4ba9_a39e_5a7f4264747b" hidden="1">#REF!</definedName>
    <definedName name="TBe977c49b_9ba6_4f2b_828c_d200f08ae8ee" hidden="1">#REF!</definedName>
    <definedName name="TBe98ae8a9_f754_48f1_beab_3455aa829b6a" hidden="1">#REF!</definedName>
    <definedName name="TBe9939793_04a6_4523_9af6_bb8ececebdc9" hidden="1">#REF!</definedName>
    <definedName name="TBe99e385a_db88_4b31_af67_754a25d395aa" hidden="1">#REF!</definedName>
    <definedName name="TBe9a1a96f_eb48_4e2f_a1ca_2ed28d0452d6" hidden="1">#REF!</definedName>
    <definedName name="TBe9a63c29_778d_41f7_8b0e_cc0b2ac51aff" hidden="1">#REF!</definedName>
    <definedName name="TBe9bd3abd_c942_438a_8034_3efd29b3401e" hidden="1">#REF!</definedName>
    <definedName name="TBe9c39206_82aa_4149_9cb7_58ab851af702" hidden="1">#REF!</definedName>
    <definedName name="TBe9c9c5fb_37a0_4fb1_b009_e6af2924b955" hidden="1">#REF!</definedName>
    <definedName name="TBe9cba20e_61bd_4432_88b3_36e11482cb08" hidden="1">#REF!</definedName>
    <definedName name="TBe9d8ce7c_13ee_4516_930c_f96bde23d22e" hidden="1">#REF!</definedName>
    <definedName name="TBe9dbb472_20e7_429c_86ad_0fb9655bc5d7" hidden="1">#REF!</definedName>
    <definedName name="TBe9dc837b_e44f_4523_a10a_5107294475d1" hidden="1">#REF!</definedName>
    <definedName name="TBe9e9c8d9_19e8_4b06_971a_3b547446d949" hidden="1">#REF!</definedName>
    <definedName name="TBe9f2393a_739b_4266_8726_c55806334157" hidden="1">#REF!</definedName>
    <definedName name="TBea02064c_e5c4_44f5_b528_72674bf52afa" hidden="1">#REF!</definedName>
    <definedName name="TBea12b1ac_dd04_4790_a04d_b191b82909d8" hidden="1">#REF!</definedName>
    <definedName name="TBea14087f_629a_4cfa_8e91_091b24c86aaf" hidden="1">#REF!</definedName>
    <definedName name="TBea1c2e52_a061_44f7_bbad_e871adc9d1c8" hidden="1">#REF!</definedName>
    <definedName name="TBea2dd15c_b5d3_4bc6_ad35_a7b26e8a634d" hidden="1">#REF!</definedName>
    <definedName name="TBea300b49_2e73_48fa_b90e_f665ff7b5a70" hidden="1">#REF!</definedName>
    <definedName name="TBea43c856_6cbd_41b6_8893_292ece6781b0" hidden="1">#REF!</definedName>
    <definedName name="TBea477a8e_0006_4675_9169_74d2d1d46940" hidden="1">#REF!</definedName>
    <definedName name="TBea48d3d9_65d6_4ae1_a1d9_0e23941f8a33" hidden="1">#REF!</definedName>
    <definedName name="TBea53853f_8de8_437a_9b97_7f5c7ece2a2f" hidden="1">#REF!</definedName>
    <definedName name="TBea61f8d4_c0c8_42d1_b692_b9203832d37b" hidden="1">#REF!</definedName>
    <definedName name="TBea7031c1_bb1c_4955_8080_0c88458e4bf0" hidden="1">#REF!</definedName>
    <definedName name="TBea8fb761_de86_43b5_97cf_79e45fe7b6cd" hidden="1">#REF!</definedName>
    <definedName name="TBea94a839_ccae_419a_ae87_354c361945fb" hidden="1">#REF!</definedName>
    <definedName name="TBeaa38875_e8ed_483b_9696_f45663eda4fd" hidden="1">#REF!</definedName>
    <definedName name="TBeaa6eada_d9cd_47fe_a04e_6525a9d92a85" hidden="1">#REF!</definedName>
    <definedName name="TBeaa71908_1dd7_4e62_acd1_2713b53cab10" hidden="1">#REF!</definedName>
    <definedName name="TBeabfb481_7098_4db5_be4b_088c0a68c623" hidden="1">#REF!</definedName>
    <definedName name="TBead82cbf_a4c7_4014_8b2f_ebb42beea6b7" hidden="1">#REF!</definedName>
    <definedName name="TBeada9f0b_dfb2_495e_896f_ad6a34c9b1e2" hidden="1">#REF!</definedName>
    <definedName name="TBeade2e17_46d2_46a8_81ab_0323d2e84545" hidden="1">#REF!</definedName>
    <definedName name="TBeafdd0fb_5ed8_4300_a254_5768d114428e" hidden="1">#REF!</definedName>
    <definedName name="TBeafe0dfa_c501_4697_849c_7ba6fc4d4e78" hidden="1">#REF!</definedName>
    <definedName name="TBeb1e1a7b_e118_4d1e_9d57_1f5016df3dff" hidden="1">#REF!</definedName>
    <definedName name="TBeb1f29ff_4c59_4f29_9267_0675c8b62946" hidden="1">#REF!</definedName>
    <definedName name="TBeb252b5d_f1e6_4773_a906_0c0637bd8da2" hidden="1">#REF!</definedName>
    <definedName name="TBeb271752_205f_4b72_9c61_788be2cb06df" hidden="1">#REF!</definedName>
    <definedName name="TBeb2f016f_02f9_48c8_9c3c_43f828a11632" hidden="1">#REF!</definedName>
    <definedName name="TBeb2f5989_41cc_4ae7_8264_10e4409aaafb" hidden="1">#REF!</definedName>
    <definedName name="TBeb30b425_da95_40b3_82c7_65e78cd70897" hidden="1">#REF!</definedName>
    <definedName name="TBeb3ce46f_d8e0_41b6_ad6a_415dbdb681f1" hidden="1">#REF!</definedName>
    <definedName name="TBeb4966b9_c221_4f40_80a0_12fda1a581ee" hidden="1">#REF!</definedName>
    <definedName name="TBeb4bbf53_fed0_44f6_9a20_b02bf976325f" hidden="1">#REF!</definedName>
    <definedName name="TBeb4d166c_db63_48ce_b257_8b03786aab95" hidden="1">#REF!</definedName>
    <definedName name="TBeb52a67d_ce16_499d_94ec_ecfe7e6788a2" hidden="1">#REF!</definedName>
    <definedName name="TBeb5b9bc6_ec2d_4a62_af95_64b274c12070" hidden="1">#REF!</definedName>
    <definedName name="TBeb699d9b_a6be_49ef_9ac4_9d32633d4476" hidden="1">#REF!</definedName>
    <definedName name="TBeb6bd13e_af44_47f6_a7c2_aedcfc0df401" hidden="1">#REF!</definedName>
    <definedName name="TBeb704417_48f3_4ac5_9559_3dd04a038ac3" hidden="1">#REF!</definedName>
    <definedName name="TBeb7de48b_a8ba_40f3_ad0e_b3131df31818" hidden="1">#REF!</definedName>
    <definedName name="TBeb7e6921_bb02_4e4a_9906_77edf2a81bc8" hidden="1">#REF!</definedName>
    <definedName name="TBeb7ec153_2d27_4ced_aa17_3c387fc2047b" hidden="1">#REF!</definedName>
    <definedName name="TBeba3ee4d_4094_42d4_991e_e751229ea7b9" hidden="1">#REF!</definedName>
    <definedName name="TBeba8c177_ab90_43b8_86e6_155698328179" hidden="1">#REF!</definedName>
    <definedName name="TBebae0ff3_5a53_4746_b5d7_1b8735fc508f" hidden="1">#REF!</definedName>
    <definedName name="TBebb91c50_7155_418c_9426_e1bfa62fdecb" hidden="1">#REF!</definedName>
    <definedName name="TBebd5eed4_b67b_450b_8aaa_76ba347993a8" hidden="1">#REF!</definedName>
    <definedName name="TBebd613b9_ccd6_4332_96cd_39a1618f5188" hidden="1">#REF!</definedName>
    <definedName name="TBebe2517f_b561_4f71_af37_c8625b63da70" hidden="1">#REF!</definedName>
    <definedName name="TBebe2613b_5d43_4fd1_b550_ae94b93bc5f6" hidden="1">#REF!</definedName>
    <definedName name="TBebeacc2b_71c0_4f71_89d7_2a060234dddb" hidden="1">#REF!</definedName>
    <definedName name="TBebef26f2_a4b9_422f_999f_1b26a0b7f0f1" hidden="1">#REF!</definedName>
    <definedName name="TBebf72f8a_ed4e_4aeb_b144_d88b8cc736b2" hidden="1">#REF!</definedName>
    <definedName name="TBebffc4e9_1e30_403d_97b2_2b6f21ba9403" hidden="1">#REF!</definedName>
    <definedName name="TBec0d69d6_d986_4697_a36f_c1bd914153e9" hidden="1">#REF!</definedName>
    <definedName name="TBec0f8b5f_2003_4e35_9c42_623a86e6e741" hidden="1">#REF!</definedName>
    <definedName name="TBec146601_6eb2_4fee_89a5_3de5248476b5" hidden="1">#REF!</definedName>
    <definedName name="TBec15744d_c259_4d3b_a400_3ea93cd1180f" hidden="1">#REF!</definedName>
    <definedName name="TBec1b7c1a_8826_433c_9f6a_74e1eebbae3a" hidden="1">#REF!</definedName>
    <definedName name="TBec237c3b_fa3e_40e4_9849_b1e4f6fd9e61" hidden="1">#REF!</definedName>
    <definedName name="TBec2612c5_2feb_4614_ac85_5ebc1be2c238" hidden="1">#REF!</definedName>
    <definedName name="TBec376bbb_910e_48ee_81ab_af4f866c558a" hidden="1">#REF!</definedName>
    <definedName name="TBec3b300b_bce4_47b1_a321_3f69fbfc80a4" hidden="1">#REF!</definedName>
    <definedName name="TBec66f7f7_582c_4369_9260_9a2b20ddcd73" hidden="1">#REF!</definedName>
    <definedName name="TBec7005d4_e1e1_4113_aa40_1b30fc50bed8" hidden="1">#REF!</definedName>
    <definedName name="TBec73389a_aeb0_4b76_bedf_4bc64ab80271" hidden="1">#REF!</definedName>
    <definedName name="TBec82278e_6308_4656_b3a9_cc7da5cdbfcb" hidden="1">#REF!</definedName>
    <definedName name="TBec97345f_ed74_4d83_8982_2b496bd3ee75" hidden="1">#REF!</definedName>
    <definedName name="TBec9c1509_f88e_4af9_a198_88c487457b3f" hidden="1">#REF!</definedName>
    <definedName name="TBeca4e6c4_a416_4da1_9183_f9453d7f1a40" hidden="1">#REF!</definedName>
    <definedName name="TBecae454e_35c6_425f_a4f5_593833f841c1" hidden="1">#REF!</definedName>
    <definedName name="TBecbb9489_3e59_4986_abf6_c46b85d59b65" hidden="1">#REF!</definedName>
    <definedName name="TBecc3a88b_4617_495b_827f_27cae014cf8a" hidden="1">#REF!</definedName>
    <definedName name="TBecd7ce25_80fb_4681_ac4f_7caa57f0f8aa" hidden="1">#REF!</definedName>
    <definedName name="TBece1c0c2_f136_4eff_b36f_6630f08bf5a4" hidden="1">#REF!</definedName>
    <definedName name="TBece2b15b_e60b_4c27_a811_134d0ac91c95" hidden="1">#REF!</definedName>
    <definedName name="TBece34a5d_1336_432b_9273_4fa552dbf22e" hidden="1">#REF!</definedName>
    <definedName name="TBecee90a1_4941_4ce6_9d14_a019b367101c" hidden="1">#REF!</definedName>
    <definedName name="TBecfc251f_7c44_4b97_abb2_5be98f00d536" hidden="1">#REF!</definedName>
    <definedName name="TBecff59a0_35b7_4fc6_aebe_7f488de40077" hidden="1">#REF!</definedName>
    <definedName name="TBed0177ae_5b66_45a4_b112_99c7a8b71de4" hidden="1">#REF!</definedName>
    <definedName name="TBed0b2d74_01b7_4b8f_9d36_275cb41fcfc1" hidden="1">#REF!</definedName>
    <definedName name="TBed0cdc33_0a8d_4884_b084_66dda537348b" hidden="1">#REF!</definedName>
    <definedName name="TBed1159a9_ecfe_4248_b0a0_76c356db28ab" hidden="1">#REF!</definedName>
    <definedName name="TBed118ac4_2566_4159_a6db_2aadb079026f" hidden="1">#REF!</definedName>
    <definedName name="TBed14e9e9_405d_4861_af20_27807d607570" hidden="1">#REF!</definedName>
    <definedName name="TBed166e97_15fd_4f84_8ec1_d829ce0c5943" hidden="1">#REF!</definedName>
    <definedName name="TBed17d684_d9bc_4991_86d7_97d5535f8472" hidden="1">#REF!</definedName>
    <definedName name="TBed26190d_548c_4c86_8d53_bab156801c33" hidden="1">#REF!</definedName>
    <definedName name="TBed38804a_c977_4520_9b15_5e81e8c127ee" hidden="1">#REF!</definedName>
    <definedName name="TBed389f80_c80b_4ad4_8b73_844874d89b1a" hidden="1">#REF!</definedName>
    <definedName name="TBed3f24bb_3987_443a_a64f_b878b5a2e77a" hidden="1">#REF!</definedName>
    <definedName name="TBed426008_8282_47f5_9268_d86d4ea25981" hidden="1">#REF!</definedName>
    <definedName name="TBed44f1a2_f1bd_4c7c_93b2_ca33c9ee96e9" hidden="1">#REF!</definedName>
    <definedName name="TBed467afb_eb0d_476d_9bb0_30b220e18151" hidden="1">#REF!</definedName>
    <definedName name="TBed4e886d_460b_47dc_8cda_ee82664bca88" hidden="1">#REF!</definedName>
    <definedName name="TBed5f0703_719a_42c5_8b97_528696efcd56" hidden="1">#REF!</definedName>
    <definedName name="TBed63be80_a9f1_45d5_b61b_98a25e257791" hidden="1">#REF!</definedName>
    <definedName name="TBed63e631_620c_4f3d_8141_bbd0ce2e95e3" hidden="1">#REF!</definedName>
    <definedName name="TBed6ba2bc_c658_463e_bd86_31b46fdfd65d" hidden="1">#REF!</definedName>
    <definedName name="TBed7c6b18_86c3_4cc5_af8d_732e0910b159" hidden="1">#REF!</definedName>
    <definedName name="TBed941fa4_c4cc_46dd_813a_de4fbb240eaa" hidden="1">#REF!</definedName>
    <definedName name="TBed955ad1_3e99_466d_b221_2a66fb7c30b6" hidden="1">#REF!</definedName>
    <definedName name="TBedb0a331_e912_420a_8fa1_37266c883ed3" hidden="1">#REF!</definedName>
    <definedName name="TBedb0eacd_48a5_4ff5_9bd5_0b4bb49c787d" hidden="1">#REF!</definedName>
    <definedName name="TBedc31492_eaa4_403f_87c7_1cc56d19b491" hidden="1">#REF!</definedName>
    <definedName name="TBedc8d3d4_3e8c_4711_92f2_f038bdf96517" hidden="1">#REF!</definedName>
    <definedName name="TBedcdbec8_9581_4c3f_aac6_c3795aadc4ff" hidden="1">#REF!</definedName>
    <definedName name="TBedd377b4_3983_4251_a289_5e3d42db60e8" hidden="1">#REF!</definedName>
    <definedName name="TBedd900e8_be52_45b2_ac14_72231d31936e" hidden="1">#REF!</definedName>
    <definedName name="TBede3a7f9_aad2_4069_bded_bc0311413f00" hidden="1">#REF!</definedName>
    <definedName name="TBedf16654_4a33_4846_9806_db8db7d632a3" hidden="1">#REF!</definedName>
    <definedName name="TBedf2fd67_f959_4353_8688_0c0dbbd1df08" hidden="1">#REF!</definedName>
    <definedName name="TBedf89991_bf79_4be6_b094_13b47364c2c4" hidden="1">#REF!</definedName>
    <definedName name="TBedfede93_c5d9_4e64_bf69_3f141124823e" hidden="1">#REF!</definedName>
    <definedName name="TBedff032e_955d_4e13_9074_b49a9f57fb07" hidden="1">#REF!</definedName>
    <definedName name="TBee0d5bde_b9b4_4199_9d6c_002d436d105d" hidden="1">#REF!</definedName>
    <definedName name="TBee0f44d3_7233_408f_9330_bd14749920e2" hidden="1">#REF!</definedName>
    <definedName name="TBee1ffd27_7be9_4e04_adb7_e15aab6cb035" hidden="1">#REF!</definedName>
    <definedName name="TBee2671d0_17c8_4e2d_8737_68d0ec8abad0" hidden="1">#REF!</definedName>
    <definedName name="TBee2700ab_4971_406d_8240_257fda20287a" hidden="1">#REF!</definedName>
    <definedName name="TBee28f016_6e10_4da0_94a7_b4ebfc0835c4" hidden="1">#REF!</definedName>
    <definedName name="TBee3affa3_de0d_4b8b_8764_2690d133b73f" hidden="1">#REF!</definedName>
    <definedName name="TBee563d90_743f_4d0e_945f_6872741ec284" hidden="1">#REF!</definedName>
    <definedName name="TBee57dcc0_b329_48d0_8e2a_9931dbdeeb8f" hidden="1">#REF!</definedName>
    <definedName name="TBee6e08f2_5610_4f9a_9e8d_af0e9194a311" hidden="1">#REF!</definedName>
    <definedName name="TBee6ec874_6341_4484_9af7_da31cd25f64b" hidden="1">#REF!</definedName>
    <definedName name="TBee7bc749_7d86_4630_bc13_b4c511a0f390" hidden="1">#REF!</definedName>
    <definedName name="TBee80a038_d590_41fc_bed6_6b5ef76fd0ab" hidden="1">#REF!</definedName>
    <definedName name="TBee83a7bb_a9df_4c25_8bbc_c7b919a08595" hidden="1">#REF!</definedName>
    <definedName name="TBee841087_d015_401c_8751_591e3273fa1e" hidden="1">#REF!</definedName>
    <definedName name="TBee8cee71_6267_4340_a3ec_75981b024756" hidden="1">#REF!</definedName>
    <definedName name="TBeea4e822_7043_4c44_bcbf_3542a8e446bf" hidden="1">#REF!</definedName>
    <definedName name="TBeea93d9e_c110_456f_8256_0f2e57a77efe" hidden="1">#REF!</definedName>
    <definedName name="TBeeb7dcba_5860_4b17_aac0_60caddfefca8" hidden="1">#REF!</definedName>
    <definedName name="TBeeba73f4_59fd_4e6c_b0ae_f82150d3cd92" hidden="1">#REF!</definedName>
    <definedName name="TBeebb7225_493a_4515_b933_e6e956c82ddb" hidden="1">#REF!</definedName>
    <definedName name="TBeecb888b_d7e7_4464_b728_0d11d3d71671" hidden="1">#REF!</definedName>
    <definedName name="TBeed3008d_034c_42ef_99e0_c440f7917e90" hidden="1">#REF!</definedName>
    <definedName name="TBeed83e6c_972e_4b44_b8ec_9a1c33b999b4" hidden="1">#REF!</definedName>
    <definedName name="TBeee39092_fef3_419a_8e0d_2598c8b53fd1" hidden="1">#REF!</definedName>
    <definedName name="TBeee7189b_b72a_4eb7_bb8e_a24036d98d7f" hidden="1">#REF!</definedName>
    <definedName name="TBeeeb5e92_31cb_4d89_ac28_fe845a120074" hidden="1">#REF!</definedName>
    <definedName name="TBeeee1dba_b52a_4f82_bc49_77c69e75585f" hidden="1">#REF!</definedName>
    <definedName name="TBeeef85ae_3f4b_4527_ab0b_b31d137ea7a7" hidden="1">#REF!</definedName>
    <definedName name="TBeefd3bff_131a_487f_9028_0da8a6789ac4" hidden="1">#REF!</definedName>
    <definedName name="TBeefe1254_1cc1_4979_83db_0bd86a439021" hidden="1">#REF!</definedName>
    <definedName name="TBef036fc8_5759_40ae_9b2e_a0b1cd72a3a1" hidden="1">#REF!</definedName>
    <definedName name="TBef04959d_2d56_4b2d_934a_b56ac18f611e" hidden="1">#REF!</definedName>
    <definedName name="TBef06d571_b4be_4aea_837c_a32728457687" hidden="1">#REF!</definedName>
    <definedName name="TBef086c1e_0dba_4589_bfcc_08ee96d1d9f1" hidden="1">#REF!</definedName>
    <definedName name="TBef087b4b_492e_4e3a_a929_7075294ae0c1" hidden="1">#REF!</definedName>
    <definedName name="TBef0b8d4d_09b2_46fd_baed_e21ed6894cb2" hidden="1">#REF!</definedName>
    <definedName name="TBef12fdbf_02c0_4c1c_85f7_cb724d8f2ddf" hidden="1">#REF!</definedName>
    <definedName name="TBef18f165_007c_41c5_9ed9_0d73ab5ef9f3" hidden="1">#REF!</definedName>
    <definedName name="TBef244db7_7ff7_4b37_b396_155ed7e7a138" hidden="1">#REF!</definedName>
    <definedName name="TBef2b5ab0_607f_4f12_9590_3937275e9829" hidden="1">#REF!</definedName>
    <definedName name="TBef43c775_d4d4_4d78_9daf_799e512412d4" hidden="1">#REF!</definedName>
    <definedName name="TBef45bb27_9066_42ef_8c08_ec2569946f55" hidden="1">#REF!</definedName>
    <definedName name="TBef4d4907_2d69_4b5c_8e85_025d92f9417a" hidden="1">#REF!</definedName>
    <definedName name="TBef5d815d_4d09_42f7_a39c_604f2094ca4d" hidden="1">#REF!</definedName>
    <definedName name="TBef6509e5_a9b7_4cc9_88b7_afdd82007307" hidden="1">#REF!</definedName>
    <definedName name="TBef69e215_28b0_4651_a0fb_9d1ed9f837a1" hidden="1">#REF!</definedName>
    <definedName name="TBef6bb34d_cd41_4d5b_9c38_fbdd6475a5d0" hidden="1">#REF!</definedName>
    <definedName name="TBef7c1f14_b4b4_491d_965f_ed3611be4096" hidden="1">#REF!</definedName>
    <definedName name="TBef83f360_6e4f_44d6_a3b5_c6028de86664" hidden="1">#REF!</definedName>
    <definedName name="TBef857a4b_b1d3_47fa_a42b_e9bb0089fc1c" hidden="1">#REF!</definedName>
    <definedName name="TBef85ff2d_b098_4949_afa3_3ebc18fc29f4" hidden="1">#REF!</definedName>
    <definedName name="TBef88c2d6_4ba2_434c_bfff_e315aa233af8" hidden="1">#REF!</definedName>
    <definedName name="TBef8a5a84_f94a_4194_ab28_67b140c68610" hidden="1">#REF!</definedName>
    <definedName name="TBef972ef7_89ca_4f8a_8ad9_376f41073173" hidden="1">#REF!</definedName>
    <definedName name="TBefa304c3_6096_4307_930c_59bb2a89c775" hidden="1">#REF!</definedName>
    <definedName name="TBefb88fe0_c1b8_4549_8e7c_33a4357d6830" hidden="1">#REF!</definedName>
    <definedName name="TBefbfd8d3_fe4c_4722_a3f8_b9bd23cc0bb1" hidden="1">#REF!</definedName>
    <definedName name="TBefc5eced_1505_429d_b33d_730d6963d73b" hidden="1">#REF!</definedName>
    <definedName name="TBefd65da8_821b_412c_b8e8_5b5d336217f9" hidden="1">#REF!</definedName>
    <definedName name="TBefd68634_f2c3_41a0_a724_2cf2f55d831b" hidden="1">#REF!</definedName>
    <definedName name="TBefe00c19_9aea_41b9_9eca_97cf1ffe8159" hidden="1">#REF!</definedName>
    <definedName name="TBefe2754c_cf1c_43b6_b51a_fb76b145840e" hidden="1">#REF!</definedName>
    <definedName name="TBefe3127c_a451_4b68_8157_5c3456e9c7bc" hidden="1">#REF!</definedName>
    <definedName name="TBefeea867_1cbc_4996_8b53_ab445d55168a" hidden="1">#REF!</definedName>
    <definedName name="TBeff4d46d_943e_47af_94d4_69531254fb05" hidden="1">#REF!</definedName>
    <definedName name="TBeff84b86_160b_42c0_bd86_ca1a705ee0bd" hidden="1">#REF!</definedName>
    <definedName name="TBeff88f52_56c9_4e7a_9009_9ada9a37cc75" hidden="1">#REF!</definedName>
    <definedName name="TBf00174b5_b52b_477d_8dd0_5bf673e1fbf0" hidden="1">#REF!</definedName>
    <definedName name="TBf007a7d5_f887_4761_afcd_6f207ad12bce" hidden="1">#REF!</definedName>
    <definedName name="TBf00c02f2_84b1_478a_a14e_28eb7d1911a1" hidden="1">#REF!</definedName>
    <definedName name="TBf01b7b42_e784_450f_80f4_62725c3838da" hidden="1">#REF!</definedName>
    <definedName name="TBf02b46d7_76bd_4587_9fb0_01c037e127b7" hidden="1">#REF!</definedName>
    <definedName name="TBf02c65fd_739f_4dd8_8bb0_227a7459861b" hidden="1">#REF!</definedName>
    <definedName name="TBf03575e4_2bc3_4ac9_a496_f4e58ee52871" hidden="1">#REF!</definedName>
    <definedName name="TBf037054a_48a6_49b7_b5d3_4372d14a76a9" hidden="1">#REF!</definedName>
    <definedName name="TBf038b225_9839_4aab_9fcb_126fdc49dcd9" hidden="1">#REF!</definedName>
    <definedName name="TBf03f7b98_5b8a_4124_8625_0cf657ffccf2" hidden="1">#REF!</definedName>
    <definedName name="TBf058407e_a144_4d5e_968b_81e732339d1a" hidden="1">#REF!</definedName>
    <definedName name="TBf064d5af_0070_407b_83bc_71881cd964ea" hidden="1">#REF!</definedName>
    <definedName name="TBf06fc0ba_fe40_41da_9b4b_e8c5fc947048" hidden="1">#REF!</definedName>
    <definedName name="TBf06ff74e_c00a_4676_a95d_0ca62b9ae338" hidden="1">#REF!</definedName>
    <definedName name="TBf076b6d6_8433_41ef_9c44_8ed0d3d18791" hidden="1">#REF!</definedName>
    <definedName name="TBf080950c_fea4_4133_9f32_1011ae6caf2a" hidden="1">#REF!</definedName>
    <definedName name="TBf0839c70_699c_4004_afe1_33c51fb94e07" hidden="1">#REF!</definedName>
    <definedName name="TBf0880d2f_3a83_4e9b_b444_1778349dfa59" hidden="1">#REF!</definedName>
    <definedName name="TBf08cf9fc_1d5a_4507_9096_029f2768934f" hidden="1">#REF!</definedName>
    <definedName name="TBf09073ca_8c70_42d5_b0d8_d4548b5d4e10" hidden="1">#REF!</definedName>
    <definedName name="TBf0a1a61c_f7b9_4150_b66e_f7f5bdcfb983" hidden="1">#REF!</definedName>
    <definedName name="TBf0a3a31b_9c1a_4ffb_a8b8_632ef04cce09" hidden="1">#REF!</definedName>
    <definedName name="TBf0adfc8b_2425_4994_b731_610f1f985bf9" hidden="1">#REF!</definedName>
    <definedName name="TBf0b721b4_6707_426a_ab54_237375fd7166" hidden="1">#REF!</definedName>
    <definedName name="TBf0bac391_24a0_403f_a8bb_7261e1fac79b" hidden="1">#REF!</definedName>
    <definedName name="TBf0c06478_a861_418e_947c_18b4c3c470a2" hidden="1">#REF!</definedName>
    <definedName name="TBf0c208ef_073a_40e3_9b8b_027529361f5f" hidden="1">#REF!</definedName>
    <definedName name="TBf0c967c7_f7a5_4972_8bc7_5e43c41d3dc4" hidden="1">#REF!</definedName>
    <definedName name="TBf0d2a5fe_27f5_4c96_97e8_56c2f689c889" hidden="1">#REF!</definedName>
    <definedName name="TBf0ed19b4_3f9e_441c_8367_abe093709f56" hidden="1">#REF!</definedName>
    <definedName name="TBf0eefb31_7da8_4550_b9a1_46da0d957e78" hidden="1">#REF!</definedName>
    <definedName name="TBf0f19278_805a_40b3_b08e_42e926b32966" hidden="1">#REF!</definedName>
    <definedName name="TBf0fa7e7b_3b01_494c_8d4c_ae116e779e75" hidden="1">#REF!</definedName>
    <definedName name="TBf0fb4c4f_e9f9_49ca_995d_be55a174e4a3" hidden="1">#REF!</definedName>
    <definedName name="TBf0fe1a3a_653e_48be_8cd1_0c30c4b99b5c" hidden="1">#REF!</definedName>
    <definedName name="TBf10a1a3a_1784_4ade_9ffc_a187fc2afdb5" hidden="1">#REF!</definedName>
    <definedName name="TBf114bfdb_1212_4eb4_a54b_7e7c15f2577e" hidden="1">#REF!</definedName>
    <definedName name="TBf1153d5e_b1d7_4901_93b8_96bd0a2d2034" hidden="1">#REF!</definedName>
    <definedName name="TBf1232f1b_f5cf_427a_9441_839171ba6e0a" hidden="1">#REF!</definedName>
    <definedName name="TBf12ef947_b1be_4a71_8d1f_92e9c6ae9099" hidden="1">#REF!</definedName>
    <definedName name="TBf14750a7_a0d6_4e1e_af52_13121c41c712" hidden="1">#REF!</definedName>
    <definedName name="TBf15827a6_1d10_4a57_b4a9_611f06a9d949" hidden="1">#REF!</definedName>
    <definedName name="TBf159e507_601e_499b_9a7a_a549477126b3" hidden="1">#REF!</definedName>
    <definedName name="TBf15b17d4_90cc_44c6_bd1c_d416a0ebfdcd" hidden="1">#REF!</definedName>
    <definedName name="TBf161dc68_c267_4b55_ae19_daabcdee57cd" hidden="1">#REF!</definedName>
    <definedName name="TBf169c664_bf92_4283_889d_5582e48c4329" hidden="1">#REF!</definedName>
    <definedName name="TBf16d496d_2591_42ab_8e34_d89bf20ffec0" hidden="1">#REF!</definedName>
    <definedName name="TBf1894897_39ed_434b_92cf_f94296b36c1a" hidden="1">#REF!</definedName>
    <definedName name="TBf199529c_3b62_41ed_985e_8b92cf071184" hidden="1">#REF!</definedName>
    <definedName name="TBf1a1602d_3328_40ba_adb8_9d3c428cd673" hidden="1">#REF!</definedName>
    <definedName name="TBf1a20d5a_add2_42af_a0c2_c705fdfaaac7" hidden="1">#REF!</definedName>
    <definedName name="TBf1a25a9a_c001_440b_a5ce_f1579196291e" hidden="1">#REF!</definedName>
    <definedName name="TBf1a25b4c_8f04_4ebd_adcb_2d5906b4a7d7" hidden="1">#REF!</definedName>
    <definedName name="TBf1a5bfe1_ffcd_4c07_94f4_768c2a984587" hidden="1">#REF!</definedName>
    <definedName name="TBf1a83b40_fc2f_4b70_a522_588c5cc132c5" hidden="1">#REF!</definedName>
    <definedName name="TBf1b36d6c_a8f2_417d_88e2_ea21f2e8f3d0" hidden="1">#REF!</definedName>
    <definedName name="TBf1c01831_f960_460c_b337_ad373d018a93" hidden="1">#REF!</definedName>
    <definedName name="TBf1c3acbb_99cd_4feb_b664_31470da78469" hidden="1">#REF!</definedName>
    <definedName name="TBf1d5e5d5_be77_4691_93f3_0b42b8e93971" hidden="1">#REF!</definedName>
    <definedName name="TBf1e707f5_7b37_4d60_b423_751c85c461ae" hidden="1">#REF!</definedName>
    <definedName name="TBf1e89490_38ba_4f6b_8d8d_fbfa3cd214b2" hidden="1">#REF!</definedName>
    <definedName name="TBf1e9eec3_e607_47f3_802d_8c7f1007b372" hidden="1">#REF!</definedName>
    <definedName name="TBf205cb84_c86b_4753_aa8d_f48b02d962fc" hidden="1">#REF!</definedName>
    <definedName name="TBf2178ad3_f378_450f_95d7_3a6ae43b1ebe" hidden="1">#REF!</definedName>
    <definedName name="TBf2180417_b550_4430_bb12_55305e464ac8" hidden="1">#REF!</definedName>
    <definedName name="TBf22d0a89_f1f3_4f84_9ac7_eb405d86d307" hidden="1">#REF!</definedName>
    <definedName name="TBf22da965_258f_41e3_8920_54ab71fac272" hidden="1">#REF!</definedName>
    <definedName name="TBf22f87a5_71d1_4c22_bf1a_c863448ad54b" hidden="1">#REF!</definedName>
    <definedName name="TBf2426547_0060_4bd0_918d_f54d58f0e993" hidden="1">#REF!</definedName>
    <definedName name="TBf24f2834_1bfb_4185_ad9c_68504ffa5ef6" hidden="1">#REF!</definedName>
    <definedName name="TBf25464cb_8399_4120_8979_45e04df4b797" hidden="1">#REF!</definedName>
    <definedName name="TBf2590495_e063_4756_a0e7_7f7edf2f0403" hidden="1">#REF!</definedName>
    <definedName name="TBf25ba490_2e9c_4b76_a5c4_9cb8d469718b" hidden="1">#REF!</definedName>
    <definedName name="TBf2619ab5_44e9_4877_acc0_fe2a963a7f2d" hidden="1">#REF!</definedName>
    <definedName name="TBf2623f81_6fe3_44ae_9ee1_d88d5e9981f5" hidden="1">#REF!</definedName>
    <definedName name="TBf2637d41_1c2c_4f05_82dc_29af9b7e26c6" hidden="1">#REF!</definedName>
    <definedName name="TBf27d76fa_a045_45f1_a670_1fff5987d159" hidden="1">#REF!</definedName>
    <definedName name="TBf285ae30_f2e4_41fc_a7e7_929a04a2ec70" hidden="1">#REF!</definedName>
    <definedName name="TBf288f8e6_c66e_4143_86f8_947a3204a6fe" hidden="1">#REF!</definedName>
    <definedName name="TBf28c1628_1062_40b7_ae55_83fcebb5b268" hidden="1">#REF!</definedName>
    <definedName name="TBf29672b3_f93a_4d5e_91c5_2552e43dcade" hidden="1">#REF!</definedName>
    <definedName name="TBf29cbaca_21f0_4c72_8453_cb445c6cf810" hidden="1">#REF!</definedName>
    <definedName name="TBf2a9d50c_88a2_4a1d_a5db_c6ff79c865f0" hidden="1">#REF!</definedName>
    <definedName name="TBf2aaf4fb_dbe1_4d7a_8637_8e09615486f7" hidden="1">#REF!</definedName>
    <definedName name="TBf2ae6303_a753_4dcd_a2b7_4e7bbf261291" hidden="1">#REF!</definedName>
    <definedName name="TBf2bb5702_a205_4acc_868c_b97bf7aff69f" hidden="1">#REF!</definedName>
    <definedName name="TBf2bfb21c_e99b_488c_bda7_30c913edd2f9" hidden="1">#REF!</definedName>
    <definedName name="TBf2c3e8f5_2972_4edf_be2b_755ed978bbc5" hidden="1">#REF!</definedName>
    <definedName name="TBf2dcbb4c_ef09_42db_85fe_1a64d78025b3" hidden="1">#REF!</definedName>
    <definedName name="TBf2e568a1_b45f_465a_94eb_42b0dc41fa1a" hidden="1">#REF!</definedName>
    <definedName name="TBf2e6d7d6_5cfd_4a61_ba74_aab04973611e" hidden="1">#REF!</definedName>
    <definedName name="TBf2f7e73e_7ae2_45c9_8565_e3614125d2bf" hidden="1">#REF!</definedName>
    <definedName name="TBf2fcbc71_3690_42df_b7e0_320bd90dc4ba" hidden="1">#REF!</definedName>
    <definedName name="TBf314e673_b4b3_409b_88de_2c990fea2d3e" hidden="1">#REF!</definedName>
    <definedName name="TBf32048e9_46d7_4fe6_bfd2_6ccd065cda38" hidden="1">#REF!</definedName>
    <definedName name="TBf334cf3e_1159_4930_a010_a44060f90ef4" hidden="1">#REF!</definedName>
    <definedName name="TBf3455133_93c7_4b2f_a6d2_63c5f8591c8d" hidden="1">#REF!</definedName>
    <definedName name="TBf349fbf8_15b3_46d1_bb3c_5deb8d18ecb3" hidden="1">#REF!</definedName>
    <definedName name="TBf349fd8e_75c3_402e_b4fe_a51ebb5f06de" hidden="1">#REF!</definedName>
    <definedName name="TBf355ee4e_cae4_42b7_a2cb_0a6f0fed5311" hidden="1">#REF!</definedName>
    <definedName name="TBf356bc10_247d_44fd_8399_98e53b29fca9" hidden="1">#REF!</definedName>
    <definedName name="TBf357ead4_5e79_437d_a25d_d697231ff06a" hidden="1">#REF!</definedName>
    <definedName name="TBf373f91d_5349_43aa_887f_4b8b21304f45" hidden="1">#REF!</definedName>
    <definedName name="TBf37a1e7a_587f_441b_9bff_406c2952cc0c" hidden="1">#REF!</definedName>
    <definedName name="TBf37f23fc_fbd0_420d_b32f_ddaf3a13abad" hidden="1">#REF!</definedName>
    <definedName name="TBf3844705_8e65_4ff0_976e_d0c3b341f30c" hidden="1">#REF!</definedName>
    <definedName name="TBf396c2b5_76ce_4942_9364_8f6ff74d41f6" hidden="1">#REF!</definedName>
    <definedName name="TBf3a1c3e0_f383_476d_872d_a5e5dc6c354e" hidden="1">#REF!</definedName>
    <definedName name="TBf3adfa18_d103_4f1c_885c_8563c83e6a09" hidden="1">#REF!</definedName>
    <definedName name="TBf3c292df_1000_4b02_8188_a78a6e05937f" hidden="1">#REF!</definedName>
    <definedName name="TBf3cb430d_3a76_4881_9003_716f51e452d5" hidden="1">#REF!</definedName>
    <definedName name="TBf3d88366_f26a_437b_b9ef_08d08be588b1" hidden="1">#REF!</definedName>
    <definedName name="TBf3e2d110_6ab6_424a_a2b6_b3fea20d7d0e" hidden="1">#REF!</definedName>
    <definedName name="TBf3e44758_6a8c_45b1_a239_ecaf38d3450c" hidden="1">#REF!</definedName>
    <definedName name="TBf3e4d41b_01ef_4833_b6d7_42a86fde08e3" hidden="1">#REF!</definedName>
    <definedName name="TBf3ec9c32_ef2c_4444_8ca4_e1d88c09a32a" hidden="1">#REF!</definedName>
    <definedName name="TBf3f16c48_09a0_48f3_aefe_e6c8922f6164" hidden="1">#REF!</definedName>
    <definedName name="TBf3fea78e_e5f6_4791_bab0_9755950462b7" hidden="1">#REF!</definedName>
    <definedName name="TBf3ff276e_618d_42db_a37f_3e4b46b2d73c" hidden="1">#REF!</definedName>
    <definedName name="TBf409fff8_2a75_422f_b66b_a0320219b6eb" hidden="1">#REF!</definedName>
    <definedName name="TBf40a03ba_f8cf_4d5a_a131_6aec1544d001" hidden="1">#REF!</definedName>
    <definedName name="TBf41184d9_f88b_4fb1_ab7f_f7a924dd2a7e" hidden="1">#REF!</definedName>
    <definedName name="TBf4194f11_c1ab_40bf_bfb5_1e44bd0d977a" hidden="1">#REF!</definedName>
    <definedName name="TBf41c57a6_b763_4f00_8342_6d85fbe69a61" hidden="1">#REF!</definedName>
    <definedName name="TBf41d2b69_e2a6_4202_a01e_3e8023f29585" hidden="1">#REF!</definedName>
    <definedName name="TBf41d4715_7ebe_4bfe_b62f_6398278b5e32" hidden="1">#REF!</definedName>
    <definedName name="TBf42804b3_e54b_4809_aee9_266778468940" hidden="1">#REF!</definedName>
    <definedName name="TBf43ec8db_af4c_486d_b932_6153e04ee6e1" hidden="1">#REF!</definedName>
    <definedName name="TBf4434985_77f2_44f3_ab89_033b37a74fc9" hidden="1">#REF!</definedName>
    <definedName name="TBf44fd1f3_ec19_4c31_8fc5_3e846d1eae49" hidden="1">#REF!</definedName>
    <definedName name="TBf45bb4c1_1552_4946_9618_91aa243a79c6" hidden="1">#REF!</definedName>
    <definedName name="TBf45c446f_0a4e_4e66_86d0_24a40255211a" hidden="1">#REF!</definedName>
    <definedName name="TBf4686fe8_e03a_43d4_bd81_b7f2678494a7" hidden="1">#REF!</definedName>
    <definedName name="TBf46983c2_bce8_44f7_a88b_ee53d5c1101d" hidden="1">#REF!</definedName>
    <definedName name="TBf46d9e92_f4cf_4a45_b802_495ff4bd59b9" hidden="1">#REF!</definedName>
    <definedName name="TBf47d70b1_f101_482f_8540_6701dabbd34f" hidden="1">#REF!</definedName>
    <definedName name="TBf47e4089_72ab_48aa_afba_1bf6b9904829" hidden="1">#REF!</definedName>
    <definedName name="TBf485b78b_4a47_4992_9e81_cd433a9bffc5" hidden="1">#REF!</definedName>
    <definedName name="TBf4862e90_7c10_4983_af27_fdb3666c8fcc" hidden="1">#REF!</definedName>
    <definedName name="TBf489cc2b_7bca_4c20_8b12_ca85acc89657" hidden="1">#REF!</definedName>
    <definedName name="TBf49b344c_54f9_45e3_a1fd_062c89e76f48" hidden="1">#REF!</definedName>
    <definedName name="TBf49bb41f_0030_4767_a031_b9ad4d3f653e" hidden="1">#REF!</definedName>
    <definedName name="TBf4b167cf_1178_4042_8c45_44cedf7c310d" hidden="1">#REF!</definedName>
    <definedName name="TBf4bd11af_3924_4edb_9780_86bdb15ee49e" hidden="1">#REF!</definedName>
    <definedName name="TBf4bebf12_fcca_44c8_85f8_484a7345ff82" hidden="1">#REF!</definedName>
    <definedName name="TBf4c56c3f_513b_4259_baea_d92ebb973797" hidden="1">#REF!</definedName>
    <definedName name="TBf4d50420_79e2_486a_be74_fd89904a9147" hidden="1">#REF!</definedName>
    <definedName name="TBf4e2ddb3_3553_4c92_b1a9_640ad6554015" hidden="1">#REF!</definedName>
    <definedName name="TBf4ff7507_b135_4b5a_8807_a4ce79664463" hidden="1">#REF!</definedName>
    <definedName name="TBf50b5fad_4dfd_42af_9ae5_89f5bc363c7f" hidden="1">#REF!</definedName>
    <definedName name="TBf50c387c_bd0e_416c_a51c_4ca8eb03ed19" hidden="1">#REF!</definedName>
    <definedName name="TBf50e9ac9_1f19_443f_9eeb_2b0fcef4583e" hidden="1">#REF!</definedName>
    <definedName name="TBf5276834_ceed_4bf8_adb3_d491291787f8" hidden="1">#REF!</definedName>
    <definedName name="TBf5296843_4cdb_4d7f_9325_0265fa0e233e" hidden="1">#REF!</definedName>
    <definedName name="TBf5338527_136a_4f1e_b5e2_ad714ce77a06" hidden="1">#REF!</definedName>
    <definedName name="TBf53d350b_df7b_451e_ae01_61403c14bd3b" hidden="1">#REF!</definedName>
    <definedName name="TBf5428efe_fa41_4ba8_bf80_ba73cb5507f3" hidden="1">#REF!</definedName>
    <definedName name="TBf542fe02_530e_4d8b_8af5_c170343a1467" hidden="1">#REF!</definedName>
    <definedName name="TBf54811ab_72ef_4b2d_9f9f_5f70b06c0739" hidden="1">#REF!</definedName>
    <definedName name="TBf548bc61_ef4b_4667_8c46_484ee9a9ec42" hidden="1">#REF!</definedName>
    <definedName name="TBf54c77c9_ef1e_4f26_a934_dbcf4c138c0f" hidden="1">#REF!</definedName>
    <definedName name="TBf54d1bf6_0d16_4816_98fa_76f07db2bf18" hidden="1">#REF!</definedName>
    <definedName name="TBf54d2bda_6f1b_4769_aff4_5783af99e005" hidden="1">#REF!</definedName>
    <definedName name="TBf55c8115_f852_4dc9_9ef3_2d145feb1929" hidden="1">#REF!</definedName>
    <definedName name="TBf56c432b_7a72_4e15_b922_ab77801bad87" hidden="1">#REF!</definedName>
    <definedName name="TBf572f72c_5c4a_4bfb_9983_28416147b331" hidden="1">#REF!</definedName>
    <definedName name="TBf573dcfd_b7c1_4b11_942e_d86f16f41537" hidden="1">#REF!</definedName>
    <definedName name="TBf57c93c2_6d81_47f9_858d_31767b5ac642" hidden="1">#REF!</definedName>
    <definedName name="TBf580f6ab_d3be_425d_9602_154394ad6f74" hidden="1">#REF!</definedName>
    <definedName name="TBf58d3330_4191_4b6d_9ef6_eda930e26431" hidden="1">#REF!</definedName>
    <definedName name="TBf59a3366_5ada_42cc_8f50_d3a9b6c8f53a" hidden="1">#REF!</definedName>
    <definedName name="TBf5a0a744_957b_4f73_8a46_0ab0058ef3df" hidden="1">#REF!</definedName>
    <definedName name="TBf5a6a23c_c0ed_4b15_9572_78046b874164" hidden="1">#REF!</definedName>
    <definedName name="TBf5a79f86_3354_412e_9dcb_e436f63f5bf5" hidden="1">#REF!</definedName>
    <definedName name="TBf5a80e8e_9566_435a_8d3a_fbb5aac543c1" hidden="1">#REF!</definedName>
    <definedName name="TBf5abff1a_1bbf_43f6_ad9a_224c57b628d2" hidden="1">#REF!</definedName>
    <definedName name="TBf5b51494_edeb_4618_8d93_ffcbc34ce66b" hidden="1">#REF!</definedName>
    <definedName name="TBf5c47793_fcc2_4581_8d38_a2b5e7505edf" hidden="1">#REF!</definedName>
    <definedName name="TBf5cff572_9e5d_404a_a087_0ae52dc590a8" hidden="1">#REF!</definedName>
    <definedName name="TBf5e8dd5a_729a_4ea9_ae81_c4133b800ba3" hidden="1">#REF!</definedName>
    <definedName name="TBf5eec5fb_ecb0_4448_9793_a127675f8503" hidden="1">#REF!</definedName>
    <definedName name="TBf5f0cf07_2c93_47d8_83e4_73f4c1cb9ddb" hidden="1">#REF!</definedName>
    <definedName name="TBf5f1cac3_4d07_44b5_acbb_15da577be80a" hidden="1">#REF!</definedName>
    <definedName name="TBf60aa0e1_01fe_405e_b7dd_c69d7d3387f3" hidden="1">#REF!</definedName>
    <definedName name="TBf611120d_80b6_43f4_9251_4ff030b13c3f" hidden="1">#REF!</definedName>
    <definedName name="TBf6174b00_20fd_4cfa_b8ae_560a4b335528" hidden="1">#REF!</definedName>
    <definedName name="TBf619773d_07ba_4c3f_9495_b93407855ca8" hidden="1">#REF!</definedName>
    <definedName name="TBf62e8c94_fa98_4768_96ed_7258174f2c28" hidden="1">#REF!</definedName>
    <definedName name="TBf631f291_a068_491f_9d02_b56e2100082d" hidden="1">#REF!</definedName>
    <definedName name="TBf63eb19b_d967_4ccd_a95b_c265d9e1fbbc" hidden="1">#REF!</definedName>
    <definedName name="TBf63fb056_56e5_4987_b529_a9a4cfb12c04" hidden="1">#REF!</definedName>
    <definedName name="TBf6496fd9_e972_4860_bfc9_468b56095f67" hidden="1">#REF!</definedName>
    <definedName name="TBf658e215_98de_4b95_83b6_e16a8db9bedb" hidden="1">#REF!</definedName>
    <definedName name="TBf65b98ba_a33d_4332_9bd2_88dc7de41d65" hidden="1">#REF!</definedName>
    <definedName name="TBf65f1468_3bb7_4cf0_8427_d944d9b9cec7" hidden="1">#REF!</definedName>
    <definedName name="TBf66f8320_f8de_4163_8892_5a72040f0373" hidden="1">#REF!</definedName>
    <definedName name="TBf6700b64_60ab_4d5f_8ab0_986814bf377c" hidden="1">#REF!</definedName>
    <definedName name="TBf673d1c5_36bf_495c_957c_700d7c5b7215" hidden="1">#REF!</definedName>
    <definedName name="TBf6787a02_152d_4f29_ac4a_cb3e3a4e21e4" hidden="1">#REF!</definedName>
    <definedName name="TBf67c3477_f4de_419d_a85d_142f58d14531" hidden="1">#REF!</definedName>
    <definedName name="TBf691e1a1_a0dc_4e83_8bb9_ea96156930cd" hidden="1">#REF!</definedName>
    <definedName name="TBf6a2707b_40f5_499f_90ed_b08a46dec6c6" hidden="1">#REF!</definedName>
    <definedName name="TBf6a9c4ab_3b78_43c6_a75c_19df6fff4008" hidden="1">#REF!</definedName>
    <definedName name="TBf6aa2f95_341d_4d79_b178_2f8b1eb35dd4" hidden="1">#REF!</definedName>
    <definedName name="TBf6acaf97_af81_4b42_844c_2323c860e86f" hidden="1">#REF!</definedName>
    <definedName name="TBf6af426f_49d8_4317_895a_2c3b96a3debf" hidden="1">#REF!</definedName>
    <definedName name="TBf6bd226b_1cef_40fd_bc0e_2d5795fd7ccb" hidden="1">#REF!</definedName>
    <definedName name="TBf6be99f2_465c_4874_9708_f9cca61bb58e" hidden="1">#REF!</definedName>
    <definedName name="TBf6c6567e_5fee_4da5_a3bb_e842416b6c8c" hidden="1">#REF!</definedName>
    <definedName name="TBf6c80d92_04b7_4c3c_a669_7b32aec1989d" hidden="1">#REF!</definedName>
    <definedName name="TBf6d9aee6_8618_430e_b339_b846dd06f7d0" hidden="1">#REF!</definedName>
    <definedName name="TBf6f9432c_051b_4114_82e6_41149e03c0a4" hidden="1">#REF!</definedName>
    <definedName name="TBf6feec3e_f59a_4305_861c_6abf084b2274" hidden="1">#REF!</definedName>
    <definedName name="TBf7097cff_9497_4432_9cfb_3817b6dee836" hidden="1">#REF!</definedName>
    <definedName name="TBf709ef6a_2085_4634_9e45_fe03063d9b8a" hidden="1">#REF!</definedName>
    <definedName name="TBf70ddb8d_2d14_4b52_9f33_9d457fcc4be9" hidden="1">#REF!</definedName>
    <definedName name="TBf70f1e52_965a_42b9_86d3_9fef78da3444" hidden="1">#REF!</definedName>
    <definedName name="TBf7143685_5606_463b_b653_bf8664fb8b3b" hidden="1">#REF!</definedName>
    <definedName name="TBf72367bc_0eb5_4a31_9125_b5c39306c87d" hidden="1">#REF!</definedName>
    <definedName name="TBf7417ea1_92d9_4024_a9d0_b5e83611532c" hidden="1">#REF!</definedName>
    <definedName name="TBf750f3b5_c5e3_47b5_81b6_879f8f2a1240" hidden="1">#REF!</definedName>
    <definedName name="TBf75350cc_faf6_4f3f_96e6_f693be1221a6" hidden="1">#REF!</definedName>
    <definedName name="TBf75379aa_e101_46af_b324_5ad8aca75557" hidden="1">#REF!</definedName>
    <definedName name="TBf75b7e31_5a39_447a_85ba_c9ac40f4aa4f" hidden="1">#REF!</definedName>
    <definedName name="TBf75bc2fe_f8cb_43d0_87b5_9b201f4e41e3" hidden="1">#REF!</definedName>
    <definedName name="TBf75c3520_875d_45df_948b_4523e613b8f7" hidden="1">#REF!</definedName>
    <definedName name="TBf7860cfb_5843_4ff5_b850_f99b75236766" hidden="1">#REF!</definedName>
    <definedName name="TBf78966cd_3e41_4abe_bf07_a1eb465b993d" hidden="1">#REF!</definedName>
    <definedName name="TBf78a1e84_701e_445e_bebb_4ce6a883787e" hidden="1">#REF!</definedName>
    <definedName name="TBf78fd6b4_1470_446b_b202_8c3215c080cd" hidden="1">#REF!</definedName>
    <definedName name="TBf7961ab0_0061_48ec_a85a_6f59016cb34e" hidden="1">#REF!</definedName>
    <definedName name="TBf7a16438_8e86_4869_b7e6_ac438a312c68" hidden="1">#REF!</definedName>
    <definedName name="TBf7a764f2_16db_4b28_995f_90cb9b5b1929" hidden="1">#REF!</definedName>
    <definedName name="TBf7b773a5_f7d0_4ef7_95ae_afde22b710ec" hidden="1">#REF!</definedName>
    <definedName name="TBf7b84f8c_cf4e_4871_a8ae_4f589a7be56d" hidden="1">#REF!</definedName>
    <definedName name="TBf7b9fe97_4daf_40d2_9f4e_4ca9bafde1ec" hidden="1">#REF!</definedName>
    <definedName name="TBf7c01423_275c_4fbc_8f8a_c181953a0a2a" hidden="1">#REF!</definedName>
    <definedName name="TBf7cb3fbc_de18_475c_990c_cd216d0e761c" hidden="1">#REF!</definedName>
    <definedName name="TBf7cc2a1c_2885_458a_be75_10a4ef8e5a55" hidden="1">#REF!</definedName>
    <definedName name="TBf7d3fed0_d4b2_4f3f_838a_d698d8db6658" hidden="1">#REF!</definedName>
    <definedName name="TBf7d4d4fb_db8f_4fdc_80d0_8137daf09d2d" hidden="1">#REF!</definedName>
    <definedName name="TBf7d68f19_abb0_4af5_816a_b9f65ac17ac3" hidden="1">#REF!</definedName>
    <definedName name="TBf7ec9cf2_ccf9_4e83_b2a1_dc855b78316c" hidden="1">#REF!</definedName>
    <definedName name="TBf7f140b3_ad4f_4430_b926_586c204286a4" hidden="1">#REF!</definedName>
    <definedName name="TBf7f53e41_8267_4be8_ba9e_97bc440fb8dd" hidden="1">#REF!</definedName>
    <definedName name="TBf8006fad_a629_43b2_9f62_58edbd6ca0a4" hidden="1">#REF!</definedName>
    <definedName name="TBf804b2e0_6a5a_42e6_a273_277258227dcf" hidden="1">#REF!</definedName>
    <definedName name="TBf807a934_eb6e_4a27_9e62_5056d6b6a2c7" hidden="1">#REF!</definedName>
    <definedName name="TBf8137f72_28f5_48e5_bec2_09b4e6d2ae31" hidden="1">#REF!</definedName>
    <definedName name="TBf813d12e_7a80_49d4_b4a4_a6fe6b34ff1a" hidden="1">#REF!</definedName>
    <definedName name="TBf81803e9_00cc_4050_8562_7d2643c90261" hidden="1">#REF!</definedName>
    <definedName name="TBf818e10b_9510_40a4_8a9d_c459487a5178" hidden="1">#REF!</definedName>
    <definedName name="TBf829ad97_250f_4c6f_8565_77c1505344ed" hidden="1">#REF!</definedName>
    <definedName name="TBf83fb9a8_95ff_41af_b8e5_69fd181f184d" hidden="1">#REF!</definedName>
    <definedName name="TBf84374ed_458f_4d5c_b3df_df4d3a6b498f" hidden="1">#REF!</definedName>
    <definedName name="TBf857ca85_4267_4e91_abf7_dda8d96b99a6" hidden="1">#REF!</definedName>
    <definedName name="TBf85ac5f6_7029_4eb2_ad39_11b4eaf0951b" hidden="1">#REF!</definedName>
    <definedName name="TBf85f5e97_5e61_4883_867d_926e231ece5b" hidden="1">#REF!</definedName>
    <definedName name="TBf873df70_1527_4af4_8030_e88ec6de5ab7" hidden="1">#REF!</definedName>
    <definedName name="TBf8771a71_8bc3_40b8_87ab_98b0db11c737" hidden="1">#REF!</definedName>
    <definedName name="TBf88204b7_d495_4a24_b268_ebbd58f920ca" hidden="1">#REF!</definedName>
    <definedName name="TBf88a3b12_b0ac_4622_ba3a_9469831ab4fb" hidden="1">#REF!</definedName>
    <definedName name="TBf88f2e02_c0ae_4f4d_ba77_83c262fdf53f" hidden="1">#REF!</definedName>
    <definedName name="TBf89798f5_7792_4cd7_81b2_e2aad0ae976a" hidden="1">#REF!</definedName>
    <definedName name="TBf89b2d5f_9a1c_4112_b8f8_2ae3c437dff5" hidden="1">#REF!</definedName>
    <definedName name="TBf8a51c89_8027_4337_b92f_485368e170fc" hidden="1">#REF!</definedName>
    <definedName name="TBf8a8fe49_7e82_4af9_b76c_4564e938d154" hidden="1">#REF!</definedName>
    <definedName name="TBf8b0ce8c_7691_46b1_a8e5_b483aae3a827" hidden="1">#REF!</definedName>
    <definedName name="TBf8ba105c_a3b4_42b7_b383_d04a4b63333e" hidden="1">#REF!</definedName>
    <definedName name="TBf8c0f1b5_9c25_460b_8a65_480a0490b79a" hidden="1">#REF!</definedName>
    <definedName name="TBf8cfd0cd_76b7_4c5b_984b_f7e82fdd8c94" hidden="1">#REF!</definedName>
    <definedName name="TBf8d42e7e_42d6_4356_876c_dd175edc7315" hidden="1">#REF!</definedName>
    <definedName name="TBf8dd2b9c_fcb4_4558_a766_253d41aad274" hidden="1">#REF!</definedName>
    <definedName name="TBf8dff788_978f_4a71_9ee3_f70a2de2192e" hidden="1">#REF!</definedName>
    <definedName name="TBf8f8dce6_aff3_47a8_a2a3_abf7240b2f98" hidden="1">#REF!</definedName>
    <definedName name="TBf8fa20c7_5009_41ab_b8dc_55e20be81627" hidden="1">#REF!</definedName>
    <definedName name="TBf8fe619c_dd62_4d7d_b98b_0120159c6f18" hidden="1">#REF!</definedName>
    <definedName name="TBf90becdf_73b4_41f6_85c7_6e41b532509e" hidden="1">#REF!</definedName>
    <definedName name="TBf90c2b43_af1c_452b_b6d4_ee888925b6e7" hidden="1">#REF!</definedName>
    <definedName name="TBf90ec2a6_3776_41cb_a72c_25ee42caa090" hidden="1">#REF!</definedName>
    <definedName name="TBf910565b_d4ec_4395_a9af_f92d6f5195e9" hidden="1">#REF!</definedName>
    <definedName name="TBf91b3e2c_5fb5_49b7_a658_90c41db5c153" hidden="1">#REF!</definedName>
    <definedName name="TBf91d6bc2_b6ff_426d_9f62_ccb6fd0c9d22" hidden="1">#REF!</definedName>
    <definedName name="TBf927602a_c5b3_4521_be05_2e1b107893e2" hidden="1">#REF!</definedName>
    <definedName name="TBf95f7e9a_829b_4de5_b5bf_e0cef58ffa5c" hidden="1">#REF!</definedName>
    <definedName name="TBf963dcd1_d324_41ac_ad90_00ebdccaa7eb" hidden="1">#REF!</definedName>
    <definedName name="TBf96f1042_f154_47e0_949b_d8f5533613aa" hidden="1">#REF!</definedName>
    <definedName name="TBf97ae9e3_1ea4_424d_a29b_0bb33f299c6b" hidden="1">#REF!</definedName>
    <definedName name="TBf985f885_ac55_4e6c_a8ca_8e597d45beb8" hidden="1">#REF!</definedName>
    <definedName name="TBf99120a3_4f46_40f3_9610_fba35b4f917b" hidden="1">#REF!</definedName>
    <definedName name="TBf99126e1_1ed8_4447_a006_b7ef75bab01a" hidden="1">#REF!</definedName>
    <definedName name="TBf992befe_393c_45ae_99d3_f1489fb7dde1" hidden="1">#REF!</definedName>
    <definedName name="TBf9983a9f_3d71_4d63_b37b_c012e5853657" hidden="1">#REF!</definedName>
    <definedName name="TBf99af5c3_2204_4008_907f_4ab121a87785" hidden="1">#REF!</definedName>
    <definedName name="TBf9a848de_df81_44c4_97cd_0eb653b74469" hidden="1">#REF!</definedName>
    <definedName name="TBf9b1fd2b_44f4_4680_9b40_e434fcb0fb60" hidden="1">#REF!</definedName>
    <definedName name="TBf9b3f753_2f50_4fc8_9a5a_8b9179dc6de8" hidden="1">#REF!</definedName>
    <definedName name="TBf9be84c5_1595_4f0c_ada3_99c1c2ee5b3f" hidden="1">#REF!</definedName>
    <definedName name="TBf9c08d8f_8028_4853_bde6_dbc44bcc50fb" hidden="1">#REF!</definedName>
    <definedName name="TBf9cf3fe2_80da_4227_8ae6_dcd2971c73e4" hidden="1">#REF!</definedName>
    <definedName name="TBf9d475d4_7b92_43ce_a32c_9b0d9b27860d" hidden="1">#REF!</definedName>
    <definedName name="TBf9effcc9_4e8c_4f5d_a476_29a31a3e4140" hidden="1">#REF!</definedName>
    <definedName name="TBfa1f0aea_0085_4b9f_9b56_3a31a689e355" hidden="1">#REF!</definedName>
    <definedName name="TBfa3073be_286b_4620_93e6_1938aba502d4" hidden="1">#REF!</definedName>
    <definedName name="TBfa32763f_8bda_4749_9a47_5354e83d20ca" hidden="1">#REF!</definedName>
    <definedName name="TBfa3a36b3_3cbc_42a0_8c03_79693bd26baa" hidden="1">#REF!</definedName>
    <definedName name="TBfa3bd2cd_29ee_4f18_a3f3_97051806d934" hidden="1">#REF!</definedName>
    <definedName name="TBfa3e1167_6af5_488e_827f_d2020e206d20" hidden="1">#REF!</definedName>
    <definedName name="TBfa5017f0_2c14_4186_abb0_6ed2099e273c" hidden="1">#REF!</definedName>
    <definedName name="TBfa5c8047_5039_47aa_a5c5_6de912f3cc36" hidden="1">#REF!</definedName>
    <definedName name="TBfa5d3668_e12c_4291_8de6_173d7fb918c4" hidden="1">#REF!</definedName>
    <definedName name="TBfa64b530_6d0f_4458_96d9_7980e47c71c3" hidden="1">#REF!</definedName>
    <definedName name="TBfa670990_9880_412c_85de_ee006d09f97d" hidden="1">#REF!</definedName>
    <definedName name="TBfa6a4a05_55b9_4a5c_8071_e013fc51d451" hidden="1">#REF!</definedName>
    <definedName name="TBfa6b5172_8050_405e_a200_3cb548f1daf3" hidden="1">#REF!</definedName>
    <definedName name="TBfa6b623e_0ef4_4fd5_a610_1cf463cf8538" hidden="1">#REF!</definedName>
    <definedName name="TBfa7c084e_2e46_4606_80bc_77ed6c9f3168" hidden="1">#REF!</definedName>
    <definedName name="TBfa7dca4c_540c_485e_ae0e_e223a46e5bfd" hidden="1">#REF!</definedName>
    <definedName name="TBfa8421b4_d03a_4f02_b855_2998d3594719" hidden="1">#REF!</definedName>
    <definedName name="TBfa8cb31a_811c_4b6b_a223_38341c9a5891" hidden="1">#REF!</definedName>
    <definedName name="TBfa8d0d36_b5e7_418c_b772_96fd089f65fc" hidden="1">#REF!</definedName>
    <definedName name="TBfa8d9595_efdc_414e_a333_c4f971ce6792" hidden="1">#REF!</definedName>
    <definedName name="TBfa93742e_2fac_4057_a747_2601df6eee51" hidden="1">#REF!</definedName>
    <definedName name="TBfa93c70f_746f_4cbb_906a_fc7fca14f544" hidden="1">#REF!</definedName>
    <definedName name="TBfa9e0f91_2eb4_42c4_9eef_0d72fc5b93c4" hidden="1">#REF!</definedName>
    <definedName name="TBfaa3babd_3752_4602_a462_1a914af4304b" hidden="1">#REF!</definedName>
    <definedName name="TBfab364b1_bc7a_4a6d_941d_b1e0a891bb36" hidden="1">#REF!</definedName>
    <definedName name="TBfabf168a_edd3_4b12_84f4_174cc8538b17" hidden="1">#REF!</definedName>
    <definedName name="TBfae227ae_76fc_4260_b36c_ef464c1bec02" hidden="1">#REF!</definedName>
    <definedName name="TBfaeb386d_e5e8_43b1_a24f_4f3131daaeb8" hidden="1">#REF!</definedName>
    <definedName name="TBfaf9b89b_d5c5_4f86_8813_b05b94896310" hidden="1">#REF!</definedName>
    <definedName name="TBfafb3d51_4d3d_4f67_be5b_179e0e783f30" hidden="1">#REF!</definedName>
    <definedName name="TBfb0381f9_f778_4482_8ac7_2eca1c4a5e10" hidden="1">#REF!</definedName>
    <definedName name="TBfb2ad1bc_be6d_4ed3_9554_2aea53bf1ccd" hidden="1">#REF!</definedName>
    <definedName name="TBfb30946c_c0cf_4165_bba3_d3364ef8084d" hidden="1">#REF!</definedName>
    <definedName name="TBfb367eb7_dd41_4079_a210_95f6cfb56521" hidden="1">#REF!</definedName>
    <definedName name="TBfb40364e_2895_481f_a4dd_73932fd491ae" hidden="1">#REF!</definedName>
    <definedName name="TBfb46b488_3007_444b_b0f7_e27c699d5c4b" hidden="1">#REF!</definedName>
    <definedName name="TBfb646d37_1116_4859_a935_17164a9c8672" hidden="1">#REF!</definedName>
    <definedName name="TBfb6ab7f6_edb8_4faa_a75f_e187bdcd77d6" hidden="1">#REF!</definedName>
    <definedName name="TBfb6b1ac2_191e_4a12_8c17_875aeb591590" hidden="1">#REF!</definedName>
    <definedName name="TBfb6e9bef_02f3_41da_ab85_e8e628789778" hidden="1">#REF!</definedName>
    <definedName name="TBfb7f3ff1_2b5b_42b6_a388_d039bac5b2a6" hidden="1">#REF!</definedName>
    <definedName name="TBfb923152_b211_48dc_a30b_03cf57d96196" hidden="1">#REF!</definedName>
    <definedName name="TBfb934adb_bdd2_48de_802c_a9f770051464" hidden="1">#REF!</definedName>
    <definedName name="TBfb946e6a_a720_4bd8_aba5_928a08289a9e" hidden="1">#REF!</definedName>
    <definedName name="TBfba0e564_4fc3_40a6_8bfd_de0c10d2f0dc" hidden="1">#REF!</definedName>
    <definedName name="TBfba1b5e2_6a0b_4285_8fa6_6e1bb4f536e2" hidden="1">#REF!</definedName>
    <definedName name="TBfbb0f110_1eb0_410e_ac3d_9e584b72fbe1" hidden="1">#REF!</definedName>
    <definedName name="TBfbb3bfda_992b_41d6_9d2c_98875fa53ee2" hidden="1">#REF!</definedName>
    <definedName name="TBfbbf7cc8_baac_4d29_a26f_e08339511a84" hidden="1">#REF!</definedName>
    <definedName name="TBfbc8c0c1_fe5f_402d_9f02_e2357ffb51f6" hidden="1">#REF!</definedName>
    <definedName name="TBfbc97416_6ae1_4251_ac74_060f8f3223a8" hidden="1">#REF!</definedName>
    <definedName name="TBfbd5a4bf_4a19_4c23_9873_05021419725b" hidden="1">#REF!</definedName>
    <definedName name="TBfbd6f618_653a_4e56_a4b6_393f0de11669" hidden="1">#REF!</definedName>
    <definedName name="TBfbe77fdc_a874_4916_b1e5_6fc2f86fa4b1" hidden="1">#REF!</definedName>
    <definedName name="TBfbe91e99_8512_40ab_b0aa_97a65e462b23" hidden="1">#REF!</definedName>
    <definedName name="TBfbe9bb77_326a_48e5_95c6_3bb3d3a75173" hidden="1">#REF!</definedName>
    <definedName name="TBfbf1d34b_bdbe_4d43_b304_4f34cb82d9e1" hidden="1">#REF!</definedName>
    <definedName name="TBfbfbca60_c187_4df2_b9ae_edce53dc1287" hidden="1">#REF!</definedName>
    <definedName name="TBfc039aab_7617_40a1_b4bf_349b337cd25f" hidden="1">#REF!</definedName>
    <definedName name="TBfc121e49_ce79_4375_937e_40255762a671" hidden="1">#REF!</definedName>
    <definedName name="TBfc1f0a66_8c56_4583_a029_2d84cb47fe24" hidden="1">#REF!</definedName>
    <definedName name="TBfc1f5603_aaf4_4020_a60f_7ec8ca211b3b" hidden="1">#REF!</definedName>
    <definedName name="TBfc265171_6976_4288_8843_f54d0675109e" hidden="1">#REF!</definedName>
    <definedName name="TBfc27e0b2_99e7_40a3_8efc_dc755e99e4ce" hidden="1">#REF!</definedName>
    <definedName name="TBfc356c18_5938_433c_baa0_1db9ea0adb0b" hidden="1">#REF!</definedName>
    <definedName name="TBfc37c2e4_04bb_456f_8152_4a0626edcf33" hidden="1">#REF!</definedName>
    <definedName name="TBfc535ee1_6c6a_49da_bb5e_7ef56970df57" hidden="1">#REF!</definedName>
    <definedName name="TBfc5c5107_ea2c_4a76_8f50_a54b19f11e51" hidden="1">#REF!</definedName>
    <definedName name="TBfc5fb235_5d3b_4403_a6e8_0a95f04fd311" hidden="1">#REF!</definedName>
    <definedName name="TBfc5fbb47_2a2a_4897_9cfd_79de7b2ae035" hidden="1">#REF!</definedName>
    <definedName name="TBfc60d031_99e6_4e5f_a8ab_11b0e7eee193" hidden="1">#REF!</definedName>
    <definedName name="TBfc788aaf_974c_4ba0_aadb_100fc21b9bb9" hidden="1">#REF!</definedName>
    <definedName name="TBfc78c2c9_7b8c_4d00_9dc5_39203630452e" hidden="1">#REF!</definedName>
    <definedName name="TBfc7ffb01_269e_446d_b89a_a0808674dcae" hidden="1">#REF!</definedName>
    <definedName name="TBfc80411a_b7b0_4a93_830d_b87ac53890f9" hidden="1">#REF!</definedName>
    <definedName name="TBfc8d4775_5db2_45de_a665_7e1bfd3f5c3a" hidden="1">#REF!</definedName>
    <definedName name="TBfcb39154_0d2f_4df0_88fd_f327bc87261a" hidden="1">#REF!</definedName>
    <definedName name="TBfcb8d775_0213_4540_b237_29a36fd143ef" hidden="1">#REF!</definedName>
    <definedName name="TBfcb9ea4d_f39a_4ca9_9985_9acfa462a22c" hidden="1">#REF!</definedName>
    <definedName name="TBfcbdd6a2_ce4b_498a_b080_4248c6357d71" hidden="1">#REF!</definedName>
    <definedName name="TBfcc64493_31d2_4e92_ba16_903318b6b50f" hidden="1">#REF!</definedName>
    <definedName name="TBfcc85467_ded0_4763_ae78_fff9c1b754f3" hidden="1">#REF!</definedName>
    <definedName name="TBfcd5b678_1cf1_4d8c_b5b9_11aecc3f6842" hidden="1">#REF!</definedName>
    <definedName name="TBfcdc8225_6eb8_4c2d_b0e1_6d70b86a0f4a" hidden="1">#REF!</definedName>
    <definedName name="TBfceb5315_c8f1_43e6_839a_cd8d9ce25c23" hidden="1">#REF!</definedName>
    <definedName name="TBfcee9006_2741_4772_9cec_2e8a897ae36a" hidden="1">#REF!</definedName>
    <definedName name="TBfcf7e2bd_cce9_4753_a02f_f213b670d8f6" hidden="1">#REF!</definedName>
    <definedName name="TBfd09f264_58f5_490b_b43b_392926453099" hidden="1">#REF!</definedName>
    <definedName name="TBfd0bba7e_b876_4712_9ae3_a6c519a4c954" hidden="1">#REF!</definedName>
    <definedName name="TBfd18a98d_a4f4_449e_81aa_a45822b5db7b" hidden="1">#REF!</definedName>
    <definedName name="TBfd224672_515e_4e61_9a6b_73233269aebd" hidden="1">#REF!</definedName>
    <definedName name="TBfd40f04e_0a66_4c8c_96f1_50a70d773864" hidden="1">#REF!</definedName>
    <definedName name="TBfd494e14_a923_49ab_ab0f_de22a1af5fe2" hidden="1">#REF!</definedName>
    <definedName name="TBfd69d970_8d0c_47e4_84a8_f018fd32258d" hidden="1">#REF!</definedName>
    <definedName name="TBfd78f38f_648b_423b_a7b3_5097565f4908" hidden="1">#REF!</definedName>
    <definedName name="TBfd79205e_20b6_4488_aa18_350fcb903a7a" hidden="1">#REF!</definedName>
    <definedName name="TBfd7dfaf5_f058_44eb_8cb7_8b6eb4d8db66" hidden="1">#REF!</definedName>
    <definedName name="TBfd810b00_fa20_465a_8717_b457ada07b35" hidden="1">#REF!</definedName>
    <definedName name="TBfd82feb5_9ea2_4bd9_8d48_78258c6de6d4" hidden="1">#REF!</definedName>
    <definedName name="TBfd861e30_d59e_4888_ac7d_aa3e34ae9ffb" hidden="1">#REF!</definedName>
    <definedName name="TBfd88e2d1_f0a1_4d19_9b77_576faa458b42" hidden="1">#REF!</definedName>
    <definedName name="TBfd8990e2_c503_4265_bddc_b76452401fa9" hidden="1">#REF!</definedName>
    <definedName name="TBfd8eb61d_626f_4de5_9ac2_e8fffbfa56d3" hidden="1">#REF!</definedName>
    <definedName name="TBfd919253_ee05_4054_9a44_d4d2d160d100" hidden="1">#REF!</definedName>
    <definedName name="TBfd91e7c6_b2da_4107_8d07_95d4347adbcb" hidden="1">#REF!</definedName>
    <definedName name="TBfdb416cd_7cd6_4538_8718_9c2fa673dba6" hidden="1">#REF!</definedName>
    <definedName name="TBfdb6c2b8_19aa_4ba7_8a93_d57a65ce957e" hidden="1">#REF!</definedName>
    <definedName name="TBfdc64aaf_06b2_4c03_9292_fea970cc426c" hidden="1">#REF!</definedName>
    <definedName name="TBfdd7a360_0171_4737_85a4_9c4baee32436" hidden="1">#REF!</definedName>
    <definedName name="TBfdd7c375_8a86_4c5f_906c_428bfb6a6adf" hidden="1">#REF!</definedName>
    <definedName name="TBfdd9a46f_c3d0_487a_be99_1d1ba1aa5cd0" hidden="1">#REF!</definedName>
    <definedName name="TBfddd588c_05ac_4cfb_844e_49a4e7db042b" hidden="1">#REF!</definedName>
    <definedName name="TBfdeaab34_3815_4340_bb48_ecbfb0b85b64" hidden="1">#REF!</definedName>
    <definedName name="TBfdf65ab5_091d_4ee9_9a99_d1be223f15ea" hidden="1">#REF!</definedName>
    <definedName name="TBfdf8fd5e_c74a_49f5_abf8_8264cc324045" hidden="1">#REF!</definedName>
    <definedName name="TBfdfbd74b_4899_4c51_8636_626bb857ce01" hidden="1">#REF!</definedName>
    <definedName name="TBfe068834_9547_44a0_93e7_b46c5ff2b655" hidden="1">#REF!</definedName>
    <definedName name="TBfe260418_d016_46eb_be9e_6524815fbddf" hidden="1">#REF!</definedName>
    <definedName name="TBfe262db9_ce24_4ca7_8be2_c9bbf7e53c52" hidden="1">#REF!</definedName>
    <definedName name="TBfe29a6ab_6031_441a_875c_2b92e29f6d85" hidden="1">#REF!</definedName>
    <definedName name="TBfe2aef07_c8f4_4717_994f_733919ed4693" hidden="1">#REF!</definedName>
    <definedName name="TBfe4ef7a5_d038_49b5_b251_ad3fc1fc5cf2" hidden="1">#REF!</definedName>
    <definedName name="TBfe542192_c469_4c10_8c3b_2c3cfbf7f5a0" hidden="1">#REF!</definedName>
    <definedName name="TBfe5b2ed3_12f5_46b2_9e06_d962ed174e58" hidden="1">#REF!</definedName>
    <definedName name="TBfe6ec34c_50d3_4251_aa5d_13830e3ae3ac" hidden="1">#REF!</definedName>
    <definedName name="TBfe700918_1e16_443b_9a4d_43ebd8f9fac6" hidden="1">#REF!</definedName>
    <definedName name="TBfe794d93_afb5_4214_94f3_c011154c943d" hidden="1">#REF!</definedName>
    <definedName name="TBfe7ca18a_f0a1_4825_a870_7dbe675c03e1" hidden="1">#REF!</definedName>
    <definedName name="TBfe80890f_7ea2_49dd_8697_5b981d09c8dd" hidden="1">#REF!</definedName>
    <definedName name="TBfe80eb79_0727_4c28_9807_6f194d712d2d" hidden="1">#REF!</definedName>
    <definedName name="TBfe8287b8_ea35_49bf_a576_0be4ec53a05c" hidden="1">#REF!</definedName>
    <definedName name="TBfe82c40d_4f30_4e3b_b59f_631285bfa6de" hidden="1">#REF!</definedName>
    <definedName name="TBfe83463a_1378_4ec7_8c36_3dbec65a9daf" hidden="1">#REF!</definedName>
    <definedName name="TBfe86e372_5365_47a5_8acd_88ea01dd5547" hidden="1">#REF!</definedName>
    <definedName name="TBfe9f38ef_eb6f_4766_9cbf_7421d487227d" hidden="1">#REF!</definedName>
    <definedName name="TBfeb1e359_33c4_46dd_89fc_5b4cb3ffe49c" hidden="1">#REF!</definedName>
    <definedName name="TBfeb4e6c6_0553_41e1_9503_42946a79af78" hidden="1">#REF!</definedName>
    <definedName name="TBfeb5ba43_7589_40ec_b864_b5590ebe703e" hidden="1">#REF!</definedName>
    <definedName name="TBfeb98412_5dc1_439e_8ae6_f82923975fa6" hidden="1">#REF!</definedName>
    <definedName name="TBfebcbeac_a153_4240_a9d0_b595a28b1ccc" hidden="1">#REF!</definedName>
    <definedName name="TBfecbd28c_502a_4c5f_bd5d_42198d6ef85e" hidden="1">#REF!</definedName>
    <definedName name="TBfed22e96_4099_46db_b833_fe3e74161993" hidden="1">#REF!</definedName>
    <definedName name="TBfef89775_8012_427b_92b7_56b8a82a4e34" hidden="1">#REF!</definedName>
    <definedName name="TBfef94afd_be1c_44b6_9c5d_c0735817a515" hidden="1">#REF!</definedName>
    <definedName name="TBff050e00_19b4_46da_98a3_a4aefd01b5d7" hidden="1">#REF!</definedName>
    <definedName name="TBff0beb01_0ba5_4c9e_9952_b544ee74fb13" hidden="1">#REF!</definedName>
    <definedName name="TBff0c20f9_7b15_44b6_b751_59742e4526ea" hidden="1">#REF!</definedName>
    <definedName name="TBff17e1c4_1f91_42a8_a03c_9567ce9e8599" hidden="1">#REF!</definedName>
    <definedName name="TBff18dfda_ccc3_4bd4_8ed0_5a7707279b8b" hidden="1">#REF!</definedName>
    <definedName name="TBff1a362e_3dca_4cb5_bbd8_413158a4e2e9" hidden="1">#REF!</definedName>
    <definedName name="TBff1ed5e9_147a_49b7_8d8b_f56176dddb3e" hidden="1">#REF!</definedName>
    <definedName name="TBff205e1f_1fc2_4307_b536_fbf35cf048ad" hidden="1">#REF!</definedName>
    <definedName name="TBff206ab7_1351_4186_bdd2_c176b9c1e233" hidden="1">#REF!</definedName>
    <definedName name="TBff32b9c9_627e_44ad_85e6_e4be1718317d" hidden="1">#REF!</definedName>
    <definedName name="TBff4f7b29_2cba_443f_a13c_6eaa1e34355a" hidden="1">#REF!</definedName>
    <definedName name="TBff518b7a_caaa_4379_82cf_bded36ce2686" hidden="1">#REF!</definedName>
    <definedName name="TBff5261fc_7429_4c08_b40d_e42620d859d6" hidden="1">#REF!</definedName>
    <definedName name="TBff5494cf_cf77_45f3_a1c1_dd1761afbc70" hidden="1">#REF!</definedName>
    <definedName name="TBff5ba66b_6d99_4e04_be41_b695a431ccb4" hidden="1">#REF!</definedName>
    <definedName name="TBff608604_f701_4a87_8e66_7694aa3f489c" hidden="1">#REF!</definedName>
    <definedName name="TBff6eac27_174d_4c16_a156_1337be151b6c" hidden="1">#REF!</definedName>
    <definedName name="TBff72f979_752e_4154_b89d_239fc36d91b7" hidden="1">#REF!</definedName>
    <definedName name="TBff7f8efe_52f6_43a4_a4e8_b5d6806c7634" hidden="1">#REF!</definedName>
    <definedName name="TBff80a76b_cece_4b8c_acb4_c2743b374450" hidden="1">#REF!</definedName>
    <definedName name="TBff88911d_0c81_4006_9d59_1a7c8c11140b" hidden="1">#REF!</definedName>
    <definedName name="TBff934f3a_ee5d_49e6_b25b_93e13564b9d4" hidden="1">#REF!</definedName>
    <definedName name="TBff9465f0_4777_4588_a256_b82b24ed35e7" hidden="1">#REF!</definedName>
    <definedName name="TBffad6b72_736a_4c55_9b62_eaf26e25166d" hidden="1">#REF!</definedName>
    <definedName name="TBffae081d_4b7e_4031_bc2b_64a10aece518" hidden="1">#REF!</definedName>
    <definedName name="TBffaf2f30_af22_4bf0_91d6_e340b3a54621" hidden="1">#REF!</definedName>
    <definedName name="TBffca1d30_0f02_49b8_9063_07570496a10d" hidden="1">#REF!</definedName>
    <definedName name="TBffd49ccf_436f_434a_9b70_86a34acf9925" hidden="1">#REF!</definedName>
    <definedName name="TBffe07762_8900_44c3_9384_8927e7ade365" hidden="1">#REF!</definedName>
    <definedName name="TBfffeb5c0_ce43_4417_a34d_beafff6a312e" hidden="1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9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7">#REF!</definedName>
    <definedName name="TextRefCopy8">#REF!</definedName>
    <definedName name="TextRefCopy9">#REF!</definedName>
    <definedName name="TextRefCopyRange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8" i="53" l="1"/>
  <c r="I368" i="53"/>
  <c r="H368" i="53"/>
  <c r="G368" i="53"/>
  <c r="F368" i="53"/>
  <c r="J367" i="53"/>
  <c r="I367" i="53"/>
  <c r="H367" i="53"/>
  <c r="G367" i="53"/>
  <c r="F367" i="53"/>
  <c r="J366" i="53"/>
  <c r="I366" i="53"/>
  <c r="H366" i="53"/>
  <c r="G366" i="53"/>
  <c r="F366" i="53"/>
  <c r="J365" i="53"/>
  <c r="I365" i="53"/>
  <c r="H365" i="53"/>
  <c r="G365" i="53"/>
  <c r="F365" i="53"/>
  <c r="J364" i="53"/>
  <c r="I364" i="53"/>
  <c r="H364" i="53"/>
  <c r="G364" i="53"/>
  <c r="F364" i="53"/>
  <c r="K227" i="55" s="1"/>
  <c r="J270" i="65"/>
  <c r="I270" i="65"/>
  <c r="H270" i="65"/>
  <c r="G270" i="65"/>
  <c r="J269" i="65"/>
  <c r="I269" i="65"/>
  <c r="H269" i="65"/>
  <c r="G269" i="65"/>
  <c r="E270" i="65"/>
  <c r="F270" i="65" s="1"/>
  <c r="M259" i="55" s="1"/>
  <c r="E269" i="65"/>
  <c r="F269" i="65" s="1"/>
  <c r="M258" i="55" s="1"/>
  <c r="E283" i="66"/>
  <c r="F283" i="66" s="1"/>
  <c r="N259" i="55" s="1"/>
  <c r="G283" i="66"/>
  <c r="H283" i="66"/>
  <c r="I283" i="66"/>
  <c r="J283" i="66"/>
  <c r="J282" i="66"/>
  <c r="I282" i="66"/>
  <c r="H282" i="66"/>
  <c r="G282" i="66"/>
  <c r="E282" i="66"/>
  <c r="F282" i="66" s="1"/>
  <c r="N258" i="55" s="1"/>
  <c r="J281" i="66"/>
  <c r="I281" i="66"/>
  <c r="H281" i="66"/>
  <c r="G281" i="66"/>
  <c r="J280" i="66"/>
  <c r="I280" i="66"/>
  <c r="H280" i="66"/>
  <c r="G280" i="66"/>
  <c r="E281" i="66"/>
  <c r="F281" i="66" s="1"/>
  <c r="N262" i="55" s="1"/>
  <c r="E280" i="66"/>
  <c r="F280" i="66" s="1"/>
  <c r="N261" i="55" s="1"/>
  <c r="J279" i="66"/>
  <c r="I279" i="66"/>
  <c r="H279" i="66"/>
  <c r="G279" i="66"/>
  <c r="F279" i="66"/>
  <c r="N42" i="55" s="1"/>
  <c r="J278" i="66"/>
  <c r="I278" i="66"/>
  <c r="H278" i="66"/>
  <c r="G278" i="66"/>
  <c r="F278" i="66"/>
  <c r="N121" i="55" s="1"/>
  <c r="J267" i="65"/>
  <c r="I267" i="65"/>
  <c r="H267" i="65"/>
  <c r="G267" i="65"/>
  <c r="F267" i="65"/>
  <c r="M128" i="55" s="1"/>
  <c r="J266" i="65"/>
  <c r="I266" i="65"/>
  <c r="H266" i="65"/>
  <c r="G266" i="65"/>
  <c r="F266" i="65"/>
  <c r="M121" i="55" s="1"/>
  <c r="J383" i="62"/>
  <c r="I383" i="62"/>
  <c r="H383" i="62"/>
  <c r="G383" i="62"/>
  <c r="F383" i="62"/>
  <c r="J382" i="62"/>
  <c r="I382" i="62"/>
  <c r="H382" i="62"/>
  <c r="G382" i="62"/>
  <c r="F382" i="62"/>
  <c r="J376" i="53"/>
  <c r="I376" i="53"/>
  <c r="H376" i="53"/>
  <c r="G376" i="53"/>
  <c r="F376" i="53"/>
  <c r="J375" i="53"/>
  <c r="I375" i="53"/>
  <c r="H375" i="53"/>
  <c r="G375" i="53"/>
  <c r="F375" i="53"/>
  <c r="K121" i="55" s="1"/>
  <c r="J299" i="49"/>
  <c r="I299" i="49"/>
  <c r="H299" i="49"/>
  <c r="G299" i="49"/>
  <c r="F299" i="49"/>
  <c r="J298" i="49"/>
  <c r="I298" i="49"/>
  <c r="H298" i="49"/>
  <c r="G298" i="49"/>
  <c r="F298" i="49"/>
  <c r="J121" i="55" s="1"/>
  <c r="J296" i="47"/>
  <c r="I296" i="47"/>
  <c r="H296" i="47"/>
  <c r="G296" i="47"/>
  <c r="F296" i="47"/>
  <c r="J295" i="47"/>
  <c r="I295" i="47"/>
  <c r="H295" i="47"/>
  <c r="G295" i="47"/>
  <c r="F295" i="47"/>
  <c r="I121" i="55" s="1"/>
  <c r="J284" i="43"/>
  <c r="I284" i="43"/>
  <c r="H284" i="43"/>
  <c r="G284" i="43"/>
  <c r="F284" i="43"/>
  <c r="J283" i="43"/>
  <c r="I283" i="43"/>
  <c r="H283" i="43"/>
  <c r="G283" i="43"/>
  <c r="F283" i="43"/>
  <c r="H121" i="55" s="1"/>
  <c r="J266" i="38"/>
  <c r="I266" i="38"/>
  <c r="H266" i="38"/>
  <c r="G266" i="38"/>
  <c r="F266" i="38"/>
  <c r="G128" i="55" s="1"/>
  <c r="J265" i="38"/>
  <c r="I265" i="38"/>
  <c r="H265" i="38"/>
  <c r="G265" i="38"/>
  <c r="F265" i="38"/>
  <c r="G121" i="55" s="1"/>
  <c r="J313" i="33"/>
  <c r="I313" i="33"/>
  <c r="H313" i="33"/>
  <c r="G313" i="33"/>
  <c r="F313" i="33"/>
  <c r="F128" i="55" s="1"/>
  <c r="J312" i="33"/>
  <c r="I312" i="33"/>
  <c r="H312" i="33"/>
  <c r="G312" i="33"/>
  <c r="F312" i="33"/>
  <c r="F121" i="55" s="1"/>
  <c r="J841" i="25"/>
  <c r="I841" i="25"/>
  <c r="H841" i="25"/>
  <c r="G841" i="25"/>
  <c r="F841" i="25"/>
  <c r="J840" i="25"/>
  <c r="I840" i="25"/>
  <c r="H840" i="25"/>
  <c r="G840" i="25"/>
  <c r="F840" i="25"/>
  <c r="E121" i="55" s="1"/>
  <c r="J287" i="29"/>
  <c r="I287" i="29"/>
  <c r="H287" i="29"/>
  <c r="G287" i="29"/>
  <c r="F287" i="29"/>
  <c r="D128" i="55" s="1"/>
  <c r="J286" i="29"/>
  <c r="I286" i="29"/>
  <c r="H286" i="29"/>
  <c r="G286" i="29"/>
  <c r="F286" i="29"/>
  <c r="D121" i="55" s="1"/>
  <c r="J424" i="28"/>
  <c r="I424" i="28"/>
  <c r="H424" i="28"/>
  <c r="G424" i="28"/>
  <c r="F424" i="28"/>
  <c r="C128" i="55" s="1"/>
  <c r="J423" i="28"/>
  <c r="I423" i="28"/>
  <c r="H423" i="28"/>
  <c r="G423" i="28"/>
  <c r="F423" i="28"/>
  <c r="C121" i="55" s="1"/>
  <c r="J263" i="65"/>
  <c r="I263" i="65"/>
  <c r="H263" i="65"/>
  <c r="G263" i="65"/>
  <c r="E263" i="65"/>
  <c r="F263" i="65" s="1"/>
  <c r="J262" i="65"/>
  <c r="I262" i="65"/>
  <c r="H262" i="65"/>
  <c r="G262" i="65"/>
  <c r="F262" i="65"/>
  <c r="M68" i="55" s="1"/>
  <c r="J379" i="62"/>
  <c r="I379" i="62"/>
  <c r="H379" i="62"/>
  <c r="G379" i="62"/>
  <c r="E379" i="62"/>
  <c r="F379" i="62" s="1"/>
  <c r="J378" i="62"/>
  <c r="I378" i="62"/>
  <c r="H378" i="62"/>
  <c r="G378" i="62"/>
  <c r="F378" i="62"/>
  <c r="J372" i="53"/>
  <c r="I372" i="53"/>
  <c r="H372" i="53"/>
  <c r="G372" i="53"/>
  <c r="E372" i="53"/>
  <c r="F372" i="53" s="1"/>
  <c r="J371" i="53"/>
  <c r="I371" i="53"/>
  <c r="H371" i="53"/>
  <c r="G371" i="53"/>
  <c r="F371" i="53"/>
  <c r="K68" i="55" s="1"/>
  <c r="J295" i="49"/>
  <c r="I295" i="49"/>
  <c r="H295" i="49"/>
  <c r="G295" i="49"/>
  <c r="E295" i="49"/>
  <c r="F295" i="49" s="1"/>
  <c r="J294" i="49"/>
  <c r="I294" i="49"/>
  <c r="H294" i="49"/>
  <c r="G294" i="49"/>
  <c r="F294" i="49"/>
  <c r="J68" i="55" s="1"/>
  <c r="J292" i="47"/>
  <c r="I292" i="47"/>
  <c r="H292" i="47"/>
  <c r="G292" i="47"/>
  <c r="E292" i="47"/>
  <c r="F292" i="47" s="1"/>
  <c r="J291" i="47"/>
  <c r="I291" i="47"/>
  <c r="H291" i="47"/>
  <c r="G291" i="47"/>
  <c r="F291" i="47"/>
  <c r="I68" i="55" s="1"/>
  <c r="J280" i="43"/>
  <c r="I280" i="43"/>
  <c r="H280" i="43"/>
  <c r="G280" i="43"/>
  <c r="E280" i="43"/>
  <c r="F280" i="43" s="1"/>
  <c r="J279" i="43"/>
  <c r="I279" i="43"/>
  <c r="H279" i="43"/>
  <c r="G279" i="43"/>
  <c r="F279" i="43"/>
  <c r="H68" i="55" s="1"/>
  <c r="J262" i="38"/>
  <c r="I262" i="38"/>
  <c r="H262" i="38"/>
  <c r="G262" i="38"/>
  <c r="E262" i="38"/>
  <c r="F262" i="38" s="1"/>
  <c r="J261" i="38"/>
  <c r="I261" i="38"/>
  <c r="H261" i="38"/>
  <c r="G261" i="38"/>
  <c r="F261" i="38"/>
  <c r="G68" i="55" s="1"/>
  <c r="J309" i="33"/>
  <c r="I309" i="33"/>
  <c r="H309" i="33"/>
  <c r="G309" i="33"/>
  <c r="E309" i="33"/>
  <c r="F309" i="33" s="1"/>
  <c r="J308" i="33"/>
  <c r="I308" i="33"/>
  <c r="H308" i="33"/>
  <c r="G308" i="33"/>
  <c r="F308" i="33"/>
  <c r="F68" i="55" s="1"/>
  <c r="J837" i="25"/>
  <c r="I837" i="25"/>
  <c r="H837" i="25"/>
  <c r="G837" i="25"/>
  <c r="E837" i="25"/>
  <c r="F837" i="25" s="1"/>
  <c r="J836" i="25"/>
  <c r="I836" i="25"/>
  <c r="H836" i="25"/>
  <c r="G836" i="25"/>
  <c r="F836" i="25"/>
  <c r="E68" i="55" s="1"/>
  <c r="J283" i="29"/>
  <c r="I283" i="29"/>
  <c r="H283" i="29"/>
  <c r="G283" i="29"/>
  <c r="E283" i="29"/>
  <c r="F283" i="29" s="1"/>
  <c r="J282" i="29"/>
  <c r="I282" i="29"/>
  <c r="H282" i="29"/>
  <c r="G282" i="29"/>
  <c r="F282" i="29"/>
  <c r="D68" i="55" s="1"/>
  <c r="F419" i="28"/>
  <c r="C68" i="55" s="1"/>
  <c r="E420" i="28"/>
  <c r="F420" i="28" s="1"/>
  <c r="C87" i="55" s="1"/>
  <c r="J420" i="28"/>
  <c r="I420" i="28"/>
  <c r="H420" i="28"/>
  <c r="G420" i="28"/>
  <c r="J419" i="28"/>
  <c r="I419" i="28"/>
  <c r="H419" i="28"/>
  <c r="G419" i="28"/>
  <c r="J276" i="66"/>
  <c r="I276" i="66"/>
  <c r="H276" i="66"/>
  <c r="G276" i="66"/>
  <c r="J275" i="66"/>
  <c r="I275" i="66"/>
  <c r="H275" i="66"/>
  <c r="G275" i="66"/>
  <c r="F275" i="66"/>
  <c r="N68" i="55" s="1"/>
  <c r="E276" i="66"/>
  <c r="F276" i="66" s="1"/>
  <c r="N87" i="55" s="1"/>
  <c r="J416" i="28"/>
  <c r="I416" i="28"/>
  <c r="H416" i="28"/>
  <c r="G416" i="28"/>
  <c r="F416" i="28"/>
  <c r="J415" i="28"/>
  <c r="I415" i="28"/>
  <c r="H415" i="28"/>
  <c r="G415" i="28"/>
  <c r="F415" i="28"/>
  <c r="J414" i="28"/>
  <c r="I414" i="28"/>
  <c r="H414" i="28"/>
  <c r="G414" i="28"/>
  <c r="F414" i="28"/>
  <c r="J413" i="28"/>
  <c r="I413" i="28"/>
  <c r="H413" i="28"/>
  <c r="G413" i="28"/>
  <c r="F413" i="28"/>
  <c r="J412" i="28"/>
  <c r="I412" i="28"/>
  <c r="H412" i="28"/>
  <c r="G412" i="28"/>
  <c r="F412" i="28"/>
  <c r="J411" i="28"/>
  <c r="I411" i="28"/>
  <c r="H411" i="28"/>
  <c r="G411" i="28"/>
  <c r="F411" i="28"/>
  <c r="J410" i="28"/>
  <c r="I410" i="28"/>
  <c r="H410" i="28"/>
  <c r="G410" i="28"/>
  <c r="F410" i="28"/>
  <c r="J409" i="28"/>
  <c r="I409" i="28"/>
  <c r="H409" i="28"/>
  <c r="G409" i="28"/>
  <c r="F409" i="28"/>
  <c r="J408" i="28"/>
  <c r="I408" i="28"/>
  <c r="H408" i="28"/>
  <c r="G408" i="28"/>
  <c r="F408" i="28"/>
  <c r="J407" i="28"/>
  <c r="I407" i="28"/>
  <c r="H407" i="28"/>
  <c r="G407" i="28"/>
  <c r="F407" i="28"/>
  <c r="J406" i="28"/>
  <c r="I406" i="28"/>
  <c r="H406" i="28"/>
  <c r="G406" i="28"/>
  <c r="F406" i="28"/>
  <c r="J405" i="28"/>
  <c r="I405" i="28"/>
  <c r="H405" i="28"/>
  <c r="G405" i="28"/>
  <c r="F405" i="28"/>
  <c r="J404" i="28"/>
  <c r="I404" i="28"/>
  <c r="H404" i="28"/>
  <c r="G404" i="28"/>
  <c r="F404" i="28"/>
  <c r="J403" i="28"/>
  <c r="I403" i="28"/>
  <c r="H403" i="28"/>
  <c r="G403" i="28"/>
  <c r="F403" i="28"/>
  <c r="J402" i="28"/>
  <c r="I402" i="28"/>
  <c r="H402" i="28"/>
  <c r="G402" i="28"/>
  <c r="F402" i="28"/>
  <c r="J401" i="28"/>
  <c r="I401" i="28"/>
  <c r="H401" i="28"/>
  <c r="G401" i="28"/>
  <c r="F401" i="28"/>
  <c r="J400" i="28"/>
  <c r="I400" i="28"/>
  <c r="H400" i="28"/>
  <c r="G400" i="28"/>
  <c r="F400" i="28"/>
  <c r="J399" i="28"/>
  <c r="I399" i="28"/>
  <c r="H399" i="28"/>
  <c r="G399" i="28"/>
  <c r="F399" i="28"/>
  <c r="J398" i="28"/>
  <c r="I398" i="28"/>
  <c r="H398" i="28"/>
  <c r="G398" i="28"/>
  <c r="F398" i="28"/>
  <c r="J397" i="28"/>
  <c r="I397" i="28"/>
  <c r="H397" i="28"/>
  <c r="G397" i="28"/>
  <c r="F397" i="28"/>
  <c r="J396" i="28"/>
  <c r="I396" i="28"/>
  <c r="H396" i="28"/>
  <c r="G396" i="28"/>
  <c r="F396" i="28"/>
  <c r="J395" i="28"/>
  <c r="I395" i="28"/>
  <c r="H395" i="28"/>
  <c r="G395" i="28"/>
  <c r="F395" i="28"/>
  <c r="J394" i="28"/>
  <c r="I394" i="28"/>
  <c r="H394" i="28"/>
  <c r="G394" i="28"/>
  <c r="F394" i="28"/>
  <c r="J393" i="28"/>
  <c r="I393" i="28"/>
  <c r="H393" i="28"/>
  <c r="G393" i="28"/>
  <c r="F393" i="28"/>
  <c r="J392" i="28"/>
  <c r="I392" i="28"/>
  <c r="H392" i="28"/>
  <c r="G392" i="28"/>
  <c r="F392" i="28"/>
  <c r="J391" i="28"/>
  <c r="I391" i="28"/>
  <c r="H391" i="28"/>
  <c r="G391" i="28"/>
  <c r="F391" i="28"/>
  <c r="J390" i="28"/>
  <c r="I390" i="28"/>
  <c r="H390" i="28"/>
  <c r="G390" i="28"/>
  <c r="F390" i="28"/>
  <c r="J389" i="28"/>
  <c r="I389" i="28"/>
  <c r="H389" i="28"/>
  <c r="G389" i="28"/>
  <c r="F389" i="28"/>
  <c r="J388" i="28"/>
  <c r="I388" i="28"/>
  <c r="H388" i="28"/>
  <c r="G388" i="28"/>
  <c r="F388" i="28"/>
  <c r="J387" i="28"/>
  <c r="I387" i="28"/>
  <c r="H387" i="28"/>
  <c r="G387" i="28"/>
  <c r="F387" i="28"/>
  <c r="J386" i="28"/>
  <c r="I386" i="28"/>
  <c r="H386" i="28"/>
  <c r="G386" i="28"/>
  <c r="F386" i="28"/>
  <c r="J385" i="28"/>
  <c r="I385" i="28"/>
  <c r="H385" i="28"/>
  <c r="G385" i="28"/>
  <c r="F385" i="28"/>
  <c r="J384" i="28"/>
  <c r="I384" i="28"/>
  <c r="H384" i="28"/>
  <c r="G384" i="28"/>
  <c r="F384" i="28"/>
  <c r="J383" i="28"/>
  <c r="I383" i="28"/>
  <c r="H383" i="28"/>
  <c r="G383" i="28"/>
  <c r="F383" i="28"/>
  <c r="J382" i="28"/>
  <c r="I382" i="28"/>
  <c r="H382" i="28"/>
  <c r="G382" i="28"/>
  <c r="F382" i="28"/>
  <c r="J381" i="28"/>
  <c r="I381" i="28"/>
  <c r="H381" i="28"/>
  <c r="G381" i="28"/>
  <c r="F381" i="28"/>
  <c r="J380" i="28"/>
  <c r="I380" i="28"/>
  <c r="H380" i="28"/>
  <c r="G380" i="28"/>
  <c r="F380" i="28"/>
  <c r="J379" i="28"/>
  <c r="I379" i="28"/>
  <c r="H379" i="28"/>
  <c r="G379" i="28"/>
  <c r="F379" i="28"/>
  <c r="J378" i="28"/>
  <c r="I378" i="28"/>
  <c r="H378" i="28"/>
  <c r="G378" i="28"/>
  <c r="F378" i="28"/>
  <c r="J377" i="28"/>
  <c r="I377" i="28"/>
  <c r="H377" i="28"/>
  <c r="G377" i="28"/>
  <c r="F377" i="28"/>
  <c r="J376" i="28"/>
  <c r="I376" i="28"/>
  <c r="H376" i="28"/>
  <c r="G376" i="28"/>
  <c r="F376" i="28"/>
  <c r="J375" i="28"/>
  <c r="I375" i="28"/>
  <c r="H375" i="28"/>
  <c r="G375" i="28"/>
  <c r="F375" i="28"/>
  <c r="J374" i="28"/>
  <c r="I374" i="28"/>
  <c r="H374" i="28"/>
  <c r="G374" i="28"/>
  <c r="F374" i="28"/>
  <c r="J373" i="28"/>
  <c r="I373" i="28"/>
  <c r="H373" i="28"/>
  <c r="G373" i="28"/>
  <c r="F373" i="28"/>
  <c r="J372" i="28"/>
  <c r="I372" i="28"/>
  <c r="H372" i="28"/>
  <c r="G372" i="28"/>
  <c r="F372" i="28"/>
  <c r="J371" i="28"/>
  <c r="I371" i="28"/>
  <c r="H371" i="28"/>
  <c r="G371" i="28"/>
  <c r="F371" i="28"/>
  <c r="J370" i="28"/>
  <c r="I370" i="28"/>
  <c r="H370" i="28"/>
  <c r="G370" i="28"/>
  <c r="F370" i="28"/>
  <c r="J369" i="28"/>
  <c r="I369" i="28"/>
  <c r="H369" i="28"/>
  <c r="G369" i="28"/>
  <c r="F369" i="28"/>
  <c r="J368" i="28"/>
  <c r="I368" i="28"/>
  <c r="H368" i="28"/>
  <c r="G368" i="28"/>
  <c r="F368" i="28"/>
  <c r="J367" i="28"/>
  <c r="I367" i="28"/>
  <c r="H367" i="28"/>
  <c r="G367" i="28"/>
  <c r="F367" i="28"/>
  <c r="J366" i="28"/>
  <c r="I366" i="28"/>
  <c r="H366" i="28"/>
  <c r="G366" i="28"/>
  <c r="F366" i="28"/>
  <c r="J365" i="28"/>
  <c r="I365" i="28"/>
  <c r="H365" i="28"/>
  <c r="G365" i="28"/>
  <c r="F365" i="28"/>
  <c r="J364" i="28"/>
  <c r="I364" i="28"/>
  <c r="H364" i="28"/>
  <c r="G364" i="28"/>
  <c r="F364" i="28"/>
  <c r="J363" i="28"/>
  <c r="I363" i="28"/>
  <c r="H363" i="28"/>
  <c r="G363" i="28"/>
  <c r="F363" i="28"/>
  <c r="J362" i="28"/>
  <c r="I362" i="28"/>
  <c r="H362" i="28"/>
  <c r="G362" i="28"/>
  <c r="F362" i="28"/>
  <c r="J361" i="28"/>
  <c r="I361" i="28"/>
  <c r="H361" i="28"/>
  <c r="G361" i="28"/>
  <c r="F361" i="28"/>
  <c r="J360" i="28"/>
  <c r="I360" i="28"/>
  <c r="H360" i="28"/>
  <c r="G360" i="28"/>
  <c r="F360" i="28"/>
  <c r="J359" i="28"/>
  <c r="I359" i="28"/>
  <c r="H359" i="28"/>
  <c r="G359" i="28"/>
  <c r="F359" i="28"/>
  <c r="J358" i="28"/>
  <c r="I358" i="28"/>
  <c r="H358" i="28"/>
  <c r="G358" i="28"/>
  <c r="F358" i="28"/>
  <c r="J357" i="28"/>
  <c r="I357" i="28"/>
  <c r="H357" i="28"/>
  <c r="G357" i="28"/>
  <c r="F357" i="28"/>
  <c r="J356" i="28"/>
  <c r="I356" i="28"/>
  <c r="H356" i="28"/>
  <c r="G356" i="28"/>
  <c r="F356" i="28"/>
  <c r="J355" i="28"/>
  <c r="I355" i="28"/>
  <c r="H355" i="28"/>
  <c r="G355" i="28"/>
  <c r="F355" i="28"/>
  <c r="J354" i="28"/>
  <c r="I354" i="28"/>
  <c r="H354" i="28"/>
  <c r="G354" i="28"/>
  <c r="F354" i="28"/>
  <c r="J353" i="28"/>
  <c r="I353" i="28"/>
  <c r="H353" i="28"/>
  <c r="G353" i="28"/>
  <c r="F353" i="28"/>
  <c r="J352" i="28"/>
  <c r="I352" i="28"/>
  <c r="H352" i="28"/>
  <c r="G352" i="28"/>
  <c r="F352" i="28"/>
  <c r="C150" i="55" s="1"/>
  <c r="J351" i="28"/>
  <c r="I351" i="28"/>
  <c r="H351" i="28"/>
  <c r="G351" i="28"/>
  <c r="F351" i="28"/>
  <c r="C152" i="55" s="1"/>
  <c r="J350" i="28"/>
  <c r="I350" i="28"/>
  <c r="H350" i="28"/>
  <c r="G350" i="28"/>
  <c r="F350" i="28"/>
  <c r="J349" i="28"/>
  <c r="I349" i="28"/>
  <c r="H349" i="28"/>
  <c r="G349" i="28"/>
  <c r="F349" i="28"/>
  <c r="J348" i="28"/>
  <c r="I348" i="28"/>
  <c r="H348" i="28"/>
  <c r="G348" i="28"/>
  <c r="F348" i="28"/>
  <c r="J347" i="28"/>
  <c r="I347" i="28"/>
  <c r="H347" i="28"/>
  <c r="G347" i="28"/>
  <c r="F347" i="28"/>
  <c r="J346" i="28"/>
  <c r="I346" i="28"/>
  <c r="H346" i="28"/>
  <c r="G346" i="28"/>
  <c r="F346" i="28"/>
  <c r="J345" i="28"/>
  <c r="I345" i="28"/>
  <c r="H345" i="28"/>
  <c r="G345" i="28"/>
  <c r="F345" i="28"/>
  <c r="J344" i="28"/>
  <c r="I344" i="28"/>
  <c r="H344" i="28"/>
  <c r="G344" i="28"/>
  <c r="F344" i="28"/>
  <c r="J343" i="28"/>
  <c r="I343" i="28"/>
  <c r="H343" i="28"/>
  <c r="G343" i="28"/>
  <c r="F343" i="28"/>
  <c r="J342" i="28"/>
  <c r="I342" i="28"/>
  <c r="H342" i="28"/>
  <c r="G342" i="28"/>
  <c r="F342" i="28"/>
  <c r="J341" i="28"/>
  <c r="I341" i="28"/>
  <c r="H341" i="28"/>
  <c r="G341" i="28"/>
  <c r="F341" i="28"/>
  <c r="J340" i="28"/>
  <c r="I340" i="28"/>
  <c r="H340" i="28"/>
  <c r="G340" i="28"/>
  <c r="F340" i="28"/>
  <c r="J339" i="28"/>
  <c r="I339" i="28"/>
  <c r="H339" i="28"/>
  <c r="G339" i="28"/>
  <c r="F339" i="28"/>
  <c r="J338" i="28"/>
  <c r="I338" i="28"/>
  <c r="H338" i="28"/>
  <c r="G338" i="28"/>
  <c r="F338" i="28"/>
  <c r="J337" i="28"/>
  <c r="I337" i="28"/>
  <c r="H337" i="28"/>
  <c r="G337" i="28"/>
  <c r="F337" i="28"/>
  <c r="J336" i="28"/>
  <c r="I336" i="28"/>
  <c r="H336" i="28"/>
  <c r="G336" i="28"/>
  <c r="F336" i="28"/>
  <c r="J335" i="28"/>
  <c r="I335" i="28"/>
  <c r="H335" i="28"/>
  <c r="G335" i="28"/>
  <c r="F335" i="28"/>
  <c r="J334" i="28"/>
  <c r="I334" i="28"/>
  <c r="H334" i="28"/>
  <c r="G334" i="28"/>
  <c r="F334" i="28"/>
  <c r="J333" i="28"/>
  <c r="I333" i="28"/>
  <c r="H333" i="28"/>
  <c r="G333" i="28"/>
  <c r="F333" i="28"/>
  <c r="J332" i="28"/>
  <c r="I332" i="28"/>
  <c r="H332" i="28"/>
  <c r="G332" i="28"/>
  <c r="F332" i="28"/>
  <c r="J331" i="28"/>
  <c r="I331" i="28"/>
  <c r="H331" i="28"/>
  <c r="G331" i="28"/>
  <c r="F331" i="28"/>
  <c r="J330" i="28"/>
  <c r="I330" i="28"/>
  <c r="H330" i="28"/>
  <c r="G330" i="28"/>
  <c r="F330" i="28"/>
  <c r="J329" i="28"/>
  <c r="I329" i="28"/>
  <c r="H329" i="28"/>
  <c r="G329" i="28"/>
  <c r="F329" i="28"/>
  <c r="J328" i="28"/>
  <c r="I328" i="28"/>
  <c r="H328" i="28"/>
  <c r="G328" i="28"/>
  <c r="F328" i="28"/>
  <c r="J327" i="28"/>
  <c r="I327" i="28"/>
  <c r="H327" i="28"/>
  <c r="G327" i="28"/>
  <c r="F327" i="28"/>
  <c r="J326" i="28"/>
  <c r="I326" i="28"/>
  <c r="H326" i="28"/>
  <c r="G326" i="28"/>
  <c r="F326" i="28"/>
  <c r="J325" i="28"/>
  <c r="I325" i="28"/>
  <c r="H325" i="28"/>
  <c r="G325" i="28"/>
  <c r="F325" i="28"/>
  <c r="J324" i="28"/>
  <c r="I324" i="28"/>
  <c r="H324" i="28"/>
  <c r="G324" i="28"/>
  <c r="F324" i="28"/>
  <c r="J323" i="28"/>
  <c r="I323" i="28"/>
  <c r="H323" i="28"/>
  <c r="G323" i="28"/>
  <c r="F323" i="28"/>
  <c r="J322" i="28"/>
  <c r="I322" i="28"/>
  <c r="H322" i="28"/>
  <c r="G322" i="28"/>
  <c r="F322" i="28"/>
  <c r="J321" i="28"/>
  <c r="I321" i="28"/>
  <c r="H321" i="28"/>
  <c r="G321" i="28"/>
  <c r="F321" i="28"/>
  <c r="J320" i="28"/>
  <c r="I320" i="28"/>
  <c r="H320" i="28"/>
  <c r="G320" i="28"/>
  <c r="F320" i="28"/>
  <c r="J319" i="28"/>
  <c r="I319" i="28"/>
  <c r="H319" i="28"/>
  <c r="G319" i="28"/>
  <c r="F319" i="28"/>
  <c r="J318" i="28"/>
  <c r="I318" i="28"/>
  <c r="H318" i="28"/>
  <c r="G318" i="28"/>
  <c r="F318" i="28"/>
  <c r="J317" i="28"/>
  <c r="I317" i="28"/>
  <c r="H317" i="28"/>
  <c r="G317" i="28"/>
  <c r="F317" i="28"/>
  <c r="J316" i="28"/>
  <c r="I316" i="28"/>
  <c r="H316" i="28"/>
  <c r="G316" i="28"/>
  <c r="F316" i="28"/>
  <c r="J315" i="28"/>
  <c r="I315" i="28"/>
  <c r="H315" i="28"/>
  <c r="G315" i="28"/>
  <c r="F315" i="28"/>
  <c r="J314" i="28"/>
  <c r="I314" i="28"/>
  <c r="H314" i="28"/>
  <c r="G314" i="28"/>
  <c r="F314" i="28"/>
  <c r="J313" i="28"/>
  <c r="I313" i="28"/>
  <c r="H313" i="28"/>
  <c r="G313" i="28"/>
  <c r="F313" i="28"/>
  <c r="J312" i="28"/>
  <c r="I312" i="28"/>
  <c r="H312" i="28"/>
  <c r="G312" i="28"/>
  <c r="F312" i="28"/>
  <c r="J311" i="28"/>
  <c r="I311" i="28"/>
  <c r="H311" i="28"/>
  <c r="G311" i="28"/>
  <c r="F311" i="28"/>
  <c r="J310" i="28"/>
  <c r="I310" i="28"/>
  <c r="H310" i="28"/>
  <c r="G310" i="28"/>
  <c r="F310" i="28"/>
  <c r="J309" i="28"/>
  <c r="I309" i="28"/>
  <c r="H309" i="28"/>
  <c r="G309" i="28"/>
  <c r="F309" i="28"/>
  <c r="J308" i="28"/>
  <c r="I308" i="28"/>
  <c r="H308" i="28"/>
  <c r="G308" i="28"/>
  <c r="F308" i="28"/>
  <c r="J307" i="28"/>
  <c r="I307" i="28"/>
  <c r="H307" i="28"/>
  <c r="G307" i="28"/>
  <c r="F307" i="28"/>
  <c r="J306" i="28"/>
  <c r="I306" i="28"/>
  <c r="H306" i="28"/>
  <c r="G306" i="28"/>
  <c r="F306" i="28"/>
  <c r="J305" i="28"/>
  <c r="I305" i="28"/>
  <c r="H305" i="28"/>
  <c r="G305" i="28"/>
  <c r="F305" i="28"/>
  <c r="J304" i="28"/>
  <c r="I304" i="28"/>
  <c r="H304" i="28"/>
  <c r="G304" i="28"/>
  <c r="F304" i="28"/>
  <c r="J303" i="28"/>
  <c r="I303" i="28"/>
  <c r="H303" i="28"/>
  <c r="G303" i="28"/>
  <c r="F303" i="28"/>
  <c r="J302" i="28"/>
  <c r="I302" i="28"/>
  <c r="H302" i="28"/>
  <c r="G302" i="28"/>
  <c r="F302" i="28"/>
  <c r="J301" i="28"/>
  <c r="I301" i="28"/>
  <c r="H301" i="28"/>
  <c r="G301" i="28"/>
  <c r="F301" i="28"/>
  <c r="J300" i="28"/>
  <c r="I300" i="28"/>
  <c r="H300" i="28"/>
  <c r="G300" i="28"/>
  <c r="F300" i="28"/>
  <c r="J299" i="28"/>
  <c r="I299" i="28"/>
  <c r="H299" i="28"/>
  <c r="G299" i="28"/>
  <c r="F299" i="28"/>
  <c r="J298" i="28"/>
  <c r="I298" i="28"/>
  <c r="H298" i="28"/>
  <c r="G298" i="28"/>
  <c r="F298" i="28"/>
  <c r="J297" i="28"/>
  <c r="I297" i="28"/>
  <c r="H297" i="28"/>
  <c r="G297" i="28"/>
  <c r="F297" i="28"/>
  <c r="J296" i="28"/>
  <c r="I296" i="28"/>
  <c r="H296" i="28"/>
  <c r="G296" i="28"/>
  <c r="F296" i="28"/>
  <c r="J295" i="28"/>
  <c r="I295" i="28"/>
  <c r="H295" i="28"/>
  <c r="G295" i="28"/>
  <c r="F295" i="28"/>
  <c r="J294" i="28"/>
  <c r="I294" i="28"/>
  <c r="H294" i="28"/>
  <c r="G294" i="28"/>
  <c r="F294" i="28"/>
  <c r="J293" i="28"/>
  <c r="I293" i="28"/>
  <c r="H293" i="28"/>
  <c r="G293" i="28"/>
  <c r="F293" i="28"/>
  <c r="J292" i="28"/>
  <c r="I292" i="28"/>
  <c r="H292" i="28"/>
  <c r="G292" i="28"/>
  <c r="F292" i="28"/>
  <c r="J291" i="28"/>
  <c r="I291" i="28"/>
  <c r="H291" i="28"/>
  <c r="G291" i="28"/>
  <c r="F291" i="28"/>
  <c r="J290" i="28"/>
  <c r="I290" i="28"/>
  <c r="H290" i="28"/>
  <c r="G290" i="28"/>
  <c r="F290" i="28"/>
  <c r="C129" i="55" s="1"/>
  <c r="J289" i="28"/>
  <c r="I289" i="28"/>
  <c r="H289" i="28"/>
  <c r="G289" i="28"/>
  <c r="F289" i="28"/>
  <c r="J288" i="28"/>
  <c r="I288" i="28"/>
  <c r="H288" i="28"/>
  <c r="G288" i="28"/>
  <c r="F288" i="28"/>
  <c r="J287" i="28"/>
  <c r="I287" i="28"/>
  <c r="H287" i="28"/>
  <c r="G287" i="28"/>
  <c r="F287" i="28"/>
  <c r="J286" i="28"/>
  <c r="I286" i="28"/>
  <c r="H286" i="28"/>
  <c r="G286" i="28"/>
  <c r="F286" i="28"/>
  <c r="J285" i="28"/>
  <c r="I285" i="28"/>
  <c r="H285" i="28"/>
  <c r="G285" i="28"/>
  <c r="F285" i="28"/>
  <c r="J284" i="28"/>
  <c r="I284" i="28"/>
  <c r="H284" i="28"/>
  <c r="G284" i="28"/>
  <c r="F284" i="28"/>
  <c r="J283" i="28"/>
  <c r="I283" i="28"/>
  <c r="H283" i="28"/>
  <c r="G283" i="28"/>
  <c r="F283" i="28"/>
  <c r="J282" i="28"/>
  <c r="I282" i="28"/>
  <c r="H282" i="28"/>
  <c r="G282" i="28"/>
  <c r="F282" i="28"/>
  <c r="J281" i="28"/>
  <c r="I281" i="28"/>
  <c r="H281" i="28"/>
  <c r="G281" i="28"/>
  <c r="F281" i="28"/>
  <c r="J280" i="28"/>
  <c r="I280" i="28"/>
  <c r="H280" i="28"/>
  <c r="G280" i="28"/>
  <c r="F280" i="28"/>
  <c r="C130" i="55" s="1"/>
  <c r="J279" i="28"/>
  <c r="I279" i="28"/>
  <c r="H279" i="28"/>
  <c r="G279" i="28"/>
  <c r="F279" i="28"/>
  <c r="J278" i="28"/>
  <c r="I278" i="28"/>
  <c r="H278" i="28"/>
  <c r="G278" i="28"/>
  <c r="F278" i="28"/>
  <c r="J277" i="28"/>
  <c r="I277" i="28"/>
  <c r="H277" i="28"/>
  <c r="G277" i="28"/>
  <c r="F277" i="28"/>
  <c r="J276" i="28"/>
  <c r="I276" i="28"/>
  <c r="H276" i="28"/>
  <c r="G276" i="28"/>
  <c r="F276" i="28"/>
  <c r="J275" i="28"/>
  <c r="I275" i="28"/>
  <c r="H275" i="28"/>
  <c r="G275" i="28"/>
  <c r="F275" i="28"/>
  <c r="J274" i="28"/>
  <c r="I274" i="28"/>
  <c r="H274" i="28"/>
  <c r="G274" i="28"/>
  <c r="F274" i="28"/>
  <c r="J273" i="28"/>
  <c r="I273" i="28"/>
  <c r="H273" i="28"/>
  <c r="G273" i="28"/>
  <c r="F273" i="28"/>
  <c r="J272" i="28"/>
  <c r="I272" i="28"/>
  <c r="H272" i="28"/>
  <c r="G272" i="28"/>
  <c r="F272" i="28"/>
  <c r="J271" i="28"/>
  <c r="I271" i="28"/>
  <c r="H271" i="28"/>
  <c r="G271" i="28"/>
  <c r="F271" i="28"/>
  <c r="J270" i="28"/>
  <c r="I270" i="28"/>
  <c r="H270" i="28"/>
  <c r="G270" i="28"/>
  <c r="F270" i="28"/>
  <c r="C131" i="55" s="1"/>
  <c r="J269" i="28"/>
  <c r="I269" i="28"/>
  <c r="H269" i="28"/>
  <c r="G269" i="28"/>
  <c r="F269" i="28"/>
  <c r="J268" i="28"/>
  <c r="I268" i="28"/>
  <c r="H268" i="28"/>
  <c r="G268" i="28"/>
  <c r="F268" i="28"/>
  <c r="C132" i="55" s="1"/>
  <c r="J267" i="28"/>
  <c r="I267" i="28"/>
  <c r="H267" i="28"/>
  <c r="G267" i="28"/>
  <c r="F267" i="28"/>
  <c r="J266" i="28"/>
  <c r="I266" i="28"/>
  <c r="H266" i="28"/>
  <c r="G266" i="28"/>
  <c r="F266" i="28"/>
  <c r="J265" i="28"/>
  <c r="I265" i="28"/>
  <c r="H265" i="28"/>
  <c r="G265" i="28"/>
  <c r="F265" i="28"/>
  <c r="J264" i="28"/>
  <c r="I264" i="28"/>
  <c r="H264" i="28"/>
  <c r="G264" i="28"/>
  <c r="F264" i="28"/>
  <c r="J263" i="28"/>
  <c r="I263" i="28"/>
  <c r="H263" i="28"/>
  <c r="G263" i="28"/>
  <c r="F263" i="28"/>
  <c r="J262" i="28"/>
  <c r="I262" i="28"/>
  <c r="H262" i="28"/>
  <c r="G262" i="28"/>
  <c r="F262" i="28"/>
  <c r="C133" i="55" s="1"/>
  <c r="J261" i="28"/>
  <c r="I261" i="28"/>
  <c r="H261" i="28"/>
  <c r="G261" i="28"/>
  <c r="F261" i="28"/>
  <c r="C134" i="55" s="1"/>
  <c r="J260" i="28"/>
  <c r="I260" i="28"/>
  <c r="H260" i="28"/>
  <c r="G260" i="28"/>
  <c r="F260" i="28"/>
  <c r="C135" i="55" s="1"/>
  <c r="J259" i="28"/>
  <c r="I259" i="28"/>
  <c r="H259" i="28"/>
  <c r="G259" i="28"/>
  <c r="F259" i="28"/>
  <c r="J258" i="28"/>
  <c r="I258" i="28"/>
  <c r="H258" i="28"/>
  <c r="G258" i="28"/>
  <c r="F258" i="28"/>
  <c r="J257" i="28"/>
  <c r="I257" i="28"/>
  <c r="H257" i="28"/>
  <c r="G257" i="28"/>
  <c r="F257" i="28"/>
  <c r="J256" i="28"/>
  <c r="I256" i="28"/>
  <c r="H256" i="28"/>
  <c r="G256" i="28"/>
  <c r="F256" i="28"/>
  <c r="C136" i="55" s="1"/>
  <c r="J255" i="28"/>
  <c r="I255" i="28"/>
  <c r="H255" i="28"/>
  <c r="G255" i="28"/>
  <c r="F255" i="28"/>
  <c r="C137" i="55" s="1"/>
  <c r="J254" i="28"/>
  <c r="I254" i="28"/>
  <c r="H254" i="28"/>
  <c r="G254" i="28"/>
  <c r="F254" i="28"/>
  <c r="J253" i="28"/>
  <c r="I253" i="28"/>
  <c r="H253" i="28"/>
  <c r="G253" i="28"/>
  <c r="F253" i="28"/>
  <c r="J252" i="28"/>
  <c r="I252" i="28"/>
  <c r="H252" i="28"/>
  <c r="G252" i="28"/>
  <c r="F252" i="28"/>
  <c r="J251" i="28"/>
  <c r="I251" i="28"/>
  <c r="H251" i="28"/>
  <c r="G251" i="28"/>
  <c r="F251" i="28"/>
  <c r="J250" i="28"/>
  <c r="I250" i="28"/>
  <c r="H250" i="28"/>
  <c r="G250" i="28"/>
  <c r="F250" i="28"/>
  <c r="J249" i="28"/>
  <c r="I249" i="28"/>
  <c r="H249" i="28"/>
  <c r="G249" i="28"/>
  <c r="F249" i="28"/>
  <c r="C138" i="55" s="1"/>
  <c r="J248" i="28"/>
  <c r="I248" i="28"/>
  <c r="H248" i="28"/>
  <c r="G248" i="28"/>
  <c r="F248" i="28"/>
  <c r="J247" i="28"/>
  <c r="I247" i="28"/>
  <c r="H247" i="28"/>
  <c r="G247" i="28"/>
  <c r="F247" i="28"/>
  <c r="J246" i="28"/>
  <c r="I246" i="28"/>
  <c r="H246" i="28"/>
  <c r="G246" i="28"/>
  <c r="F246" i="28"/>
  <c r="J245" i="28"/>
  <c r="I245" i="28"/>
  <c r="H245" i="28"/>
  <c r="G245" i="28"/>
  <c r="F245" i="28"/>
  <c r="J244" i="28"/>
  <c r="I244" i="28"/>
  <c r="H244" i="28"/>
  <c r="G244" i="28"/>
  <c r="F244" i="28"/>
  <c r="C140" i="55" s="1"/>
  <c r="J243" i="28"/>
  <c r="I243" i="28"/>
  <c r="H243" i="28"/>
  <c r="G243" i="28"/>
  <c r="F243" i="28"/>
  <c r="C141" i="55" s="1"/>
  <c r="J242" i="28"/>
  <c r="I242" i="28"/>
  <c r="H242" i="28"/>
  <c r="G242" i="28"/>
  <c r="F242" i="28"/>
  <c r="C142" i="55" s="1"/>
  <c r="J241" i="28"/>
  <c r="I241" i="28"/>
  <c r="H241" i="28"/>
  <c r="G241" i="28"/>
  <c r="F241" i="28"/>
  <c r="J240" i="28"/>
  <c r="I240" i="28"/>
  <c r="H240" i="28"/>
  <c r="G240" i="28"/>
  <c r="F240" i="28"/>
  <c r="J239" i="28"/>
  <c r="I239" i="28"/>
  <c r="H239" i="28"/>
  <c r="G239" i="28"/>
  <c r="F239" i="28"/>
  <c r="J238" i="28"/>
  <c r="I238" i="28"/>
  <c r="H238" i="28"/>
  <c r="G238" i="28"/>
  <c r="F238" i="28"/>
  <c r="J237" i="28"/>
  <c r="I237" i="28"/>
  <c r="H237" i="28"/>
  <c r="G237" i="28"/>
  <c r="F237" i="28"/>
  <c r="J236" i="28"/>
  <c r="I236" i="28"/>
  <c r="H236" i="28"/>
  <c r="G236" i="28"/>
  <c r="F236" i="28"/>
  <c r="J235" i="28"/>
  <c r="I235" i="28"/>
  <c r="H235" i="28"/>
  <c r="G235" i="28"/>
  <c r="F235" i="28"/>
  <c r="J234" i="28"/>
  <c r="I234" i="28"/>
  <c r="H234" i="28"/>
  <c r="G234" i="28"/>
  <c r="F234" i="28"/>
  <c r="J233" i="28"/>
  <c r="I233" i="28"/>
  <c r="H233" i="28"/>
  <c r="G233" i="28"/>
  <c r="F233" i="28"/>
  <c r="J232" i="28"/>
  <c r="I232" i="28"/>
  <c r="H232" i="28"/>
  <c r="G232" i="28"/>
  <c r="F232" i="28"/>
  <c r="J231" i="28"/>
  <c r="I231" i="28"/>
  <c r="H231" i="28"/>
  <c r="G231" i="28"/>
  <c r="F231" i="28"/>
  <c r="J230" i="28"/>
  <c r="I230" i="28"/>
  <c r="H230" i="28"/>
  <c r="G230" i="28"/>
  <c r="F230" i="28"/>
  <c r="J229" i="28"/>
  <c r="I229" i="28"/>
  <c r="H229" i="28"/>
  <c r="G229" i="28"/>
  <c r="F229" i="28"/>
  <c r="J228" i="28"/>
  <c r="I228" i="28"/>
  <c r="H228" i="28"/>
  <c r="G228" i="28"/>
  <c r="F228" i="28"/>
  <c r="J227" i="28"/>
  <c r="I227" i="28"/>
  <c r="H227" i="28"/>
  <c r="G227" i="28"/>
  <c r="F227" i="28"/>
  <c r="J226" i="28"/>
  <c r="I226" i="28"/>
  <c r="H226" i="28"/>
  <c r="G226" i="28"/>
  <c r="F226" i="28"/>
  <c r="J225" i="28"/>
  <c r="I225" i="28"/>
  <c r="H225" i="28"/>
  <c r="G225" i="28"/>
  <c r="F225" i="28"/>
  <c r="J224" i="28"/>
  <c r="I224" i="28"/>
  <c r="H224" i="28"/>
  <c r="G224" i="28"/>
  <c r="F224" i="28"/>
  <c r="J223" i="28"/>
  <c r="I223" i="28"/>
  <c r="H223" i="28"/>
  <c r="G223" i="28"/>
  <c r="F223" i="28"/>
  <c r="J222" i="28"/>
  <c r="I222" i="28"/>
  <c r="H222" i="28"/>
  <c r="G222" i="28"/>
  <c r="F222" i="28"/>
  <c r="J221" i="28"/>
  <c r="I221" i="28"/>
  <c r="H221" i="28"/>
  <c r="G221" i="28"/>
  <c r="F221" i="28"/>
  <c r="J220" i="28"/>
  <c r="I220" i="28"/>
  <c r="H220" i="28"/>
  <c r="G220" i="28"/>
  <c r="F220" i="28"/>
  <c r="J219" i="28"/>
  <c r="I219" i="28"/>
  <c r="H219" i="28"/>
  <c r="G219" i="28"/>
  <c r="F219" i="28"/>
  <c r="J218" i="28"/>
  <c r="I218" i="28"/>
  <c r="H218" i="28"/>
  <c r="G218" i="28"/>
  <c r="F218" i="28"/>
  <c r="J217" i="28"/>
  <c r="I217" i="28"/>
  <c r="H217" i="28"/>
  <c r="G217" i="28"/>
  <c r="F217" i="28"/>
  <c r="J216" i="28"/>
  <c r="I216" i="28"/>
  <c r="H216" i="28"/>
  <c r="G216" i="28"/>
  <c r="F216" i="28"/>
  <c r="J215" i="28"/>
  <c r="I215" i="28"/>
  <c r="H215" i="28"/>
  <c r="G215" i="28"/>
  <c r="F215" i="28"/>
  <c r="J214" i="28"/>
  <c r="I214" i="28"/>
  <c r="H214" i="28"/>
  <c r="G214" i="28"/>
  <c r="F214" i="28"/>
  <c r="J213" i="28"/>
  <c r="I213" i="28"/>
  <c r="H213" i="28"/>
  <c r="G213" i="28"/>
  <c r="F213" i="28"/>
  <c r="J212" i="28"/>
  <c r="I212" i="28"/>
  <c r="H212" i="28"/>
  <c r="G212" i="28"/>
  <c r="F212" i="28"/>
  <c r="J211" i="28"/>
  <c r="I211" i="28"/>
  <c r="H211" i="28"/>
  <c r="G211" i="28"/>
  <c r="F211" i="28"/>
  <c r="J210" i="28"/>
  <c r="I210" i="28"/>
  <c r="H210" i="28"/>
  <c r="G210" i="28"/>
  <c r="F210" i="28"/>
  <c r="J209" i="28"/>
  <c r="I209" i="28"/>
  <c r="H209" i="28"/>
  <c r="G209" i="28"/>
  <c r="F209" i="28"/>
  <c r="J208" i="28"/>
  <c r="I208" i="28"/>
  <c r="H208" i="28"/>
  <c r="G208" i="28"/>
  <c r="F208" i="28"/>
  <c r="J207" i="28"/>
  <c r="I207" i="28"/>
  <c r="H207" i="28"/>
  <c r="G207" i="28"/>
  <c r="F207" i="28"/>
  <c r="J206" i="28"/>
  <c r="I206" i="28"/>
  <c r="H206" i="28"/>
  <c r="G206" i="28"/>
  <c r="F206" i="28"/>
  <c r="J205" i="28"/>
  <c r="I205" i="28"/>
  <c r="H205" i="28"/>
  <c r="G205" i="28"/>
  <c r="F205" i="28"/>
  <c r="J204" i="28"/>
  <c r="I204" i="28"/>
  <c r="H204" i="28"/>
  <c r="G204" i="28"/>
  <c r="F204" i="28"/>
  <c r="J203" i="28"/>
  <c r="I203" i="28"/>
  <c r="H203" i="28"/>
  <c r="G203" i="28"/>
  <c r="F203" i="28"/>
  <c r="J202" i="28"/>
  <c r="I202" i="28"/>
  <c r="H202" i="28"/>
  <c r="G202" i="28"/>
  <c r="F202" i="28"/>
  <c r="J201" i="28"/>
  <c r="I201" i="28"/>
  <c r="H201" i="28"/>
  <c r="G201" i="28"/>
  <c r="F201" i="28"/>
  <c r="J200" i="28"/>
  <c r="I200" i="28"/>
  <c r="H200" i="28"/>
  <c r="G200" i="28"/>
  <c r="F200" i="28"/>
  <c r="J199" i="28"/>
  <c r="I199" i="28"/>
  <c r="H199" i="28"/>
  <c r="G199" i="28"/>
  <c r="F199" i="28"/>
  <c r="J198" i="28"/>
  <c r="I198" i="28"/>
  <c r="H198" i="28"/>
  <c r="G198" i="28"/>
  <c r="F198" i="28"/>
  <c r="C179" i="55" s="1"/>
  <c r="J197" i="28"/>
  <c r="I197" i="28"/>
  <c r="H197" i="28"/>
  <c r="G197" i="28"/>
  <c r="F197" i="28"/>
  <c r="J196" i="28"/>
  <c r="I196" i="28"/>
  <c r="H196" i="28"/>
  <c r="G196" i="28"/>
  <c r="F196" i="28"/>
  <c r="J195" i="28"/>
  <c r="I195" i="28"/>
  <c r="H195" i="28"/>
  <c r="G195" i="28"/>
  <c r="F195" i="28"/>
  <c r="J194" i="28"/>
  <c r="I194" i="28"/>
  <c r="H194" i="28"/>
  <c r="G194" i="28"/>
  <c r="F194" i="28"/>
  <c r="J193" i="28"/>
  <c r="I193" i="28"/>
  <c r="H193" i="28"/>
  <c r="G193" i="28"/>
  <c r="F193" i="28"/>
  <c r="J192" i="28"/>
  <c r="I192" i="28"/>
  <c r="H192" i="28"/>
  <c r="G192" i="28"/>
  <c r="F192" i="28"/>
  <c r="J191" i="28"/>
  <c r="I191" i="28"/>
  <c r="H191" i="28"/>
  <c r="G191" i="28"/>
  <c r="F191" i="28"/>
  <c r="J190" i="28"/>
  <c r="I190" i="28"/>
  <c r="H190" i="28"/>
  <c r="G190" i="28"/>
  <c r="F190" i="28"/>
  <c r="J189" i="28"/>
  <c r="I189" i="28"/>
  <c r="H189" i="28"/>
  <c r="G189" i="28"/>
  <c r="F189" i="28"/>
  <c r="J279" i="29"/>
  <c r="I279" i="29"/>
  <c r="H279" i="29"/>
  <c r="G279" i="29"/>
  <c r="F279" i="29"/>
  <c r="J278" i="29"/>
  <c r="I278" i="29"/>
  <c r="H278" i="29"/>
  <c r="G278" i="29"/>
  <c r="F278" i="29"/>
  <c r="J277" i="29"/>
  <c r="I277" i="29"/>
  <c r="H277" i="29"/>
  <c r="G277" i="29"/>
  <c r="F277" i="29"/>
  <c r="J276" i="29"/>
  <c r="I276" i="29"/>
  <c r="H276" i="29"/>
  <c r="G276" i="29"/>
  <c r="F276" i="29"/>
  <c r="J275" i="29"/>
  <c r="I275" i="29"/>
  <c r="H275" i="29"/>
  <c r="G275" i="29"/>
  <c r="F275" i="29"/>
  <c r="J274" i="29"/>
  <c r="I274" i="29"/>
  <c r="H274" i="29"/>
  <c r="G274" i="29"/>
  <c r="F274" i="29"/>
  <c r="J273" i="29"/>
  <c r="I273" i="29"/>
  <c r="H273" i="29"/>
  <c r="G273" i="29"/>
  <c r="F273" i="29"/>
  <c r="J272" i="29"/>
  <c r="I272" i="29"/>
  <c r="H272" i="29"/>
  <c r="G272" i="29"/>
  <c r="F272" i="29"/>
  <c r="J271" i="29"/>
  <c r="I271" i="29"/>
  <c r="H271" i="29"/>
  <c r="G271" i="29"/>
  <c r="F271" i="29"/>
  <c r="J270" i="29"/>
  <c r="I270" i="29"/>
  <c r="H270" i="29"/>
  <c r="G270" i="29"/>
  <c r="F270" i="29"/>
  <c r="J269" i="29"/>
  <c r="I269" i="29"/>
  <c r="H269" i="29"/>
  <c r="G269" i="29"/>
  <c r="F269" i="29"/>
  <c r="J268" i="29"/>
  <c r="I268" i="29"/>
  <c r="H268" i="29"/>
  <c r="G268" i="29"/>
  <c r="F268" i="29"/>
  <c r="J267" i="29"/>
  <c r="I267" i="29"/>
  <c r="H267" i="29"/>
  <c r="G267" i="29"/>
  <c r="F267" i="29"/>
  <c r="J266" i="29"/>
  <c r="I266" i="29"/>
  <c r="H266" i="29"/>
  <c r="G266" i="29"/>
  <c r="F266" i="29"/>
  <c r="J265" i="29"/>
  <c r="I265" i="29"/>
  <c r="H265" i="29"/>
  <c r="G265" i="29"/>
  <c r="F265" i="29"/>
  <c r="J264" i="29"/>
  <c r="I264" i="29"/>
  <c r="H264" i="29"/>
  <c r="G264" i="29"/>
  <c r="F264" i="29"/>
  <c r="J263" i="29"/>
  <c r="I263" i="29"/>
  <c r="H263" i="29"/>
  <c r="G263" i="29"/>
  <c r="F263" i="29"/>
  <c r="J262" i="29"/>
  <c r="I262" i="29"/>
  <c r="H262" i="29"/>
  <c r="G262" i="29"/>
  <c r="F262" i="29"/>
  <c r="J261" i="29"/>
  <c r="I261" i="29"/>
  <c r="H261" i="29"/>
  <c r="G261" i="29"/>
  <c r="F261" i="29"/>
  <c r="J260" i="29"/>
  <c r="I260" i="29"/>
  <c r="H260" i="29"/>
  <c r="G260" i="29"/>
  <c r="F260" i="29"/>
  <c r="J259" i="29"/>
  <c r="I259" i="29"/>
  <c r="H259" i="29"/>
  <c r="G259" i="29"/>
  <c r="F259" i="29"/>
  <c r="D131" i="55" s="1"/>
  <c r="J258" i="29"/>
  <c r="I258" i="29"/>
  <c r="H258" i="29"/>
  <c r="G258" i="29"/>
  <c r="F258" i="29"/>
  <c r="J257" i="29"/>
  <c r="I257" i="29"/>
  <c r="H257" i="29"/>
  <c r="G257" i="29"/>
  <c r="F257" i="29"/>
  <c r="J256" i="29"/>
  <c r="I256" i="29"/>
  <c r="H256" i="29"/>
  <c r="G256" i="29"/>
  <c r="F256" i="29"/>
  <c r="J255" i="29"/>
  <c r="I255" i="29"/>
  <c r="H255" i="29"/>
  <c r="G255" i="29"/>
  <c r="F255" i="29"/>
  <c r="J254" i="29"/>
  <c r="I254" i="29"/>
  <c r="H254" i="29"/>
  <c r="G254" i="29"/>
  <c r="F254" i="29"/>
  <c r="J253" i="29"/>
  <c r="I253" i="29"/>
  <c r="H253" i="29"/>
  <c r="G253" i="29"/>
  <c r="F253" i="29"/>
  <c r="J252" i="29"/>
  <c r="I252" i="29"/>
  <c r="H252" i="29"/>
  <c r="G252" i="29"/>
  <c r="F252" i="29"/>
  <c r="D133" i="55" s="1"/>
  <c r="J251" i="29"/>
  <c r="I251" i="29"/>
  <c r="H251" i="29"/>
  <c r="G251" i="29"/>
  <c r="F251" i="29"/>
  <c r="J250" i="29"/>
  <c r="I250" i="29"/>
  <c r="H250" i="29"/>
  <c r="G250" i="29"/>
  <c r="F250" i="29"/>
  <c r="D135" i="55" s="1"/>
  <c r="J249" i="29"/>
  <c r="I249" i="29"/>
  <c r="H249" i="29"/>
  <c r="G249" i="29"/>
  <c r="F249" i="29"/>
  <c r="J248" i="29"/>
  <c r="I248" i="29"/>
  <c r="H248" i="29"/>
  <c r="G248" i="29"/>
  <c r="F248" i="29"/>
  <c r="J247" i="29"/>
  <c r="I247" i="29"/>
  <c r="H247" i="29"/>
  <c r="G247" i="29"/>
  <c r="F247" i="29"/>
  <c r="D136" i="55" s="1"/>
  <c r="J246" i="29"/>
  <c r="I246" i="29"/>
  <c r="H246" i="29"/>
  <c r="G246" i="29"/>
  <c r="F246" i="29"/>
  <c r="J245" i="29"/>
  <c r="I245" i="29"/>
  <c r="H245" i="29"/>
  <c r="G245" i="29"/>
  <c r="F245" i="29"/>
  <c r="J244" i="29"/>
  <c r="I244" i="29"/>
  <c r="H244" i="29"/>
  <c r="G244" i="29"/>
  <c r="F244" i="29"/>
  <c r="J243" i="29"/>
  <c r="I243" i="29"/>
  <c r="H243" i="29"/>
  <c r="G243" i="29"/>
  <c r="F243" i="29"/>
  <c r="J242" i="29"/>
  <c r="I242" i="29"/>
  <c r="H242" i="29"/>
  <c r="G242" i="29"/>
  <c r="F242" i="29"/>
  <c r="J241" i="29"/>
  <c r="I241" i="29"/>
  <c r="H241" i="29"/>
  <c r="G241" i="29"/>
  <c r="F241" i="29"/>
  <c r="J240" i="29"/>
  <c r="I240" i="29"/>
  <c r="H240" i="29"/>
  <c r="G240" i="29"/>
  <c r="F240" i="29"/>
  <c r="J239" i="29"/>
  <c r="I239" i="29"/>
  <c r="H239" i="29"/>
  <c r="G239" i="29"/>
  <c r="F239" i="29"/>
  <c r="D138" i="55" s="1"/>
  <c r="J238" i="29"/>
  <c r="I238" i="29"/>
  <c r="H238" i="29"/>
  <c r="G238" i="29"/>
  <c r="F238" i="29"/>
  <c r="J237" i="29"/>
  <c r="I237" i="29"/>
  <c r="H237" i="29"/>
  <c r="G237" i="29"/>
  <c r="F237" i="29"/>
  <c r="J236" i="29"/>
  <c r="I236" i="29"/>
  <c r="H236" i="29"/>
  <c r="G236" i="29"/>
  <c r="F236" i="29"/>
  <c r="D140" i="55" s="1"/>
  <c r="J235" i="29"/>
  <c r="I235" i="29"/>
  <c r="H235" i="29"/>
  <c r="G235" i="29"/>
  <c r="F235" i="29"/>
  <c r="J234" i="29"/>
  <c r="I234" i="29"/>
  <c r="H234" i="29"/>
  <c r="G234" i="29"/>
  <c r="F234" i="29"/>
  <c r="D145" i="55" s="1"/>
  <c r="J233" i="29"/>
  <c r="I233" i="29"/>
  <c r="H233" i="29"/>
  <c r="G233" i="29"/>
  <c r="F233" i="29"/>
  <c r="D147" i="55" s="1"/>
  <c r="J232" i="29"/>
  <c r="I232" i="29"/>
  <c r="H232" i="29"/>
  <c r="G232" i="29"/>
  <c r="F232" i="29"/>
  <c r="D157" i="55" s="1"/>
  <c r="J231" i="29"/>
  <c r="I231" i="29"/>
  <c r="H231" i="29"/>
  <c r="G231" i="29"/>
  <c r="F231" i="29"/>
  <c r="D158" i="55" s="1"/>
  <c r="J230" i="29"/>
  <c r="I230" i="29"/>
  <c r="H230" i="29"/>
  <c r="G230" i="29"/>
  <c r="F230" i="29"/>
  <c r="D159" i="55" s="1"/>
  <c r="J229" i="29"/>
  <c r="I229" i="29"/>
  <c r="H229" i="29"/>
  <c r="G229" i="29"/>
  <c r="F229" i="29"/>
  <c r="D160" i="55" s="1"/>
  <c r="J228" i="29"/>
  <c r="I228" i="29"/>
  <c r="H228" i="29"/>
  <c r="G228" i="29"/>
  <c r="F228" i="29"/>
  <c r="D161" i="55" s="1"/>
  <c r="J227" i="29"/>
  <c r="I227" i="29"/>
  <c r="H227" i="29"/>
  <c r="G227" i="29"/>
  <c r="F227" i="29"/>
  <c r="D162" i="55" s="1"/>
  <c r="J226" i="29"/>
  <c r="I226" i="29"/>
  <c r="H226" i="29"/>
  <c r="G226" i="29"/>
  <c r="F226" i="29"/>
  <c r="D163" i="55" s="1"/>
  <c r="J225" i="29"/>
  <c r="I225" i="29"/>
  <c r="H225" i="29"/>
  <c r="G225" i="29"/>
  <c r="F225" i="29"/>
  <c r="D164" i="55" s="1"/>
  <c r="J224" i="29"/>
  <c r="I224" i="29"/>
  <c r="H224" i="29"/>
  <c r="G224" i="29"/>
  <c r="F224" i="29"/>
  <c r="J223" i="29"/>
  <c r="I223" i="29"/>
  <c r="H223" i="29"/>
  <c r="G223" i="29"/>
  <c r="F223" i="29"/>
  <c r="J222" i="29"/>
  <c r="I222" i="29"/>
  <c r="H222" i="29"/>
  <c r="G222" i="29"/>
  <c r="F222" i="29"/>
  <c r="D165" i="55" s="1"/>
  <c r="J221" i="29"/>
  <c r="I221" i="29"/>
  <c r="H221" i="29"/>
  <c r="G221" i="29"/>
  <c r="F221" i="29"/>
  <c r="D167" i="55" s="1"/>
  <c r="J220" i="29"/>
  <c r="I220" i="29"/>
  <c r="H220" i="29"/>
  <c r="G220" i="29"/>
  <c r="F220" i="29"/>
  <c r="D169" i="55" s="1"/>
  <c r="J219" i="29"/>
  <c r="I219" i="29"/>
  <c r="H219" i="29"/>
  <c r="G219" i="29"/>
  <c r="F219" i="29"/>
  <c r="J218" i="29"/>
  <c r="I218" i="29"/>
  <c r="H218" i="29"/>
  <c r="G218" i="29"/>
  <c r="F218" i="29"/>
  <c r="D170" i="55" s="1"/>
  <c r="J217" i="29"/>
  <c r="I217" i="29"/>
  <c r="H217" i="29"/>
  <c r="G217" i="29"/>
  <c r="F217" i="29"/>
  <c r="D171" i="55" s="1"/>
  <c r="J216" i="29"/>
  <c r="I216" i="29"/>
  <c r="H216" i="29"/>
  <c r="G216" i="29"/>
  <c r="F216" i="29"/>
  <c r="J215" i="29"/>
  <c r="I215" i="29"/>
  <c r="H215" i="29"/>
  <c r="G215" i="29"/>
  <c r="F215" i="29"/>
  <c r="J214" i="29"/>
  <c r="I214" i="29"/>
  <c r="H214" i="29"/>
  <c r="G214" i="29"/>
  <c r="F214" i="29"/>
  <c r="J213" i="29"/>
  <c r="I213" i="29"/>
  <c r="H213" i="29"/>
  <c r="G213" i="29"/>
  <c r="F213" i="29"/>
  <c r="J212" i="29"/>
  <c r="I212" i="29"/>
  <c r="H212" i="29"/>
  <c r="G212" i="29"/>
  <c r="F212" i="29"/>
  <c r="D172" i="55" s="1"/>
  <c r="J211" i="29"/>
  <c r="I211" i="29"/>
  <c r="H211" i="29"/>
  <c r="G211" i="29"/>
  <c r="F211" i="29"/>
  <c r="D173" i="55" s="1"/>
  <c r="J210" i="29"/>
  <c r="I210" i="29"/>
  <c r="H210" i="29"/>
  <c r="G210" i="29"/>
  <c r="F210" i="29"/>
  <c r="D174" i="55" s="1"/>
  <c r="J209" i="29"/>
  <c r="I209" i="29"/>
  <c r="H209" i="29"/>
  <c r="G209" i="29"/>
  <c r="F209" i="29"/>
  <c r="D175" i="55" s="1"/>
  <c r="J208" i="29"/>
  <c r="I208" i="29"/>
  <c r="H208" i="29"/>
  <c r="G208" i="29"/>
  <c r="F208" i="29"/>
  <c r="D176" i="55" s="1"/>
  <c r="J207" i="29"/>
  <c r="I207" i="29"/>
  <c r="H207" i="29"/>
  <c r="G207" i="29"/>
  <c r="F207" i="29"/>
  <c r="D178" i="55" s="1"/>
  <c r="J206" i="29"/>
  <c r="I206" i="29"/>
  <c r="H206" i="29"/>
  <c r="G206" i="29"/>
  <c r="F206" i="29"/>
  <c r="D179" i="55" s="1"/>
  <c r="J205" i="29"/>
  <c r="I205" i="29"/>
  <c r="H205" i="29"/>
  <c r="G205" i="29"/>
  <c r="F205" i="29"/>
  <c r="J204" i="29"/>
  <c r="I204" i="29"/>
  <c r="H204" i="29"/>
  <c r="G204" i="29"/>
  <c r="F204" i="29"/>
  <c r="D180" i="55" s="1"/>
  <c r="J203" i="29"/>
  <c r="I203" i="29"/>
  <c r="H203" i="29"/>
  <c r="G203" i="29"/>
  <c r="F203" i="29"/>
  <c r="D183" i="55" s="1"/>
  <c r="J202" i="29"/>
  <c r="I202" i="29"/>
  <c r="H202" i="29"/>
  <c r="G202" i="29"/>
  <c r="F202" i="29"/>
  <c r="D184" i="55" s="1"/>
  <c r="J201" i="29"/>
  <c r="I201" i="29"/>
  <c r="H201" i="29"/>
  <c r="G201" i="29"/>
  <c r="F201" i="29"/>
  <c r="D185" i="55" s="1"/>
  <c r="J200" i="29"/>
  <c r="I200" i="29"/>
  <c r="H200" i="29"/>
  <c r="G200" i="29"/>
  <c r="F200" i="29"/>
  <c r="D186" i="55" s="1"/>
  <c r="J199" i="29"/>
  <c r="I199" i="29"/>
  <c r="H199" i="29"/>
  <c r="G199" i="29"/>
  <c r="F199" i="29"/>
  <c r="D187" i="55" s="1"/>
  <c r="J833" i="25"/>
  <c r="I833" i="25"/>
  <c r="H833" i="25"/>
  <c r="G833" i="25"/>
  <c r="F833" i="25"/>
  <c r="E71" i="55" s="1"/>
  <c r="J832" i="25"/>
  <c r="I832" i="25"/>
  <c r="H832" i="25"/>
  <c r="G832" i="25"/>
  <c r="F832" i="25"/>
  <c r="J831" i="25"/>
  <c r="I831" i="25"/>
  <c r="H831" i="25"/>
  <c r="G831" i="25"/>
  <c r="F831" i="25"/>
  <c r="J830" i="25"/>
  <c r="I830" i="25"/>
  <c r="H830" i="25"/>
  <c r="G830" i="25"/>
  <c r="F830" i="25"/>
  <c r="J829" i="25"/>
  <c r="I829" i="25"/>
  <c r="H829" i="25"/>
  <c r="G829" i="25"/>
  <c r="F829" i="25"/>
  <c r="J828" i="25"/>
  <c r="I828" i="25"/>
  <c r="H828" i="25"/>
  <c r="G828" i="25"/>
  <c r="F828" i="25"/>
  <c r="J827" i="25"/>
  <c r="I827" i="25"/>
  <c r="H827" i="25"/>
  <c r="G827" i="25"/>
  <c r="F827" i="25"/>
  <c r="J826" i="25"/>
  <c r="I826" i="25"/>
  <c r="H826" i="25"/>
  <c r="G826" i="25"/>
  <c r="F826" i="25"/>
  <c r="J825" i="25"/>
  <c r="I825" i="25"/>
  <c r="H825" i="25"/>
  <c r="G825" i="25"/>
  <c r="F825" i="25"/>
  <c r="J824" i="25"/>
  <c r="I824" i="25"/>
  <c r="H824" i="25"/>
  <c r="G824" i="25"/>
  <c r="F824" i="25"/>
  <c r="J823" i="25"/>
  <c r="I823" i="25"/>
  <c r="H823" i="25"/>
  <c r="G823" i="25"/>
  <c r="F823" i="25"/>
  <c r="J822" i="25"/>
  <c r="I822" i="25"/>
  <c r="H822" i="25"/>
  <c r="G822" i="25"/>
  <c r="F822" i="25"/>
  <c r="E82" i="55" s="1"/>
  <c r="J821" i="25"/>
  <c r="I821" i="25"/>
  <c r="H821" i="25"/>
  <c r="G821" i="25"/>
  <c r="F821" i="25"/>
  <c r="J820" i="25"/>
  <c r="I820" i="25"/>
  <c r="H820" i="25"/>
  <c r="G820" i="25"/>
  <c r="F820" i="25"/>
  <c r="J819" i="25"/>
  <c r="I819" i="25"/>
  <c r="H819" i="25"/>
  <c r="G819" i="25"/>
  <c r="F819" i="25"/>
  <c r="J818" i="25"/>
  <c r="I818" i="25"/>
  <c r="H818" i="25"/>
  <c r="G818" i="25"/>
  <c r="F818" i="25"/>
  <c r="J817" i="25"/>
  <c r="I817" i="25"/>
  <c r="H817" i="25"/>
  <c r="G817" i="25"/>
  <c r="F817" i="25"/>
  <c r="J816" i="25"/>
  <c r="I816" i="25"/>
  <c r="H816" i="25"/>
  <c r="G816" i="25"/>
  <c r="F816" i="25"/>
  <c r="J815" i="25"/>
  <c r="I815" i="25"/>
  <c r="H815" i="25"/>
  <c r="G815" i="25"/>
  <c r="F815" i="25"/>
  <c r="J814" i="25"/>
  <c r="I814" i="25"/>
  <c r="H814" i="25"/>
  <c r="G814" i="25"/>
  <c r="F814" i="25"/>
  <c r="J813" i="25"/>
  <c r="I813" i="25"/>
  <c r="H813" i="25"/>
  <c r="G813" i="25"/>
  <c r="F813" i="25"/>
  <c r="J812" i="25"/>
  <c r="I812" i="25"/>
  <c r="H812" i="25"/>
  <c r="G812" i="25"/>
  <c r="F812" i="25"/>
  <c r="J811" i="25"/>
  <c r="I811" i="25"/>
  <c r="H811" i="25"/>
  <c r="G811" i="25"/>
  <c r="F811" i="25"/>
  <c r="J810" i="25"/>
  <c r="I810" i="25"/>
  <c r="H810" i="25"/>
  <c r="G810" i="25"/>
  <c r="F810" i="25"/>
  <c r="J809" i="25"/>
  <c r="I809" i="25"/>
  <c r="H809" i="25"/>
  <c r="G809" i="25"/>
  <c r="F809" i="25"/>
  <c r="J808" i="25"/>
  <c r="I808" i="25"/>
  <c r="H808" i="25"/>
  <c r="G808" i="25"/>
  <c r="F808" i="25"/>
  <c r="J807" i="25"/>
  <c r="I807" i="25"/>
  <c r="H807" i="25"/>
  <c r="G807" i="25"/>
  <c r="F807" i="25"/>
  <c r="J806" i="25"/>
  <c r="I806" i="25"/>
  <c r="H806" i="25"/>
  <c r="G806" i="25"/>
  <c r="F806" i="25"/>
  <c r="J805" i="25"/>
  <c r="I805" i="25"/>
  <c r="H805" i="25"/>
  <c r="G805" i="25"/>
  <c r="F805" i="25"/>
  <c r="J804" i="25"/>
  <c r="I804" i="25"/>
  <c r="H804" i="25"/>
  <c r="G804" i="25"/>
  <c r="F804" i="25"/>
  <c r="J803" i="25"/>
  <c r="I803" i="25"/>
  <c r="H803" i="25"/>
  <c r="G803" i="25"/>
  <c r="F803" i="25"/>
  <c r="J802" i="25"/>
  <c r="I802" i="25"/>
  <c r="H802" i="25"/>
  <c r="G802" i="25"/>
  <c r="F802" i="25"/>
  <c r="J801" i="25"/>
  <c r="I801" i="25"/>
  <c r="H801" i="25"/>
  <c r="G801" i="25"/>
  <c r="F801" i="25"/>
  <c r="J800" i="25"/>
  <c r="I800" i="25"/>
  <c r="H800" i="25"/>
  <c r="G800" i="25"/>
  <c r="F800" i="25"/>
  <c r="J799" i="25"/>
  <c r="I799" i="25"/>
  <c r="H799" i="25"/>
  <c r="G799" i="25"/>
  <c r="F799" i="25"/>
  <c r="J798" i="25"/>
  <c r="I798" i="25"/>
  <c r="H798" i="25"/>
  <c r="G798" i="25"/>
  <c r="F798" i="25"/>
  <c r="J797" i="25"/>
  <c r="I797" i="25"/>
  <c r="H797" i="25"/>
  <c r="G797" i="25"/>
  <c r="F797" i="25"/>
  <c r="J796" i="25"/>
  <c r="I796" i="25"/>
  <c r="H796" i="25"/>
  <c r="G796" i="25"/>
  <c r="F796" i="25"/>
  <c r="J795" i="25"/>
  <c r="I795" i="25"/>
  <c r="H795" i="25"/>
  <c r="G795" i="25"/>
  <c r="F795" i="25"/>
  <c r="J794" i="25"/>
  <c r="I794" i="25"/>
  <c r="H794" i="25"/>
  <c r="G794" i="25"/>
  <c r="F794" i="25"/>
  <c r="J793" i="25"/>
  <c r="I793" i="25"/>
  <c r="H793" i="25"/>
  <c r="G793" i="25"/>
  <c r="F793" i="25"/>
  <c r="J792" i="25"/>
  <c r="I792" i="25"/>
  <c r="H792" i="25"/>
  <c r="G792" i="25"/>
  <c r="F792" i="25"/>
  <c r="J791" i="25"/>
  <c r="I791" i="25"/>
  <c r="H791" i="25"/>
  <c r="G791" i="25"/>
  <c r="F791" i="25"/>
  <c r="J790" i="25"/>
  <c r="I790" i="25"/>
  <c r="H790" i="25"/>
  <c r="G790" i="25"/>
  <c r="F790" i="25"/>
  <c r="J789" i="25"/>
  <c r="I789" i="25"/>
  <c r="H789" i="25"/>
  <c r="G789" i="25"/>
  <c r="F789" i="25"/>
  <c r="J788" i="25"/>
  <c r="I788" i="25"/>
  <c r="H788" i="25"/>
  <c r="G788" i="25"/>
  <c r="F788" i="25"/>
  <c r="J787" i="25"/>
  <c r="I787" i="25"/>
  <c r="H787" i="25"/>
  <c r="G787" i="25"/>
  <c r="F787" i="25"/>
  <c r="J786" i="25"/>
  <c r="I786" i="25"/>
  <c r="H786" i="25"/>
  <c r="G786" i="25"/>
  <c r="F786" i="25"/>
  <c r="J785" i="25"/>
  <c r="I785" i="25"/>
  <c r="H785" i="25"/>
  <c r="G785" i="25"/>
  <c r="F785" i="25"/>
  <c r="J784" i="25"/>
  <c r="I784" i="25"/>
  <c r="H784" i="25"/>
  <c r="G784" i="25"/>
  <c r="F784" i="25"/>
  <c r="J783" i="25"/>
  <c r="I783" i="25"/>
  <c r="H783" i="25"/>
  <c r="G783" i="25"/>
  <c r="F783" i="25"/>
  <c r="J782" i="25"/>
  <c r="I782" i="25"/>
  <c r="H782" i="25"/>
  <c r="G782" i="25"/>
  <c r="F782" i="25"/>
  <c r="J781" i="25"/>
  <c r="I781" i="25"/>
  <c r="H781" i="25"/>
  <c r="G781" i="25"/>
  <c r="F781" i="25"/>
  <c r="J780" i="25"/>
  <c r="I780" i="25"/>
  <c r="H780" i="25"/>
  <c r="G780" i="25"/>
  <c r="F780" i="25"/>
  <c r="J779" i="25"/>
  <c r="I779" i="25"/>
  <c r="H779" i="25"/>
  <c r="G779" i="25"/>
  <c r="F779" i="25"/>
  <c r="J778" i="25"/>
  <c r="I778" i="25"/>
  <c r="H778" i="25"/>
  <c r="G778" i="25"/>
  <c r="F778" i="25"/>
  <c r="J777" i="25"/>
  <c r="I777" i="25"/>
  <c r="H777" i="25"/>
  <c r="G777" i="25"/>
  <c r="F777" i="25"/>
  <c r="J776" i="25"/>
  <c r="I776" i="25"/>
  <c r="H776" i="25"/>
  <c r="G776" i="25"/>
  <c r="F776" i="25"/>
  <c r="J775" i="25"/>
  <c r="I775" i="25"/>
  <c r="H775" i="25"/>
  <c r="G775" i="25"/>
  <c r="F775" i="25"/>
  <c r="J774" i="25"/>
  <c r="I774" i="25"/>
  <c r="H774" i="25"/>
  <c r="G774" i="25"/>
  <c r="F774" i="25"/>
  <c r="J773" i="25"/>
  <c r="I773" i="25"/>
  <c r="H773" i="25"/>
  <c r="G773" i="25"/>
  <c r="F773" i="25"/>
  <c r="J772" i="25"/>
  <c r="I772" i="25"/>
  <c r="H772" i="25"/>
  <c r="G772" i="25"/>
  <c r="F772" i="25"/>
  <c r="J771" i="25"/>
  <c r="I771" i="25"/>
  <c r="H771" i="25"/>
  <c r="G771" i="25"/>
  <c r="F771" i="25"/>
  <c r="J770" i="25"/>
  <c r="I770" i="25"/>
  <c r="H770" i="25"/>
  <c r="G770" i="25"/>
  <c r="F770" i="25"/>
  <c r="J769" i="25"/>
  <c r="I769" i="25"/>
  <c r="H769" i="25"/>
  <c r="G769" i="25"/>
  <c r="F769" i="25"/>
  <c r="E219" i="55" s="1"/>
  <c r="J768" i="25"/>
  <c r="I768" i="25"/>
  <c r="H768" i="25"/>
  <c r="G768" i="25"/>
  <c r="F768" i="25"/>
  <c r="J767" i="25"/>
  <c r="I767" i="25"/>
  <c r="H767" i="25"/>
  <c r="G767" i="25"/>
  <c r="F767" i="25"/>
  <c r="J766" i="25"/>
  <c r="I766" i="25"/>
  <c r="H766" i="25"/>
  <c r="G766" i="25"/>
  <c r="F766" i="25"/>
  <c r="J765" i="25"/>
  <c r="I765" i="25"/>
  <c r="H765" i="25"/>
  <c r="G765" i="25"/>
  <c r="F765" i="25"/>
  <c r="J764" i="25"/>
  <c r="I764" i="25"/>
  <c r="H764" i="25"/>
  <c r="G764" i="25"/>
  <c r="F764" i="25"/>
  <c r="J763" i="25"/>
  <c r="I763" i="25"/>
  <c r="H763" i="25"/>
  <c r="G763" i="25"/>
  <c r="F763" i="25"/>
  <c r="J762" i="25"/>
  <c r="I762" i="25"/>
  <c r="H762" i="25"/>
  <c r="G762" i="25"/>
  <c r="F762" i="25"/>
  <c r="J761" i="25"/>
  <c r="I761" i="25"/>
  <c r="H761" i="25"/>
  <c r="G761" i="25"/>
  <c r="F761" i="25"/>
  <c r="J760" i="25"/>
  <c r="I760" i="25"/>
  <c r="H760" i="25"/>
  <c r="G760" i="25"/>
  <c r="F760" i="25"/>
  <c r="J759" i="25"/>
  <c r="I759" i="25"/>
  <c r="H759" i="25"/>
  <c r="G759" i="25"/>
  <c r="F759" i="25"/>
  <c r="J758" i="25"/>
  <c r="I758" i="25"/>
  <c r="H758" i="25"/>
  <c r="G758" i="25"/>
  <c r="F758" i="25"/>
  <c r="J757" i="25"/>
  <c r="I757" i="25"/>
  <c r="H757" i="25"/>
  <c r="G757" i="25"/>
  <c r="F757" i="25"/>
  <c r="J756" i="25"/>
  <c r="I756" i="25"/>
  <c r="H756" i="25"/>
  <c r="G756" i="25"/>
  <c r="F756" i="25"/>
  <c r="J755" i="25"/>
  <c r="I755" i="25"/>
  <c r="H755" i="25"/>
  <c r="G755" i="25"/>
  <c r="F755" i="25"/>
  <c r="J754" i="25"/>
  <c r="I754" i="25"/>
  <c r="H754" i="25"/>
  <c r="G754" i="25"/>
  <c r="F754" i="25"/>
  <c r="J753" i="25"/>
  <c r="I753" i="25"/>
  <c r="H753" i="25"/>
  <c r="G753" i="25"/>
  <c r="F753" i="25"/>
  <c r="J752" i="25"/>
  <c r="I752" i="25"/>
  <c r="H752" i="25"/>
  <c r="G752" i="25"/>
  <c r="F752" i="25"/>
  <c r="J751" i="25"/>
  <c r="I751" i="25"/>
  <c r="H751" i="25"/>
  <c r="G751" i="25"/>
  <c r="F751" i="25"/>
  <c r="J750" i="25"/>
  <c r="I750" i="25"/>
  <c r="H750" i="25"/>
  <c r="G750" i="25"/>
  <c r="F750" i="25"/>
  <c r="J749" i="25"/>
  <c r="I749" i="25"/>
  <c r="H749" i="25"/>
  <c r="G749" i="25"/>
  <c r="F749" i="25"/>
  <c r="J748" i="25"/>
  <c r="I748" i="25"/>
  <c r="H748" i="25"/>
  <c r="G748" i="25"/>
  <c r="F748" i="25"/>
  <c r="J747" i="25"/>
  <c r="I747" i="25"/>
  <c r="H747" i="25"/>
  <c r="G747" i="25"/>
  <c r="F747" i="25"/>
  <c r="J746" i="25"/>
  <c r="I746" i="25"/>
  <c r="H746" i="25"/>
  <c r="G746" i="25"/>
  <c r="F746" i="25"/>
  <c r="J745" i="25"/>
  <c r="I745" i="25"/>
  <c r="H745" i="25"/>
  <c r="G745" i="25"/>
  <c r="F745" i="25"/>
  <c r="J744" i="25"/>
  <c r="I744" i="25"/>
  <c r="H744" i="25"/>
  <c r="G744" i="25"/>
  <c r="F744" i="25"/>
  <c r="J743" i="25"/>
  <c r="I743" i="25"/>
  <c r="H743" i="25"/>
  <c r="G743" i="25"/>
  <c r="F743" i="25"/>
  <c r="J742" i="25"/>
  <c r="I742" i="25"/>
  <c r="H742" i="25"/>
  <c r="G742" i="25"/>
  <c r="F742" i="25"/>
  <c r="J741" i="25"/>
  <c r="I741" i="25"/>
  <c r="H741" i="25"/>
  <c r="G741" i="25"/>
  <c r="F741" i="25"/>
  <c r="J740" i="25"/>
  <c r="I740" i="25"/>
  <c r="H740" i="25"/>
  <c r="G740" i="25"/>
  <c r="F740" i="25"/>
  <c r="J739" i="25"/>
  <c r="I739" i="25"/>
  <c r="H739" i="25"/>
  <c r="G739" i="25"/>
  <c r="F739" i="25"/>
  <c r="J738" i="25"/>
  <c r="I738" i="25"/>
  <c r="H738" i="25"/>
  <c r="G738" i="25"/>
  <c r="F738" i="25"/>
  <c r="J737" i="25"/>
  <c r="I737" i="25"/>
  <c r="H737" i="25"/>
  <c r="G737" i="25"/>
  <c r="F737" i="25"/>
  <c r="J736" i="25"/>
  <c r="I736" i="25"/>
  <c r="H736" i="25"/>
  <c r="G736" i="25"/>
  <c r="F736" i="25"/>
  <c r="J735" i="25"/>
  <c r="I735" i="25"/>
  <c r="H735" i="25"/>
  <c r="G735" i="25"/>
  <c r="F735" i="25"/>
  <c r="J734" i="25"/>
  <c r="I734" i="25"/>
  <c r="H734" i="25"/>
  <c r="G734" i="25"/>
  <c r="F734" i="25"/>
  <c r="J733" i="25"/>
  <c r="I733" i="25"/>
  <c r="H733" i="25"/>
  <c r="G733" i="25"/>
  <c r="F733" i="25"/>
  <c r="J732" i="25"/>
  <c r="I732" i="25"/>
  <c r="H732" i="25"/>
  <c r="G732" i="25"/>
  <c r="F732" i="25"/>
  <c r="J731" i="25"/>
  <c r="I731" i="25"/>
  <c r="H731" i="25"/>
  <c r="G731" i="25"/>
  <c r="F731" i="25"/>
  <c r="J730" i="25"/>
  <c r="I730" i="25"/>
  <c r="H730" i="25"/>
  <c r="G730" i="25"/>
  <c r="F730" i="25"/>
  <c r="J729" i="25"/>
  <c r="I729" i="25"/>
  <c r="H729" i="25"/>
  <c r="G729" i="25"/>
  <c r="F729" i="25"/>
  <c r="J728" i="25"/>
  <c r="I728" i="25"/>
  <c r="H728" i="25"/>
  <c r="G728" i="25"/>
  <c r="F728" i="25"/>
  <c r="J727" i="25"/>
  <c r="I727" i="25"/>
  <c r="H727" i="25"/>
  <c r="G727" i="25"/>
  <c r="F727" i="25"/>
  <c r="J726" i="25"/>
  <c r="I726" i="25"/>
  <c r="H726" i="25"/>
  <c r="G726" i="25"/>
  <c r="F726" i="25"/>
  <c r="J725" i="25"/>
  <c r="I725" i="25"/>
  <c r="H725" i="25"/>
  <c r="G725" i="25"/>
  <c r="F725" i="25"/>
  <c r="J724" i="25"/>
  <c r="I724" i="25"/>
  <c r="H724" i="25"/>
  <c r="G724" i="25"/>
  <c r="F724" i="25"/>
  <c r="J723" i="25"/>
  <c r="I723" i="25"/>
  <c r="H723" i="25"/>
  <c r="G723" i="25"/>
  <c r="F723" i="25"/>
  <c r="J722" i="25"/>
  <c r="I722" i="25"/>
  <c r="H722" i="25"/>
  <c r="G722" i="25"/>
  <c r="F722" i="25"/>
  <c r="J721" i="25"/>
  <c r="I721" i="25"/>
  <c r="H721" i="25"/>
  <c r="G721" i="25"/>
  <c r="F721" i="25"/>
  <c r="J720" i="25"/>
  <c r="I720" i="25"/>
  <c r="H720" i="25"/>
  <c r="G720" i="25"/>
  <c r="F720" i="25"/>
  <c r="J719" i="25"/>
  <c r="I719" i="25"/>
  <c r="H719" i="25"/>
  <c r="G719" i="25"/>
  <c r="F719" i="25"/>
  <c r="J718" i="25"/>
  <c r="I718" i="25"/>
  <c r="H718" i="25"/>
  <c r="G718" i="25"/>
  <c r="F718" i="25"/>
  <c r="J717" i="25"/>
  <c r="I717" i="25"/>
  <c r="H717" i="25"/>
  <c r="G717" i="25"/>
  <c r="F717" i="25"/>
  <c r="J716" i="25"/>
  <c r="I716" i="25"/>
  <c r="H716" i="25"/>
  <c r="G716" i="25"/>
  <c r="F716" i="25"/>
  <c r="J715" i="25"/>
  <c r="I715" i="25"/>
  <c r="H715" i="25"/>
  <c r="G715" i="25"/>
  <c r="F715" i="25"/>
  <c r="J714" i="25"/>
  <c r="I714" i="25"/>
  <c r="H714" i="25"/>
  <c r="G714" i="25"/>
  <c r="F714" i="25"/>
  <c r="J713" i="25"/>
  <c r="I713" i="25"/>
  <c r="H713" i="25"/>
  <c r="G713" i="25"/>
  <c r="F713" i="25"/>
  <c r="J712" i="25"/>
  <c r="I712" i="25"/>
  <c r="H712" i="25"/>
  <c r="G712" i="25"/>
  <c r="F712" i="25"/>
  <c r="J711" i="25"/>
  <c r="I711" i="25"/>
  <c r="H711" i="25"/>
  <c r="G711" i="25"/>
  <c r="F711" i="25"/>
  <c r="J710" i="25"/>
  <c r="I710" i="25"/>
  <c r="H710" i="25"/>
  <c r="G710" i="25"/>
  <c r="F710" i="25"/>
  <c r="J709" i="25"/>
  <c r="I709" i="25"/>
  <c r="H709" i="25"/>
  <c r="G709" i="25"/>
  <c r="F709" i="25"/>
  <c r="J708" i="25"/>
  <c r="I708" i="25"/>
  <c r="H708" i="25"/>
  <c r="G708" i="25"/>
  <c r="F708" i="25"/>
  <c r="J707" i="25"/>
  <c r="I707" i="25"/>
  <c r="H707" i="25"/>
  <c r="G707" i="25"/>
  <c r="F707" i="25"/>
  <c r="J706" i="25"/>
  <c r="I706" i="25"/>
  <c r="H706" i="25"/>
  <c r="G706" i="25"/>
  <c r="F706" i="25"/>
  <c r="J705" i="25"/>
  <c r="I705" i="25"/>
  <c r="H705" i="25"/>
  <c r="G705" i="25"/>
  <c r="F705" i="25"/>
  <c r="J704" i="25"/>
  <c r="I704" i="25"/>
  <c r="H704" i="25"/>
  <c r="G704" i="25"/>
  <c r="F704" i="25"/>
  <c r="J703" i="25"/>
  <c r="I703" i="25"/>
  <c r="H703" i="25"/>
  <c r="G703" i="25"/>
  <c r="F703" i="25"/>
  <c r="J702" i="25"/>
  <c r="I702" i="25"/>
  <c r="H702" i="25"/>
  <c r="G702" i="25"/>
  <c r="F702" i="25"/>
  <c r="J701" i="25"/>
  <c r="I701" i="25"/>
  <c r="H701" i="25"/>
  <c r="G701" i="25"/>
  <c r="F701" i="25"/>
  <c r="J700" i="25"/>
  <c r="I700" i="25"/>
  <c r="H700" i="25"/>
  <c r="G700" i="25"/>
  <c r="F700" i="25"/>
  <c r="J699" i="25"/>
  <c r="I699" i="25"/>
  <c r="H699" i="25"/>
  <c r="G699" i="25"/>
  <c r="F699" i="25"/>
  <c r="J698" i="25"/>
  <c r="I698" i="25"/>
  <c r="H698" i="25"/>
  <c r="G698" i="25"/>
  <c r="F698" i="25"/>
  <c r="J697" i="25"/>
  <c r="I697" i="25"/>
  <c r="H697" i="25"/>
  <c r="G697" i="25"/>
  <c r="F697" i="25"/>
  <c r="J696" i="25"/>
  <c r="I696" i="25"/>
  <c r="H696" i="25"/>
  <c r="G696" i="25"/>
  <c r="F696" i="25"/>
  <c r="J695" i="25"/>
  <c r="I695" i="25"/>
  <c r="H695" i="25"/>
  <c r="G695" i="25"/>
  <c r="F695" i="25"/>
  <c r="J694" i="25"/>
  <c r="I694" i="25"/>
  <c r="H694" i="25"/>
  <c r="G694" i="25"/>
  <c r="F694" i="25"/>
  <c r="J693" i="25"/>
  <c r="I693" i="25"/>
  <c r="H693" i="25"/>
  <c r="G693" i="25"/>
  <c r="F693" i="25"/>
  <c r="J692" i="25"/>
  <c r="I692" i="25"/>
  <c r="H692" i="25"/>
  <c r="G692" i="25"/>
  <c r="F692" i="25"/>
  <c r="J691" i="25"/>
  <c r="I691" i="25"/>
  <c r="H691" i="25"/>
  <c r="G691" i="25"/>
  <c r="F691" i="25"/>
  <c r="J690" i="25"/>
  <c r="I690" i="25"/>
  <c r="H690" i="25"/>
  <c r="G690" i="25"/>
  <c r="F690" i="25"/>
  <c r="J689" i="25"/>
  <c r="I689" i="25"/>
  <c r="H689" i="25"/>
  <c r="G689" i="25"/>
  <c r="F689" i="25"/>
  <c r="J688" i="25"/>
  <c r="I688" i="25"/>
  <c r="H688" i="25"/>
  <c r="G688" i="25"/>
  <c r="F688" i="25"/>
  <c r="J687" i="25"/>
  <c r="I687" i="25"/>
  <c r="H687" i="25"/>
  <c r="G687" i="25"/>
  <c r="F687" i="25"/>
  <c r="J686" i="25"/>
  <c r="I686" i="25"/>
  <c r="H686" i="25"/>
  <c r="G686" i="25"/>
  <c r="F686" i="25"/>
  <c r="J685" i="25"/>
  <c r="I685" i="25"/>
  <c r="H685" i="25"/>
  <c r="G685" i="25"/>
  <c r="F685" i="25"/>
  <c r="J684" i="25"/>
  <c r="I684" i="25"/>
  <c r="H684" i="25"/>
  <c r="G684" i="25"/>
  <c r="F684" i="25"/>
  <c r="J683" i="25"/>
  <c r="I683" i="25"/>
  <c r="H683" i="25"/>
  <c r="G683" i="25"/>
  <c r="F683" i="25"/>
  <c r="J682" i="25"/>
  <c r="I682" i="25"/>
  <c r="H682" i="25"/>
  <c r="G682" i="25"/>
  <c r="F682" i="25"/>
  <c r="J681" i="25"/>
  <c r="I681" i="25"/>
  <c r="H681" i="25"/>
  <c r="G681" i="25"/>
  <c r="F681" i="25"/>
  <c r="J680" i="25"/>
  <c r="I680" i="25"/>
  <c r="H680" i="25"/>
  <c r="G680" i="25"/>
  <c r="F680" i="25"/>
  <c r="J679" i="25"/>
  <c r="I679" i="25"/>
  <c r="H679" i="25"/>
  <c r="G679" i="25"/>
  <c r="F679" i="25"/>
  <c r="J678" i="25"/>
  <c r="I678" i="25"/>
  <c r="H678" i="25"/>
  <c r="G678" i="25"/>
  <c r="F678" i="25"/>
  <c r="J677" i="25"/>
  <c r="I677" i="25"/>
  <c r="H677" i="25"/>
  <c r="G677" i="25"/>
  <c r="F677" i="25"/>
  <c r="J676" i="25"/>
  <c r="I676" i="25"/>
  <c r="H676" i="25"/>
  <c r="G676" i="25"/>
  <c r="F676" i="25"/>
  <c r="J675" i="25"/>
  <c r="I675" i="25"/>
  <c r="H675" i="25"/>
  <c r="G675" i="25"/>
  <c r="F675" i="25"/>
  <c r="J674" i="25"/>
  <c r="I674" i="25"/>
  <c r="H674" i="25"/>
  <c r="G674" i="25"/>
  <c r="F674" i="25"/>
  <c r="J673" i="25"/>
  <c r="I673" i="25"/>
  <c r="H673" i="25"/>
  <c r="G673" i="25"/>
  <c r="F673" i="25"/>
  <c r="J672" i="25"/>
  <c r="I672" i="25"/>
  <c r="H672" i="25"/>
  <c r="G672" i="25"/>
  <c r="F672" i="25"/>
  <c r="J671" i="25"/>
  <c r="I671" i="25"/>
  <c r="H671" i="25"/>
  <c r="G671" i="25"/>
  <c r="F671" i="25"/>
  <c r="J670" i="25"/>
  <c r="I670" i="25"/>
  <c r="H670" i="25"/>
  <c r="G670" i="25"/>
  <c r="F670" i="25"/>
  <c r="J669" i="25"/>
  <c r="I669" i="25"/>
  <c r="H669" i="25"/>
  <c r="G669" i="25"/>
  <c r="F669" i="25"/>
  <c r="J668" i="25"/>
  <c r="I668" i="25"/>
  <c r="H668" i="25"/>
  <c r="G668" i="25"/>
  <c r="F668" i="25"/>
  <c r="J667" i="25"/>
  <c r="I667" i="25"/>
  <c r="H667" i="25"/>
  <c r="G667" i="25"/>
  <c r="F667" i="25"/>
  <c r="J666" i="25"/>
  <c r="I666" i="25"/>
  <c r="H666" i="25"/>
  <c r="G666" i="25"/>
  <c r="F666" i="25"/>
  <c r="J665" i="25"/>
  <c r="I665" i="25"/>
  <c r="H665" i="25"/>
  <c r="G665" i="25"/>
  <c r="F665" i="25"/>
  <c r="J664" i="25"/>
  <c r="I664" i="25"/>
  <c r="H664" i="25"/>
  <c r="G664" i="25"/>
  <c r="F664" i="25"/>
  <c r="J663" i="25"/>
  <c r="I663" i="25"/>
  <c r="H663" i="25"/>
  <c r="G663" i="25"/>
  <c r="F663" i="25"/>
  <c r="J662" i="25"/>
  <c r="I662" i="25"/>
  <c r="H662" i="25"/>
  <c r="G662" i="25"/>
  <c r="F662" i="25"/>
  <c r="J661" i="25"/>
  <c r="I661" i="25"/>
  <c r="H661" i="25"/>
  <c r="G661" i="25"/>
  <c r="F661" i="25"/>
  <c r="J660" i="25"/>
  <c r="I660" i="25"/>
  <c r="H660" i="25"/>
  <c r="G660" i="25"/>
  <c r="F660" i="25"/>
  <c r="J659" i="25"/>
  <c r="I659" i="25"/>
  <c r="H659" i="25"/>
  <c r="G659" i="25"/>
  <c r="F659" i="25"/>
  <c r="J658" i="25"/>
  <c r="I658" i="25"/>
  <c r="H658" i="25"/>
  <c r="G658" i="25"/>
  <c r="F658" i="25"/>
  <c r="J657" i="25"/>
  <c r="I657" i="25"/>
  <c r="H657" i="25"/>
  <c r="G657" i="25"/>
  <c r="F657" i="25"/>
  <c r="J656" i="25"/>
  <c r="I656" i="25"/>
  <c r="H656" i="25"/>
  <c r="G656" i="25"/>
  <c r="F656" i="25"/>
  <c r="J655" i="25"/>
  <c r="I655" i="25"/>
  <c r="H655" i="25"/>
  <c r="G655" i="25"/>
  <c r="F655" i="25"/>
  <c r="J654" i="25"/>
  <c r="I654" i="25"/>
  <c r="H654" i="25"/>
  <c r="G654" i="25"/>
  <c r="F654" i="25"/>
  <c r="J653" i="25"/>
  <c r="I653" i="25"/>
  <c r="H653" i="25"/>
  <c r="G653" i="25"/>
  <c r="F653" i="25"/>
  <c r="J652" i="25"/>
  <c r="I652" i="25"/>
  <c r="H652" i="25"/>
  <c r="G652" i="25"/>
  <c r="F652" i="25"/>
  <c r="J651" i="25"/>
  <c r="I651" i="25"/>
  <c r="H651" i="25"/>
  <c r="G651" i="25"/>
  <c r="F651" i="25"/>
  <c r="J650" i="25"/>
  <c r="I650" i="25"/>
  <c r="H650" i="25"/>
  <c r="G650" i="25"/>
  <c r="F650" i="25"/>
  <c r="E168" i="55" s="1"/>
  <c r="J649" i="25"/>
  <c r="I649" i="25"/>
  <c r="H649" i="25"/>
  <c r="G649" i="25"/>
  <c r="F649" i="25"/>
  <c r="J648" i="25"/>
  <c r="I648" i="25"/>
  <c r="H648" i="25"/>
  <c r="G648" i="25"/>
  <c r="F648" i="25"/>
  <c r="J647" i="25"/>
  <c r="I647" i="25"/>
  <c r="H647" i="25"/>
  <c r="G647" i="25"/>
  <c r="F647" i="25"/>
  <c r="J646" i="25"/>
  <c r="I646" i="25"/>
  <c r="H646" i="25"/>
  <c r="G646" i="25"/>
  <c r="F646" i="25"/>
  <c r="J645" i="25"/>
  <c r="I645" i="25"/>
  <c r="H645" i="25"/>
  <c r="G645" i="25"/>
  <c r="F645" i="25"/>
  <c r="J644" i="25"/>
  <c r="I644" i="25"/>
  <c r="H644" i="25"/>
  <c r="G644" i="25"/>
  <c r="F644" i="25"/>
  <c r="J643" i="25"/>
  <c r="I643" i="25"/>
  <c r="H643" i="25"/>
  <c r="G643" i="25"/>
  <c r="F643" i="25"/>
  <c r="J642" i="25"/>
  <c r="I642" i="25"/>
  <c r="H642" i="25"/>
  <c r="G642" i="25"/>
  <c r="F642" i="25"/>
  <c r="J641" i="25"/>
  <c r="I641" i="25"/>
  <c r="H641" i="25"/>
  <c r="G641" i="25"/>
  <c r="F641" i="25"/>
  <c r="J640" i="25"/>
  <c r="I640" i="25"/>
  <c r="H640" i="25"/>
  <c r="G640" i="25"/>
  <c r="F640" i="25"/>
  <c r="J639" i="25"/>
  <c r="I639" i="25"/>
  <c r="H639" i="25"/>
  <c r="G639" i="25"/>
  <c r="F639" i="25"/>
  <c r="J638" i="25"/>
  <c r="I638" i="25"/>
  <c r="H638" i="25"/>
  <c r="G638" i="25"/>
  <c r="F638" i="25"/>
  <c r="J637" i="25"/>
  <c r="I637" i="25"/>
  <c r="H637" i="25"/>
  <c r="G637" i="25"/>
  <c r="F637" i="25"/>
  <c r="J636" i="25"/>
  <c r="I636" i="25"/>
  <c r="H636" i="25"/>
  <c r="G636" i="25"/>
  <c r="F636" i="25"/>
  <c r="J635" i="25"/>
  <c r="I635" i="25"/>
  <c r="H635" i="25"/>
  <c r="G635" i="25"/>
  <c r="F635" i="25"/>
  <c r="J634" i="25"/>
  <c r="I634" i="25"/>
  <c r="H634" i="25"/>
  <c r="G634" i="25"/>
  <c r="F634" i="25"/>
  <c r="J633" i="25"/>
  <c r="I633" i="25"/>
  <c r="H633" i="25"/>
  <c r="G633" i="25"/>
  <c r="F633" i="25"/>
  <c r="J632" i="25"/>
  <c r="I632" i="25"/>
  <c r="H632" i="25"/>
  <c r="G632" i="25"/>
  <c r="F632" i="25"/>
  <c r="J631" i="25"/>
  <c r="I631" i="25"/>
  <c r="H631" i="25"/>
  <c r="G631" i="25"/>
  <c r="F631" i="25"/>
  <c r="J630" i="25"/>
  <c r="I630" i="25"/>
  <c r="H630" i="25"/>
  <c r="G630" i="25"/>
  <c r="F630" i="25"/>
  <c r="J629" i="25"/>
  <c r="I629" i="25"/>
  <c r="H629" i="25"/>
  <c r="G629" i="25"/>
  <c r="F629" i="25"/>
  <c r="J628" i="25"/>
  <c r="I628" i="25"/>
  <c r="H628" i="25"/>
  <c r="G628" i="25"/>
  <c r="F628" i="25"/>
  <c r="J627" i="25"/>
  <c r="I627" i="25"/>
  <c r="H627" i="25"/>
  <c r="G627" i="25"/>
  <c r="F627" i="25"/>
  <c r="J626" i="25"/>
  <c r="I626" i="25"/>
  <c r="H626" i="25"/>
  <c r="G626" i="25"/>
  <c r="F626" i="25"/>
  <c r="J625" i="25"/>
  <c r="I625" i="25"/>
  <c r="H625" i="25"/>
  <c r="G625" i="25"/>
  <c r="F625" i="25"/>
  <c r="J624" i="25"/>
  <c r="I624" i="25"/>
  <c r="H624" i="25"/>
  <c r="G624" i="25"/>
  <c r="F624" i="25"/>
  <c r="J623" i="25"/>
  <c r="I623" i="25"/>
  <c r="H623" i="25"/>
  <c r="G623" i="25"/>
  <c r="F623" i="25"/>
  <c r="J622" i="25"/>
  <c r="I622" i="25"/>
  <c r="H622" i="25"/>
  <c r="G622" i="25"/>
  <c r="F622" i="25"/>
  <c r="J621" i="25"/>
  <c r="I621" i="25"/>
  <c r="H621" i="25"/>
  <c r="G621" i="25"/>
  <c r="F621" i="25"/>
  <c r="J620" i="25"/>
  <c r="I620" i="25"/>
  <c r="H620" i="25"/>
  <c r="G620" i="25"/>
  <c r="F620" i="25"/>
  <c r="J619" i="25"/>
  <c r="I619" i="25"/>
  <c r="H619" i="25"/>
  <c r="G619" i="25"/>
  <c r="F619" i="25"/>
  <c r="J618" i="25"/>
  <c r="I618" i="25"/>
  <c r="H618" i="25"/>
  <c r="G618" i="25"/>
  <c r="F618" i="25"/>
  <c r="J617" i="25"/>
  <c r="I617" i="25"/>
  <c r="H617" i="25"/>
  <c r="G617" i="25"/>
  <c r="F617" i="25"/>
  <c r="J616" i="25"/>
  <c r="I616" i="25"/>
  <c r="H616" i="25"/>
  <c r="G616" i="25"/>
  <c r="F616" i="25"/>
  <c r="J615" i="25"/>
  <c r="I615" i="25"/>
  <c r="H615" i="25"/>
  <c r="G615" i="25"/>
  <c r="F615" i="25"/>
  <c r="J614" i="25"/>
  <c r="I614" i="25"/>
  <c r="H614" i="25"/>
  <c r="G614" i="25"/>
  <c r="F614" i="25"/>
  <c r="J613" i="25"/>
  <c r="I613" i="25"/>
  <c r="H613" i="25"/>
  <c r="G613" i="25"/>
  <c r="F613" i="25"/>
  <c r="J612" i="25"/>
  <c r="I612" i="25"/>
  <c r="H612" i="25"/>
  <c r="G612" i="25"/>
  <c r="F612" i="25"/>
  <c r="J611" i="25"/>
  <c r="I611" i="25"/>
  <c r="H611" i="25"/>
  <c r="G611" i="25"/>
  <c r="F611" i="25"/>
  <c r="J610" i="25"/>
  <c r="I610" i="25"/>
  <c r="H610" i="25"/>
  <c r="G610" i="25"/>
  <c r="F610" i="25"/>
  <c r="J609" i="25"/>
  <c r="I609" i="25"/>
  <c r="H609" i="25"/>
  <c r="G609" i="25"/>
  <c r="F609" i="25"/>
  <c r="J608" i="25"/>
  <c r="I608" i="25"/>
  <c r="H608" i="25"/>
  <c r="G608" i="25"/>
  <c r="F608" i="25"/>
  <c r="J607" i="25"/>
  <c r="I607" i="25"/>
  <c r="H607" i="25"/>
  <c r="G607" i="25"/>
  <c r="F607" i="25"/>
  <c r="J606" i="25"/>
  <c r="I606" i="25"/>
  <c r="H606" i="25"/>
  <c r="G606" i="25"/>
  <c r="F606" i="25"/>
  <c r="J605" i="25"/>
  <c r="I605" i="25"/>
  <c r="H605" i="25"/>
  <c r="G605" i="25"/>
  <c r="F605" i="25"/>
  <c r="J604" i="25"/>
  <c r="I604" i="25"/>
  <c r="H604" i="25"/>
  <c r="G604" i="25"/>
  <c r="F604" i="25"/>
  <c r="J603" i="25"/>
  <c r="I603" i="25"/>
  <c r="H603" i="25"/>
  <c r="G603" i="25"/>
  <c r="F603" i="25"/>
  <c r="J602" i="25"/>
  <c r="I602" i="25"/>
  <c r="H602" i="25"/>
  <c r="G602" i="25"/>
  <c r="F602" i="25"/>
  <c r="J601" i="25"/>
  <c r="I601" i="25"/>
  <c r="H601" i="25"/>
  <c r="G601" i="25"/>
  <c r="F601" i="25"/>
  <c r="J600" i="25"/>
  <c r="I600" i="25"/>
  <c r="H600" i="25"/>
  <c r="G600" i="25"/>
  <c r="F600" i="25"/>
  <c r="J599" i="25"/>
  <c r="I599" i="25"/>
  <c r="H599" i="25"/>
  <c r="G599" i="25"/>
  <c r="F599" i="25"/>
  <c r="J598" i="25"/>
  <c r="I598" i="25"/>
  <c r="H598" i="25"/>
  <c r="G598" i="25"/>
  <c r="F598" i="25"/>
  <c r="J597" i="25"/>
  <c r="I597" i="25"/>
  <c r="H597" i="25"/>
  <c r="G597" i="25"/>
  <c r="F597" i="25"/>
  <c r="J596" i="25"/>
  <c r="I596" i="25"/>
  <c r="H596" i="25"/>
  <c r="G596" i="25"/>
  <c r="F596" i="25"/>
  <c r="J595" i="25"/>
  <c r="I595" i="25"/>
  <c r="H595" i="25"/>
  <c r="G595" i="25"/>
  <c r="F595" i="25"/>
  <c r="J594" i="25"/>
  <c r="I594" i="25"/>
  <c r="H594" i="25"/>
  <c r="G594" i="25"/>
  <c r="F594" i="25"/>
  <c r="J593" i="25"/>
  <c r="I593" i="25"/>
  <c r="H593" i="25"/>
  <c r="G593" i="25"/>
  <c r="F593" i="25"/>
  <c r="J592" i="25"/>
  <c r="I592" i="25"/>
  <c r="H592" i="25"/>
  <c r="G592" i="25"/>
  <c r="F592" i="25"/>
  <c r="J591" i="25"/>
  <c r="I591" i="25"/>
  <c r="H591" i="25"/>
  <c r="G591" i="25"/>
  <c r="F591" i="25"/>
  <c r="J590" i="25"/>
  <c r="I590" i="25"/>
  <c r="H590" i="25"/>
  <c r="G590" i="25"/>
  <c r="F590" i="25"/>
  <c r="J589" i="25"/>
  <c r="I589" i="25"/>
  <c r="H589" i="25"/>
  <c r="G589" i="25"/>
  <c r="F589" i="25"/>
  <c r="J588" i="25"/>
  <c r="I588" i="25"/>
  <c r="H588" i="25"/>
  <c r="G588" i="25"/>
  <c r="F588" i="25"/>
  <c r="J587" i="25"/>
  <c r="I587" i="25"/>
  <c r="H587" i="25"/>
  <c r="G587" i="25"/>
  <c r="F587" i="25"/>
  <c r="J586" i="25"/>
  <c r="I586" i="25"/>
  <c r="H586" i="25"/>
  <c r="G586" i="25"/>
  <c r="F586" i="25"/>
  <c r="J585" i="25"/>
  <c r="I585" i="25"/>
  <c r="H585" i="25"/>
  <c r="G585" i="25"/>
  <c r="F585" i="25"/>
  <c r="J584" i="25"/>
  <c r="I584" i="25"/>
  <c r="H584" i="25"/>
  <c r="G584" i="25"/>
  <c r="F584" i="25"/>
  <c r="J583" i="25"/>
  <c r="I583" i="25"/>
  <c r="H583" i="25"/>
  <c r="G583" i="25"/>
  <c r="F583" i="25"/>
  <c r="J582" i="25"/>
  <c r="I582" i="25"/>
  <c r="H582" i="25"/>
  <c r="G582" i="25"/>
  <c r="F582" i="25"/>
  <c r="J581" i="25"/>
  <c r="I581" i="25"/>
  <c r="H581" i="25"/>
  <c r="G581" i="25"/>
  <c r="F581" i="25"/>
  <c r="J580" i="25"/>
  <c r="I580" i="25"/>
  <c r="H580" i="25"/>
  <c r="G580" i="25"/>
  <c r="F580" i="25"/>
  <c r="J579" i="25"/>
  <c r="I579" i="25"/>
  <c r="H579" i="25"/>
  <c r="G579" i="25"/>
  <c r="F579" i="25"/>
  <c r="J578" i="25"/>
  <c r="I578" i="25"/>
  <c r="H578" i="25"/>
  <c r="G578" i="25"/>
  <c r="F578" i="25"/>
  <c r="J577" i="25"/>
  <c r="I577" i="25"/>
  <c r="H577" i="25"/>
  <c r="G577" i="25"/>
  <c r="F577" i="25"/>
  <c r="J576" i="25"/>
  <c r="I576" i="25"/>
  <c r="H576" i="25"/>
  <c r="G576" i="25"/>
  <c r="F576" i="25"/>
  <c r="J575" i="25"/>
  <c r="I575" i="25"/>
  <c r="H575" i="25"/>
  <c r="G575" i="25"/>
  <c r="F575" i="25"/>
  <c r="E177" i="55" s="1"/>
  <c r="J574" i="25"/>
  <c r="I574" i="25"/>
  <c r="H574" i="25"/>
  <c r="G574" i="25"/>
  <c r="F574" i="25"/>
  <c r="J573" i="25"/>
  <c r="I573" i="25"/>
  <c r="H573" i="25"/>
  <c r="G573" i="25"/>
  <c r="F573" i="25"/>
  <c r="J572" i="25"/>
  <c r="I572" i="25"/>
  <c r="H572" i="25"/>
  <c r="G572" i="25"/>
  <c r="F572" i="25"/>
  <c r="J571" i="25"/>
  <c r="I571" i="25"/>
  <c r="H571" i="25"/>
  <c r="G571" i="25"/>
  <c r="F571" i="25"/>
  <c r="J570" i="25"/>
  <c r="I570" i="25"/>
  <c r="H570" i="25"/>
  <c r="G570" i="25"/>
  <c r="F570" i="25"/>
  <c r="J569" i="25"/>
  <c r="I569" i="25"/>
  <c r="H569" i="25"/>
  <c r="G569" i="25"/>
  <c r="F569" i="25"/>
  <c r="J568" i="25"/>
  <c r="I568" i="25"/>
  <c r="H568" i="25"/>
  <c r="G568" i="25"/>
  <c r="F568" i="25"/>
  <c r="J567" i="25"/>
  <c r="I567" i="25"/>
  <c r="H567" i="25"/>
  <c r="G567" i="25"/>
  <c r="F567" i="25"/>
  <c r="J566" i="25"/>
  <c r="I566" i="25"/>
  <c r="H566" i="25"/>
  <c r="G566" i="25"/>
  <c r="F566" i="25"/>
  <c r="J565" i="25"/>
  <c r="I565" i="25"/>
  <c r="H565" i="25"/>
  <c r="G565" i="25"/>
  <c r="F565" i="25"/>
  <c r="J564" i="25"/>
  <c r="I564" i="25"/>
  <c r="H564" i="25"/>
  <c r="G564" i="25"/>
  <c r="F564" i="25"/>
  <c r="J563" i="25"/>
  <c r="I563" i="25"/>
  <c r="H563" i="25"/>
  <c r="G563" i="25"/>
  <c r="F563" i="25"/>
  <c r="J562" i="25"/>
  <c r="I562" i="25"/>
  <c r="H562" i="25"/>
  <c r="G562" i="25"/>
  <c r="F562" i="25"/>
  <c r="J561" i="25"/>
  <c r="I561" i="25"/>
  <c r="H561" i="25"/>
  <c r="G561" i="25"/>
  <c r="F561" i="25"/>
  <c r="J560" i="25"/>
  <c r="I560" i="25"/>
  <c r="H560" i="25"/>
  <c r="G560" i="25"/>
  <c r="F560" i="25"/>
  <c r="J559" i="25"/>
  <c r="I559" i="25"/>
  <c r="H559" i="25"/>
  <c r="G559" i="25"/>
  <c r="F559" i="25"/>
  <c r="J558" i="25"/>
  <c r="I558" i="25"/>
  <c r="H558" i="25"/>
  <c r="G558" i="25"/>
  <c r="F558" i="25"/>
  <c r="E130" i="55" s="1"/>
  <c r="J557" i="25"/>
  <c r="I557" i="25"/>
  <c r="H557" i="25"/>
  <c r="G557" i="25"/>
  <c r="F557" i="25"/>
  <c r="J556" i="25"/>
  <c r="I556" i="25"/>
  <c r="H556" i="25"/>
  <c r="G556" i="25"/>
  <c r="F556" i="25"/>
  <c r="J555" i="25"/>
  <c r="I555" i="25"/>
  <c r="H555" i="25"/>
  <c r="G555" i="25"/>
  <c r="F555" i="25"/>
  <c r="J554" i="25"/>
  <c r="I554" i="25"/>
  <c r="H554" i="25"/>
  <c r="G554" i="25"/>
  <c r="F554" i="25"/>
  <c r="J553" i="25"/>
  <c r="I553" i="25"/>
  <c r="H553" i="25"/>
  <c r="G553" i="25"/>
  <c r="F553" i="25"/>
  <c r="J552" i="25"/>
  <c r="I552" i="25"/>
  <c r="H552" i="25"/>
  <c r="G552" i="25"/>
  <c r="F552" i="25"/>
  <c r="J551" i="25"/>
  <c r="I551" i="25"/>
  <c r="H551" i="25"/>
  <c r="G551" i="25"/>
  <c r="F551" i="25"/>
  <c r="J550" i="25"/>
  <c r="I550" i="25"/>
  <c r="H550" i="25"/>
  <c r="G550" i="25"/>
  <c r="F550" i="25"/>
  <c r="J549" i="25"/>
  <c r="I549" i="25"/>
  <c r="H549" i="25"/>
  <c r="G549" i="25"/>
  <c r="F549" i="25"/>
  <c r="J548" i="25"/>
  <c r="I548" i="25"/>
  <c r="H548" i="25"/>
  <c r="G548" i="25"/>
  <c r="F548" i="25"/>
  <c r="J547" i="25"/>
  <c r="I547" i="25"/>
  <c r="H547" i="25"/>
  <c r="G547" i="25"/>
  <c r="F547" i="25"/>
  <c r="J546" i="25"/>
  <c r="I546" i="25"/>
  <c r="H546" i="25"/>
  <c r="G546" i="25"/>
  <c r="F546" i="25"/>
  <c r="J545" i="25"/>
  <c r="I545" i="25"/>
  <c r="H545" i="25"/>
  <c r="G545" i="25"/>
  <c r="F545" i="25"/>
  <c r="J544" i="25"/>
  <c r="I544" i="25"/>
  <c r="H544" i="25"/>
  <c r="G544" i="25"/>
  <c r="F544" i="25"/>
  <c r="J543" i="25"/>
  <c r="I543" i="25"/>
  <c r="H543" i="25"/>
  <c r="G543" i="25"/>
  <c r="F543" i="25"/>
  <c r="J542" i="25"/>
  <c r="I542" i="25"/>
  <c r="H542" i="25"/>
  <c r="G542" i="25"/>
  <c r="F542" i="25"/>
  <c r="J541" i="25"/>
  <c r="I541" i="25"/>
  <c r="H541" i="25"/>
  <c r="G541" i="25"/>
  <c r="F541" i="25"/>
  <c r="J540" i="25"/>
  <c r="I540" i="25"/>
  <c r="H540" i="25"/>
  <c r="G540" i="25"/>
  <c r="F540" i="25"/>
  <c r="J539" i="25"/>
  <c r="I539" i="25"/>
  <c r="H539" i="25"/>
  <c r="G539" i="25"/>
  <c r="F539" i="25"/>
  <c r="J538" i="25"/>
  <c r="I538" i="25"/>
  <c r="H538" i="25"/>
  <c r="G538" i="25"/>
  <c r="F538" i="25"/>
  <c r="J537" i="25"/>
  <c r="I537" i="25"/>
  <c r="H537" i="25"/>
  <c r="G537" i="25"/>
  <c r="F537" i="25"/>
  <c r="J536" i="25"/>
  <c r="I536" i="25"/>
  <c r="H536" i="25"/>
  <c r="G536" i="25"/>
  <c r="F536" i="25"/>
  <c r="J535" i="25"/>
  <c r="I535" i="25"/>
  <c r="H535" i="25"/>
  <c r="G535" i="25"/>
  <c r="F535" i="25"/>
  <c r="J534" i="25"/>
  <c r="I534" i="25"/>
  <c r="H534" i="25"/>
  <c r="G534" i="25"/>
  <c r="F534" i="25"/>
  <c r="J533" i="25"/>
  <c r="I533" i="25"/>
  <c r="H533" i="25"/>
  <c r="G533" i="25"/>
  <c r="F533" i="25"/>
  <c r="J532" i="25"/>
  <c r="I532" i="25"/>
  <c r="H532" i="25"/>
  <c r="G532" i="25"/>
  <c r="F532" i="25"/>
  <c r="J531" i="25"/>
  <c r="I531" i="25"/>
  <c r="H531" i="25"/>
  <c r="G531" i="25"/>
  <c r="F531" i="25"/>
  <c r="J530" i="25"/>
  <c r="I530" i="25"/>
  <c r="H530" i="25"/>
  <c r="G530" i="25"/>
  <c r="F530" i="25"/>
  <c r="J529" i="25"/>
  <c r="I529" i="25"/>
  <c r="H529" i="25"/>
  <c r="G529" i="25"/>
  <c r="F529" i="25"/>
  <c r="J528" i="25"/>
  <c r="I528" i="25"/>
  <c r="H528" i="25"/>
  <c r="G528" i="25"/>
  <c r="F528" i="25"/>
  <c r="J527" i="25"/>
  <c r="I527" i="25"/>
  <c r="H527" i="25"/>
  <c r="G527" i="25"/>
  <c r="F527" i="25"/>
  <c r="J526" i="25"/>
  <c r="I526" i="25"/>
  <c r="H526" i="25"/>
  <c r="G526" i="25"/>
  <c r="F526" i="25"/>
  <c r="J525" i="25"/>
  <c r="I525" i="25"/>
  <c r="H525" i="25"/>
  <c r="G525" i="25"/>
  <c r="F525" i="25"/>
  <c r="J524" i="25"/>
  <c r="I524" i="25"/>
  <c r="H524" i="25"/>
  <c r="G524" i="25"/>
  <c r="F524" i="25"/>
  <c r="J523" i="25"/>
  <c r="I523" i="25"/>
  <c r="H523" i="25"/>
  <c r="G523" i="25"/>
  <c r="F523" i="25"/>
  <c r="J522" i="25"/>
  <c r="I522" i="25"/>
  <c r="H522" i="25"/>
  <c r="G522" i="25"/>
  <c r="F522" i="25"/>
  <c r="J521" i="25"/>
  <c r="I521" i="25"/>
  <c r="H521" i="25"/>
  <c r="G521" i="25"/>
  <c r="F521" i="25"/>
  <c r="J520" i="25"/>
  <c r="I520" i="25"/>
  <c r="H520" i="25"/>
  <c r="G520" i="25"/>
  <c r="F520" i="25"/>
  <c r="J519" i="25"/>
  <c r="I519" i="25"/>
  <c r="H519" i="25"/>
  <c r="G519" i="25"/>
  <c r="F519" i="25"/>
  <c r="J518" i="25"/>
  <c r="I518" i="25"/>
  <c r="H518" i="25"/>
  <c r="G518" i="25"/>
  <c r="F518" i="25"/>
  <c r="J517" i="25"/>
  <c r="I517" i="25"/>
  <c r="H517" i="25"/>
  <c r="G517" i="25"/>
  <c r="F517" i="25"/>
  <c r="J516" i="25"/>
  <c r="I516" i="25"/>
  <c r="H516" i="25"/>
  <c r="G516" i="25"/>
  <c r="F516" i="25"/>
  <c r="J515" i="25"/>
  <c r="I515" i="25"/>
  <c r="H515" i="25"/>
  <c r="G515" i="25"/>
  <c r="F515" i="25"/>
  <c r="J514" i="25"/>
  <c r="I514" i="25"/>
  <c r="H514" i="25"/>
  <c r="G514" i="25"/>
  <c r="F514" i="25"/>
  <c r="J513" i="25"/>
  <c r="I513" i="25"/>
  <c r="H513" i="25"/>
  <c r="G513" i="25"/>
  <c r="F513" i="25"/>
  <c r="E134" i="55" s="1"/>
  <c r="J512" i="25"/>
  <c r="I512" i="25"/>
  <c r="H512" i="25"/>
  <c r="G512" i="25"/>
  <c r="F512" i="25"/>
  <c r="J511" i="25"/>
  <c r="I511" i="25"/>
  <c r="H511" i="25"/>
  <c r="G511" i="25"/>
  <c r="F511" i="25"/>
  <c r="J510" i="25"/>
  <c r="I510" i="25"/>
  <c r="H510" i="25"/>
  <c r="G510" i="25"/>
  <c r="F510" i="25"/>
  <c r="J509" i="25"/>
  <c r="I509" i="25"/>
  <c r="H509" i="25"/>
  <c r="G509" i="25"/>
  <c r="F509" i="25"/>
  <c r="J508" i="25"/>
  <c r="I508" i="25"/>
  <c r="H508" i="25"/>
  <c r="G508" i="25"/>
  <c r="F508" i="25"/>
  <c r="J507" i="25"/>
  <c r="I507" i="25"/>
  <c r="H507" i="25"/>
  <c r="G507" i="25"/>
  <c r="F507" i="25"/>
  <c r="J506" i="25"/>
  <c r="I506" i="25"/>
  <c r="H506" i="25"/>
  <c r="G506" i="25"/>
  <c r="F506" i="25"/>
  <c r="J505" i="25"/>
  <c r="I505" i="25"/>
  <c r="H505" i="25"/>
  <c r="G505" i="25"/>
  <c r="F505" i="25"/>
  <c r="J504" i="25"/>
  <c r="I504" i="25"/>
  <c r="H504" i="25"/>
  <c r="G504" i="25"/>
  <c r="F504" i="25"/>
  <c r="J503" i="25"/>
  <c r="I503" i="25"/>
  <c r="H503" i="25"/>
  <c r="G503" i="25"/>
  <c r="F503" i="25"/>
  <c r="J502" i="25"/>
  <c r="I502" i="25"/>
  <c r="H502" i="25"/>
  <c r="G502" i="25"/>
  <c r="F502" i="25"/>
  <c r="J501" i="25"/>
  <c r="I501" i="25"/>
  <c r="H501" i="25"/>
  <c r="G501" i="25"/>
  <c r="F501" i="25"/>
  <c r="J500" i="25"/>
  <c r="I500" i="25"/>
  <c r="H500" i="25"/>
  <c r="G500" i="25"/>
  <c r="F500" i="25"/>
  <c r="J499" i="25"/>
  <c r="I499" i="25"/>
  <c r="H499" i="25"/>
  <c r="G499" i="25"/>
  <c r="F499" i="25"/>
  <c r="J498" i="25"/>
  <c r="I498" i="25"/>
  <c r="H498" i="25"/>
  <c r="G498" i="25"/>
  <c r="F498" i="25"/>
  <c r="J497" i="25"/>
  <c r="I497" i="25"/>
  <c r="H497" i="25"/>
  <c r="G497" i="25"/>
  <c r="F497" i="25"/>
  <c r="J496" i="25"/>
  <c r="I496" i="25"/>
  <c r="H496" i="25"/>
  <c r="G496" i="25"/>
  <c r="F496" i="25"/>
  <c r="J495" i="25"/>
  <c r="I495" i="25"/>
  <c r="H495" i="25"/>
  <c r="G495" i="25"/>
  <c r="F495" i="25"/>
  <c r="J494" i="25"/>
  <c r="I494" i="25"/>
  <c r="H494" i="25"/>
  <c r="G494" i="25"/>
  <c r="F494" i="25"/>
  <c r="J493" i="25"/>
  <c r="I493" i="25"/>
  <c r="H493" i="25"/>
  <c r="G493" i="25"/>
  <c r="F493" i="25"/>
  <c r="J492" i="25"/>
  <c r="I492" i="25"/>
  <c r="H492" i="25"/>
  <c r="G492" i="25"/>
  <c r="F492" i="25"/>
  <c r="J491" i="25"/>
  <c r="I491" i="25"/>
  <c r="H491" i="25"/>
  <c r="G491" i="25"/>
  <c r="F491" i="25"/>
  <c r="J490" i="25"/>
  <c r="I490" i="25"/>
  <c r="H490" i="25"/>
  <c r="G490" i="25"/>
  <c r="F490" i="25"/>
  <c r="J489" i="25"/>
  <c r="I489" i="25"/>
  <c r="H489" i="25"/>
  <c r="G489" i="25"/>
  <c r="F489" i="25"/>
  <c r="J488" i="25"/>
  <c r="I488" i="25"/>
  <c r="H488" i="25"/>
  <c r="G488" i="25"/>
  <c r="F488" i="25"/>
  <c r="J487" i="25"/>
  <c r="I487" i="25"/>
  <c r="H487" i="25"/>
  <c r="G487" i="25"/>
  <c r="F487" i="25"/>
  <c r="J486" i="25"/>
  <c r="I486" i="25"/>
  <c r="H486" i="25"/>
  <c r="G486" i="25"/>
  <c r="F486" i="25"/>
  <c r="J485" i="25"/>
  <c r="I485" i="25"/>
  <c r="H485" i="25"/>
  <c r="G485" i="25"/>
  <c r="F485" i="25"/>
  <c r="J484" i="25"/>
  <c r="I484" i="25"/>
  <c r="H484" i="25"/>
  <c r="G484" i="25"/>
  <c r="F484" i="25"/>
  <c r="J483" i="25"/>
  <c r="I483" i="25"/>
  <c r="H483" i="25"/>
  <c r="G483" i="25"/>
  <c r="F483" i="25"/>
  <c r="J482" i="25"/>
  <c r="I482" i="25"/>
  <c r="H482" i="25"/>
  <c r="G482" i="25"/>
  <c r="F482" i="25"/>
  <c r="J481" i="25"/>
  <c r="I481" i="25"/>
  <c r="H481" i="25"/>
  <c r="G481" i="25"/>
  <c r="F481" i="25"/>
  <c r="J480" i="25"/>
  <c r="I480" i="25"/>
  <c r="H480" i="25"/>
  <c r="G480" i="25"/>
  <c r="F480" i="25"/>
  <c r="J479" i="25"/>
  <c r="I479" i="25"/>
  <c r="H479" i="25"/>
  <c r="G479" i="25"/>
  <c r="F479" i="25"/>
  <c r="J478" i="25"/>
  <c r="I478" i="25"/>
  <c r="H478" i="25"/>
  <c r="G478" i="25"/>
  <c r="F478" i="25"/>
  <c r="J477" i="25"/>
  <c r="I477" i="25"/>
  <c r="H477" i="25"/>
  <c r="G477" i="25"/>
  <c r="F477" i="25"/>
  <c r="J476" i="25"/>
  <c r="I476" i="25"/>
  <c r="H476" i="25"/>
  <c r="G476" i="25"/>
  <c r="F476" i="25"/>
  <c r="J475" i="25"/>
  <c r="I475" i="25"/>
  <c r="H475" i="25"/>
  <c r="G475" i="25"/>
  <c r="F475" i="25"/>
  <c r="J474" i="25"/>
  <c r="I474" i="25"/>
  <c r="H474" i="25"/>
  <c r="G474" i="25"/>
  <c r="F474" i="25"/>
  <c r="J473" i="25"/>
  <c r="I473" i="25"/>
  <c r="H473" i="25"/>
  <c r="G473" i="25"/>
  <c r="F473" i="25"/>
  <c r="J472" i="25"/>
  <c r="I472" i="25"/>
  <c r="H472" i="25"/>
  <c r="G472" i="25"/>
  <c r="F472" i="25"/>
  <c r="J471" i="25"/>
  <c r="I471" i="25"/>
  <c r="H471" i="25"/>
  <c r="G471" i="25"/>
  <c r="F471" i="25"/>
  <c r="J470" i="25"/>
  <c r="I470" i="25"/>
  <c r="H470" i="25"/>
  <c r="G470" i="25"/>
  <c r="F470" i="25"/>
  <c r="J469" i="25"/>
  <c r="I469" i="25"/>
  <c r="H469" i="25"/>
  <c r="G469" i="25"/>
  <c r="F469" i="25"/>
  <c r="J468" i="25"/>
  <c r="I468" i="25"/>
  <c r="H468" i="25"/>
  <c r="G468" i="25"/>
  <c r="F468" i="25"/>
  <c r="J467" i="25"/>
  <c r="I467" i="25"/>
  <c r="H467" i="25"/>
  <c r="G467" i="25"/>
  <c r="F467" i="25"/>
  <c r="J466" i="25"/>
  <c r="I466" i="25"/>
  <c r="H466" i="25"/>
  <c r="G466" i="25"/>
  <c r="F466" i="25"/>
  <c r="J465" i="25"/>
  <c r="I465" i="25"/>
  <c r="H465" i="25"/>
  <c r="G465" i="25"/>
  <c r="F465" i="25"/>
  <c r="J464" i="25"/>
  <c r="I464" i="25"/>
  <c r="H464" i="25"/>
  <c r="G464" i="25"/>
  <c r="F464" i="25"/>
  <c r="J463" i="25"/>
  <c r="I463" i="25"/>
  <c r="H463" i="25"/>
  <c r="G463" i="25"/>
  <c r="F463" i="25"/>
  <c r="J462" i="25"/>
  <c r="I462" i="25"/>
  <c r="H462" i="25"/>
  <c r="G462" i="25"/>
  <c r="F462" i="25"/>
  <c r="J461" i="25"/>
  <c r="I461" i="25"/>
  <c r="H461" i="25"/>
  <c r="G461" i="25"/>
  <c r="F461" i="25"/>
  <c r="J460" i="25"/>
  <c r="I460" i="25"/>
  <c r="H460" i="25"/>
  <c r="G460" i="25"/>
  <c r="F460" i="25"/>
  <c r="J459" i="25"/>
  <c r="I459" i="25"/>
  <c r="H459" i="25"/>
  <c r="G459" i="25"/>
  <c r="F459" i="25"/>
  <c r="J458" i="25"/>
  <c r="I458" i="25"/>
  <c r="H458" i="25"/>
  <c r="G458" i="25"/>
  <c r="F458" i="25"/>
  <c r="J457" i="25"/>
  <c r="I457" i="25"/>
  <c r="H457" i="25"/>
  <c r="G457" i="25"/>
  <c r="F457" i="25"/>
  <c r="J456" i="25"/>
  <c r="I456" i="25"/>
  <c r="H456" i="25"/>
  <c r="G456" i="25"/>
  <c r="F456" i="25"/>
  <c r="J455" i="25"/>
  <c r="I455" i="25"/>
  <c r="H455" i="25"/>
  <c r="G455" i="25"/>
  <c r="F455" i="25"/>
  <c r="J454" i="25"/>
  <c r="I454" i="25"/>
  <c r="H454" i="25"/>
  <c r="G454" i="25"/>
  <c r="F454" i="25"/>
  <c r="E132" i="55" s="1"/>
  <c r="J453" i="25"/>
  <c r="I453" i="25"/>
  <c r="H453" i="25"/>
  <c r="G453" i="25"/>
  <c r="F453" i="25"/>
  <c r="J452" i="25"/>
  <c r="I452" i="25"/>
  <c r="H452" i="25"/>
  <c r="G452" i="25"/>
  <c r="F452" i="25"/>
  <c r="J451" i="25"/>
  <c r="I451" i="25"/>
  <c r="H451" i="25"/>
  <c r="G451" i="25"/>
  <c r="F451" i="25"/>
  <c r="J450" i="25"/>
  <c r="I450" i="25"/>
  <c r="H450" i="25"/>
  <c r="G450" i="25"/>
  <c r="F450" i="25"/>
  <c r="J449" i="25"/>
  <c r="I449" i="25"/>
  <c r="H449" i="25"/>
  <c r="G449" i="25"/>
  <c r="F449" i="25"/>
  <c r="J448" i="25"/>
  <c r="I448" i="25"/>
  <c r="H448" i="25"/>
  <c r="G448" i="25"/>
  <c r="F448" i="25"/>
  <c r="J447" i="25"/>
  <c r="I447" i="25"/>
  <c r="H447" i="25"/>
  <c r="G447" i="25"/>
  <c r="F447" i="25"/>
  <c r="J446" i="25"/>
  <c r="I446" i="25"/>
  <c r="H446" i="25"/>
  <c r="G446" i="25"/>
  <c r="F446" i="25"/>
  <c r="J445" i="25"/>
  <c r="I445" i="25"/>
  <c r="H445" i="25"/>
  <c r="G445" i="25"/>
  <c r="F445" i="25"/>
  <c r="J444" i="25"/>
  <c r="I444" i="25"/>
  <c r="H444" i="25"/>
  <c r="G444" i="25"/>
  <c r="F444" i="25"/>
  <c r="J443" i="25"/>
  <c r="I443" i="25"/>
  <c r="H443" i="25"/>
  <c r="G443" i="25"/>
  <c r="F443" i="25"/>
  <c r="J442" i="25"/>
  <c r="I442" i="25"/>
  <c r="H442" i="25"/>
  <c r="G442" i="25"/>
  <c r="F442" i="25"/>
  <c r="J441" i="25"/>
  <c r="I441" i="25"/>
  <c r="H441" i="25"/>
  <c r="G441" i="25"/>
  <c r="F441" i="25"/>
  <c r="J440" i="25"/>
  <c r="I440" i="25"/>
  <c r="H440" i="25"/>
  <c r="G440" i="25"/>
  <c r="F440" i="25"/>
  <c r="J439" i="25"/>
  <c r="I439" i="25"/>
  <c r="H439" i="25"/>
  <c r="G439" i="25"/>
  <c r="F439" i="25"/>
  <c r="J438" i="25"/>
  <c r="I438" i="25"/>
  <c r="H438" i="25"/>
  <c r="G438" i="25"/>
  <c r="F438" i="25"/>
  <c r="J437" i="25"/>
  <c r="I437" i="25"/>
  <c r="H437" i="25"/>
  <c r="G437" i="25"/>
  <c r="F437" i="25"/>
  <c r="J436" i="25"/>
  <c r="I436" i="25"/>
  <c r="H436" i="25"/>
  <c r="G436" i="25"/>
  <c r="F436" i="25"/>
  <c r="J435" i="25"/>
  <c r="I435" i="25"/>
  <c r="H435" i="25"/>
  <c r="G435" i="25"/>
  <c r="F435" i="25"/>
  <c r="J434" i="25"/>
  <c r="I434" i="25"/>
  <c r="H434" i="25"/>
  <c r="G434" i="25"/>
  <c r="F434" i="25"/>
  <c r="J433" i="25"/>
  <c r="I433" i="25"/>
  <c r="H433" i="25"/>
  <c r="G433" i="25"/>
  <c r="F433" i="25"/>
  <c r="J432" i="25"/>
  <c r="I432" i="25"/>
  <c r="H432" i="25"/>
  <c r="G432" i="25"/>
  <c r="F432" i="25"/>
  <c r="J431" i="25"/>
  <c r="I431" i="25"/>
  <c r="H431" i="25"/>
  <c r="G431" i="25"/>
  <c r="F431" i="25"/>
  <c r="J430" i="25"/>
  <c r="I430" i="25"/>
  <c r="H430" i="25"/>
  <c r="G430" i="25"/>
  <c r="F430" i="25"/>
  <c r="J429" i="25"/>
  <c r="I429" i="25"/>
  <c r="H429" i="25"/>
  <c r="G429" i="25"/>
  <c r="F429" i="25"/>
  <c r="J428" i="25"/>
  <c r="I428" i="25"/>
  <c r="H428" i="25"/>
  <c r="G428" i="25"/>
  <c r="F428" i="25"/>
  <c r="J427" i="25"/>
  <c r="I427" i="25"/>
  <c r="H427" i="25"/>
  <c r="G427" i="25"/>
  <c r="F427" i="25"/>
  <c r="J426" i="25"/>
  <c r="I426" i="25"/>
  <c r="H426" i="25"/>
  <c r="G426" i="25"/>
  <c r="F426" i="25"/>
  <c r="J425" i="25"/>
  <c r="I425" i="25"/>
  <c r="H425" i="25"/>
  <c r="G425" i="25"/>
  <c r="F425" i="25"/>
  <c r="J424" i="25"/>
  <c r="I424" i="25"/>
  <c r="H424" i="25"/>
  <c r="G424" i="25"/>
  <c r="F424" i="25"/>
  <c r="J423" i="25"/>
  <c r="I423" i="25"/>
  <c r="H423" i="25"/>
  <c r="G423" i="25"/>
  <c r="F423" i="25"/>
  <c r="J422" i="25"/>
  <c r="I422" i="25"/>
  <c r="H422" i="25"/>
  <c r="G422" i="25"/>
  <c r="F422" i="25"/>
  <c r="J421" i="25"/>
  <c r="I421" i="25"/>
  <c r="H421" i="25"/>
  <c r="G421" i="25"/>
  <c r="F421" i="25"/>
  <c r="J420" i="25"/>
  <c r="I420" i="25"/>
  <c r="H420" i="25"/>
  <c r="G420" i="25"/>
  <c r="F420" i="25"/>
  <c r="J419" i="25"/>
  <c r="I419" i="25"/>
  <c r="H419" i="25"/>
  <c r="G419" i="25"/>
  <c r="F419" i="25"/>
  <c r="J418" i="25"/>
  <c r="I418" i="25"/>
  <c r="H418" i="25"/>
  <c r="G418" i="25"/>
  <c r="F418" i="25"/>
  <c r="J417" i="25"/>
  <c r="I417" i="25"/>
  <c r="H417" i="25"/>
  <c r="G417" i="25"/>
  <c r="F417" i="25"/>
  <c r="J416" i="25"/>
  <c r="I416" i="25"/>
  <c r="H416" i="25"/>
  <c r="G416" i="25"/>
  <c r="F416" i="25"/>
  <c r="J415" i="25"/>
  <c r="I415" i="25"/>
  <c r="H415" i="25"/>
  <c r="G415" i="25"/>
  <c r="F415" i="25"/>
  <c r="J414" i="25"/>
  <c r="I414" i="25"/>
  <c r="H414" i="25"/>
  <c r="G414" i="25"/>
  <c r="F414" i="25"/>
  <c r="J413" i="25"/>
  <c r="I413" i="25"/>
  <c r="H413" i="25"/>
  <c r="G413" i="25"/>
  <c r="F413" i="25"/>
  <c r="J412" i="25"/>
  <c r="I412" i="25"/>
  <c r="H412" i="25"/>
  <c r="G412" i="25"/>
  <c r="F412" i="25"/>
  <c r="E178" i="55" s="1"/>
  <c r="J411" i="25"/>
  <c r="I411" i="25"/>
  <c r="H411" i="25"/>
  <c r="G411" i="25"/>
  <c r="F411" i="25"/>
  <c r="J410" i="25"/>
  <c r="I410" i="25"/>
  <c r="H410" i="25"/>
  <c r="G410" i="25"/>
  <c r="F410" i="25"/>
  <c r="J409" i="25"/>
  <c r="I409" i="25"/>
  <c r="H409" i="25"/>
  <c r="G409" i="25"/>
  <c r="F409" i="25"/>
  <c r="J408" i="25"/>
  <c r="I408" i="25"/>
  <c r="H408" i="25"/>
  <c r="G408" i="25"/>
  <c r="F408" i="25"/>
  <c r="J407" i="25"/>
  <c r="I407" i="25"/>
  <c r="H407" i="25"/>
  <c r="G407" i="25"/>
  <c r="F407" i="25"/>
  <c r="J406" i="25"/>
  <c r="I406" i="25"/>
  <c r="H406" i="25"/>
  <c r="G406" i="25"/>
  <c r="F406" i="25"/>
  <c r="J405" i="25"/>
  <c r="I405" i="25"/>
  <c r="H405" i="25"/>
  <c r="G405" i="25"/>
  <c r="F405" i="25"/>
  <c r="J404" i="25"/>
  <c r="I404" i="25"/>
  <c r="H404" i="25"/>
  <c r="G404" i="25"/>
  <c r="F404" i="25"/>
  <c r="J403" i="25"/>
  <c r="I403" i="25"/>
  <c r="H403" i="25"/>
  <c r="G403" i="25"/>
  <c r="F403" i="25"/>
  <c r="J402" i="25"/>
  <c r="I402" i="25"/>
  <c r="H402" i="25"/>
  <c r="G402" i="25"/>
  <c r="F402" i="25"/>
  <c r="J401" i="25"/>
  <c r="I401" i="25"/>
  <c r="H401" i="25"/>
  <c r="G401" i="25"/>
  <c r="F401" i="25"/>
  <c r="J400" i="25"/>
  <c r="I400" i="25"/>
  <c r="H400" i="25"/>
  <c r="G400" i="25"/>
  <c r="F400" i="25"/>
  <c r="J399" i="25"/>
  <c r="I399" i="25"/>
  <c r="H399" i="25"/>
  <c r="G399" i="25"/>
  <c r="F399" i="25"/>
  <c r="J398" i="25"/>
  <c r="I398" i="25"/>
  <c r="H398" i="25"/>
  <c r="G398" i="25"/>
  <c r="F398" i="25"/>
  <c r="J397" i="25"/>
  <c r="I397" i="25"/>
  <c r="H397" i="25"/>
  <c r="G397" i="25"/>
  <c r="F397" i="25"/>
  <c r="J396" i="25"/>
  <c r="I396" i="25"/>
  <c r="H396" i="25"/>
  <c r="G396" i="25"/>
  <c r="F396" i="25"/>
  <c r="J395" i="25"/>
  <c r="I395" i="25"/>
  <c r="H395" i="25"/>
  <c r="G395" i="25"/>
  <c r="F395" i="25"/>
  <c r="J394" i="25"/>
  <c r="I394" i="25"/>
  <c r="H394" i="25"/>
  <c r="G394" i="25"/>
  <c r="F394" i="25"/>
  <c r="J393" i="25"/>
  <c r="I393" i="25"/>
  <c r="H393" i="25"/>
  <c r="G393" i="25"/>
  <c r="F393" i="25"/>
  <c r="J392" i="25"/>
  <c r="I392" i="25"/>
  <c r="H392" i="25"/>
  <c r="G392" i="25"/>
  <c r="F392" i="25"/>
  <c r="J391" i="25"/>
  <c r="I391" i="25"/>
  <c r="H391" i="25"/>
  <c r="G391" i="25"/>
  <c r="F391" i="25"/>
  <c r="J390" i="25"/>
  <c r="I390" i="25"/>
  <c r="H390" i="25"/>
  <c r="G390" i="25"/>
  <c r="F390" i="25"/>
  <c r="J389" i="25"/>
  <c r="I389" i="25"/>
  <c r="H389" i="25"/>
  <c r="G389" i="25"/>
  <c r="F389" i="25"/>
  <c r="J388" i="25"/>
  <c r="I388" i="25"/>
  <c r="H388" i="25"/>
  <c r="G388" i="25"/>
  <c r="F388" i="25"/>
  <c r="J387" i="25"/>
  <c r="I387" i="25"/>
  <c r="H387" i="25"/>
  <c r="G387" i="25"/>
  <c r="F387" i="25"/>
  <c r="J386" i="25"/>
  <c r="I386" i="25"/>
  <c r="H386" i="25"/>
  <c r="G386" i="25"/>
  <c r="F386" i="25"/>
  <c r="J385" i="25"/>
  <c r="I385" i="25"/>
  <c r="H385" i="25"/>
  <c r="G385" i="25"/>
  <c r="F385" i="25"/>
  <c r="J384" i="25"/>
  <c r="I384" i="25"/>
  <c r="H384" i="25"/>
  <c r="G384" i="25"/>
  <c r="F384" i="25"/>
  <c r="J383" i="25"/>
  <c r="I383" i="25"/>
  <c r="H383" i="25"/>
  <c r="G383" i="25"/>
  <c r="F383" i="25"/>
  <c r="J382" i="25"/>
  <c r="I382" i="25"/>
  <c r="H382" i="25"/>
  <c r="G382" i="25"/>
  <c r="F382" i="25"/>
  <c r="J381" i="25"/>
  <c r="I381" i="25"/>
  <c r="H381" i="25"/>
  <c r="G381" i="25"/>
  <c r="F381" i="25"/>
  <c r="J380" i="25"/>
  <c r="I380" i="25"/>
  <c r="H380" i="25"/>
  <c r="G380" i="25"/>
  <c r="F380" i="25"/>
  <c r="J379" i="25"/>
  <c r="I379" i="25"/>
  <c r="H379" i="25"/>
  <c r="G379" i="25"/>
  <c r="F379" i="25"/>
  <c r="J378" i="25"/>
  <c r="I378" i="25"/>
  <c r="H378" i="25"/>
  <c r="G378" i="25"/>
  <c r="F378" i="25"/>
  <c r="J377" i="25"/>
  <c r="I377" i="25"/>
  <c r="H377" i="25"/>
  <c r="G377" i="25"/>
  <c r="F377" i="25"/>
  <c r="J376" i="25"/>
  <c r="I376" i="25"/>
  <c r="H376" i="25"/>
  <c r="G376" i="25"/>
  <c r="F376" i="25"/>
  <c r="J375" i="25"/>
  <c r="I375" i="25"/>
  <c r="H375" i="25"/>
  <c r="G375" i="25"/>
  <c r="F375" i="25"/>
  <c r="J374" i="25"/>
  <c r="I374" i="25"/>
  <c r="H374" i="25"/>
  <c r="G374" i="25"/>
  <c r="F374" i="25"/>
  <c r="J373" i="25"/>
  <c r="I373" i="25"/>
  <c r="H373" i="25"/>
  <c r="G373" i="25"/>
  <c r="F373" i="25"/>
  <c r="J372" i="25"/>
  <c r="I372" i="25"/>
  <c r="H372" i="25"/>
  <c r="G372" i="25"/>
  <c r="F372" i="25"/>
  <c r="J371" i="25"/>
  <c r="I371" i="25"/>
  <c r="H371" i="25"/>
  <c r="G371" i="25"/>
  <c r="F371" i="25"/>
  <c r="J370" i="25"/>
  <c r="I370" i="25"/>
  <c r="H370" i="25"/>
  <c r="G370" i="25"/>
  <c r="F370" i="25"/>
  <c r="J369" i="25"/>
  <c r="I369" i="25"/>
  <c r="H369" i="25"/>
  <c r="G369" i="25"/>
  <c r="F369" i="25"/>
  <c r="J368" i="25"/>
  <c r="I368" i="25"/>
  <c r="H368" i="25"/>
  <c r="G368" i="25"/>
  <c r="F368" i="25"/>
  <c r="J367" i="25"/>
  <c r="I367" i="25"/>
  <c r="H367" i="25"/>
  <c r="G367" i="25"/>
  <c r="F367" i="25"/>
  <c r="J366" i="25"/>
  <c r="I366" i="25"/>
  <c r="H366" i="25"/>
  <c r="G366" i="25"/>
  <c r="F366" i="25"/>
  <c r="J365" i="25"/>
  <c r="I365" i="25"/>
  <c r="H365" i="25"/>
  <c r="G365" i="25"/>
  <c r="F365" i="25"/>
  <c r="J364" i="25"/>
  <c r="I364" i="25"/>
  <c r="H364" i="25"/>
  <c r="G364" i="25"/>
  <c r="F364" i="25"/>
  <c r="J363" i="25"/>
  <c r="I363" i="25"/>
  <c r="H363" i="25"/>
  <c r="G363" i="25"/>
  <c r="F363" i="25"/>
  <c r="J362" i="25"/>
  <c r="I362" i="25"/>
  <c r="H362" i="25"/>
  <c r="G362" i="25"/>
  <c r="F362" i="25"/>
  <c r="J361" i="25"/>
  <c r="I361" i="25"/>
  <c r="H361" i="25"/>
  <c r="G361" i="25"/>
  <c r="F361" i="25"/>
  <c r="J360" i="25"/>
  <c r="I360" i="25"/>
  <c r="H360" i="25"/>
  <c r="G360" i="25"/>
  <c r="F360" i="25"/>
  <c r="J359" i="25"/>
  <c r="I359" i="25"/>
  <c r="H359" i="25"/>
  <c r="G359" i="25"/>
  <c r="F359" i="25"/>
  <c r="J358" i="25"/>
  <c r="I358" i="25"/>
  <c r="H358" i="25"/>
  <c r="G358" i="25"/>
  <c r="F358" i="25"/>
  <c r="J357" i="25"/>
  <c r="I357" i="25"/>
  <c r="H357" i="25"/>
  <c r="G357" i="25"/>
  <c r="F357" i="25"/>
  <c r="J356" i="25"/>
  <c r="I356" i="25"/>
  <c r="H356" i="25"/>
  <c r="G356" i="25"/>
  <c r="F356" i="25"/>
  <c r="J355" i="25"/>
  <c r="I355" i="25"/>
  <c r="H355" i="25"/>
  <c r="G355" i="25"/>
  <c r="F355" i="25"/>
  <c r="J354" i="25"/>
  <c r="I354" i="25"/>
  <c r="H354" i="25"/>
  <c r="G354" i="25"/>
  <c r="F354" i="25"/>
  <c r="J353" i="25"/>
  <c r="I353" i="25"/>
  <c r="H353" i="25"/>
  <c r="G353" i="25"/>
  <c r="F353" i="25"/>
  <c r="J352" i="25"/>
  <c r="I352" i="25"/>
  <c r="H352" i="25"/>
  <c r="G352" i="25"/>
  <c r="F352" i="25"/>
  <c r="J351" i="25"/>
  <c r="I351" i="25"/>
  <c r="H351" i="25"/>
  <c r="G351" i="25"/>
  <c r="F351" i="25"/>
  <c r="J350" i="25"/>
  <c r="I350" i="25"/>
  <c r="H350" i="25"/>
  <c r="G350" i="25"/>
  <c r="F350" i="25"/>
  <c r="J349" i="25"/>
  <c r="I349" i="25"/>
  <c r="H349" i="25"/>
  <c r="G349" i="25"/>
  <c r="F349" i="25"/>
  <c r="J348" i="25"/>
  <c r="I348" i="25"/>
  <c r="H348" i="25"/>
  <c r="G348" i="25"/>
  <c r="F348" i="25"/>
  <c r="J347" i="25"/>
  <c r="I347" i="25"/>
  <c r="H347" i="25"/>
  <c r="G347" i="25"/>
  <c r="F347" i="25"/>
  <c r="J346" i="25"/>
  <c r="I346" i="25"/>
  <c r="H346" i="25"/>
  <c r="G346" i="25"/>
  <c r="F346" i="25"/>
  <c r="J345" i="25"/>
  <c r="I345" i="25"/>
  <c r="H345" i="25"/>
  <c r="G345" i="25"/>
  <c r="F345" i="25"/>
  <c r="J344" i="25"/>
  <c r="I344" i="25"/>
  <c r="H344" i="25"/>
  <c r="G344" i="25"/>
  <c r="F344" i="25"/>
  <c r="J343" i="25"/>
  <c r="I343" i="25"/>
  <c r="H343" i="25"/>
  <c r="G343" i="25"/>
  <c r="F343" i="25"/>
  <c r="J342" i="25"/>
  <c r="I342" i="25"/>
  <c r="H342" i="25"/>
  <c r="G342" i="25"/>
  <c r="F342" i="25"/>
  <c r="J341" i="25"/>
  <c r="I341" i="25"/>
  <c r="H341" i="25"/>
  <c r="G341" i="25"/>
  <c r="F341" i="25"/>
  <c r="J340" i="25"/>
  <c r="I340" i="25"/>
  <c r="H340" i="25"/>
  <c r="G340" i="25"/>
  <c r="F340" i="25"/>
  <c r="J339" i="25"/>
  <c r="I339" i="25"/>
  <c r="H339" i="25"/>
  <c r="G339" i="25"/>
  <c r="F339" i="25"/>
  <c r="J338" i="25"/>
  <c r="I338" i="25"/>
  <c r="H338" i="25"/>
  <c r="G338" i="25"/>
  <c r="F338" i="25"/>
  <c r="J337" i="25"/>
  <c r="I337" i="25"/>
  <c r="H337" i="25"/>
  <c r="G337" i="25"/>
  <c r="F337" i="25"/>
  <c r="J336" i="25"/>
  <c r="I336" i="25"/>
  <c r="H336" i="25"/>
  <c r="G336" i="25"/>
  <c r="F336" i="25"/>
  <c r="J335" i="25"/>
  <c r="I335" i="25"/>
  <c r="H335" i="25"/>
  <c r="G335" i="25"/>
  <c r="F335" i="25"/>
  <c r="J334" i="25"/>
  <c r="I334" i="25"/>
  <c r="H334" i="25"/>
  <c r="G334" i="25"/>
  <c r="F334" i="25"/>
  <c r="J333" i="25"/>
  <c r="I333" i="25"/>
  <c r="H333" i="25"/>
  <c r="G333" i="25"/>
  <c r="F333" i="25"/>
  <c r="J332" i="25"/>
  <c r="I332" i="25"/>
  <c r="H332" i="25"/>
  <c r="G332" i="25"/>
  <c r="F332" i="25"/>
  <c r="J331" i="25"/>
  <c r="I331" i="25"/>
  <c r="H331" i="25"/>
  <c r="G331" i="25"/>
  <c r="F331" i="25"/>
  <c r="J330" i="25"/>
  <c r="I330" i="25"/>
  <c r="H330" i="25"/>
  <c r="G330" i="25"/>
  <c r="F330" i="25"/>
  <c r="J329" i="25"/>
  <c r="I329" i="25"/>
  <c r="H329" i="25"/>
  <c r="G329" i="25"/>
  <c r="F329" i="25"/>
  <c r="J328" i="25"/>
  <c r="I328" i="25"/>
  <c r="H328" i="25"/>
  <c r="G328" i="25"/>
  <c r="F328" i="25"/>
  <c r="J327" i="25"/>
  <c r="I327" i="25"/>
  <c r="H327" i="25"/>
  <c r="G327" i="25"/>
  <c r="F327" i="25"/>
  <c r="J326" i="25"/>
  <c r="I326" i="25"/>
  <c r="H326" i="25"/>
  <c r="G326" i="25"/>
  <c r="F326" i="25"/>
  <c r="J325" i="25"/>
  <c r="I325" i="25"/>
  <c r="H325" i="25"/>
  <c r="G325" i="25"/>
  <c r="F325" i="25"/>
  <c r="J324" i="25"/>
  <c r="I324" i="25"/>
  <c r="H324" i="25"/>
  <c r="G324" i="25"/>
  <c r="F324" i="25"/>
  <c r="J323" i="25"/>
  <c r="I323" i="25"/>
  <c r="H323" i="25"/>
  <c r="G323" i="25"/>
  <c r="F323" i="25"/>
  <c r="J322" i="25"/>
  <c r="I322" i="25"/>
  <c r="H322" i="25"/>
  <c r="G322" i="25"/>
  <c r="F322" i="25"/>
  <c r="J321" i="25"/>
  <c r="I321" i="25"/>
  <c r="H321" i="25"/>
  <c r="G321" i="25"/>
  <c r="F321" i="25"/>
  <c r="J320" i="25"/>
  <c r="I320" i="25"/>
  <c r="H320" i="25"/>
  <c r="G320" i="25"/>
  <c r="F320" i="25"/>
  <c r="J319" i="25"/>
  <c r="I319" i="25"/>
  <c r="H319" i="25"/>
  <c r="G319" i="25"/>
  <c r="F319" i="25"/>
  <c r="J318" i="25"/>
  <c r="I318" i="25"/>
  <c r="H318" i="25"/>
  <c r="G318" i="25"/>
  <c r="F318" i="25"/>
  <c r="J317" i="25"/>
  <c r="I317" i="25"/>
  <c r="H317" i="25"/>
  <c r="G317" i="25"/>
  <c r="F317" i="25"/>
  <c r="J316" i="25"/>
  <c r="I316" i="25"/>
  <c r="H316" i="25"/>
  <c r="G316" i="25"/>
  <c r="F316" i="25"/>
  <c r="J315" i="25"/>
  <c r="I315" i="25"/>
  <c r="H315" i="25"/>
  <c r="G315" i="25"/>
  <c r="F315" i="25"/>
  <c r="J314" i="25"/>
  <c r="I314" i="25"/>
  <c r="H314" i="25"/>
  <c r="G314" i="25"/>
  <c r="F314" i="25"/>
  <c r="J313" i="25"/>
  <c r="I313" i="25"/>
  <c r="H313" i="25"/>
  <c r="G313" i="25"/>
  <c r="F313" i="25"/>
  <c r="J312" i="25"/>
  <c r="I312" i="25"/>
  <c r="H312" i="25"/>
  <c r="G312" i="25"/>
  <c r="F312" i="25"/>
  <c r="J311" i="25"/>
  <c r="I311" i="25"/>
  <c r="H311" i="25"/>
  <c r="G311" i="25"/>
  <c r="F311" i="25"/>
  <c r="J310" i="25"/>
  <c r="I310" i="25"/>
  <c r="H310" i="25"/>
  <c r="G310" i="25"/>
  <c r="F310" i="25"/>
  <c r="J309" i="25"/>
  <c r="I309" i="25"/>
  <c r="H309" i="25"/>
  <c r="G309" i="25"/>
  <c r="F309" i="25"/>
  <c r="J308" i="25"/>
  <c r="I308" i="25"/>
  <c r="H308" i="25"/>
  <c r="G308" i="25"/>
  <c r="F308" i="25"/>
  <c r="J307" i="25"/>
  <c r="I307" i="25"/>
  <c r="H307" i="25"/>
  <c r="G307" i="25"/>
  <c r="F307" i="25"/>
  <c r="J306" i="25"/>
  <c r="I306" i="25"/>
  <c r="H306" i="25"/>
  <c r="G306" i="25"/>
  <c r="F306" i="25"/>
  <c r="J305" i="25"/>
  <c r="I305" i="25"/>
  <c r="H305" i="25"/>
  <c r="G305" i="25"/>
  <c r="F305" i="25"/>
  <c r="J304" i="25"/>
  <c r="I304" i="25"/>
  <c r="H304" i="25"/>
  <c r="G304" i="25"/>
  <c r="F304" i="25"/>
  <c r="J303" i="25"/>
  <c r="I303" i="25"/>
  <c r="H303" i="25"/>
  <c r="G303" i="25"/>
  <c r="F303" i="25"/>
  <c r="J302" i="25"/>
  <c r="I302" i="25"/>
  <c r="H302" i="25"/>
  <c r="G302" i="25"/>
  <c r="F302" i="25"/>
  <c r="J301" i="25"/>
  <c r="I301" i="25"/>
  <c r="H301" i="25"/>
  <c r="G301" i="25"/>
  <c r="F301" i="25"/>
  <c r="J300" i="25"/>
  <c r="I300" i="25"/>
  <c r="H300" i="25"/>
  <c r="G300" i="25"/>
  <c r="F300" i="25"/>
  <c r="J299" i="25"/>
  <c r="I299" i="25"/>
  <c r="H299" i="25"/>
  <c r="G299" i="25"/>
  <c r="F299" i="25"/>
  <c r="J298" i="25"/>
  <c r="I298" i="25"/>
  <c r="H298" i="25"/>
  <c r="G298" i="25"/>
  <c r="F298" i="25"/>
  <c r="J297" i="25"/>
  <c r="I297" i="25"/>
  <c r="H297" i="25"/>
  <c r="G297" i="25"/>
  <c r="F297" i="25"/>
  <c r="J296" i="25"/>
  <c r="I296" i="25"/>
  <c r="H296" i="25"/>
  <c r="G296" i="25"/>
  <c r="F296" i="25"/>
  <c r="J295" i="25"/>
  <c r="I295" i="25"/>
  <c r="H295" i="25"/>
  <c r="G295" i="25"/>
  <c r="F295" i="25"/>
  <c r="J294" i="25"/>
  <c r="I294" i="25"/>
  <c r="H294" i="25"/>
  <c r="G294" i="25"/>
  <c r="F294" i="25"/>
  <c r="J293" i="25"/>
  <c r="I293" i="25"/>
  <c r="H293" i="25"/>
  <c r="G293" i="25"/>
  <c r="F293" i="25"/>
  <c r="J292" i="25"/>
  <c r="I292" i="25"/>
  <c r="H292" i="25"/>
  <c r="G292" i="25"/>
  <c r="F292" i="25"/>
  <c r="J291" i="25"/>
  <c r="I291" i="25"/>
  <c r="H291" i="25"/>
  <c r="G291" i="25"/>
  <c r="F291" i="25"/>
  <c r="J290" i="25"/>
  <c r="I290" i="25"/>
  <c r="H290" i="25"/>
  <c r="G290" i="25"/>
  <c r="F290" i="25"/>
  <c r="J289" i="25"/>
  <c r="I289" i="25"/>
  <c r="H289" i="25"/>
  <c r="G289" i="25"/>
  <c r="F289" i="25"/>
  <c r="J288" i="25"/>
  <c r="I288" i="25"/>
  <c r="H288" i="25"/>
  <c r="G288" i="25"/>
  <c r="F288" i="25"/>
  <c r="J287" i="25"/>
  <c r="I287" i="25"/>
  <c r="H287" i="25"/>
  <c r="G287" i="25"/>
  <c r="F287" i="25"/>
  <c r="J286" i="25"/>
  <c r="I286" i="25"/>
  <c r="H286" i="25"/>
  <c r="G286" i="25"/>
  <c r="F286" i="25"/>
  <c r="J285" i="25"/>
  <c r="I285" i="25"/>
  <c r="H285" i="25"/>
  <c r="G285" i="25"/>
  <c r="F285" i="25"/>
  <c r="J284" i="25"/>
  <c r="I284" i="25"/>
  <c r="H284" i="25"/>
  <c r="G284" i="25"/>
  <c r="F284" i="25"/>
  <c r="J283" i="25"/>
  <c r="I283" i="25"/>
  <c r="H283" i="25"/>
  <c r="G283" i="25"/>
  <c r="F283" i="25"/>
  <c r="J282" i="25"/>
  <c r="I282" i="25"/>
  <c r="H282" i="25"/>
  <c r="G282" i="25"/>
  <c r="F282" i="25"/>
  <c r="J281" i="25"/>
  <c r="I281" i="25"/>
  <c r="H281" i="25"/>
  <c r="G281" i="25"/>
  <c r="F281" i="25"/>
  <c r="J280" i="25"/>
  <c r="I280" i="25"/>
  <c r="H280" i="25"/>
  <c r="G280" i="25"/>
  <c r="F280" i="25"/>
  <c r="J279" i="25"/>
  <c r="I279" i="25"/>
  <c r="H279" i="25"/>
  <c r="G279" i="25"/>
  <c r="F279" i="25"/>
  <c r="J278" i="25"/>
  <c r="I278" i="25"/>
  <c r="H278" i="25"/>
  <c r="G278" i="25"/>
  <c r="F278" i="25"/>
  <c r="J277" i="25"/>
  <c r="I277" i="25"/>
  <c r="H277" i="25"/>
  <c r="G277" i="25"/>
  <c r="F277" i="25"/>
  <c r="J276" i="25"/>
  <c r="I276" i="25"/>
  <c r="H276" i="25"/>
  <c r="G276" i="25"/>
  <c r="F276" i="25"/>
  <c r="J275" i="25"/>
  <c r="I275" i="25"/>
  <c r="H275" i="25"/>
  <c r="G275" i="25"/>
  <c r="F275" i="25"/>
  <c r="E179" i="55" s="1"/>
  <c r="J274" i="25"/>
  <c r="I274" i="25"/>
  <c r="H274" i="25"/>
  <c r="G274" i="25"/>
  <c r="F274" i="25"/>
  <c r="J273" i="25"/>
  <c r="I273" i="25"/>
  <c r="H273" i="25"/>
  <c r="G273" i="25"/>
  <c r="F273" i="25"/>
  <c r="J272" i="25"/>
  <c r="I272" i="25"/>
  <c r="H272" i="25"/>
  <c r="G272" i="25"/>
  <c r="F272" i="25"/>
  <c r="J271" i="25"/>
  <c r="I271" i="25"/>
  <c r="H271" i="25"/>
  <c r="G271" i="25"/>
  <c r="F271" i="25"/>
  <c r="J270" i="25"/>
  <c r="I270" i="25"/>
  <c r="H270" i="25"/>
  <c r="G270" i="25"/>
  <c r="F270" i="25"/>
  <c r="J269" i="25"/>
  <c r="I269" i="25"/>
  <c r="H269" i="25"/>
  <c r="G269" i="25"/>
  <c r="F269" i="25"/>
  <c r="J268" i="25"/>
  <c r="I268" i="25"/>
  <c r="H268" i="25"/>
  <c r="G268" i="25"/>
  <c r="F268" i="25"/>
  <c r="J267" i="25"/>
  <c r="I267" i="25"/>
  <c r="H267" i="25"/>
  <c r="G267" i="25"/>
  <c r="F267" i="25"/>
  <c r="J266" i="25"/>
  <c r="I266" i="25"/>
  <c r="H266" i="25"/>
  <c r="G266" i="25"/>
  <c r="F266" i="25"/>
  <c r="J265" i="25"/>
  <c r="I265" i="25"/>
  <c r="H265" i="25"/>
  <c r="G265" i="25"/>
  <c r="F265" i="25"/>
  <c r="J264" i="25"/>
  <c r="I264" i="25"/>
  <c r="H264" i="25"/>
  <c r="G264" i="25"/>
  <c r="F264" i="25"/>
  <c r="J263" i="25"/>
  <c r="I263" i="25"/>
  <c r="H263" i="25"/>
  <c r="G263" i="25"/>
  <c r="F263" i="25"/>
  <c r="J262" i="25"/>
  <c r="I262" i="25"/>
  <c r="H262" i="25"/>
  <c r="G262" i="25"/>
  <c r="F262" i="25"/>
  <c r="J261" i="25"/>
  <c r="I261" i="25"/>
  <c r="H261" i="25"/>
  <c r="G261" i="25"/>
  <c r="F261" i="25"/>
  <c r="J260" i="25"/>
  <c r="I260" i="25"/>
  <c r="H260" i="25"/>
  <c r="G260" i="25"/>
  <c r="F260" i="25"/>
  <c r="J259" i="25"/>
  <c r="I259" i="25"/>
  <c r="H259" i="25"/>
  <c r="G259" i="25"/>
  <c r="F259" i="25"/>
  <c r="J258" i="25"/>
  <c r="I258" i="25"/>
  <c r="H258" i="25"/>
  <c r="G258" i="25"/>
  <c r="F258" i="25"/>
  <c r="J257" i="25"/>
  <c r="I257" i="25"/>
  <c r="H257" i="25"/>
  <c r="G257" i="25"/>
  <c r="F257" i="25"/>
  <c r="J256" i="25"/>
  <c r="I256" i="25"/>
  <c r="H256" i="25"/>
  <c r="G256" i="25"/>
  <c r="F256" i="25"/>
  <c r="J255" i="25"/>
  <c r="I255" i="25"/>
  <c r="H255" i="25"/>
  <c r="G255" i="25"/>
  <c r="F255" i="25"/>
  <c r="J254" i="25"/>
  <c r="I254" i="25"/>
  <c r="H254" i="25"/>
  <c r="G254" i="25"/>
  <c r="F254" i="25"/>
  <c r="J253" i="25"/>
  <c r="I253" i="25"/>
  <c r="H253" i="25"/>
  <c r="G253" i="25"/>
  <c r="F253" i="25"/>
  <c r="J252" i="25"/>
  <c r="I252" i="25"/>
  <c r="H252" i="25"/>
  <c r="G252" i="25"/>
  <c r="F252" i="25"/>
  <c r="J251" i="25"/>
  <c r="I251" i="25"/>
  <c r="H251" i="25"/>
  <c r="G251" i="25"/>
  <c r="F251" i="25"/>
  <c r="J250" i="25"/>
  <c r="I250" i="25"/>
  <c r="H250" i="25"/>
  <c r="G250" i="25"/>
  <c r="F250" i="25"/>
  <c r="J249" i="25"/>
  <c r="I249" i="25"/>
  <c r="H249" i="25"/>
  <c r="G249" i="25"/>
  <c r="F249" i="25"/>
  <c r="J248" i="25"/>
  <c r="I248" i="25"/>
  <c r="H248" i="25"/>
  <c r="G248" i="25"/>
  <c r="F248" i="25"/>
  <c r="J247" i="25"/>
  <c r="I247" i="25"/>
  <c r="H247" i="25"/>
  <c r="G247" i="25"/>
  <c r="F247" i="25"/>
  <c r="J246" i="25"/>
  <c r="I246" i="25"/>
  <c r="H246" i="25"/>
  <c r="G246" i="25"/>
  <c r="F246" i="25"/>
  <c r="J245" i="25"/>
  <c r="I245" i="25"/>
  <c r="H245" i="25"/>
  <c r="G245" i="25"/>
  <c r="F245" i="25"/>
  <c r="J244" i="25"/>
  <c r="I244" i="25"/>
  <c r="H244" i="25"/>
  <c r="G244" i="25"/>
  <c r="F244" i="25"/>
  <c r="J243" i="25"/>
  <c r="I243" i="25"/>
  <c r="H243" i="25"/>
  <c r="G243" i="25"/>
  <c r="F243" i="25"/>
  <c r="J242" i="25"/>
  <c r="I242" i="25"/>
  <c r="H242" i="25"/>
  <c r="G242" i="25"/>
  <c r="F242" i="25"/>
  <c r="J241" i="25"/>
  <c r="I241" i="25"/>
  <c r="H241" i="25"/>
  <c r="G241" i="25"/>
  <c r="F241" i="25"/>
  <c r="J240" i="25"/>
  <c r="I240" i="25"/>
  <c r="H240" i="25"/>
  <c r="G240" i="25"/>
  <c r="F240" i="25"/>
  <c r="J239" i="25"/>
  <c r="I239" i="25"/>
  <c r="H239" i="25"/>
  <c r="G239" i="25"/>
  <c r="F239" i="25"/>
  <c r="J238" i="25"/>
  <c r="I238" i="25"/>
  <c r="H238" i="25"/>
  <c r="G238" i="25"/>
  <c r="F238" i="25"/>
  <c r="J237" i="25"/>
  <c r="I237" i="25"/>
  <c r="H237" i="25"/>
  <c r="G237" i="25"/>
  <c r="F237" i="25"/>
  <c r="J236" i="25"/>
  <c r="I236" i="25"/>
  <c r="H236" i="25"/>
  <c r="G236" i="25"/>
  <c r="F236" i="25"/>
  <c r="J235" i="25"/>
  <c r="I235" i="25"/>
  <c r="H235" i="25"/>
  <c r="G235" i="25"/>
  <c r="F235" i="25"/>
  <c r="J234" i="25"/>
  <c r="I234" i="25"/>
  <c r="H234" i="25"/>
  <c r="G234" i="25"/>
  <c r="F234" i="25"/>
  <c r="J233" i="25"/>
  <c r="I233" i="25"/>
  <c r="H233" i="25"/>
  <c r="G233" i="25"/>
  <c r="F233" i="25"/>
  <c r="J232" i="25"/>
  <c r="I232" i="25"/>
  <c r="H232" i="25"/>
  <c r="G232" i="25"/>
  <c r="F232" i="25"/>
  <c r="J231" i="25"/>
  <c r="I231" i="25"/>
  <c r="H231" i="25"/>
  <c r="G231" i="25"/>
  <c r="F231" i="25"/>
  <c r="J230" i="25"/>
  <c r="I230" i="25"/>
  <c r="H230" i="25"/>
  <c r="G230" i="25"/>
  <c r="F230" i="25"/>
  <c r="J229" i="25"/>
  <c r="I229" i="25"/>
  <c r="H229" i="25"/>
  <c r="G229" i="25"/>
  <c r="F229" i="25"/>
  <c r="J228" i="25"/>
  <c r="I228" i="25"/>
  <c r="H228" i="25"/>
  <c r="G228" i="25"/>
  <c r="F228" i="25"/>
  <c r="J227" i="25"/>
  <c r="I227" i="25"/>
  <c r="H227" i="25"/>
  <c r="G227" i="25"/>
  <c r="F227" i="25"/>
  <c r="J226" i="25"/>
  <c r="I226" i="25"/>
  <c r="H226" i="25"/>
  <c r="G226" i="25"/>
  <c r="F226" i="25"/>
  <c r="J225" i="25"/>
  <c r="I225" i="25"/>
  <c r="H225" i="25"/>
  <c r="G225" i="25"/>
  <c r="F225" i="25"/>
  <c r="J224" i="25"/>
  <c r="I224" i="25"/>
  <c r="H224" i="25"/>
  <c r="G224" i="25"/>
  <c r="F224" i="25"/>
  <c r="J223" i="25"/>
  <c r="I223" i="25"/>
  <c r="H223" i="25"/>
  <c r="G223" i="25"/>
  <c r="F223" i="25"/>
  <c r="J222" i="25"/>
  <c r="I222" i="25"/>
  <c r="H222" i="25"/>
  <c r="G222" i="25"/>
  <c r="F222" i="25"/>
  <c r="J221" i="25"/>
  <c r="I221" i="25"/>
  <c r="H221" i="25"/>
  <c r="G221" i="25"/>
  <c r="F221" i="25"/>
  <c r="J220" i="25"/>
  <c r="I220" i="25"/>
  <c r="H220" i="25"/>
  <c r="G220" i="25"/>
  <c r="F220" i="25"/>
  <c r="J219" i="25"/>
  <c r="I219" i="25"/>
  <c r="H219" i="25"/>
  <c r="G219" i="25"/>
  <c r="F219" i="25"/>
  <c r="J218" i="25"/>
  <c r="I218" i="25"/>
  <c r="H218" i="25"/>
  <c r="G218" i="25"/>
  <c r="F218" i="25"/>
  <c r="J217" i="25"/>
  <c r="I217" i="25"/>
  <c r="H217" i="25"/>
  <c r="G217" i="25"/>
  <c r="F217" i="25"/>
  <c r="J216" i="25"/>
  <c r="I216" i="25"/>
  <c r="H216" i="25"/>
  <c r="G216" i="25"/>
  <c r="F216" i="25"/>
  <c r="J215" i="25"/>
  <c r="I215" i="25"/>
  <c r="H215" i="25"/>
  <c r="G215" i="25"/>
  <c r="F215" i="25"/>
  <c r="J214" i="25"/>
  <c r="I214" i="25"/>
  <c r="H214" i="25"/>
  <c r="G214" i="25"/>
  <c r="F214" i="25"/>
  <c r="J213" i="25"/>
  <c r="I213" i="25"/>
  <c r="H213" i="25"/>
  <c r="G213" i="25"/>
  <c r="F213" i="25"/>
  <c r="J212" i="25"/>
  <c r="I212" i="25"/>
  <c r="H212" i="25"/>
  <c r="G212" i="25"/>
  <c r="F212" i="25"/>
  <c r="J211" i="25"/>
  <c r="I211" i="25"/>
  <c r="H211" i="25"/>
  <c r="G211" i="25"/>
  <c r="F211" i="25"/>
  <c r="J210" i="25"/>
  <c r="I210" i="25"/>
  <c r="H210" i="25"/>
  <c r="G210" i="25"/>
  <c r="F210" i="25"/>
  <c r="J209" i="25"/>
  <c r="I209" i="25"/>
  <c r="H209" i="25"/>
  <c r="G209" i="25"/>
  <c r="F209" i="25"/>
  <c r="J208" i="25"/>
  <c r="I208" i="25"/>
  <c r="H208" i="25"/>
  <c r="G208" i="25"/>
  <c r="F208" i="25"/>
  <c r="J207" i="25"/>
  <c r="I207" i="25"/>
  <c r="H207" i="25"/>
  <c r="G207" i="25"/>
  <c r="F207" i="25"/>
  <c r="J206" i="25"/>
  <c r="I206" i="25"/>
  <c r="H206" i="25"/>
  <c r="G206" i="25"/>
  <c r="F206" i="25"/>
  <c r="J205" i="25"/>
  <c r="I205" i="25"/>
  <c r="H205" i="25"/>
  <c r="G205" i="25"/>
  <c r="F205" i="25"/>
  <c r="J305" i="33"/>
  <c r="I305" i="33"/>
  <c r="H305" i="33"/>
  <c r="G305" i="33"/>
  <c r="F305" i="33"/>
  <c r="J304" i="33"/>
  <c r="I304" i="33"/>
  <c r="H304" i="33"/>
  <c r="G304" i="33"/>
  <c r="F304" i="33"/>
  <c r="J303" i="33"/>
  <c r="I303" i="33"/>
  <c r="H303" i="33"/>
  <c r="G303" i="33"/>
  <c r="F303" i="33"/>
  <c r="J302" i="33"/>
  <c r="I302" i="33"/>
  <c r="H302" i="33"/>
  <c r="G302" i="33"/>
  <c r="F302" i="33"/>
  <c r="J301" i="33"/>
  <c r="I301" i="33"/>
  <c r="H301" i="33"/>
  <c r="G301" i="33"/>
  <c r="F301" i="33"/>
  <c r="J300" i="33"/>
  <c r="I300" i="33"/>
  <c r="H300" i="33"/>
  <c r="G300" i="33"/>
  <c r="F300" i="33"/>
  <c r="J299" i="33"/>
  <c r="I299" i="33"/>
  <c r="H299" i="33"/>
  <c r="G299" i="33"/>
  <c r="F299" i="33"/>
  <c r="F129" i="55" s="1"/>
  <c r="J298" i="33"/>
  <c r="I298" i="33"/>
  <c r="H298" i="33"/>
  <c r="G298" i="33"/>
  <c r="F298" i="33"/>
  <c r="J297" i="33"/>
  <c r="I297" i="33"/>
  <c r="H297" i="33"/>
  <c r="G297" i="33"/>
  <c r="F297" i="33"/>
  <c r="J296" i="33"/>
  <c r="I296" i="33"/>
  <c r="H296" i="33"/>
  <c r="G296" i="33"/>
  <c r="F296" i="33"/>
  <c r="J295" i="33"/>
  <c r="I295" i="33"/>
  <c r="H295" i="33"/>
  <c r="G295" i="33"/>
  <c r="F295" i="33"/>
  <c r="J294" i="33"/>
  <c r="I294" i="33"/>
  <c r="H294" i="33"/>
  <c r="G294" i="33"/>
  <c r="F294" i="33"/>
  <c r="J293" i="33"/>
  <c r="I293" i="33"/>
  <c r="H293" i="33"/>
  <c r="G293" i="33"/>
  <c r="F293" i="33"/>
  <c r="J292" i="33"/>
  <c r="I292" i="33"/>
  <c r="H292" i="33"/>
  <c r="G292" i="33"/>
  <c r="F292" i="33"/>
  <c r="J291" i="33"/>
  <c r="I291" i="33"/>
  <c r="H291" i="33"/>
  <c r="G291" i="33"/>
  <c r="F291" i="33"/>
  <c r="J290" i="33"/>
  <c r="I290" i="33"/>
  <c r="H290" i="33"/>
  <c r="G290" i="33"/>
  <c r="F290" i="33"/>
  <c r="J289" i="33"/>
  <c r="I289" i="33"/>
  <c r="H289" i="33"/>
  <c r="G289" i="33"/>
  <c r="F289" i="33"/>
  <c r="J288" i="33"/>
  <c r="I288" i="33"/>
  <c r="H288" i="33"/>
  <c r="G288" i="33"/>
  <c r="F288" i="33"/>
  <c r="F130" i="55" s="1"/>
  <c r="J287" i="33"/>
  <c r="I287" i="33"/>
  <c r="H287" i="33"/>
  <c r="G287" i="33"/>
  <c r="F287" i="33"/>
  <c r="J286" i="33"/>
  <c r="I286" i="33"/>
  <c r="H286" i="33"/>
  <c r="G286" i="33"/>
  <c r="F286" i="33"/>
  <c r="J285" i="33"/>
  <c r="I285" i="33"/>
  <c r="H285" i="33"/>
  <c r="G285" i="33"/>
  <c r="F285" i="33"/>
  <c r="J284" i="33"/>
  <c r="I284" i="33"/>
  <c r="H284" i="33"/>
  <c r="G284" i="33"/>
  <c r="F284" i="33"/>
  <c r="J283" i="33"/>
  <c r="I283" i="33"/>
  <c r="H283" i="33"/>
  <c r="G283" i="33"/>
  <c r="F283" i="33"/>
  <c r="J282" i="33"/>
  <c r="I282" i="33"/>
  <c r="H282" i="33"/>
  <c r="G282" i="33"/>
  <c r="F282" i="33"/>
  <c r="J281" i="33"/>
  <c r="I281" i="33"/>
  <c r="H281" i="33"/>
  <c r="G281" i="33"/>
  <c r="F281" i="33"/>
  <c r="J280" i="33"/>
  <c r="I280" i="33"/>
  <c r="H280" i="33"/>
  <c r="G280" i="33"/>
  <c r="F280" i="33"/>
  <c r="J279" i="33"/>
  <c r="I279" i="33"/>
  <c r="H279" i="33"/>
  <c r="G279" i="33"/>
  <c r="F279" i="33"/>
  <c r="J278" i="33"/>
  <c r="I278" i="33"/>
  <c r="H278" i="33"/>
  <c r="G278" i="33"/>
  <c r="F278" i="33"/>
  <c r="J277" i="33"/>
  <c r="I277" i="33"/>
  <c r="H277" i="33"/>
  <c r="G277" i="33"/>
  <c r="F277" i="33"/>
  <c r="J276" i="33"/>
  <c r="I276" i="33"/>
  <c r="H276" i="33"/>
  <c r="G276" i="33"/>
  <c r="F276" i="33"/>
  <c r="J275" i="33"/>
  <c r="I275" i="33"/>
  <c r="H275" i="33"/>
  <c r="G275" i="33"/>
  <c r="F275" i="33"/>
  <c r="J274" i="33"/>
  <c r="I274" i="33"/>
  <c r="H274" i="33"/>
  <c r="G274" i="33"/>
  <c r="F274" i="33"/>
  <c r="J273" i="33"/>
  <c r="I273" i="33"/>
  <c r="H273" i="33"/>
  <c r="G273" i="33"/>
  <c r="F273" i="33"/>
  <c r="J272" i="33"/>
  <c r="I272" i="33"/>
  <c r="H272" i="33"/>
  <c r="G272" i="33"/>
  <c r="F272" i="33"/>
  <c r="J271" i="33"/>
  <c r="I271" i="33"/>
  <c r="H271" i="33"/>
  <c r="G271" i="33"/>
  <c r="F271" i="33"/>
  <c r="J270" i="33"/>
  <c r="I270" i="33"/>
  <c r="H270" i="33"/>
  <c r="G270" i="33"/>
  <c r="F270" i="33"/>
  <c r="J269" i="33"/>
  <c r="I269" i="33"/>
  <c r="H269" i="33"/>
  <c r="G269" i="33"/>
  <c r="F269" i="33"/>
  <c r="J268" i="33"/>
  <c r="I268" i="33"/>
  <c r="H268" i="33"/>
  <c r="G268" i="33"/>
  <c r="F268" i="33"/>
  <c r="J267" i="33"/>
  <c r="I267" i="33"/>
  <c r="H267" i="33"/>
  <c r="G267" i="33"/>
  <c r="F267" i="33"/>
  <c r="F131" i="55" s="1"/>
  <c r="J266" i="33"/>
  <c r="I266" i="33"/>
  <c r="H266" i="33"/>
  <c r="G266" i="33"/>
  <c r="F266" i="33"/>
  <c r="F132" i="55" s="1"/>
  <c r="J265" i="33"/>
  <c r="I265" i="33"/>
  <c r="H265" i="33"/>
  <c r="G265" i="33"/>
  <c r="F265" i="33"/>
  <c r="J264" i="33"/>
  <c r="I264" i="33"/>
  <c r="H264" i="33"/>
  <c r="G264" i="33"/>
  <c r="F264" i="33"/>
  <c r="J263" i="33"/>
  <c r="I263" i="33"/>
  <c r="H263" i="33"/>
  <c r="G263" i="33"/>
  <c r="F263" i="33"/>
  <c r="J262" i="33"/>
  <c r="I262" i="33"/>
  <c r="H262" i="33"/>
  <c r="G262" i="33"/>
  <c r="F262" i="33"/>
  <c r="J261" i="33"/>
  <c r="I261" i="33"/>
  <c r="H261" i="33"/>
  <c r="G261" i="33"/>
  <c r="F261" i="33"/>
  <c r="F133" i="55" s="1"/>
  <c r="J260" i="33"/>
  <c r="I260" i="33"/>
  <c r="H260" i="33"/>
  <c r="G260" i="33"/>
  <c r="F260" i="33"/>
  <c r="F135" i="55" s="1"/>
  <c r="J259" i="33"/>
  <c r="I259" i="33"/>
  <c r="H259" i="33"/>
  <c r="G259" i="33"/>
  <c r="F259" i="33"/>
  <c r="J258" i="33"/>
  <c r="I258" i="33"/>
  <c r="H258" i="33"/>
  <c r="G258" i="33"/>
  <c r="F258" i="33"/>
  <c r="F136" i="55" s="1"/>
  <c r="J257" i="33"/>
  <c r="I257" i="33"/>
  <c r="H257" i="33"/>
  <c r="G257" i="33"/>
  <c r="F257" i="33"/>
  <c r="J256" i="33"/>
  <c r="I256" i="33"/>
  <c r="H256" i="33"/>
  <c r="G256" i="33"/>
  <c r="F256" i="33"/>
  <c r="J255" i="33"/>
  <c r="I255" i="33"/>
  <c r="H255" i="33"/>
  <c r="G255" i="33"/>
  <c r="F255" i="33"/>
  <c r="J254" i="33"/>
  <c r="I254" i="33"/>
  <c r="H254" i="33"/>
  <c r="G254" i="33"/>
  <c r="F254" i="33"/>
  <c r="J253" i="33"/>
  <c r="I253" i="33"/>
  <c r="H253" i="33"/>
  <c r="G253" i="33"/>
  <c r="F253" i="33"/>
  <c r="J252" i="33"/>
  <c r="I252" i="33"/>
  <c r="H252" i="33"/>
  <c r="G252" i="33"/>
  <c r="F252" i="33"/>
  <c r="J251" i="33"/>
  <c r="I251" i="33"/>
  <c r="H251" i="33"/>
  <c r="G251" i="33"/>
  <c r="F251" i="33"/>
  <c r="F138" i="55" s="1"/>
  <c r="J250" i="33"/>
  <c r="I250" i="33"/>
  <c r="H250" i="33"/>
  <c r="G250" i="33"/>
  <c r="F250" i="33"/>
  <c r="J249" i="33"/>
  <c r="I249" i="33"/>
  <c r="H249" i="33"/>
  <c r="G249" i="33"/>
  <c r="F249" i="33"/>
  <c r="F140" i="55" s="1"/>
  <c r="J248" i="33"/>
  <c r="I248" i="33"/>
  <c r="H248" i="33"/>
  <c r="G248" i="33"/>
  <c r="F248" i="33"/>
  <c r="F145" i="55" s="1"/>
  <c r="J247" i="33"/>
  <c r="I247" i="33"/>
  <c r="H247" i="33"/>
  <c r="G247" i="33"/>
  <c r="F247" i="33"/>
  <c r="F149" i="55" s="1"/>
  <c r="J246" i="33"/>
  <c r="I246" i="33"/>
  <c r="H246" i="33"/>
  <c r="G246" i="33"/>
  <c r="F246" i="33"/>
  <c r="F150" i="55" s="1"/>
  <c r="J245" i="33"/>
  <c r="I245" i="33"/>
  <c r="H245" i="33"/>
  <c r="G245" i="33"/>
  <c r="F245" i="33"/>
  <c r="F153" i="55" s="1"/>
  <c r="J244" i="33"/>
  <c r="I244" i="33"/>
  <c r="H244" i="33"/>
  <c r="G244" i="33"/>
  <c r="F244" i="33"/>
  <c r="F154" i="55" s="1"/>
  <c r="J243" i="33"/>
  <c r="I243" i="33"/>
  <c r="H243" i="33"/>
  <c r="G243" i="33"/>
  <c r="F243" i="33"/>
  <c r="J242" i="33"/>
  <c r="I242" i="33"/>
  <c r="H242" i="33"/>
  <c r="G242" i="33"/>
  <c r="F242" i="33"/>
  <c r="F157" i="55" s="1"/>
  <c r="J241" i="33"/>
  <c r="I241" i="33"/>
  <c r="H241" i="33"/>
  <c r="G241" i="33"/>
  <c r="F241" i="33"/>
  <c r="F158" i="55" s="1"/>
  <c r="J240" i="33"/>
  <c r="I240" i="33"/>
  <c r="H240" i="33"/>
  <c r="G240" i="33"/>
  <c r="F240" i="33"/>
  <c r="J239" i="33"/>
  <c r="I239" i="33"/>
  <c r="H239" i="33"/>
  <c r="G239" i="33"/>
  <c r="F239" i="33"/>
  <c r="F159" i="55" s="1"/>
  <c r="J238" i="33"/>
  <c r="I238" i="33"/>
  <c r="H238" i="33"/>
  <c r="G238" i="33"/>
  <c r="F238" i="33"/>
  <c r="F160" i="55" s="1"/>
  <c r="J237" i="33"/>
  <c r="I237" i="33"/>
  <c r="H237" i="33"/>
  <c r="G237" i="33"/>
  <c r="F237" i="33"/>
  <c r="F161" i="55" s="1"/>
  <c r="J236" i="33"/>
  <c r="I236" i="33"/>
  <c r="H236" i="33"/>
  <c r="G236" i="33"/>
  <c r="F236" i="33"/>
  <c r="F162" i="55" s="1"/>
  <c r="J235" i="33"/>
  <c r="I235" i="33"/>
  <c r="H235" i="33"/>
  <c r="G235" i="33"/>
  <c r="F235" i="33"/>
  <c r="F163" i="55" s="1"/>
  <c r="J234" i="33"/>
  <c r="I234" i="33"/>
  <c r="H234" i="33"/>
  <c r="G234" i="33"/>
  <c r="F234" i="33"/>
  <c r="F164" i="55" s="1"/>
  <c r="J233" i="33"/>
  <c r="I233" i="33"/>
  <c r="H233" i="33"/>
  <c r="G233" i="33"/>
  <c r="F233" i="33"/>
  <c r="J232" i="33"/>
  <c r="I232" i="33"/>
  <c r="H232" i="33"/>
  <c r="G232" i="33"/>
  <c r="F232" i="33"/>
  <c r="F165" i="55" s="1"/>
  <c r="J231" i="33"/>
  <c r="I231" i="33"/>
  <c r="H231" i="33"/>
  <c r="G231" i="33"/>
  <c r="F231" i="33"/>
  <c r="F167" i="55" s="1"/>
  <c r="J230" i="33"/>
  <c r="I230" i="33"/>
  <c r="H230" i="33"/>
  <c r="G230" i="33"/>
  <c r="F230" i="33"/>
  <c r="F168" i="55" s="1"/>
  <c r="J229" i="33"/>
  <c r="I229" i="33"/>
  <c r="H229" i="33"/>
  <c r="G229" i="33"/>
  <c r="F229" i="33"/>
  <c r="F169" i="55" s="1"/>
  <c r="J228" i="33"/>
  <c r="I228" i="33"/>
  <c r="H228" i="33"/>
  <c r="G228" i="33"/>
  <c r="F228" i="33"/>
  <c r="F170" i="55" s="1"/>
  <c r="J227" i="33"/>
  <c r="I227" i="33"/>
  <c r="H227" i="33"/>
  <c r="G227" i="33"/>
  <c r="F227" i="33"/>
  <c r="F171" i="55" s="1"/>
  <c r="J226" i="33"/>
  <c r="I226" i="33"/>
  <c r="H226" i="33"/>
  <c r="G226" i="33"/>
  <c r="F226" i="33"/>
  <c r="J225" i="33"/>
  <c r="I225" i="33"/>
  <c r="H225" i="33"/>
  <c r="G225" i="33"/>
  <c r="F225" i="33"/>
  <c r="J224" i="33"/>
  <c r="I224" i="33"/>
  <c r="H224" i="33"/>
  <c r="G224" i="33"/>
  <c r="F224" i="33"/>
  <c r="J223" i="33"/>
  <c r="I223" i="33"/>
  <c r="H223" i="33"/>
  <c r="G223" i="33"/>
  <c r="F223" i="33"/>
  <c r="J222" i="33"/>
  <c r="I222" i="33"/>
  <c r="H222" i="33"/>
  <c r="G222" i="33"/>
  <c r="F222" i="33"/>
  <c r="F172" i="55" s="1"/>
  <c r="J221" i="33"/>
  <c r="I221" i="33"/>
  <c r="H221" i="33"/>
  <c r="G221" i="33"/>
  <c r="F221" i="33"/>
  <c r="F173" i="55" s="1"/>
  <c r="J220" i="33"/>
  <c r="I220" i="33"/>
  <c r="H220" i="33"/>
  <c r="G220" i="33"/>
  <c r="F220" i="33"/>
  <c r="F174" i="55" s="1"/>
  <c r="J219" i="33"/>
  <c r="I219" i="33"/>
  <c r="H219" i="33"/>
  <c r="G219" i="33"/>
  <c r="F219" i="33"/>
  <c r="F175" i="55" s="1"/>
  <c r="J218" i="33"/>
  <c r="I218" i="33"/>
  <c r="H218" i="33"/>
  <c r="G218" i="33"/>
  <c r="F218" i="33"/>
  <c r="F176" i="55" s="1"/>
  <c r="J217" i="33"/>
  <c r="I217" i="33"/>
  <c r="H217" i="33"/>
  <c r="G217" i="33"/>
  <c r="F217" i="33"/>
  <c r="F177" i="55" s="1"/>
  <c r="J216" i="33"/>
  <c r="I216" i="33"/>
  <c r="H216" i="33"/>
  <c r="G216" i="33"/>
  <c r="F216" i="33"/>
  <c r="F178" i="55" s="1"/>
  <c r="J215" i="33"/>
  <c r="I215" i="33"/>
  <c r="H215" i="33"/>
  <c r="G215" i="33"/>
  <c r="F215" i="33"/>
  <c r="J214" i="33"/>
  <c r="I214" i="33"/>
  <c r="H214" i="33"/>
  <c r="G214" i="33"/>
  <c r="F214" i="33"/>
  <c r="F180" i="55" s="1"/>
  <c r="J213" i="33"/>
  <c r="I213" i="33"/>
  <c r="H213" i="33"/>
  <c r="G213" i="33"/>
  <c r="F213" i="33"/>
  <c r="F183" i="55" s="1"/>
  <c r="J212" i="33"/>
  <c r="I212" i="33"/>
  <c r="H212" i="33"/>
  <c r="G212" i="33"/>
  <c r="F212" i="33"/>
  <c r="F184" i="55" s="1"/>
  <c r="J211" i="33"/>
  <c r="I211" i="33"/>
  <c r="H211" i="33"/>
  <c r="G211" i="33"/>
  <c r="F211" i="33"/>
  <c r="F185" i="55" s="1"/>
  <c r="J210" i="33"/>
  <c r="I210" i="33"/>
  <c r="H210" i="33"/>
  <c r="G210" i="33"/>
  <c r="F210" i="33"/>
  <c r="F186" i="55" s="1"/>
  <c r="J209" i="33"/>
  <c r="I209" i="33"/>
  <c r="H209" i="33"/>
  <c r="G209" i="33"/>
  <c r="F209" i="33"/>
  <c r="F187" i="55" s="1"/>
  <c r="G132" i="55"/>
  <c r="J260" i="38"/>
  <c r="I260" i="38"/>
  <c r="H260" i="38"/>
  <c r="G260" i="38"/>
  <c r="F260" i="38"/>
  <c r="J259" i="38"/>
  <c r="I259" i="38"/>
  <c r="H259" i="38"/>
  <c r="G259" i="38"/>
  <c r="F259" i="38"/>
  <c r="J258" i="38"/>
  <c r="I258" i="38"/>
  <c r="H258" i="38"/>
  <c r="G258" i="38"/>
  <c r="F258" i="38"/>
  <c r="J257" i="38"/>
  <c r="I257" i="38"/>
  <c r="H257" i="38"/>
  <c r="G257" i="38"/>
  <c r="F257" i="38"/>
  <c r="J256" i="38"/>
  <c r="I256" i="38"/>
  <c r="H256" i="38"/>
  <c r="G256" i="38"/>
  <c r="F256" i="38"/>
  <c r="J255" i="38"/>
  <c r="I255" i="38"/>
  <c r="H255" i="38"/>
  <c r="G255" i="38"/>
  <c r="F255" i="38"/>
  <c r="J254" i="38"/>
  <c r="I254" i="38"/>
  <c r="H254" i="38"/>
  <c r="G254" i="38"/>
  <c r="F254" i="38"/>
  <c r="J253" i="38"/>
  <c r="I253" i="38"/>
  <c r="H253" i="38"/>
  <c r="G253" i="38"/>
  <c r="F253" i="38"/>
  <c r="J252" i="38"/>
  <c r="I252" i="38"/>
  <c r="H252" i="38"/>
  <c r="G252" i="38"/>
  <c r="F252" i="38"/>
  <c r="J251" i="38"/>
  <c r="I251" i="38"/>
  <c r="H251" i="38"/>
  <c r="G251" i="38"/>
  <c r="F251" i="38"/>
  <c r="J250" i="38"/>
  <c r="I250" i="38"/>
  <c r="H250" i="38"/>
  <c r="G250" i="38"/>
  <c r="F250" i="38"/>
  <c r="J249" i="38"/>
  <c r="I249" i="38"/>
  <c r="H249" i="38"/>
  <c r="G249" i="38"/>
  <c r="F249" i="38"/>
  <c r="J248" i="38"/>
  <c r="I248" i="38"/>
  <c r="H248" i="38"/>
  <c r="G248" i="38"/>
  <c r="F248" i="38"/>
  <c r="J247" i="38"/>
  <c r="I247" i="38"/>
  <c r="H247" i="38"/>
  <c r="G247" i="38"/>
  <c r="F247" i="38"/>
  <c r="J246" i="38"/>
  <c r="I246" i="38"/>
  <c r="H246" i="38"/>
  <c r="G246" i="38"/>
  <c r="F246" i="38"/>
  <c r="J245" i="38"/>
  <c r="I245" i="38"/>
  <c r="H245" i="38"/>
  <c r="G245" i="38"/>
  <c r="F245" i="38"/>
  <c r="J244" i="38"/>
  <c r="I244" i="38"/>
  <c r="H244" i="38"/>
  <c r="G244" i="38"/>
  <c r="F244" i="38"/>
  <c r="J243" i="38"/>
  <c r="I243" i="38"/>
  <c r="H243" i="38"/>
  <c r="G243" i="38"/>
  <c r="F243" i="38"/>
  <c r="J242" i="38"/>
  <c r="I242" i="38"/>
  <c r="H242" i="38"/>
  <c r="G242" i="38"/>
  <c r="F242" i="38"/>
  <c r="J241" i="38"/>
  <c r="I241" i="38"/>
  <c r="H241" i="38"/>
  <c r="G241" i="38"/>
  <c r="F241" i="38"/>
  <c r="J240" i="38"/>
  <c r="I240" i="38"/>
  <c r="H240" i="38"/>
  <c r="G240" i="38"/>
  <c r="F240" i="38"/>
  <c r="J239" i="38"/>
  <c r="I239" i="38"/>
  <c r="H239" i="38"/>
  <c r="G239" i="38"/>
  <c r="F239" i="38"/>
  <c r="J238" i="38"/>
  <c r="I238" i="38"/>
  <c r="H238" i="38"/>
  <c r="G238" i="38"/>
  <c r="F238" i="38"/>
  <c r="J237" i="38"/>
  <c r="I237" i="38"/>
  <c r="H237" i="38"/>
  <c r="G237" i="38"/>
  <c r="F237" i="38"/>
  <c r="J236" i="38"/>
  <c r="I236" i="38"/>
  <c r="H236" i="38"/>
  <c r="G236" i="38"/>
  <c r="F236" i="38"/>
  <c r="J235" i="38"/>
  <c r="I235" i="38"/>
  <c r="H235" i="38"/>
  <c r="G235" i="38"/>
  <c r="F235" i="38"/>
  <c r="J234" i="38"/>
  <c r="I234" i="38"/>
  <c r="H234" i="38"/>
  <c r="G234" i="38"/>
  <c r="F234" i="38"/>
  <c r="J233" i="38"/>
  <c r="I233" i="38"/>
  <c r="H233" i="38"/>
  <c r="G233" i="38"/>
  <c r="F233" i="38"/>
  <c r="J232" i="38"/>
  <c r="I232" i="38"/>
  <c r="H232" i="38"/>
  <c r="G232" i="38"/>
  <c r="F232" i="38"/>
  <c r="J231" i="38"/>
  <c r="I231" i="38"/>
  <c r="H231" i="38"/>
  <c r="G231" i="38"/>
  <c r="F231" i="38"/>
  <c r="J230" i="38"/>
  <c r="I230" i="38"/>
  <c r="H230" i="38"/>
  <c r="G230" i="38"/>
  <c r="F230" i="38"/>
  <c r="J229" i="38"/>
  <c r="I229" i="38"/>
  <c r="H229" i="38"/>
  <c r="G229" i="38"/>
  <c r="F229" i="38"/>
  <c r="J228" i="38"/>
  <c r="I228" i="38"/>
  <c r="H228" i="38"/>
  <c r="G228" i="38"/>
  <c r="F228" i="38"/>
  <c r="J227" i="38"/>
  <c r="I227" i="38"/>
  <c r="H227" i="38"/>
  <c r="G227" i="38"/>
  <c r="F227" i="38"/>
  <c r="J226" i="38"/>
  <c r="I226" i="38"/>
  <c r="H226" i="38"/>
  <c r="G226" i="38"/>
  <c r="F226" i="38"/>
  <c r="J225" i="38"/>
  <c r="I225" i="38"/>
  <c r="H225" i="38"/>
  <c r="G225" i="38"/>
  <c r="F225" i="38"/>
  <c r="J224" i="38"/>
  <c r="I224" i="38"/>
  <c r="H224" i="38"/>
  <c r="G224" i="38"/>
  <c r="F224" i="38"/>
  <c r="J223" i="38"/>
  <c r="I223" i="38"/>
  <c r="H223" i="38"/>
  <c r="G223" i="38"/>
  <c r="F223" i="38"/>
  <c r="J222" i="38"/>
  <c r="I222" i="38"/>
  <c r="H222" i="38"/>
  <c r="G222" i="38"/>
  <c r="F222" i="38"/>
  <c r="J221" i="38"/>
  <c r="I221" i="38"/>
  <c r="H221" i="38"/>
  <c r="G221" i="38"/>
  <c r="F221" i="38"/>
  <c r="J220" i="38"/>
  <c r="I220" i="38"/>
  <c r="H220" i="38"/>
  <c r="G220" i="38"/>
  <c r="F220" i="38"/>
  <c r="J276" i="43"/>
  <c r="I276" i="43"/>
  <c r="H276" i="43"/>
  <c r="G276" i="43"/>
  <c r="F276" i="43"/>
  <c r="J275" i="43"/>
  <c r="I275" i="43"/>
  <c r="H275" i="43"/>
  <c r="G275" i="43"/>
  <c r="F275" i="43"/>
  <c r="J274" i="43"/>
  <c r="I274" i="43"/>
  <c r="H274" i="43"/>
  <c r="G274" i="43"/>
  <c r="F274" i="43"/>
  <c r="H129" i="55" s="1"/>
  <c r="J273" i="43"/>
  <c r="I273" i="43"/>
  <c r="H273" i="43"/>
  <c r="G273" i="43"/>
  <c r="F273" i="43"/>
  <c r="H130" i="55" s="1"/>
  <c r="J272" i="43"/>
  <c r="I272" i="43"/>
  <c r="H272" i="43"/>
  <c r="G272" i="43"/>
  <c r="F272" i="43"/>
  <c r="H131" i="55" s="1"/>
  <c r="J271" i="43"/>
  <c r="I271" i="43"/>
  <c r="H271" i="43"/>
  <c r="G271" i="43"/>
  <c r="F271" i="43"/>
  <c r="H132" i="55" s="1"/>
  <c r="J270" i="43"/>
  <c r="I270" i="43"/>
  <c r="H270" i="43"/>
  <c r="G270" i="43"/>
  <c r="F270" i="43"/>
  <c r="H133" i="55" s="1"/>
  <c r="J269" i="43"/>
  <c r="I269" i="43"/>
  <c r="H269" i="43"/>
  <c r="G269" i="43"/>
  <c r="F269" i="43"/>
  <c r="H135" i="55" s="1"/>
  <c r="J268" i="43"/>
  <c r="I268" i="43"/>
  <c r="H268" i="43"/>
  <c r="G268" i="43"/>
  <c r="F268" i="43"/>
  <c r="H136" i="55" s="1"/>
  <c r="J267" i="43"/>
  <c r="I267" i="43"/>
  <c r="H267" i="43"/>
  <c r="G267" i="43"/>
  <c r="F267" i="43"/>
  <c r="H138" i="55" s="1"/>
  <c r="J266" i="43"/>
  <c r="I266" i="43"/>
  <c r="H266" i="43"/>
  <c r="G266" i="43"/>
  <c r="F266" i="43"/>
  <c r="H140" i="55" s="1"/>
  <c r="J265" i="43"/>
  <c r="I265" i="43"/>
  <c r="H265" i="43"/>
  <c r="G265" i="43"/>
  <c r="F265" i="43"/>
  <c r="H145" i="55" s="1"/>
  <c r="J264" i="43"/>
  <c r="I264" i="43"/>
  <c r="H264" i="43"/>
  <c r="G264" i="43"/>
  <c r="F264" i="43"/>
  <c r="H147" i="55" s="1"/>
  <c r="J263" i="43"/>
  <c r="I263" i="43"/>
  <c r="H263" i="43"/>
  <c r="G263" i="43"/>
  <c r="F263" i="43"/>
  <c r="H149" i="55" s="1"/>
  <c r="J262" i="43"/>
  <c r="I262" i="43"/>
  <c r="H262" i="43"/>
  <c r="G262" i="43"/>
  <c r="F262" i="43"/>
  <c r="H150" i="55" s="1"/>
  <c r="J261" i="43"/>
  <c r="I261" i="43"/>
  <c r="H261" i="43"/>
  <c r="G261" i="43"/>
  <c r="F261" i="43"/>
  <c r="H153" i="55" s="1"/>
  <c r="J260" i="43"/>
  <c r="I260" i="43"/>
  <c r="H260" i="43"/>
  <c r="G260" i="43"/>
  <c r="F260" i="43"/>
  <c r="H154" i="55" s="1"/>
  <c r="J259" i="43"/>
  <c r="I259" i="43"/>
  <c r="H259" i="43"/>
  <c r="G259" i="43"/>
  <c r="F259" i="43"/>
  <c r="H157" i="55" s="1"/>
  <c r="J258" i="43"/>
  <c r="I258" i="43"/>
  <c r="H258" i="43"/>
  <c r="G258" i="43"/>
  <c r="F258" i="43"/>
  <c r="H158" i="55" s="1"/>
  <c r="J257" i="43"/>
  <c r="I257" i="43"/>
  <c r="H257" i="43"/>
  <c r="G257" i="43"/>
  <c r="F257" i="43"/>
  <c r="H159" i="55" s="1"/>
  <c r="J256" i="43"/>
  <c r="I256" i="43"/>
  <c r="H256" i="43"/>
  <c r="G256" i="43"/>
  <c r="F256" i="43"/>
  <c r="H160" i="55" s="1"/>
  <c r="J255" i="43"/>
  <c r="I255" i="43"/>
  <c r="H255" i="43"/>
  <c r="G255" i="43"/>
  <c r="F255" i="43"/>
  <c r="H161" i="55" s="1"/>
  <c r="J254" i="43"/>
  <c r="I254" i="43"/>
  <c r="H254" i="43"/>
  <c r="G254" i="43"/>
  <c r="F254" i="43"/>
  <c r="H162" i="55" s="1"/>
  <c r="J253" i="43"/>
  <c r="I253" i="43"/>
  <c r="H253" i="43"/>
  <c r="G253" i="43"/>
  <c r="F253" i="43"/>
  <c r="H163" i="55" s="1"/>
  <c r="J252" i="43"/>
  <c r="I252" i="43"/>
  <c r="H252" i="43"/>
  <c r="G252" i="43"/>
  <c r="F252" i="43"/>
  <c r="H164" i="55" s="1"/>
  <c r="J251" i="43"/>
  <c r="I251" i="43"/>
  <c r="H251" i="43"/>
  <c r="G251" i="43"/>
  <c r="F251" i="43"/>
  <c r="H165" i="55" s="1"/>
  <c r="J250" i="43"/>
  <c r="I250" i="43"/>
  <c r="H250" i="43"/>
  <c r="G250" i="43"/>
  <c r="F250" i="43"/>
  <c r="H167" i="55" s="1"/>
  <c r="J249" i="43"/>
  <c r="I249" i="43"/>
  <c r="H249" i="43"/>
  <c r="G249" i="43"/>
  <c r="F249" i="43"/>
  <c r="H168" i="55" s="1"/>
  <c r="J248" i="43"/>
  <c r="I248" i="43"/>
  <c r="H248" i="43"/>
  <c r="G248" i="43"/>
  <c r="F248" i="43"/>
  <c r="H170" i="55" s="1"/>
  <c r="J247" i="43"/>
  <c r="I247" i="43"/>
  <c r="H247" i="43"/>
  <c r="G247" i="43"/>
  <c r="F247" i="43"/>
  <c r="H172" i="55" s="1"/>
  <c r="J246" i="43"/>
  <c r="I246" i="43"/>
  <c r="H246" i="43"/>
  <c r="G246" i="43"/>
  <c r="F246" i="43"/>
  <c r="H173" i="55" s="1"/>
  <c r="J245" i="43"/>
  <c r="I245" i="43"/>
  <c r="H245" i="43"/>
  <c r="G245" i="43"/>
  <c r="F245" i="43"/>
  <c r="H174" i="55" s="1"/>
  <c r="J244" i="43"/>
  <c r="I244" i="43"/>
  <c r="H244" i="43"/>
  <c r="G244" i="43"/>
  <c r="F244" i="43"/>
  <c r="H175" i="55" s="1"/>
  <c r="J243" i="43"/>
  <c r="I243" i="43"/>
  <c r="H243" i="43"/>
  <c r="G243" i="43"/>
  <c r="F243" i="43"/>
  <c r="H176" i="55" s="1"/>
  <c r="J242" i="43"/>
  <c r="I242" i="43"/>
  <c r="H242" i="43"/>
  <c r="G242" i="43"/>
  <c r="F242" i="43"/>
  <c r="H177" i="55" s="1"/>
  <c r="J241" i="43"/>
  <c r="I241" i="43"/>
  <c r="H241" i="43"/>
  <c r="G241" i="43"/>
  <c r="F241" i="43"/>
  <c r="H178" i="55" s="1"/>
  <c r="J240" i="43"/>
  <c r="I240" i="43"/>
  <c r="H240" i="43"/>
  <c r="G240" i="43"/>
  <c r="F240" i="43"/>
  <c r="H179" i="55" s="1"/>
  <c r="J239" i="43"/>
  <c r="I239" i="43"/>
  <c r="H239" i="43"/>
  <c r="G239" i="43"/>
  <c r="F239" i="43"/>
  <c r="H180" i="55" s="1"/>
  <c r="J238" i="43"/>
  <c r="I238" i="43"/>
  <c r="H238" i="43"/>
  <c r="G238" i="43"/>
  <c r="F238" i="43"/>
  <c r="H181" i="55" s="1"/>
  <c r="J237" i="43"/>
  <c r="I237" i="43"/>
  <c r="H237" i="43"/>
  <c r="G237" i="43"/>
  <c r="F237" i="43"/>
  <c r="H183" i="55" s="1"/>
  <c r="J236" i="43"/>
  <c r="I236" i="43"/>
  <c r="H236" i="43"/>
  <c r="G236" i="43"/>
  <c r="F236" i="43"/>
  <c r="H184" i="55" s="1"/>
  <c r="J235" i="43"/>
  <c r="I235" i="43"/>
  <c r="H235" i="43"/>
  <c r="G235" i="43"/>
  <c r="F235" i="43"/>
  <c r="H185" i="55" s="1"/>
  <c r="J234" i="43"/>
  <c r="I234" i="43"/>
  <c r="H234" i="43"/>
  <c r="G234" i="43"/>
  <c r="F234" i="43"/>
  <c r="H186" i="55" s="1"/>
  <c r="J233" i="43"/>
  <c r="I233" i="43"/>
  <c r="H233" i="43"/>
  <c r="G233" i="43"/>
  <c r="F233" i="43"/>
  <c r="H187" i="55" s="1"/>
  <c r="J232" i="43"/>
  <c r="I232" i="43"/>
  <c r="H232" i="43"/>
  <c r="G232" i="43"/>
  <c r="F232" i="43"/>
  <c r="H188" i="55" s="1"/>
  <c r="J288" i="47"/>
  <c r="I288" i="47"/>
  <c r="H288" i="47"/>
  <c r="G288" i="47"/>
  <c r="F288" i="47"/>
  <c r="J287" i="47"/>
  <c r="I287" i="47"/>
  <c r="H287" i="47"/>
  <c r="G287" i="47"/>
  <c r="F287" i="47"/>
  <c r="J286" i="47"/>
  <c r="I286" i="47"/>
  <c r="H286" i="47"/>
  <c r="G286" i="47"/>
  <c r="F286" i="47"/>
  <c r="I129" i="55" s="1"/>
  <c r="J285" i="47"/>
  <c r="I285" i="47"/>
  <c r="H285" i="47"/>
  <c r="G285" i="47"/>
  <c r="F285" i="47"/>
  <c r="I130" i="55" s="1"/>
  <c r="J284" i="47"/>
  <c r="I284" i="47"/>
  <c r="H284" i="47"/>
  <c r="G284" i="47"/>
  <c r="F284" i="47"/>
  <c r="I131" i="55" s="1"/>
  <c r="J283" i="47"/>
  <c r="I283" i="47"/>
  <c r="H283" i="47"/>
  <c r="G283" i="47"/>
  <c r="F283" i="47"/>
  <c r="I132" i="55" s="1"/>
  <c r="J282" i="47"/>
  <c r="I282" i="47"/>
  <c r="H282" i="47"/>
  <c r="G282" i="47"/>
  <c r="F282" i="47"/>
  <c r="I133" i="55" s="1"/>
  <c r="J281" i="47"/>
  <c r="I281" i="47"/>
  <c r="H281" i="47"/>
  <c r="G281" i="47"/>
  <c r="F281" i="47"/>
  <c r="I135" i="55" s="1"/>
  <c r="J280" i="47"/>
  <c r="I280" i="47"/>
  <c r="H280" i="47"/>
  <c r="G280" i="47"/>
  <c r="F280" i="47"/>
  <c r="I136" i="55" s="1"/>
  <c r="J279" i="47"/>
  <c r="I279" i="47"/>
  <c r="H279" i="47"/>
  <c r="G279" i="47"/>
  <c r="F279" i="47"/>
  <c r="I138" i="55" s="1"/>
  <c r="J278" i="47"/>
  <c r="I278" i="47"/>
  <c r="H278" i="47"/>
  <c r="G278" i="47"/>
  <c r="F278" i="47"/>
  <c r="I140" i="55" s="1"/>
  <c r="J277" i="47"/>
  <c r="I277" i="47"/>
  <c r="H277" i="47"/>
  <c r="G277" i="47"/>
  <c r="F277" i="47"/>
  <c r="I145" i="55" s="1"/>
  <c r="J276" i="47"/>
  <c r="I276" i="47"/>
  <c r="H276" i="47"/>
  <c r="G276" i="47"/>
  <c r="F276" i="47"/>
  <c r="I149" i="55" s="1"/>
  <c r="J275" i="47"/>
  <c r="I275" i="47"/>
  <c r="H275" i="47"/>
  <c r="G275" i="47"/>
  <c r="F275" i="47"/>
  <c r="I150" i="55" s="1"/>
  <c r="J274" i="47"/>
  <c r="I274" i="47"/>
  <c r="H274" i="47"/>
  <c r="G274" i="47"/>
  <c r="F274" i="47"/>
  <c r="I153" i="55" s="1"/>
  <c r="J273" i="47"/>
  <c r="I273" i="47"/>
  <c r="H273" i="47"/>
  <c r="G273" i="47"/>
  <c r="F273" i="47"/>
  <c r="I154" i="55" s="1"/>
  <c r="J272" i="47"/>
  <c r="I272" i="47"/>
  <c r="H272" i="47"/>
  <c r="G272" i="47"/>
  <c r="F272" i="47"/>
  <c r="I157" i="55" s="1"/>
  <c r="J271" i="47"/>
  <c r="I271" i="47"/>
  <c r="H271" i="47"/>
  <c r="G271" i="47"/>
  <c r="F271" i="47"/>
  <c r="I158" i="55" s="1"/>
  <c r="J270" i="47"/>
  <c r="I270" i="47"/>
  <c r="H270" i="47"/>
  <c r="G270" i="47"/>
  <c r="F270" i="47"/>
  <c r="I159" i="55" s="1"/>
  <c r="J269" i="47"/>
  <c r="I269" i="47"/>
  <c r="H269" i="47"/>
  <c r="G269" i="47"/>
  <c r="F269" i="47"/>
  <c r="I160" i="55" s="1"/>
  <c r="J268" i="47"/>
  <c r="I268" i="47"/>
  <c r="H268" i="47"/>
  <c r="G268" i="47"/>
  <c r="F268" i="47"/>
  <c r="I161" i="55" s="1"/>
  <c r="J267" i="47"/>
  <c r="I267" i="47"/>
  <c r="H267" i="47"/>
  <c r="G267" i="47"/>
  <c r="F267" i="47"/>
  <c r="I162" i="55" s="1"/>
  <c r="J266" i="47"/>
  <c r="I266" i="47"/>
  <c r="H266" i="47"/>
  <c r="G266" i="47"/>
  <c r="F266" i="47"/>
  <c r="I163" i="55" s="1"/>
  <c r="J265" i="47"/>
  <c r="I265" i="47"/>
  <c r="H265" i="47"/>
  <c r="G265" i="47"/>
  <c r="F265" i="47"/>
  <c r="I164" i="55" s="1"/>
  <c r="J264" i="47"/>
  <c r="I264" i="47"/>
  <c r="H264" i="47"/>
  <c r="G264" i="47"/>
  <c r="F264" i="47"/>
  <c r="I165" i="55" s="1"/>
  <c r="J263" i="47"/>
  <c r="I263" i="47"/>
  <c r="H263" i="47"/>
  <c r="G263" i="47"/>
  <c r="F263" i="47"/>
  <c r="I166" i="55" s="1"/>
  <c r="J262" i="47"/>
  <c r="I262" i="47"/>
  <c r="H262" i="47"/>
  <c r="G262" i="47"/>
  <c r="F262" i="47"/>
  <c r="I167" i="55" s="1"/>
  <c r="J261" i="47"/>
  <c r="I261" i="47"/>
  <c r="H261" i="47"/>
  <c r="G261" i="47"/>
  <c r="F261" i="47"/>
  <c r="I168" i="55" s="1"/>
  <c r="J260" i="47"/>
  <c r="I260" i="47"/>
  <c r="H260" i="47"/>
  <c r="G260" i="47"/>
  <c r="F260" i="47"/>
  <c r="I169" i="55" s="1"/>
  <c r="J259" i="47"/>
  <c r="I259" i="47"/>
  <c r="H259" i="47"/>
  <c r="G259" i="47"/>
  <c r="F259" i="47"/>
  <c r="I170" i="55" s="1"/>
  <c r="J258" i="47"/>
  <c r="I258" i="47"/>
  <c r="H258" i="47"/>
  <c r="G258" i="47"/>
  <c r="F258" i="47"/>
  <c r="I171" i="55" s="1"/>
  <c r="J257" i="47"/>
  <c r="I257" i="47"/>
  <c r="H257" i="47"/>
  <c r="G257" i="47"/>
  <c r="F257" i="47"/>
  <c r="I172" i="55" s="1"/>
  <c r="J256" i="47"/>
  <c r="I256" i="47"/>
  <c r="H256" i="47"/>
  <c r="G256" i="47"/>
  <c r="F256" i="47"/>
  <c r="I173" i="55" s="1"/>
  <c r="J255" i="47"/>
  <c r="I255" i="47"/>
  <c r="H255" i="47"/>
  <c r="G255" i="47"/>
  <c r="F255" i="47"/>
  <c r="I174" i="55" s="1"/>
  <c r="J254" i="47"/>
  <c r="I254" i="47"/>
  <c r="H254" i="47"/>
  <c r="G254" i="47"/>
  <c r="F254" i="47"/>
  <c r="I175" i="55" s="1"/>
  <c r="J253" i="47"/>
  <c r="I253" i="47"/>
  <c r="H253" i="47"/>
  <c r="G253" i="47"/>
  <c r="F253" i="47"/>
  <c r="I176" i="55" s="1"/>
  <c r="J252" i="47"/>
  <c r="I252" i="47"/>
  <c r="H252" i="47"/>
  <c r="G252" i="47"/>
  <c r="F252" i="47"/>
  <c r="I177" i="55" s="1"/>
  <c r="J251" i="47"/>
  <c r="I251" i="47"/>
  <c r="H251" i="47"/>
  <c r="G251" i="47"/>
  <c r="F251" i="47"/>
  <c r="I178" i="55" s="1"/>
  <c r="J250" i="47"/>
  <c r="I250" i="47"/>
  <c r="H250" i="47"/>
  <c r="G250" i="47"/>
  <c r="F250" i="47"/>
  <c r="I179" i="55" s="1"/>
  <c r="J249" i="47"/>
  <c r="I249" i="47"/>
  <c r="H249" i="47"/>
  <c r="G249" i="47"/>
  <c r="F249" i="47"/>
  <c r="I180" i="55" s="1"/>
  <c r="J248" i="47"/>
  <c r="I248" i="47"/>
  <c r="H248" i="47"/>
  <c r="G248" i="47"/>
  <c r="F248" i="47"/>
  <c r="I181" i="55" s="1"/>
  <c r="J247" i="47"/>
  <c r="I247" i="47"/>
  <c r="H247" i="47"/>
  <c r="G247" i="47"/>
  <c r="F247" i="47"/>
  <c r="I182" i="55" s="1"/>
  <c r="J246" i="47"/>
  <c r="I246" i="47"/>
  <c r="H246" i="47"/>
  <c r="G246" i="47"/>
  <c r="F246" i="47"/>
  <c r="I183" i="55" s="1"/>
  <c r="J245" i="47"/>
  <c r="I245" i="47"/>
  <c r="H245" i="47"/>
  <c r="G245" i="47"/>
  <c r="F245" i="47"/>
  <c r="I184" i="55" s="1"/>
  <c r="J244" i="47"/>
  <c r="I244" i="47"/>
  <c r="H244" i="47"/>
  <c r="G244" i="47"/>
  <c r="F244" i="47"/>
  <c r="I185" i="55" s="1"/>
  <c r="J243" i="47"/>
  <c r="I243" i="47"/>
  <c r="H243" i="47"/>
  <c r="G243" i="47"/>
  <c r="F243" i="47"/>
  <c r="I186" i="55" s="1"/>
  <c r="J242" i="47"/>
  <c r="I242" i="47"/>
  <c r="H242" i="47"/>
  <c r="G242" i="47"/>
  <c r="F242" i="47"/>
  <c r="I187" i="55" s="1"/>
  <c r="J241" i="47"/>
  <c r="I241" i="47"/>
  <c r="H241" i="47"/>
  <c r="G241" i="47"/>
  <c r="F241" i="47"/>
  <c r="I188" i="55" s="1"/>
  <c r="J240" i="47"/>
  <c r="I240" i="47"/>
  <c r="H240" i="47"/>
  <c r="G240" i="47"/>
  <c r="F240" i="47"/>
  <c r="I189" i="55" s="1"/>
  <c r="J291" i="49"/>
  <c r="I291" i="49"/>
  <c r="H291" i="49"/>
  <c r="G291" i="49"/>
  <c r="F291" i="49"/>
  <c r="J290" i="49"/>
  <c r="I290" i="49"/>
  <c r="H290" i="49"/>
  <c r="G290" i="49"/>
  <c r="F290" i="49"/>
  <c r="J289" i="49"/>
  <c r="I289" i="49"/>
  <c r="H289" i="49"/>
  <c r="G289" i="49"/>
  <c r="F289" i="49"/>
  <c r="J288" i="49"/>
  <c r="I288" i="49"/>
  <c r="H288" i="49"/>
  <c r="G288" i="49"/>
  <c r="F288" i="49"/>
  <c r="J129" i="55" s="1"/>
  <c r="J287" i="49"/>
  <c r="I287" i="49"/>
  <c r="H287" i="49"/>
  <c r="G287" i="49"/>
  <c r="F287" i="49"/>
  <c r="J286" i="49"/>
  <c r="I286" i="49"/>
  <c r="H286" i="49"/>
  <c r="G286" i="49"/>
  <c r="F286" i="49"/>
  <c r="J130" i="55" s="1"/>
  <c r="J285" i="49"/>
  <c r="I285" i="49"/>
  <c r="H285" i="49"/>
  <c r="G285" i="49"/>
  <c r="F285" i="49"/>
  <c r="J284" i="49"/>
  <c r="I284" i="49"/>
  <c r="H284" i="49"/>
  <c r="G284" i="49"/>
  <c r="F284" i="49"/>
  <c r="J131" i="55" s="1"/>
  <c r="J283" i="49"/>
  <c r="I283" i="49"/>
  <c r="H283" i="49"/>
  <c r="G283" i="49"/>
  <c r="F283" i="49"/>
  <c r="J132" i="55" s="1"/>
  <c r="J282" i="49"/>
  <c r="I282" i="49"/>
  <c r="H282" i="49"/>
  <c r="G282" i="49"/>
  <c r="F282" i="49"/>
  <c r="J133" i="55" s="1"/>
  <c r="J281" i="49"/>
  <c r="I281" i="49"/>
  <c r="H281" i="49"/>
  <c r="G281" i="49"/>
  <c r="F281" i="49"/>
  <c r="J135" i="55" s="1"/>
  <c r="J280" i="49"/>
  <c r="I280" i="49"/>
  <c r="H280" i="49"/>
  <c r="G280" i="49"/>
  <c r="F280" i="49"/>
  <c r="J137" i="55" s="1"/>
  <c r="J279" i="49"/>
  <c r="I279" i="49"/>
  <c r="H279" i="49"/>
  <c r="G279" i="49"/>
  <c r="F279" i="49"/>
  <c r="J138" i="55" s="1"/>
  <c r="J278" i="49"/>
  <c r="I278" i="49"/>
  <c r="H278" i="49"/>
  <c r="G278" i="49"/>
  <c r="F278" i="49"/>
  <c r="J140" i="55" s="1"/>
  <c r="J277" i="49"/>
  <c r="I277" i="49"/>
  <c r="H277" i="49"/>
  <c r="G277" i="49"/>
  <c r="F277" i="49"/>
  <c r="J143" i="55" s="1"/>
  <c r="J276" i="49"/>
  <c r="I276" i="49"/>
  <c r="H276" i="49"/>
  <c r="G276" i="49"/>
  <c r="F276" i="49"/>
  <c r="J145" i="55" s="1"/>
  <c r="J275" i="49"/>
  <c r="I275" i="49"/>
  <c r="H275" i="49"/>
  <c r="G275" i="49"/>
  <c r="F275" i="49"/>
  <c r="J149" i="55" s="1"/>
  <c r="J274" i="49"/>
  <c r="I274" i="49"/>
  <c r="H274" i="49"/>
  <c r="G274" i="49"/>
  <c r="F274" i="49"/>
  <c r="J150" i="55" s="1"/>
  <c r="J273" i="49"/>
  <c r="I273" i="49"/>
  <c r="H273" i="49"/>
  <c r="G273" i="49"/>
  <c r="F273" i="49"/>
  <c r="J152" i="55" s="1"/>
  <c r="J272" i="49"/>
  <c r="I272" i="49"/>
  <c r="H272" i="49"/>
  <c r="G272" i="49"/>
  <c r="F272" i="49"/>
  <c r="J153" i="55" s="1"/>
  <c r="J271" i="49"/>
  <c r="I271" i="49"/>
  <c r="H271" i="49"/>
  <c r="G271" i="49"/>
  <c r="F271" i="49"/>
  <c r="J154" i="55" s="1"/>
  <c r="J270" i="49"/>
  <c r="I270" i="49"/>
  <c r="H270" i="49"/>
  <c r="G270" i="49"/>
  <c r="F270" i="49"/>
  <c r="J157" i="55" s="1"/>
  <c r="J269" i="49"/>
  <c r="I269" i="49"/>
  <c r="H269" i="49"/>
  <c r="G269" i="49"/>
  <c r="F269" i="49"/>
  <c r="J158" i="55" s="1"/>
  <c r="J268" i="49"/>
  <c r="I268" i="49"/>
  <c r="H268" i="49"/>
  <c r="G268" i="49"/>
  <c r="F268" i="49"/>
  <c r="J159" i="55" s="1"/>
  <c r="J267" i="49"/>
  <c r="I267" i="49"/>
  <c r="H267" i="49"/>
  <c r="G267" i="49"/>
  <c r="F267" i="49"/>
  <c r="J160" i="55" s="1"/>
  <c r="J266" i="49"/>
  <c r="I266" i="49"/>
  <c r="H266" i="49"/>
  <c r="G266" i="49"/>
  <c r="F266" i="49"/>
  <c r="J161" i="55" s="1"/>
  <c r="J265" i="49"/>
  <c r="I265" i="49"/>
  <c r="H265" i="49"/>
  <c r="G265" i="49"/>
  <c r="F265" i="49"/>
  <c r="J162" i="55" s="1"/>
  <c r="J264" i="49"/>
  <c r="I264" i="49"/>
  <c r="H264" i="49"/>
  <c r="G264" i="49"/>
  <c r="F264" i="49"/>
  <c r="J163" i="55" s="1"/>
  <c r="J263" i="49"/>
  <c r="I263" i="49"/>
  <c r="H263" i="49"/>
  <c r="G263" i="49"/>
  <c r="F263" i="49"/>
  <c r="J164" i="55" s="1"/>
  <c r="J262" i="49"/>
  <c r="I262" i="49"/>
  <c r="H262" i="49"/>
  <c r="G262" i="49"/>
  <c r="F262" i="49"/>
  <c r="J165" i="55" s="1"/>
  <c r="J261" i="49"/>
  <c r="I261" i="49"/>
  <c r="H261" i="49"/>
  <c r="G261" i="49"/>
  <c r="F261" i="49"/>
  <c r="J166" i="55" s="1"/>
  <c r="J260" i="49"/>
  <c r="I260" i="49"/>
  <c r="H260" i="49"/>
  <c r="G260" i="49"/>
  <c r="F260" i="49"/>
  <c r="J167" i="55" s="1"/>
  <c r="J259" i="49"/>
  <c r="I259" i="49"/>
  <c r="H259" i="49"/>
  <c r="G259" i="49"/>
  <c r="F259" i="49"/>
  <c r="J169" i="55" s="1"/>
  <c r="J258" i="49"/>
  <c r="I258" i="49"/>
  <c r="H258" i="49"/>
  <c r="G258" i="49"/>
  <c r="F258" i="49"/>
  <c r="J170" i="55" s="1"/>
  <c r="J257" i="49"/>
  <c r="I257" i="49"/>
  <c r="H257" i="49"/>
  <c r="G257" i="49"/>
  <c r="F257" i="49"/>
  <c r="J172" i="55" s="1"/>
  <c r="J256" i="49"/>
  <c r="I256" i="49"/>
  <c r="H256" i="49"/>
  <c r="G256" i="49"/>
  <c r="F256" i="49"/>
  <c r="J173" i="55" s="1"/>
  <c r="J255" i="49"/>
  <c r="I255" i="49"/>
  <c r="H255" i="49"/>
  <c r="G255" i="49"/>
  <c r="F255" i="49"/>
  <c r="J174" i="55" s="1"/>
  <c r="J254" i="49"/>
  <c r="I254" i="49"/>
  <c r="H254" i="49"/>
  <c r="G254" i="49"/>
  <c r="F254" i="49"/>
  <c r="J175" i="55" s="1"/>
  <c r="J253" i="49"/>
  <c r="I253" i="49"/>
  <c r="H253" i="49"/>
  <c r="G253" i="49"/>
  <c r="F253" i="49"/>
  <c r="J176" i="55" s="1"/>
  <c r="J252" i="49"/>
  <c r="I252" i="49"/>
  <c r="H252" i="49"/>
  <c r="G252" i="49"/>
  <c r="F252" i="49"/>
  <c r="J177" i="55" s="1"/>
  <c r="J251" i="49"/>
  <c r="I251" i="49"/>
  <c r="H251" i="49"/>
  <c r="G251" i="49"/>
  <c r="F251" i="49"/>
  <c r="J178" i="55" s="1"/>
  <c r="J250" i="49"/>
  <c r="I250" i="49"/>
  <c r="H250" i="49"/>
  <c r="G250" i="49"/>
  <c r="F250" i="49"/>
  <c r="J179" i="55" s="1"/>
  <c r="J249" i="49"/>
  <c r="I249" i="49"/>
  <c r="H249" i="49"/>
  <c r="G249" i="49"/>
  <c r="F249" i="49"/>
  <c r="J184" i="55" s="1"/>
  <c r="J248" i="49"/>
  <c r="I248" i="49"/>
  <c r="H248" i="49"/>
  <c r="G248" i="49"/>
  <c r="F248" i="49"/>
  <c r="J185" i="55" s="1"/>
  <c r="J247" i="49"/>
  <c r="I247" i="49"/>
  <c r="H247" i="49"/>
  <c r="G247" i="49"/>
  <c r="F247" i="49"/>
  <c r="J186" i="55" s="1"/>
  <c r="J246" i="49"/>
  <c r="I246" i="49"/>
  <c r="H246" i="49"/>
  <c r="G246" i="49"/>
  <c r="F246" i="49"/>
  <c r="J188" i="55" s="1"/>
  <c r="J245" i="49"/>
  <c r="I245" i="49"/>
  <c r="H245" i="49"/>
  <c r="G245" i="49"/>
  <c r="F245" i="49"/>
  <c r="J189" i="55" s="1"/>
  <c r="J244" i="49"/>
  <c r="I244" i="49"/>
  <c r="H244" i="49"/>
  <c r="G244" i="49"/>
  <c r="F244" i="49"/>
  <c r="J193" i="55" s="1"/>
  <c r="J362" i="53"/>
  <c r="I362" i="53"/>
  <c r="H362" i="53"/>
  <c r="G362" i="53"/>
  <c r="F362" i="53"/>
  <c r="J361" i="53"/>
  <c r="I361" i="53"/>
  <c r="H361" i="53"/>
  <c r="G361" i="53"/>
  <c r="F361" i="53"/>
  <c r="J360" i="53"/>
  <c r="I360" i="53"/>
  <c r="H360" i="53"/>
  <c r="G360" i="53"/>
  <c r="F360" i="53"/>
  <c r="J359" i="53"/>
  <c r="I359" i="53"/>
  <c r="H359" i="53"/>
  <c r="G359" i="53"/>
  <c r="F359" i="53"/>
  <c r="J358" i="53"/>
  <c r="I358" i="53"/>
  <c r="H358" i="53"/>
  <c r="G358" i="53"/>
  <c r="F358" i="53"/>
  <c r="J357" i="53"/>
  <c r="I357" i="53"/>
  <c r="H357" i="53"/>
  <c r="G357" i="53"/>
  <c r="F357" i="53"/>
  <c r="J356" i="53"/>
  <c r="I356" i="53"/>
  <c r="H356" i="53"/>
  <c r="G356" i="53"/>
  <c r="F356" i="53"/>
  <c r="J355" i="53"/>
  <c r="I355" i="53"/>
  <c r="H355" i="53"/>
  <c r="G355" i="53"/>
  <c r="F355" i="53"/>
  <c r="J354" i="53"/>
  <c r="I354" i="53"/>
  <c r="H354" i="53"/>
  <c r="G354" i="53"/>
  <c r="F354" i="53"/>
  <c r="J353" i="53"/>
  <c r="I353" i="53"/>
  <c r="H353" i="53"/>
  <c r="G353" i="53"/>
  <c r="F353" i="53"/>
  <c r="J352" i="53"/>
  <c r="I352" i="53"/>
  <c r="H352" i="53"/>
  <c r="G352" i="53"/>
  <c r="F352" i="53"/>
  <c r="J351" i="53"/>
  <c r="I351" i="53"/>
  <c r="H351" i="53"/>
  <c r="G351" i="53"/>
  <c r="F351" i="53"/>
  <c r="J350" i="53"/>
  <c r="I350" i="53"/>
  <c r="H350" i="53"/>
  <c r="G350" i="53"/>
  <c r="F350" i="53"/>
  <c r="J349" i="53"/>
  <c r="I349" i="53"/>
  <c r="H349" i="53"/>
  <c r="G349" i="53"/>
  <c r="F349" i="53"/>
  <c r="J348" i="53"/>
  <c r="I348" i="53"/>
  <c r="H348" i="53"/>
  <c r="G348" i="53"/>
  <c r="F348" i="53"/>
  <c r="J347" i="53"/>
  <c r="I347" i="53"/>
  <c r="H347" i="53"/>
  <c r="G347" i="53"/>
  <c r="F347" i="53"/>
  <c r="J346" i="53"/>
  <c r="I346" i="53"/>
  <c r="H346" i="53"/>
  <c r="G346" i="53"/>
  <c r="F346" i="53"/>
  <c r="J345" i="53"/>
  <c r="I345" i="53"/>
  <c r="H345" i="53"/>
  <c r="G345" i="53"/>
  <c r="F345" i="53"/>
  <c r="J344" i="53"/>
  <c r="I344" i="53"/>
  <c r="H344" i="53"/>
  <c r="G344" i="53"/>
  <c r="F344" i="53"/>
  <c r="J343" i="53"/>
  <c r="I343" i="53"/>
  <c r="H343" i="53"/>
  <c r="G343" i="53"/>
  <c r="F343" i="53"/>
  <c r="J342" i="53"/>
  <c r="I342" i="53"/>
  <c r="H342" i="53"/>
  <c r="G342" i="53"/>
  <c r="F342" i="53"/>
  <c r="J341" i="53"/>
  <c r="I341" i="53"/>
  <c r="H341" i="53"/>
  <c r="G341" i="53"/>
  <c r="F341" i="53"/>
  <c r="J340" i="53"/>
  <c r="I340" i="53"/>
  <c r="H340" i="53"/>
  <c r="G340" i="53"/>
  <c r="F340" i="53"/>
  <c r="J339" i="53"/>
  <c r="I339" i="53"/>
  <c r="H339" i="53"/>
  <c r="G339" i="53"/>
  <c r="F339" i="53"/>
  <c r="J338" i="53"/>
  <c r="I338" i="53"/>
  <c r="H338" i="53"/>
  <c r="G338" i="53"/>
  <c r="F338" i="53"/>
  <c r="J337" i="53"/>
  <c r="I337" i="53"/>
  <c r="H337" i="53"/>
  <c r="G337" i="53"/>
  <c r="F337" i="53"/>
  <c r="J336" i="53"/>
  <c r="I336" i="53"/>
  <c r="H336" i="53"/>
  <c r="G336" i="53"/>
  <c r="F336" i="53"/>
  <c r="J335" i="53"/>
  <c r="I335" i="53"/>
  <c r="H335" i="53"/>
  <c r="G335" i="53"/>
  <c r="F335" i="53"/>
  <c r="J334" i="53"/>
  <c r="I334" i="53"/>
  <c r="H334" i="53"/>
  <c r="G334" i="53"/>
  <c r="F334" i="53"/>
  <c r="J333" i="53"/>
  <c r="I333" i="53"/>
  <c r="H333" i="53"/>
  <c r="G333" i="53"/>
  <c r="F333" i="53"/>
  <c r="J332" i="53"/>
  <c r="I332" i="53"/>
  <c r="H332" i="53"/>
  <c r="G332" i="53"/>
  <c r="F332" i="53"/>
  <c r="J331" i="53"/>
  <c r="I331" i="53"/>
  <c r="H331" i="53"/>
  <c r="G331" i="53"/>
  <c r="F331" i="53"/>
  <c r="J330" i="53"/>
  <c r="I330" i="53"/>
  <c r="H330" i="53"/>
  <c r="G330" i="53"/>
  <c r="F330" i="53"/>
  <c r="J329" i="53"/>
  <c r="I329" i="53"/>
  <c r="H329" i="53"/>
  <c r="G329" i="53"/>
  <c r="F329" i="53"/>
  <c r="J328" i="53"/>
  <c r="I328" i="53"/>
  <c r="H328" i="53"/>
  <c r="G328" i="53"/>
  <c r="F328" i="53"/>
  <c r="J327" i="53"/>
  <c r="I327" i="53"/>
  <c r="H327" i="53"/>
  <c r="G327" i="53"/>
  <c r="F327" i="53"/>
  <c r="J326" i="53"/>
  <c r="I326" i="53"/>
  <c r="H326" i="53"/>
  <c r="G326" i="53"/>
  <c r="F326" i="53"/>
  <c r="J325" i="53"/>
  <c r="I325" i="53"/>
  <c r="H325" i="53"/>
  <c r="G325" i="53"/>
  <c r="F325" i="53"/>
  <c r="J324" i="53"/>
  <c r="I324" i="53"/>
  <c r="H324" i="53"/>
  <c r="G324" i="53"/>
  <c r="F324" i="53"/>
  <c r="J323" i="53"/>
  <c r="I323" i="53"/>
  <c r="H323" i="53"/>
  <c r="G323" i="53"/>
  <c r="F323" i="53"/>
  <c r="J322" i="53"/>
  <c r="I322" i="53"/>
  <c r="H322" i="53"/>
  <c r="G322" i="53"/>
  <c r="F322" i="53"/>
  <c r="J321" i="53"/>
  <c r="I321" i="53"/>
  <c r="H321" i="53"/>
  <c r="G321" i="53"/>
  <c r="F321" i="53"/>
  <c r="J320" i="53"/>
  <c r="I320" i="53"/>
  <c r="H320" i="53"/>
  <c r="G320" i="53"/>
  <c r="F320" i="53"/>
  <c r="J319" i="53"/>
  <c r="I319" i="53"/>
  <c r="H319" i="53"/>
  <c r="G319" i="53"/>
  <c r="F319" i="53"/>
  <c r="J318" i="53"/>
  <c r="I318" i="53"/>
  <c r="H318" i="53"/>
  <c r="G318" i="53"/>
  <c r="F318" i="53"/>
  <c r="J317" i="53"/>
  <c r="I317" i="53"/>
  <c r="H317" i="53"/>
  <c r="G317" i="53"/>
  <c r="F317" i="53"/>
  <c r="J316" i="53"/>
  <c r="I316" i="53"/>
  <c r="H316" i="53"/>
  <c r="G316" i="53"/>
  <c r="F316" i="53"/>
  <c r="J315" i="53"/>
  <c r="I315" i="53"/>
  <c r="H315" i="53"/>
  <c r="G315" i="53"/>
  <c r="F315" i="53"/>
  <c r="J314" i="53"/>
  <c r="I314" i="53"/>
  <c r="H314" i="53"/>
  <c r="G314" i="53"/>
  <c r="F314" i="53"/>
  <c r="J313" i="53"/>
  <c r="I313" i="53"/>
  <c r="H313" i="53"/>
  <c r="G313" i="53"/>
  <c r="F313" i="53"/>
  <c r="J312" i="53"/>
  <c r="I312" i="53"/>
  <c r="H312" i="53"/>
  <c r="G312" i="53"/>
  <c r="F312" i="53"/>
  <c r="J311" i="53"/>
  <c r="I311" i="53"/>
  <c r="H311" i="53"/>
  <c r="G311" i="53"/>
  <c r="F311" i="53"/>
  <c r="J310" i="53"/>
  <c r="I310" i="53"/>
  <c r="H310" i="53"/>
  <c r="G310" i="53"/>
  <c r="F310" i="53"/>
  <c r="J309" i="53"/>
  <c r="I309" i="53"/>
  <c r="H309" i="53"/>
  <c r="G309" i="53"/>
  <c r="F309" i="53"/>
  <c r="J308" i="53"/>
  <c r="I308" i="53"/>
  <c r="H308" i="53"/>
  <c r="G308" i="53"/>
  <c r="F308" i="53"/>
  <c r="J307" i="53"/>
  <c r="I307" i="53"/>
  <c r="H307" i="53"/>
  <c r="G307" i="53"/>
  <c r="F307" i="53"/>
  <c r="J306" i="53"/>
  <c r="I306" i="53"/>
  <c r="H306" i="53"/>
  <c r="G306" i="53"/>
  <c r="F306" i="53"/>
  <c r="J305" i="53"/>
  <c r="I305" i="53"/>
  <c r="H305" i="53"/>
  <c r="G305" i="53"/>
  <c r="F305" i="53"/>
  <c r="J304" i="53"/>
  <c r="I304" i="53"/>
  <c r="H304" i="53"/>
  <c r="G304" i="53"/>
  <c r="F304" i="53"/>
  <c r="J303" i="53"/>
  <c r="I303" i="53"/>
  <c r="H303" i="53"/>
  <c r="G303" i="53"/>
  <c r="F303" i="53"/>
  <c r="J302" i="53"/>
  <c r="I302" i="53"/>
  <c r="H302" i="53"/>
  <c r="G302" i="53"/>
  <c r="F302" i="53"/>
  <c r="J301" i="53"/>
  <c r="I301" i="53"/>
  <c r="H301" i="53"/>
  <c r="G301" i="53"/>
  <c r="F301" i="53"/>
  <c r="J300" i="53"/>
  <c r="I300" i="53"/>
  <c r="H300" i="53"/>
  <c r="G300" i="53"/>
  <c r="F300" i="53"/>
  <c r="J299" i="53"/>
  <c r="I299" i="53"/>
  <c r="H299" i="53"/>
  <c r="G299" i="53"/>
  <c r="F299" i="53"/>
  <c r="J298" i="53"/>
  <c r="I298" i="53"/>
  <c r="H298" i="53"/>
  <c r="G298" i="53"/>
  <c r="F298" i="53"/>
  <c r="J297" i="53"/>
  <c r="I297" i="53"/>
  <c r="H297" i="53"/>
  <c r="G297" i="53"/>
  <c r="F297" i="53"/>
  <c r="J296" i="53"/>
  <c r="I296" i="53"/>
  <c r="H296" i="53"/>
  <c r="G296" i="53"/>
  <c r="F296" i="53"/>
  <c r="J295" i="53"/>
  <c r="I295" i="53"/>
  <c r="H295" i="53"/>
  <c r="G295" i="53"/>
  <c r="F295" i="53"/>
  <c r="J294" i="53"/>
  <c r="I294" i="53"/>
  <c r="H294" i="53"/>
  <c r="G294" i="53"/>
  <c r="F294" i="53"/>
  <c r="J293" i="53"/>
  <c r="I293" i="53"/>
  <c r="H293" i="53"/>
  <c r="G293" i="53"/>
  <c r="F293" i="53"/>
  <c r="J292" i="53"/>
  <c r="I292" i="53"/>
  <c r="H292" i="53"/>
  <c r="G292" i="53"/>
  <c r="F292" i="53"/>
  <c r="J291" i="53"/>
  <c r="I291" i="53"/>
  <c r="H291" i="53"/>
  <c r="G291" i="53"/>
  <c r="F291" i="53"/>
  <c r="J290" i="53"/>
  <c r="I290" i="53"/>
  <c r="H290" i="53"/>
  <c r="G290" i="53"/>
  <c r="F290" i="53"/>
  <c r="J289" i="53"/>
  <c r="I289" i="53"/>
  <c r="H289" i="53"/>
  <c r="G289" i="53"/>
  <c r="F289" i="53"/>
  <c r="J288" i="53"/>
  <c r="I288" i="53"/>
  <c r="H288" i="53"/>
  <c r="G288" i="53"/>
  <c r="F288" i="53"/>
  <c r="J287" i="53"/>
  <c r="I287" i="53"/>
  <c r="H287" i="53"/>
  <c r="G287" i="53"/>
  <c r="F287" i="53"/>
  <c r="J286" i="53"/>
  <c r="I286" i="53"/>
  <c r="H286" i="53"/>
  <c r="G286" i="53"/>
  <c r="F286" i="53"/>
  <c r="J285" i="53"/>
  <c r="I285" i="53"/>
  <c r="H285" i="53"/>
  <c r="G285" i="53"/>
  <c r="F285" i="53"/>
  <c r="J284" i="53"/>
  <c r="I284" i="53"/>
  <c r="H284" i="53"/>
  <c r="G284" i="53"/>
  <c r="F284" i="53"/>
  <c r="J283" i="53"/>
  <c r="I283" i="53"/>
  <c r="H283" i="53"/>
  <c r="G283" i="53"/>
  <c r="F283" i="53"/>
  <c r="J282" i="53"/>
  <c r="I282" i="53"/>
  <c r="H282" i="53"/>
  <c r="G282" i="53"/>
  <c r="F282" i="53"/>
  <c r="J281" i="53"/>
  <c r="I281" i="53"/>
  <c r="H281" i="53"/>
  <c r="G281" i="53"/>
  <c r="F281" i="53"/>
  <c r="J280" i="53"/>
  <c r="I280" i="53"/>
  <c r="H280" i="53"/>
  <c r="G280" i="53"/>
  <c r="F280" i="53"/>
  <c r="J279" i="53"/>
  <c r="I279" i="53"/>
  <c r="H279" i="53"/>
  <c r="G279" i="53"/>
  <c r="F279" i="53"/>
  <c r="J278" i="53"/>
  <c r="I278" i="53"/>
  <c r="H278" i="53"/>
  <c r="G278" i="53"/>
  <c r="F278" i="53"/>
  <c r="J277" i="53"/>
  <c r="I277" i="53"/>
  <c r="H277" i="53"/>
  <c r="G277" i="53"/>
  <c r="F277" i="53"/>
  <c r="J276" i="53"/>
  <c r="I276" i="53"/>
  <c r="H276" i="53"/>
  <c r="G276" i="53"/>
  <c r="F276" i="53"/>
  <c r="J275" i="53"/>
  <c r="I275" i="53"/>
  <c r="H275" i="53"/>
  <c r="G275" i="53"/>
  <c r="F275" i="53"/>
  <c r="J274" i="53"/>
  <c r="I274" i="53"/>
  <c r="H274" i="53"/>
  <c r="G274" i="53"/>
  <c r="F274" i="53"/>
  <c r="J273" i="53"/>
  <c r="I273" i="53"/>
  <c r="H273" i="53"/>
  <c r="G273" i="53"/>
  <c r="F273" i="53"/>
  <c r="J272" i="53"/>
  <c r="I272" i="53"/>
  <c r="H272" i="53"/>
  <c r="G272" i="53"/>
  <c r="F272" i="53"/>
  <c r="J271" i="53"/>
  <c r="I271" i="53"/>
  <c r="H271" i="53"/>
  <c r="G271" i="53"/>
  <c r="F271" i="53"/>
  <c r="J270" i="53"/>
  <c r="I270" i="53"/>
  <c r="H270" i="53"/>
  <c r="G270" i="53"/>
  <c r="F270" i="53"/>
  <c r="J269" i="53"/>
  <c r="I269" i="53"/>
  <c r="H269" i="53"/>
  <c r="G269" i="53"/>
  <c r="F269" i="53"/>
  <c r="J268" i="53"/>
  <c r="I268" i="53"/>
  <c r="H268" i="53"/>
  <c r="G268" i="53"/>
  <c r="F268" i="53"/>
  <c r="J267" i="53"/>
  <c r="I267" i="53"/>
  <c r="H267" i="53"/>
  <c r="G267" i="53"/>
  <c r="F267" i="53"/>
  <c r="J266" i="53"/>
  <c r="I266" i="53"/>
  <c r="H266" i="53"/>
  <c r="G266" i="53"/>
  <c r="F266" i="53"/>
  <c r="J265" i="53"/>
  <c r="I265" i="53"/>
  <c r="H265" i="53"/>
  <c r="G265" i="53"/>
  <c r="F265" i="53"/>
  <c r="J264" i="53"/>
  <c r="I264" i="53"/>
  <c r="H264" i="53"/>
  <c r="G264" i="53"/>
  <c r="F264" i="53"/>
  <c r="J263" i="53"/>
  <c r="I263" i="53"/>
  <c r="H263" i="53"/>
  <c r="G263" i="53"/>
  <c r="F263" i="53"/>
  <c r="J262" i="53"/>
  <c r="I262" i="53"/>
  <c r="H262" i="53"/>
  <c r="G262" i="53"/>
  <c r="F262" i="53"/>
  <c r="J261" i="53"/>
  <c r="I261" i="53"/>
  <c r="H261" i="53"/>
  <c r="G261" i="53"/>
  <c r="F261" i="53"/>
  <c r="J260" i="53"/>
  <c r="I260" i="53"/>
  <c r="H260" i="53"/>
  <c r="G260" i="53"/>
  <c r="F260" i="53"/>
  <c r="J259" i="53"/>
  <c r="I259" i="53"/>
  <c r="H259" i="53"/>
  <c r="G259" i="53"/>
  <c r="F259" i="53"/>
  <c r="J258" i="53"/>
  <c r="I258" i="53"/>
  <c r="H258" i="53"/>
  <c r="G258" i="53"/>
  <c r="F258" i="53"/>
  <c r="J257" i="53"/>
  <c r="I257" i="53"/>
  <c r="H257" i="53"/>
  <c r="G257" i="53"/>
  <c r="F257" i="53"/>
  <c r="J256" i="53"/>
  <c r="I256" i="53"/>
  <c r="H256" i="53"/>
  <c r="G256" i="53"/>
  <c r="F256" i="53"/>
  <c r="J255" i="53"/>
  <c r="I255" i="53"/>
  <c r="H255" i="53"/>
  <c r="G255" i="53"/>
  <c r="F255" i="53"/>
  <c r="J254" i="53"/>
  <c r="I254" i="53"/>
  <c r="H254" i="53"/>
  <c r="G254" i="53"/>
  <c r="F254" i="53"/>
  <c r="J253" i="53"/>
  <c r="I253" i="53"/>
  <c r="H253" i="53"/>
  <c r="G253" i="53"/>
  <c r="F253" i="53"/>
  <c r="J252" i="53"/>
  <c r="I252" i="53"/>
  <c r="H252" i="53"/>
  <c r="G252" i="53"/>
  <c r="F252" i="53"/>
  <c r="J251" i="53"/>
  <c r="I251" i="53"/>
  <c r="H251" i="53"/>
  <c r="G251" i="53"/>
  <c r="F251" i="53"/>
  <c r="J250" i="53"/>
  <c r="I250" i="53"/>
  <c r="H250" i="53"/>
  <c r="G250" i="53"/>
  <c r="F250" i="53"/>
  <c r="J249" i="53"/>
  <c r="I249" i="53"/>
  <c r="H249" i="53"/>
  <c r="G249" i="53"/>
  <c r="F249" i="53"/>
  <c r="J248" i="53"/>
  <c r="I248" i="53"/>
  <c r="H248" i="53"/>
  <c r="G248" i="53"/>
  <c r="F248" i="53"/>
  <c r="J247" i="53"/>
  <c r="I247" i="53"/>
  <c r="H247" i="53"/>
  <c r="G247" i="53"/>
  <c r="F247" i="53"/>
  <c r="J246" i="53"/>
  <c r="I246" i="53"/>
  <c r="H246" i="53"/>
  <c r="G246" i="53"/>
  <c r="F246" i="53"/>
  <c r="K132" i="55"/>
  <c r="K133" i="55"/>
  <c r="K135" i="55"/>
  <c r="K137" i="55"/>
  <c r="K138" i="55"/>
  <c r="K140" i="55"/>
  <c r="K145" i="55"/>
  <c r="K149" i="55"/>
  <c r="K150" i="55"/>
  <c r="K152" i="55"/>
  <c r="K153" i="55"/>
  <c r="K154" i="55"/>
  <c r="K157" i="55"/>
  <c r="K158" i="55"/>
  <c r="K159" i="55"/>
  <c r="K160" i="55"/>
  <c r="K161" i="55"/>
  <c r="K162" i="55"/>
  <c r="K163" i="55"/>
  <c r="K164" i="55"/>
  <c r="K165" i="55"/>
  <c r="K166" i="55"/>
  <c r="K167" i="55"/>
  <c r="K170" i="55"/>
  <c r="K172" i="55"/>
  <c r="K173" i="55"/>
  <c r="K174" i="55"/>
  <c r="K175" i="55"/>
  <c r="K176" i="55"/>
  <c r="K177" i="55"/>
  <c r="K178" i="55"/>
  <c r="K185" i="55"/>
  <c r="K186" i="55"/>
  <c r="K187" i="55"/>
  <c r="K188" i="55"/>
  <c r="K189" i="55"/>
  <c r="K193" i="55"/>
  <c r="J375" i="62"/>
  <c r="I375" i="62"/>
  <c r="H375" i="62"/>
  <c r="G375" i="62"/>
  <c r="F375" i="62"/>
  <c r="J374" i="62"/>
  <c r="I374" i="62"/>
  <c r="H374" i="62"/>
  <c r="G374" i="62"/>
  <c r="F374" i="62"/>
  <c r="J373" i="62"/>
  <c r="I373" i="62"/>
  <c r="H373" i="62"/>
  <c r="G373" i="62"/>
  <c r="F373" i="62"/>
  <c r="J372" i="62"/>
  <c r="I372" i="62"/>
  <c r="H372" i="62"/>
  <c r="G372" i="62"/>
  <c r="F372" i="62"/>
  <c r="J371" i="62"/>
  <c r="I371" i="62"/>
  <c r="H371" i="62"/>
  <c r="G371" i="62"/>
  <c r="F371" i="62"/>
  <c r="J370" i="62"/>
  <c r="I370" i="62"/>
  <c r="H370" i="62"/>
  <c r="G370" i="62"/>
  <c r="F370" i="62"/>
  <c r="J369" i="62"/>
  <c r="I369" i="62"/>
  <c r="H369" i="62"/>
  <c r="G369" i="62"/>
  <c r="F369" i="62"/>
  <c r="J368" i="62"/>
  <c r="I368" i="62"/>
  <c r="H368" i="62"/>
  <c r="G368" i="62"/>
  <c r="F368" i="62"/>
  <c r="J367" i="62"/>
  <c r="I367" i="62"/>
  <c r="H367" i="62"/>
  <c r="G367" i="62"/>
  <c r="F367" i="62"/>
  <c r="J366" i="62"/>
  <c r="I366" i="62"/>
  <c r="H366" i="62"/>
  <c r="G366" i="62"/>
  <c r="F366" i="62"/>
  <c r="J365" i="62"/>
  <c r="I365" i="62"/>
  <c r="H365" i="62"/>
  <c r="G365" i="62"/>
  <c r="F365" i="62"/>
  <c r="J364" i="62"/>
  <c r="I364" i="62"/>
  <c r="H364" i="62"/>
  <c r="G364" i="62"/>
  <c r="F364" i="62"/>
  <c r="J363" i="62"/>
  <c r="I363" i="62"/>
  <c r="H363" i="62"/>
  <c r="G363" i="62"/>
  <c r="F363" i="62"/>
  <c r="J362" i="62"/>
  <c r="I362" i="62"/>
  <c r="H362" i="62"/>
  <c r="G362" i="62"/>
  <c r="F362" i="62"/>
  <c r="J361" i="62"/>
  <c r="I361" i="62"/>
  <c r="H361" i="62"/>
  <c r="G361" i="62"/>
  <c r="F361" i="62"/>
  <c r="J360" i="62"/>
  <c r="I360" i="62"/>
  <c r="H360" i="62"/>
  <c r="G360" i="62"/>
  <c r="F360" i="62"/>
  <c r="J359" i="62"/>
  <c r="I359" i="62"/>
  <c r="H359" i="62"/>
  <c r="G359" i="62"/>
  <c r="F359" i="62"/>
  <c r="J358" i="62"/>
  <c r="I358" i="62"/>
  <c r="H358" i="62"/>
  <c r="G358" i="62"/>
  <c r="F358" i="62"/>
  <c r="J357" i="62"/>
  <c r="I357" i="62"/>
  <c r="H357" i="62"/>
  <c r="G357" i="62"/>
  <c r="F357" i="62"/>
  <c r="J356" i="62"/>
  <c r="I356" i="62"/>
  <c r="H356" i="62"/>
  <c r="G356" i="62"/>
  <c r="F356" i="62"/>
  <c r="J355" i="62"/>
  <c r="I355" i="62"/>
  <c r="H355" i="62"/>
  <c r="G355" i="62"/>
  <c r="F355" i="62"/>
  <c r="J354" i="62"/>
  <c r="I354" i="62"/>
  <c r="H354" i="62"/>
  <c r="G354" i="62"/>
  <c r="F354" i="62"/>
  <c r="J353" i="62"/>
  <c r="I353" i="62"/>
  <c r="H353" i="62"/>
  <c r="G353" i="62"/>
  <c r="F353" i="62"/>
  <c r="J352" i="62"/>
  <c r="I352" i="62"/>
  <c r="H352" i="62"/>
  <c r="G352" i="62"/>
  <c r="F352" i="62"/>
  <c r="L129" i="55" s="1"/>
  <c r="J351" i="62"/>
  <c r="I351" i="62"/>
  <c r="H351" i="62"/>
  <c r="G351" i="62"/>
  <c r="F351" i="62"/>
  <c r="J350" i="62"/>
  <c r="I350" i="62"/>
  <c r="H350" i="62"/>
  <c r="G350" i="62"/>
  <c r="F350" i="62"/>
  <c r="J349" i="62"/>
  <c r="I349" i="62"/>
  <c r="H349" i="62"/>
  <c r="G349" i="62"/>
  <c r="F349" i="62"/>
  <c r="J348" i="62"/>
  <c r="I348" i="62"/>
  <c r="H348" i="62"/>
  <c r="G348" i="62"/>
  <c r="F348" i="62"/>
  <c r="J347" i="62"/>
  <c r="I347" i="62"/>
  <c r="H347" i="62"/>
  <c r="G347" i="62"/>
  <c r="F347" i="62"/>
  <c r="J346" i="62"/>
  <c r="I346" i="62"/>
  <c r="H346" i="62"/>
  <c r="G346" i="62"/>
  <c r="F346" i="62"/>
  <c r="J345" i="62"/>
  <c r="I345" i="62"/>
  <c r="H345" i="62"/>
  <c r="G345" i="62"/>
  <c r="F345" i="62"/>
  <c r="J344" i="62"/>
  <c r="I344" i="62"/>
  <c r="H344" i="62"/>
  <c r="G344" i="62"/>
  <c r="F344" i="62"/>
  <c r="J343" i="62"/>
  <c r="I343" i="62"/>
  <c r="H343" i="62"/>
  <c r="G343" i="62"/>
  <c r="F343" i="62"/>
  <c r="J342" i="62"/>
  <c r="I342" i="62"/>
  <c r="H342" i="62"/>
  <c r="G342" i="62"/>
  <c r="F342" i="62"/>
  <c r="J341" i="62"/>
  <c r="I341" i="62"/>
  <c r="H341" i="62"/>
  <c r="G341" i="62"/>
  <c r="F341" i="62"/>
  <c r="J340" i="62"/>
  <c r="I340" i="62"/>
  <c r="H340" i="62"/>
  <c r="G340" i="62"/>
  <c r="F340" i="62"/>
  <c r="J339" i="62"/>
  <c r="I339" i="62"/>
  <c r="H339" i="62"/>
  <c r="G339" i="62"/>
  <c r="F339" i="62"/>
  <c r="J338" i="62"/>
  <c r="I338" i="62"/>
  <c r="H338" i="62"/>
  <c r="G338" i="62"/>
  <c r="F338" i="62"/>
  <c r="J337" i="62"/>
  <c r="I337" i="62"/>
  <c r="H337" i="62"/>
  <c r="G337" i="62"/>
  <c r="F337" i="62"/>
  <c r="J336" i="62"/>
  <c r="I336" i="62"/>
  <c r="H336" i="62"/>
  <c r="G336" i="62"/>
  <c r="F336" i="62"/>
  <c r="J335" i="62"/>
  <c r="I335" i="62"/>
  <c r="H335" i="62"/>
  <c r="G335" i="62"/>
  <c r="F335" i="62"/>
  <c r="J334" i="62"/>
  <c r="I334" i="62"/>
  <c r="H334" i="62"/>
  <c r="G334" i="62"/>
  <c r="F334" i="62"/>
  <c r="L130" i="55" s="1"/>
  <c r="J333" i="62"/>
  <c r="I333" i="62"/>
  <c r="H333" i="62"/>
  <c r="G333" i="62"/>
  <c r="F333" i="62"/>
  <c r="J332" i="62"/>
  <c r="I332" i="62"/>
  <c r="H332" i="62"/>
  <c r="G332" i="62"/>
  <c r="F332" i="62"/>
  <c r="J331" i="62"/>
  <c r="I331" i="62"/>
  <c r="H331" i="62"/>
  <c r="G331" i="62"/>
  <c r="F331" i="62"/>
  <c r="J330" i="62"/>
  <c r="I330" i="62"/>
  <c r="H330" i="62"/>
  <c r="G330" i="62"/>
  <c r="F330" i="62"/>
  <c r="J329" i="62"/>
  <c r="I329" i="62"/>
  <c r="H329" i="62"/>
  <c r="G329" i="62"/>
  <c r="F329" i="62"/>
  <c r="J328" i="62"/>
  <c r="I328" i="62"/>
  <c r="H328" i="62"/>
  <c r="G328" i="62"/>
  <c r="F328" i="62"/>
  <c r="J327" i="62"/>
  <c r="I327" i="62"/>
  <c r="H327" i="62"/>
  <c r="G327" i="62"/>
  <c r="F327" i="62"/>
  <c r="J326" i="62"/>
  <c r="I326" i="62"/>
  <c r="H326" i="62"/>
  <c r="G326" i="62"/>
  <c r="F326" i="62"/>
  <c r="J325" i="62"/>
  <c r="I325" i="62"/>
  <c r="H325" i="62"/>
  <c r="G325" i="62"/>
  <c r="F325" i="62"/>
  <c r="J324" i="62"/>
  <c r="I324" i="62"/>
  <c r="H324" i="62"/>
  <c r="G324" i="62"/>
  <c r="F324" i="62"/>
  <c r="J323" i="62"/>
  <c r="I323" i="62"/>
  <c r="H323" i="62"/>
  <c r="G323" i="62"/>
  <c r="F323" i="62"/>
  <c r="J322" i="62"/>
  <c r="I322" i="62"/>
  <c r="H322" i="62"/>
  <c r="G322" i="62"/>
  <c r="F322" i="62"/>
  <c r="L131" i="55" s="1"/>
  <c r="J321" i="62"/>
  <c r="I321" i="62"/>
  <c r="H321" i="62"/>
  <c r="G321" i="62"/>
  <c r="F321" i="62"/>
  <c r="L132" i="55" s="1"/>
  <c r="J320" i="62"/>
  <c r="I320" i="62"/>
  <c r="H320" i="62"/>
  <c r="G320" i="62"/>
  <c r="F320" i="62"/>
  <c r="J319" i="62"/>
  <c r="I319" i="62"/>
  <c r="H319" i="62"/>
  <c r="G319" i="62"/>
  <c r="F319" i="62"/>
  <c r="J318" i="62"/>
  <c r="I318" i="62"/>
  <c r="H318" i="62"/>
  <c r="G318" i="62"/>
  <c r="F318" i="62"/>
  <c r="J317" i="62"/>
  <c r="I317" i="62"/>
  <c r="H317" i="62"/>
  <c r="G317" i="62"/>
  <c r="F317" i="62"/>
  <c r="L133" i="55" s="1"/>
  <c r="J316" i="62"/>
  <c r="I316" i="62"/>
  <c r="H316" i="62"/>
  <c r="G316" i="62"/>
  <c r="F316" i="62"/>
  <c r="J315" i="62"/>
  <c r="I315" i="62"/>
  <c r="H315" i="62"/>
  <c r="G315" i="62"/>
  <c r="F315" i="62"/>
  <c r="J314" i="62"/>
  <c r="I314" i="62"/>
  <c r="H314" i="62"/>
  <c r="G314" i="62"/>
  <c r="F314" i="62"/>
  <c r="J313" i="62"/>
  <c r="I313" i="62"/>
  <c r="H313" i="62"/>
  <c r="G313" i="62"/>
  <c r="F313" i="62"/>
  <c r="J312" i="62"/>
  <c r="I312" i="62"/>
  <c r="H312" i="62"/>
  <c r="G312" i="62"/>
  <c r="F312" i="62"/>
  <c r="L135" i="55" s="1"/>
  <c r="J311" i="62"/>
  <c r="I311" i="62"/>
  <c r="H311" i="62"/>
  <c r="G311" i="62"/>
  <c r="F311" i="62"/>
  <c r="J310" i="62"/>
  <c r="I310" i="62"/>
  <c r="H310" i="62"/>
  <c r="G310" i="62"/>
  <c r="F310" i="62"/>
  <c r="J309" i="62"/>
  <c r="I309" i="62"/>
  <c r="H309" i="62"/>
  <c r="G309" i="62"/>
  <c r="F309" i="62"/>
  <c r="J308" i="62"/>
  <c r="I308" i="62"/>
  <c r="H308" i="62"/>
  <c r="G308" i="62"/>
  <c r="F308" i="62"/>
  <c r="L137" i="55" s="1"/>
  <c r="J307" i="62"/>
  <c r="I307" i="62"/>
  <c r="H307" i="62"/>
  <c r="G307" i="62"/>
  <c r="F307" i="62"/>
  <c r="J306" i="62"/>
  <c r="I306" i="62"/>
  <c r="H306" i="62"/>
  <c r="G306" i="62"/>
  <c r="F306" i="62"/>
  <c r="J305" i="62"/>
  <c r="I305" i="62"/>
  <c r="H305" i="62"/>
  <c r="G305" i="62"/>
  <c r="F305" i="62"/>
  <c r="J304" i="62"/>
  <c r="I304" i="62"/>
  <c r="H304" i="62"/>
  <c r="G304" i="62"/>
  <c r="F304" i="62"/>
  <c r="J303" i="62"/>
  <c r="I303" i="62"/>
  <c r="H303" i="62"/>
  <c r="G303" i="62"/>
  <c r="F303" i="62"/>
  <c r="J302" i="62"/>
  <c r="I302" i="62"/>
  <c r="H302" i="62"/>
  <c r="G302" i="62"/>
  <c r="F302" i="62"/>
  <c r="L138" i="55" s="1"/>
  <c r="J301" i="62"/>
  <c r="I301" i="62"/>
  <c r="H301" i="62"/>
  <c r="G301" i="62"/>
  <c r="F301" i="62"/>
  <c r="J300" i="62"/>
  <c r="I300" i="62"/>
  <c r="H300" i="62"/>
  <c r="G300" i="62"/>
  <c r="F300" i="62"/>
  <c r="J299" i="62"/>
  <c r="I299" i="62"/>
  <c r="H299" i="62"/>
  <c r="G299" i="62"/>
  <c r="F299" i="62"/>
  <c r="J298" i="62"/>
  <c r="I298" i="62"/>
  <c r="H298" i="62"/>
  <c r="G298" i="62"/>
  <c r="F298" i="62"/>
  <c r="L143" i="55" s="1"/>
  <c r="J297" i="62"/>
  <c r="I297" i="62"/>
  <c r="H297" i="62"/>
  <c r="G297" i="62"/>
  <c r="F297" i="62"/>
  <c r="L145" i="55" s="1"/>
  <c r="J296" i="62"/>
  <c r="I296" i="62"/>
  <c r="H296" i="62"/>
  <c r="G296" i="62"/>
  <c r="F296" i="62"/>
  <c r="L149" i="55" s="1"/>
  <c r="J295" i="62"/>
  <c r="I295" i="62"/>
  <c r="H295" i="62"/>
  <c r="G295" i="62"/>
  <c r="F295" i="62"/>
  <c r="J294" i="62"/>
  <c r="I294" i="62"/>
  <c r="H294" i="62"/>
  <c r="G294" i="62"/>
  <c r="F294" i="62"/>
  <c r="J293" i="62"/>
  <c r="I293" i="62"/>
  <c r="H293" i="62"/>
  <c r="G293" i="62"/>
  <c r="F293" i="62"/>
  <c r="J292" i="62"/>
  <c r="I292" i="62"/>
  <c r="H292" i="62"/>
  <c r="G292" i="62"/>
  <c r="F292" i="62"/>
  <c r="J291" i="62"/>
  <c r="I291" i="62"/>
  <c r="H291" i="62"/>
  <c r="G291" i="62"/>
  <c r="F291" i="62"/>
  <c r="J290" i="62"/>
  <c r="I290" i="62"/>
  <c r="H290" i="62"/>
  <c r="G290" i="62"/>
  <c r="F290" i="62"/>
  <c r="L150" i="55" s="1"/>
  <c r="J289" i="62"/>
  <c r="I289" i="62"/>
  <c r="H289" i="62"/>
  <c r="G289" i="62"/>
  <c r="F289" i="62"/>
  <c r="L153" i="55" s="1"/>
  <c r="J288" i="62"/>
  <c r="I288" i="62"/>
  <c r="H288" i="62"/>
  <c r="G288" i="62"/>
  <c r="F288" i="62"/>
  <c r="L154" i="55" s="1"/>
  <c r="J287" i="62"/>
  <c r="I287" i="62"/>
  <c r="H287" i="62"/>
  <c r="G287" i="62"/>
  <c r="F287" i="62"/>
  <c r="J286" i="62"/>
  <c r="I286" i="62"/>
  <c r="H286" i="62"/>
  <c r="G286" i="62"/>
  <c r="F286" i="62"/>
  <c r="L157" i="55" s="1"/>
  <c r="J285" i="62"/>
  <c r="I285" i="62"/>
  <c r="H285" i="62"/>
  <c r="G285" i="62"/>
  <c r="F285" i="62"/>
  <c r="L158" i="55" s="1"/>
  <c r="J284" i="62"/>
  <c r="I284" i="62"/>
  <c r="H284" i="62"/>
  <c r="G284" i="62"/>
  <c r="F284" i="62"/>
  <c r="J283" i="62"/>
  <c r="I283" i="62"/>
  <c r="H283" i="62"/>
  <c r="G283" i="62"/>
  <c r="F283" i="62"/>
  <c r="L159" i="55" s="1"/>
  <c r="J282" i="62"/>
  <c r="I282" i="62"/>
  <c r="H282" i="62"/>
  <c r="G282" i="62"/>
  <c r="F282" i="62"/>
  <c r="L160" i="55" s="1"/>
  <c r="J281" i="62"/>
  <c r="I281" i="62"/>
  <c r="H281" i="62"/>
  <c r="G281" i="62"/>
  <c r="F281" i="62"/>
  <c r="J280" i="62"/>
  <c r="I280" i="62"/>
  <c r="H280" i="62"/>
  <c r="G280" i="62"/>
  <c r="F280" i="62"/>
  <c r="L161" i="55" s="1"/>
  <c r="J279" i="62"/>
  <c r="I279" i="62"/>
  <c r="H279" i="62"/>
  <c r="G279" i="62"/>
  <c r="F279" i="62"/>
  <c r="L162" i="55" s="1"/>
  <c r="J278" i="62"/>
  <c r="I278" i="62"/>
  <c r="H278" i="62"/>
  <c r="G278" i="62"/>
  <c r="F278" i="62"/>
  <c r="L164" i="55" s="1"/>
  <c r="J277" i="62"/>
  <c r="I277" i="62"/>
  <c r="H277" i="62"/>
  <c r="G277" i="62"/>
  <c r="F277" i="62"/>
  <c r="L165" i="55" s="1"/>
  <c r="J276" i="62"/>
  <c r="I276" i="62"/>
  <c r="H276" i="62"/>
  <c r="G276" i="62"/>
  <c r="F276" i="62"/>
  <c r="L166" i="55" s="1"/>
  <c r="J275" i="62"/>
  <c r="I275" i="62"/>
  <c r="H275" i="62"/>
  <c r="G275" i="62"/>
  <c r="F275" i="62"/>
  <c r="L167" i="55" s="1"/>
  <c r="J274" i="62"/>
  <c r="I274" i="62"/>
  <c r="H274" i="62"/>
  <c r="G274" i="62"/>
  <c r="F274" i="62"/>
  <c r="J273" i="62"/>
  <c r="I273" i="62"/>
  <c r="H273" i="62"/>
  <c r="G273" i="62"/>
  <c r="F273" i="62"/>
  <c r="L170" i="55" s="1"/>
  <c r="J272" i="62"/>
  <c r="I272" i="62"/>
  <c r="H272" i="62"/>
  <c r="G272" i="62"/>
  <c r="F272" i="62"/>
  <c r="J271" i="62"/>
  <c r="I271" i="62"/>
  <c r="H271" i="62"/>
  <c r="G271" i="62"/>
  <c r="F271" i="62"/>
  <c r="L172" i="55" s="1"/>
  <c r="J270" i="62"/>
  <c r="I270" i="62"/>
  <c r="H270" i="62"/>
  <c r="G270" i="62"/>
  <c r="F270" i="62"/>
  <c r="L173" i="55" s="1"/>
  <c r="J269" i="62"/>
  <c r="I269" i="62"/>
  <c r="H269" i="62"/>
  <c r="G269" i="62"/>
  <c r="F269" i="62"/>
  <c r="J268" i="62"/>
  <c r="I268" i="62"/>
  <c r="H268" i="62"/>
  <c r="G268" i="62"/>
  <c r="F268" i="62"/>
  <c r="J267" i="62"/>
  <c r="I267" i="62"/>
  <c r="H267" i="62"/>
  <c r="G267" i="62"/>
  <c r="F267" i="62"/>
  <c r="J266" i="62"/>
  <c r="I266" i="62"/>
  <c r="H266" i="62"/>
  <c r="G266" i="62"/>
  <c r="F266" i="62"/>
  <c r="J265" i="62"/>
  <c r="I265" i="62"/>
  <c r="H265" i="62"/>
  <c r="G265" i="62"/>
  <c r="F265" i="62"/>
  <c r="L175" i="55" s="1"/>
  <c r="J264" i="62"/>
  <c r="I264" i="62"/>
  <c r="H264" i="62"/>
  <c r="G264" i="62"/>
  <c r="F264" i="62"/>
  <c r="L176" i="55" s="1"/>
  <c r="J263" i="62"/>
  <c r="I263" i="62"/>
  <c r="H263" i="62"/>
  <c r="G263" i="62"/>
  <c r="F263" i="62"/>
  <c r="J262" i="62"/>
  <c r="I262" i="62"/>
  <c r="H262" i="62"/>
  <c r="G262" i="62"/>
  <c r="F262" i="62"/>
  <c r="J261" i="62"/>
  <c r="I261" i="62"/>
  <c r="H261" i="62"/>
  <c r="G261" i="62"/>
  <c r="F261" i="62"/>
  <c r="L178" i="55" s="1"/>
  <c r="J260" i="62"/>
  <c r="I260" i="62"/>
  <c r="H260" i="62"/>
  <c r="G260" i="62"/>
  <c r="F260" i="62"/>
  <c r="L185" i="55" s="1"/>
  <c r="J259" i="62"/>
  <c r="I259" i="62"/>
  <c r="H259" i="62"/>
  <c r="G259" i="62"/>
  <c r="F259" i="62"/>
  <c r="L186" i="55" s="1"/>
  <c r="J258" i="62"/>
  <c r="I258" i="62"/>
  <c r="H258" i="62"/>
  <c r="G258" i="62"/>
  <c r="F258" i="62"/>
  <c r="L188" i="55" s="1"/>
  <c r="J257" i="62"/>
  <c r="I257" i="62"/>
  <c r="H257" i="62"/>
  <c r="G257" i="62"/>
  <c r="F257" i="62"/>
  <c r="L189" i="55" s="1"/>
  <c r="J256" i="62"/>
  <c r="I256" i="62"/>
  <c r="H256" i="62"/>
  <c r="G256" i="62"/>
  <c r="F256" i="62"/>
  <c r="J255" i="62"/>
  <c r="I255" i="62"/>
  <c r="H255" i="62"/>
  <c r="G255" i="62"/>
  <c r="F255" i="62"/>
  <c r="F254" i="62"/>
  <c r="J254" i="62"/>
  <c r="I254" i="62"/>
  <c r="H254" i="62"/>
  <c r="G254" i="62"/>
  <c r="P269" i="55"/>
  <c r="P268" i="55"/>
  <c r="P267" i="55"/>
  <c r="P266" i="55"/>
  <c r="P265" i="55"/>
  <c r="P264" i="55"/>
  <c r="P263" i="55"/>
  <c r="P262" i="55"/>
  <c r="P261" i="55"/>
  <c r="P260" i="55"/>
  <c r="P259" i="55"/>
  <c r="P258" i="55"/>
  <c r="P257" i="55"/>
  <c r="P256" i="55"/>
  <c r="P255" i="55"/>
  <c r="P254" i="55"/>
  <c r="P253" i="55"/>
  <c r="P252" i="55"/>
  <c r="P251" i="55"/>
  <c r="P250" i="55"/>
  <c r="P249" i="55"/>
  <c r="P248" i="55"/>
  <c r="P247" i="55"/>
  <c r="P246" i="55"/>
  <c r="P245" i="55"/>
  <c r="P244" i="55"/>
  <c r="P243" i="55"/>
  <c r="P242" i="55"/>
  <c r="P241" i="55"/>
  <c r="P240" i="55"/>
  <c r="P239" i="55"/>
  <c r="P238" i="55"/>
  <c r="P237" i="55"/>
  <c r="P236" i="55"/>
  <c r="P235" i="55"/>
  <c r="P234" i="55"/>
  <c r="P233" i="55"/>
  <c r="P232" i="55"/>
  <c r="P231" i="55"/>
  <c r="P230" i="55"/>
  <c r="P229" i="55"/>
  <c r="P228" i="55"/>
  <c r="P227" i="55"/>
  <c r="P226" i="55"/>
  <c r="P225" i="55"/>
  <c r="P224" i="55"/>
  <c r="P223" i="55"/>
  <c r="P222" i="55"/>
  <c r="P221" i="55"/>
  <c r="P220" i="55"/>
  <c r="P219" i="55"/>
  <c r="P218" i="55"/>
  <c r="P217" i="55"/>
  <c r="P216" i="55"/>
  <c r="P215" i="55"/>
  <c r="P214" i="55"/>
  <c r="P213" i="55"/>
  <c r="P212" i="55"/>
  <c r="P211" i="55"/>
  <c r="P210" i="55"/>
  <c r="P209" i="55"/>
  <c r="P208" i="55"/>
  <c r="P207" i="55"/>
  <c r="P206" i="55"/>
  <c r="P205" i="55"/>
  <c r="P204" i="55"/>
  <c r="P203" i="55"/>
  <c r="P202" i="55"/>
  <c r="P201" i="55"/>
  <c r="P200" i="55"/>
  <c r="P199" i="55"/>
  <c r="P198" i="55"/>
  <c r="P197" i="55"/>
  <c r="P196" i="55"/>
  <c r="P195" i="55"/>
  <c r="P194" i="55"/>
  <c r="P193" i="55"/>
  <c r="P192" i="55"/>
  <c r="P191" i="55"/>
  <c r="P190" i="55"/>
  <c r="P189" i="55"/>
  <c r="P188" i="55"/>
  <c r="P187" i="55"/>
  <c r="P186" i="55"/>
  <c r="P185" i="55"/>
  <c r="P184" i="55"/>
  <c r="P183" i="55"/>
  <c r="P182" i="55"/>
  <c r="P181" i="55"/>
  <c r="P180" i="55"/>
  <c r="P179" i="55"/>
  <c r="P178" i="55"/>
  <c r="P177" i="55"/>
  <c r="P176" i="55"/>
  <c r="P175" i="55"/>
  <c r="P174" i="55"/>
  <c r="P173" i="55"/>
  <c r="P172" i="55"/>
  <c r="P171" i="55"/>
  <c r="P170" i="55"/>
  <c r="P169" i="55"/>
  <c r="P168" i="55"/>
  <c r="P167" i="55"/>
  <c r="P166" i="55"/>
  <c r="P165" i="55"/>
  <c r="P164" i="55"/>
  <c r="P163" i="55"/>
  <c r="P162" i="55"/>
  <c r="P161" i="55"/>
  <c r="P160" i="55"/>
  <c r="P159" i="55"/>
  <c r="P158" i="55"/>
  <c r="P157" i="55"/>
  <c r="P156" i="55"/>
  <c r="P155" i="55"/>
  <c r="P154" i="55"/>
  <c r="P153" i="55"/>
  <c r="P152" i="55"/>
  <c r="P151" i="55"/>
  <c r="P150" i="55"/>
  <c r="P149" i="55"/>
  <c r="P148" i="55"/>
  <c r="P147" i="55"/>
  <c r="P146" i="55"/>
  <c r="P145" i="55"/>
  <c r="P144" i="55"/>
  <c r="P143" i="55"/>
  <c r="P142" i="55"/>
  <c r="P141" i="55"/>
  <c r="P140" i="55"/>
  <c r="P139" i="55"/>
  <c r="P138" i="55"/>
  <c r="P137" i="55"/>
  <c r="P136" i="55"/>
  <c r="P135" i="55"/>
  <c r="P134" i="55"/>
  <c r="P133" i="55"/>
  <c r="P132" i="55"/>
  <c r="P131" i="55"/>
  <c r="P130" i="55"/>
  <c r="P129" i="55"/>
  <c r="P128" i="55"/>
  <c r="P127" i="55"/>
  <c r="P126" i="55"/>
  <c r="P125" i="55"/>
  <c r="P124" i="55"/>
  <c r="P123" i="55"/>
  <c r="P122" i="55"/>
  <c r="P121" i="55"/>
  <c r="P120" i="55"/>
  <c r="P119" i="55"/>
  <c r="P118" i="55"/>
  <c r="P117" i="55"/>
  <c r="P116" i="55"/>
  <c r="P115" i="55"/>
  <c r="P114" i="55"/>
  <c r="P113" i="55"/>
  <c r="P112" i="55"/>
  <c r="P111" i="55"/>
  <c r="P110" i="55"/>
  <c r="P109" i="55"/>
  <c r="P108" i="55"/>
  <c r="P107" i="55"/>
  <c r="P106" i="55"/>
  <c r="P105" i="55"/>
  <c r="P104" i="55"/>
  <c r="P103" i="55"/>
  <c r="P102" i="55"/>
  <c r="P101" i="55"/>
  <c r="P100" i="55"/>
  <c r="P99" i="55"/>
  <c r="P98" i="55"/>
  <c r="P97" i="55"/>
  <c r="P96" i="55"/>
  <c r="P95" i="55"/>
  <c r="P94" i="55"/>
  <c r="P93" i="55"/>
  <c r="P92" i="55"/>
  <c r="P91" i="55"/>
  <c r="P90" i="55"/>
  <c r="P89" i="55"/>
  <c r="P88" i="55"/>
  <c r="P87" i="55"/>
  <c r="P86" i="55"/>
  <c r="P85" i="55"/>
  <c r="P84" i="55"/>
  <c r="P83" i="55"/>
  <c r="P82" i="55"/>
  <c r="P81" i="55"/>
  <c r="P80" i="55"/>
  <c r="P79" i="55"/>
  <c r="P78" i="55"/>
  <c r="P77" i="55"/>
  <c r="P76" i="55"/>
  <c r="P75" i="55"/>
  <c r="P74" i="55"/>
  <c r="P73" i="55"/>
  <c r="P72" i="55"/>
  <c r="P71" i="55"/>
  <c r="P70" i="55"/>
  <c r="P69" i="55"/>
  <c r="P68" i="55"/>
  <c r="P67" i="55"/>
  <c r="P66" i="55"/>
  <c r="P65" i="55"/>
  <c r="P64" i="55"/>
  <c r="P63" i="55"/>
  <c r="P62" i="55"/>
  <c r="P61" i="55"/>
  <c r="P60" i="55"/>
  <c r="P59" i="55"/>
  <c r="P58" i="55"/>
  <c r="P57" i="55"/>
  <c r="P56" i="55"/>
  <c r="P55" i="55"/>
  <c r="P54" i="55"/>
  <c r="P53" i="55"/>
  <c r="P52" i="55"/>
  <c r="P51" i="55"/>
  <c r="P50" i="55"/>
  <c r="P49" i="55"/>
  <c r="P48" i="55"/>
  <c r="P47" i="55"/>
  <c r="P46" i="55"/>
  <c r="P45" i="55"/>
  <c r="P44" i="55"/>
  <c r="P43" i="55"/>
  <c r="P42" i="55"/>
  <c r="P41" i="55"/>
  <c r="P40" i="55"/>
  <c r="P39" i="55"/>
  <c r="P38" i="55"/>
  <c r="P37" i="55"/>
  <c r="P36" i="55"/>
  <c r="P35" i="55"/>
  <c r="P34" i="55"/>
  <c r="P33" i="55"/>
  <c r="P32" i="55"/>
  <c r="P31" i="55"/>
  <c r="P30" i="55"/>
  <c r="P29" i="55"/>
  <c r="P28" i="55"/>
  <c r="P27" i="55"/>
  <c r="P26" i="55"/>
  <c r="P25" i="55"/>
  <c r="P24" i="55"/>
  <c r="P23" i="55"/>
  <c r="P22" i="55"/>
  <c r="P21" i="55"/>
  <c r="P20" i="55"/>
  <c r="P19" i="55"/>
  <c r="P18" i="55"/>
  <c r="P17" i="55"/>
  <c r="P16" i="55"/>
  <c r="P15" i="55"/>
  <c r="P14" i="55"/>
  <c r="P13" i="55"/>
  <c r="P12" i="55"/>
  <c r="P11" i="55"/>
  <c r="P10" i="55"/>
  <c r="P9" i="55"/>
  <c r="P8" i="55"/>
  <c r="P7" i="55"/>
  <c r="P6" i="55"/>
  <c r="P5" i="55"/>
  <c r="P4" i="55"/>
  <c r="N269" i="55"/>
  <c r="M269" i="55"/>
  <c r="L269" i="55"/>
  <c r="K269" i="55"/>
  <c r="J269" i="55"/>
  <c r="I269" i="55"/>
  <c r="H269" i="55"/>
  <c r="G269" i="55"/>
  <c r="F269" i="55"/>
  <c r="E269" i="55"/>
  <c r="D269" i="55"/>
  <c r="C269" i="55"/>
  <c r="N268" i="55"/>
  <c r="M268" i="55"/>
  <c r="L268" i="55"/>
  <c r="K268" i="55"/>
  <c r="J268" i="55"/>
  <c r="I268" i="55"/>
  <c r="H268" i="55"/>
  <c r="G268" i="55"/>
  <c r="F268" i="55"/>
  <c r="E268" i="55"/>
  <c r="D268" i="55"/>
  <c r="C268" i="55"/>
  <c r="N267" i="55"/>
  <c r="M267" i="55"/>
  <c r="L267" i="55"/>
  <c r="K267" i="55"/>
  <c r="J267" i="55"/>
  <c r="I267" i="55"/>
  <c r="H267" i="55"/>
  <c r="G267" i="55"/>
  <c r="F267" i="55"/>
  <c r="E267" i="55"/>
  <c r="D267" i="55"/>
  <c r="C267" i="55"/>
  <c r="N266" i="55"/>
  <c r="M266" i="55"/>
  <c r="L266" i="55"/>
  <c r="K266" i="55"/>
  <c r="J266" i="55"/>
  <c r="I266" i="55"/>
  <c r="H266" i="55"/>
  <c r="G266" i="55"/>
  <c r="F266" i="55"/>
  <c r="E266" i="55"/>
  <c r="D266" i="55"/>
  <c r="C266" i="55"/>
  <c r="N265" i="55"/>
  <c r="M265" i="55"/>
  <c r="L265" i="55"/>
  <c r="K265" i="55"/>
  <c r="J265" i="55"/>
  <c r="I265" i="55"/>
  <c r="H265" i="55"/>
  <c r="G265" i="55"/>
  <c r="F265" i="55"/>
  <c r="E265" i="55"/>
  <c r="D265" i="55"/>
  <c r="C265" i="55"/>
  <c r="N264" i="55"/>
  <c r="M264" i="55"/>
  <c r="L264" i="55"/>
  <c r="K264" i="55"/>
  <c r="J264" i="55"/>
  <c r="I264" i="55"/>
  <c r="H264" i="55"/>
  <c r="G264" i="55"/>
  <c r="F264" i="55"/>
  <c r="E264" i="55"/>
  <c r="D264" i="55"/>
  <c r="C264" i="55"/>
  <c r="N263" i="55"/>
  <c r="M263" i="55"/>
  <c r="L263" i="55"/>
  <c r="K263" i="55"/>
  <c r="J263" i="55"/>
  <c r="I263" i="55"/>
  <c r="H263" i="55"/>
  <c r="G263" i="55"/>
  <c r="F263" i="55"/>
  <c r="E263" i="55"/>
  <c r="D263" i="55"/>
  <c r="C263" i="55"/>
  <c r="M262" i="55"/>
  <c r="L262" i="55"/>
  <c r="K262" i="55"/>
  <c r="J262" i="55"/>
  <c r="I262" i="55"/>
  <c r="H262" i="55"/>
  <c r="G262" i="55"/>
  <c r="F262" i="55"/>
  <c r="E262" i="55"/>
  <c r="D262" i="55"/>
  <c r="C262" i="55"/>
  <c r="M261" i="55"/>
  <c r="L261" i="55"/>
  <c r="K261" i="55"/>
  <c r="J261" i="55"/>
  <c r="I261" i="55"/>
  <c r="H261" i="55"/>
  <c r="G261" i="55"/>
  <c r="F261" i="55"/>
  <c r="E261" i="55"/>
  <c r="D261" i="55"/>
  <c r="C261" i="55"/>
  <c r="N260" i="55"/>
  <c r="M260" i="55"/>
  <c r="L260" i="55"/>
  <c r="K260" i="55"/>
  <c r="J260" i="55"/>
  <c r="I260" i="55"/>
  <c r="H260" i="55"/>
  <c r="G260" i="55"/>
  <c r="F260" i="55"/>
  <c r="E260" i="55"/>
  <c r="D260" i="55"/>
  <c r="C260" i="55"/>
  <c r="L259" i="55"/>
  <c r="K259" i="55"/>
  <c r="J259" i="55"/>
  <c r="I259" i="55"/>
  <c r="H259" i="55"/>
  <c r="G259" i="55"/>
  <c r="F259" i="55"/>
  <c r="E259" i="55"/>
  <c r="D259" i="55"/>
  <c r="C259" i="55"/>
  <c r="L258" i="55"/>
  <c r="K258" i="55"/>
  <c r="J258" i="55"/>
  <c r="I258" i="55"/>
  <c r="H258" i="55"/>
  <c r="G258" i="55"/>
  <c r="F258" i="55"/>
  <c r="E258" i="55"/>
  <c r="D258" i="55"/>
  <c r="C258" i="55"/>
  <c r="N257" i="55"/>
  <c r="M257" i="55"/>
  <c r="L257" i="55"/>
  <c r="K257" i="55"/>
  <c r="J257" i="55"/>
  <c r="I257" i="55"/>
  <c r="H257" i="55"/>
  <c r="G257" i="55"/>
  <c r="F257" i="55"/>
  <c r="E257" i="55"/>
  <c r="D257" i="55"/>
  <c r="C257" i="55"/>
  <c r="N256" i="55"/>
  <c r="M256" i="55"/>
  <c r="L256" i="55"/>
  <c r="K256" i="55"/>
  <c r="J256" i="55"/>
  <c r="I256" i="55"/>
  <c r="H256" i="55"/>
  <c r="G256" i="55"/>
  <c r="F256" i="55"/>
  <c r="E256" i="55"/>
  <c r="D256" i="55"/>
  <c r="C256" i="55"/>
  <c r="N255" i="55"/>
  <c r="M255" i="55"/>
  <c r="L255" i="55"/>
  <c r="K255" i="55"/>
  <c r="J255" i="55"/>
  <c r="I255" i="55"/>
  <c r="H255" i="55"/>
  <c r="G255" i="55"/>
  <c r="F255" i="55"/>
  <c r="E255" i="55"/>
  <c r="D255" i="55"/>
  <c r="C255" i="55"/>
  <c r="N254" i="55"/>
  <c r="M254" i="55"/>
  <c r="L254" i="55"/>
  <c r="K254" i="55"/>
  <c r="J254" i="55"/>
  <c r="I254" i="55"/>
  <c r="H254" i="55"/>
  <c r="G254" i="55"/>
  <c r="F254" i="55"/>
  <c r="E254" i="55"/>
  <c r="D254" i="55"/>
  <c r="C254" i="55"/>
  <c r="N253" i="55"/>
  <c r="M253" i="55"/>
  <c r="L253" i="55"/>
  <c r="K253" i="55"/>
  <c r="J253" i="55"/>
  <c r="I253" i="55"/>
  <c r="H253" i="55"/>
  <c r="G253" i="55"/>
  <c r="F253" i="55"/>
  <c r="E253" i="55"/>
  <c r="D253" i="55"/>
  <c r="C253" i="55"/>
  <c r="N252" i="55"/>
  <c r="M252" i="55"/>
  <c r="L252" i="55"/>
  <c r="K252" i="55"/>
  <c r="J252" i="55"/>
  <c r="I252" i="55"/>
  <c r="H252" i="55"/>
  <c r="G252" i="55"/>
  <c r="F252" i="55"/>
  <c r="E252" i="55"/>
  <c r="D252" i="55"/>
  <c r="C252" i="55"/>
  <c r="N251" i="55"/>
  <c r="M251" i="55"/>
  <c r="L251" i="55"/>
  <c r="K251" i="55"/>
  <c r="J251" i="55"/>
  <c r="I251" i="55"/>
  <c r="H251" i="55"/>
  <c r="G251" i="55"/>
  <c r="F251" i="55"/>
  <c r="E251" i="55"/>
  <c r="D251" i="55"/>
  <c r="C251" i="55"/>
  <c r="N250" i="55"/>
  <c r="M250" i="55"/>
  <c r="L250" i="55"/>
  <c r="K250" i="55"/>
  <c r="J250" i="55"/>
  <c r="I250" i="55"/>
  <c r="H250" i="55"/>
  <c r="G250" i="55"/>
  <c r="F250" i="55"/>
  <c r="E250" i="55"/>
  <c r="D250" i="55"/>
  <c r="C250" i="55"/>
  <c r="N249" i="55"/>
  <c r="M249" i="55"/>
  <c r="L249" i="55"/>
  <c r="K249" i="55"/>
  <c r="J249" i="55"/>
  <c r="I249" i="55"/>
  <c r="H249" i="55"/>
  <c r="G249" i="55"/>
  <c r="F249" i="55"/>
  <c r="E249" i="55"/>
  <c r="D249" i="55"/>
  <c r="C249" i="55"/>
  <c r="N248" i="55"/>
  <c r="M248" i="55"/>
  <c r="L248" i="55"/>
  <c r="K248" i="55"/>
  <c r="J248" i="55"/>
  <c r="I248" i="55"/>
  <c r="H248" i="55"/>
  <c r="G248" i="55"/>
  <c r="F248" i="55"/>
  <c r="E248" i="55"/>
  <c r="D248" i="55"/>
  <c r="C248" i="55"/>
  <c r="N247" i="55"/>
  <c r="M247" i="55"/>
  <c r="L247" i="55"/>
  <c r="K247" i="55"/>
  <c r="J247" i="55"/>
  <c r="I247" i="55"/>
  <c r="H247" i="55"/>
  <c r="G247" i="55"/>
  <c r="F247" i="55"/>
  <c r="E247" i="55"/>
  <c r="D247" i="55"/>
  <c r="C247" i="55"/>
  <c r="N246" i="55"/>
  <c r="M246" i="55"/>
  <c r="L246" i="55"/>
  <c r="K246" i="55"/>
  <c r="J246" i="55"/>
  <c r="I246" i="55"/>
  <c r="H246" i="55"/>
  <c r="G246" i="55"/>
  <c r="F246" i="55"/>
  <c r="E246" i="55"/>
  <c r="D246" i="55"/>
  <c r="C246" i="55"/>
  <c r="N245" i="55"/>
  <c r="M245" i="55"/>
  <c r="L245" i="55"/>
  <c r="K245" i="55"/>
  <c r="J245" i="55"/>
  <c r="I245" i="55"/>
  <c r="H245" i="55"/>
  <c r="G245" i="55"/>
  <c r="F245" i="55"/>
  <c r="E245" i="55"/>
  <c r="D245" i="55"/>
  <c r="C245" i="55"/>
  <c r="N244" i="55"/>
  <c r="M244" i="55"/>
  <c r="L244" i="55"/>
  <c r="K244" i="55"/>
  <c r="J244" i="55"/>
  <c r="I244" i="55"/>
  <c r="H244" i="55"/>
  <c r="G244" i="55"/>
  <c r="F244" i="55"/>
  <c r="E244" i="55"/>
  <c r="D244" i="55"/>
  <c r="C244" i="55"/>
  <c r="N243" i="55"/>
  <c r="M243" i="55"/>
  <c r="L243" i="55"/>
  <c r="K243" i="55"/>
  <c r="J243" i="55"/>
  <c r="I243" i="55"/>
  <c r="H243" i="55"/>
  <c r="G243" i="55"/>
  <c r="F243" i="55"/>
  <c r="E243" i="55"/>
  <c r="D243" i="55"/>
  <c r="C243" i="55"/>
  <c r="N242" i="55"/>
  <c r="M242" i="55"/>
  <c r="L242" i="55"/>
  <c r="K242" i="55"/>
  <c r="J242" i="55"/>
  <c r="I242" i="55"/>
  <c r="H242" i="55"/>
  <c r="G242" i="55"/>
  <c r="F242" i="55"/>
  <c r="E242" i="55"/>
  <c r="D242" i="55"/>
  <c r="C242" i="55"/>
  <c r="N241" i="55"/>
  <c r="M241" i="55"/>
  <c r="L241" i="55"/>
  <c r="K241" i="55"/>
  <c r="J241" i="55"/>
  <c r="I241" i="55"/>
  <c r="H241" i="55"/>
  <c r="G241" i="55"/>
  <c r="F241" i="55"/>
  <c r="E241" i="55"/>
  <c r="D241" i="55"/>
  <c r="C241" i="55"/>
  <c r="N240" i="55"/>
  <c r="M240" i="55"/>
  <c r="L240" i="55"/>
  <c r="K240" i="55"/>
  <c r="J240" i="55"/>
  <c r="I240" i="55"/>
  <c r="H240" i="55"/>
  <c r="G240" i="55"/>
  <c r="F240" i="55"/>
  <c r="E240" i="55"/>
  <c r="D240" i="55"/>
  <c r="C240" i="55"/>
  <c r="N239" i="55"/>
  <c r="M239" i="55"/>
  <c r="L239" i="55"/>
  <c r="K239" i="55"/>
  <c r="J239" i="55"/>
  <c r="I239" i="55"/>
  <c r="H239" i="55"/>
  <c r="G239" i="55"/>
  <c r="F239" i="55"/>
  <c r="E239" i="55"/>
  <c r="D239" i="55"/>
  <c r="C239" i="55"/>
  <c r="N238" i="55"/>
  <c r="M238" i="55"/>
  <c r="L238" i="55"/>
  <c r="K238" i="55"/>
  <c r="J238" i="55"/>
  <c r="I238" i="55"/>
  <c r="H238" i="55"/>
  <c r="G238" i="55"/>
  <c r="F238" i="55"/>
  <c r="E238" i="55"/>
  <c r="D238" i="55"/>
  <c r="C238" i="55"/>
  <c r="N237" i="55"/>
  <c r="M237" i="55"/>
  <c r="L237" i="55"/>
  <c r="K237" i="55"/>
  <c r="J237" i="55"/>
  <c r="I237" i="55"/>
  <c r="H237" i="55"/>
  <c r="G237" i="55"/>
  <c r="F237" i="55"/>
  <c r="E237" i="55"/>
  <c r="D237" i="55"/>
  <c r="C237" i="55"/>
  <c r="N236" i="55"/>
  <c r="M236" i="55"/>
  <c r="L236" i="55"/>
  <c r="K236" i="55"/>
  <c r="J236" i="55"/>
  <c r="I236" i="55"/>
  <c r="H236" i="55"/>
  <c r="G236" i="55"/>
  <c r="F236" i="55"/>
  <c r="E236" i="55"/>
  <c r="D236" i="55"/>
  <c r="C236" i="55"/>
  <c r="N235" i="55"/>
  <c r="M235" i="55"/>
  <c r="L235" i="55"/>
  <c r="K235" i="55"/>
  <c r="J235" i="55"/>
  <c r="I235" i="55"/>
  <c r="H235" i="55"/>
  <c r="G235" i="55"/>
  <c r="F235" i="55"/>
  <c r="E235" i="55"/>
  <c r="D235" i="55"/>
  <c r="C235" i="55"/>
  <c r="N234" i="55"/>
  <c r="M234" i="55"/>
  <c r="L234" i="55"/>
  <c r="K234" i="55"/>
  <c r="J234" i="55"/>
  <c r="I234" i="55"/>
  <c r="H234" i="55"/>
  <c r="G234" i="55"/>
  <c r="F234" i="55"/>
  <c r="E234" i="55"/>
  <c r="D234" i="55"/>
  <c r="C234" i="55"/>
  <c r="N233" i="55"/>
  <c r="M233" i="55"/>
  <c r="L233" i="55"/>
  <c r="K233" i="55"/>
  <c r="J233" i="55"/>
  <c r="I233" i="55"/>
  <c r="H233" i="55"/>
  <c r="G233" i="55"/>
  <c r="F233" i="55"/>
  <c r="E233" i="55"/>
  <c r="D233" i="55"/>
  <c r="C233" i="55"/>
  <c r="N232" i="55"/>
  <c r="M232" i="55"/>
  <c r="L232" i="55"/>
  <c r="K232" i="55"/>
  <c r="J232" i="55"/>
  <c r="I232" i="55"/>
  <c r="H232" i="55"/>
  <c r="G232" i="55"/>
  <c r="F232" i="55"/>
  <c r="E232" i="55"/>
  <c r="D232" i="55"/>
  <c r="C232" i="55"/>
  <c r="N231" i="55"/>
  <c r="M231" i="55"/>
  <c r="L231" i="55"/>
  <c r="K231" i="55"/>
  <c r="J231" i="55"/>
  <c r="I231" i="55"/>
  <c r="H231" i="55"/>
  <c r="G231" i="55"/>
  <c r="F231" i="55"/>
  <c r="E231" i="55"/>
  <c r="D231" i="55"/>
  <c r="C231" i="55"/>
  <c r="N230" i="55"/>
  <c r="M230" i="55"/>
  <c r="L230" i="55"/>
  <c r="K230" i="55"/>
  <c r="J230" i="55"/>
  <c r="I230" i="55"/>
  <c r="H230" i="55"/>
  <c r="G230" i="55"/>
  <c r="F230" i="55"/>
  <c r="E230" i="55"/>
  <c r="D230" i="55"/>
  <c r="C230" i="55"/>
  <c r="N229" i="55"/>
  <c r="M229" i="55"/>
  <c r="L229" i="55"/>
  <c r="K229" i="55"/>
  <c r="J229" i="55"/>
  <c r="I229" i="55"/>
  <c r="H229" i="55"/>
  <c r="G229" i="55"/>
  <c r="F229" i="55"/>
  <c r="E229" i="55"/>
  <c r="D229" i="55"/>
  <c r="C229" i="55"/>
  <c r="N228" i="55"/>
  <c r="M228" i="55"/>
  <c r="L228" i="55"/>
  <c r="K228" i="55"/>
  <c r="J228" i="55"/>
  <c r="I228" i="55"/>
  <c r="H228" i="55"/>
  <c r="G228" i="55"/>
  <c r="F228" i="55"/>
  <c r="E228" i="55"/>
  <c r="D228" i="55"/>
  <c r="C228" i="55"/>
  <c r="N227" i="55"/>
  <c r="M227" i="55"/>
  <c r="L227" i="55"/>
  <c r="J227" i="55"/>
  <c r="I227" i="55"/>
  <c r="H227" i="55"/>
  <c r="G227" i="55"/>
  <c r="F227" i="55"/>
  <c r="E227" i="55"/>
  <c r="D227" i="55"/>
  <c r="C227" i="55"/>
  <c r="N226" i="55"/>
  <c r="M226" i="55"/>
  <c r="L226" i="55"/>
  <c r="K226" i="55"/>
  <c r="J226" i="55"/>
  <c r="I226" i="55"/>
  <c r="H226" i="55"/>
  <c r="G226" i="55"/>
  <c r="F226" i="55"/>
  <c r="E226" i="55"/>
  <c r="D226" i="55"/>
  <c r="C226" i="55"/>
  <c r="N225" i="55"/>
  <c r="M225" i="55"/>
  <c r="L225" i="55"/>
  <c r="K225" i="55"/>
  <c r="J225" i="55"/>
  <c r="I225" i="55"/>
  <c r="H225" i="55"/>
  <c r="G225" i="55"/>
  <c r="F225" i="55"/>
  <c r="E225" i="55"/>
  <c r="D225" i="55"/>
  <c r="C225" i="55"/>
  <c r="N224" i="55"/>
  <c r="M224" i="55"/>
  <c r="L224" i="55"/>
  <c r="K224" i="55"/>
  <c r="J224" i="55"/>
  <c r="I224" i="55"/>
  <c r="H224" i="55"/>
  <c r="G224" i="55"/>
  <c r="F224" i="55"/>
  <c r="E224" i="55"/>
  <c r="D224" i="55"/>
  <c r="C224" i="55"/>
  <c r="N223" i="55"/>
  <c r="M223" i="55"/>
  <c r="L223" i="55"/>
  <c r="K223" i="55"/>
  <c r="J223" i="55"/>
  <c r="I223" i="55"/>
  <c r="H223" i="55"/>
  <c r="G223" i="55"/>
  <c r="F223" i="55"/>
  <c r="E223" i="55"/>
  <c r="D223" i="55"/>
  <c r="C223" i="55"/>
  <c r="N222" i="55"/>
  <c r="M222" i="55"/>
  <c r="L222" i="55"/>
  <c r="K222" i="55"/>
  <c r="J222" i="55"/>
  <c r="I222" i="55"/>
  <c r="H222" i="55"/>
  <c r="G222" i="55"/>
  <c r="F222" i="55"/>
  <c r="E222" i="55"/>
  <c r="D222" i="55"/>
  <c r="C222" i="55"/>
  <c r="N221" i="55"/>
  <c r="M221" i="55"/>
  <c r="L221" i="55"/>
  <c r="K221" i="55"/>
  <c r="J221" i="55"/>
  <c r="I221" i="55"/>
  <c r="H221" i="55"/>
  <c r="G221" i="55"/>
  <c r="F221" i="55"/>
  <c r="E221" i="55"/>
  <c r="D221" i="55"/>
  <c r="C221" i="55"/>
  <c r="N220" i="55"/>
  <c r="M220" i="55"/>
  <c r="L220" i="55"/>
  <c r="K220" i="55"/>
  <c r="J220" i="55"/>
  <c r="I220" i="55"/>
  <c r="H220" i="55"/>
  <c r="G220" i="55"/>
  <c r="F220" i="55"/>
  <c r="E220" i="55"/>
  <c r="D220" i="55"/>
  <c r="C220" i="55"/>
  <c r="N219" i="55"/>
  <c r="M219" i="55"/>
  <c r="L219" i="55"/>
  <c r="K219" i="55"/>
  <c r="J219" i="55"/>
  <c r="I219" i="55"/>
  <c r="H219" i="55"/>
  <c r="G219" i="55"/>
  <c r="F219" i="55"/>
  <c r="D219" i="55"/>
  <c r="C219" i="55"/>
  <c r="N218" i="55"/>
  <c r="M218" i="55"/>
  <c r="L218" i="55"/>
  <c r="K218" i="55"/>
  <c r="J218" i="55"/>
  <c r="I218" i="55"/>
  <c r="H218" i="55"/>
  <c r="G218" i="55"/>
  <c r="F218" i="55"/>
  <c r="E218" i="55"/>
  <c r="D218" i="55"/>
  <c r="C218" i="55"/>
  <c r="N217" i="55"/>
  <c r="M217" i="55"/>
  <c r="L217" i="55"/>
  <c r="K217" i="55"/>
  <c r="J217" i="55"/>
  <c r="I217" i="55"/>
  <c r="H217" i="55"/>
  <c r="G217" i="55"/>
  <c r="F217" i="55"/>
  <c r="E217" i="55"/>
  <c r="D217" i="55"/>
  <c r="C217" i="55"/>
  <c r="N216" i="55"/>
  <c r="M216" i="55"/>
  <c r="L216" i="55"/>
  <c r="K216" i="55"/>
  <c r="J216" i="55"/>
  <c r="I216" i="55"/>
  <c r="H216" i="55"/>
  <c r="G216" i="55"/>
  <c r="F216" i="55"/>
  <c r="E216" i="55"/>
  <c r="D216" i="55"/>
  <c r="C216" i="55"/>
  <c r="N215" i="55"/>
  <c r="M215" i="55"/>
  <c r="L215" i="55"/>
  <c r="K215" i="55"/>
  <c r="J215" i="55"/>
  <c r="I215" i="55"/>
  <c r="H215" i="55"/>
  <c r="G215" i="55"/>
  <c r="F215" i="55"/>
  <c r="E215" i="55"/>
  <c r="D215" i="55"/>
  <c r="C215" i="55"/>
  <c r="N214" i="55"/>
  <c r="M214" i="55"/>
  <c r="L214" i="55"/>
  <c r="K214" i="55"/>
  <c r="J214" i="55"/>
  <c r="I214" i="55"/>
  <c r="H214" i="55"/>
  <c r="G214" i="55"/>
  <c r="F214" i="55"/>
  <c r="E214" i="55"/>
  <c r="D214" i="55"/>
  <c r="C214" i="55"/>
  <c r="N213" i="55"/>
  <c r="M213" i="55"/>
  <c r="L213" i="55"/>
  <c r="K213" i="55"/>
  <c r="J213" i="55"/>
  <c r="I213" i="55"/>
  <c r="H213" i="55"/>
  <c r="G213" i="55"/>
  <c r="F213" i="55"/>
  <c r="E213" i="55"/>
  <c r="D213" i="55"/>
  <c r="C213" i="55"/>
  <c r="N212" i="55"/>
  <c r="M212" i="55"/>
  <c r="L212" i="55"/>
  <c r="K212" i="55"/>
  <c r="J212" i="55"/>
  <c r="I212" i="55"/>
  <c r="H212" i="55"/>
  <c r="G212" i="55"/>
  <c r="F212" i="55"/>
  <c r="E212" i="55"/>
  <c r="D212" i="55"/>
  <c r="C212" i="55"/>
  <c r="N211" i="55"/>
  <c r="M211" i="55"/>
  <c r="L211" i="55"/>
  <c r="K211" i="55"/>
  <c r="J211" i="55"/>
  <c r="I211" i="55"/>
  <c r="H211" i="55"/>
  <c r="G211" i="55"/>
  <c r="F211" i="55"/>
  <c r="E211" i="55"/>
  <c r="D211" i="55"/>
  <c r="C211" i="55"/>
  <c r="N210" i="55"/>
  <c r="M210" i="55"/>
  <c r="L210" i="55"/>
  <c r="K210" i="55"/>
  <c r="J210" i="55"/>
  <c r="I210" i="55"/>
  <c r="H210" i="55"/>
  <c r="G210" i="55"/>
  <c r="F210" i="55"/>
  <c r="E210" i="55"/>
  <c r="D210" i="55"/>
  <c r="C210" i="55"/>
  <c r="N209" i="55"/>
  <c r="M209" i="55"/>
  <c r="L209" i="55"/>
  <c r="K209" i="55"/>
  <c r="J209" i="55"/>
  <c r="I209" i="55"/>
  <c r="H209" i="55"/>
  <c r="G209" i="55"/>
  <c r="F209" i="55"/>
  <c r="E209" i="55"/>
  <c r="D209" i="55"/>
  <c r="C209" i="55"/>
  <c r="N208" i="55"/>
  <c r="M208" i="55"/>
  <c r="L208" i="55"/>
  <c r="K208" i="55"/>
  <c r="J208" i="55"/>
  <c r="I208" i="55"/>
  <c r="H208" i="55"/>
  <c r="G208" i="55"/>
  <c r="F208" i="55"/>
  <c r="E208" i="55"/>
  <c r="D208" i="55"/>
  <c r="C208" i="55"/>
  <c r="N207" i="55"/>
  <c r="M207" i="55"/>
  <c r="L207" i="55"/>
  <c r="K207" i="55"/>
  <c r="J207" i="55"/>
  <c r="I207" i="55"/>
  <c r="H207" i="55"/>
  <c r="G207" i="55"/>
  <c r="F207" i="55"/>
  <c r="E207" i="55"/>
  <c r="D207" i="55"/>
  <c r="C207" i="55"/>
  <c r="N206" i="55"/>
  <c r="M206" i="55"/>
  <c r="L206" i="55"/>
  <c r="K206" i="55"/>
  <c r="J206" i="55"/>
  <c r="I206" i="55"/>
  <c r="H206" i="55"/>
  <c r="G206" i="55"/>
  <c r="F206" i="55"/>
  <c r="E206" i="55"/>
  <c r="D206" i="55"/>
  <c r="C206" i="55"/>
  <c r="N205" i="55"/>
  <c r="M205" i="55"/>
  <c r="L205" i="55"/>
  <c r="K205" i="55"/>
  <c r="J205" i="55"/>
  <c r="I205" i="55"/>
  <c r="H205" i="55"/>
  <c r="G205" i="55"/>
  <c r="F205" i="55"/>
  <c r="E205" i="55"/>
  <c r="D205" i="55"/>
  <c r="C205" i="55"/>
  <c r="N204" i="55"/>
  <c r="M204" i="55"/>
  <c r="L204" i="55"/>
  <c r="K204" i="55"/>
  <c r="J204" i="55"/>
  <c r="I204" i="55"/>
  <c r="H204" i="55"/>
  <c r="G204" i="55"/>
  <c r="F204" i="55"/>
  <c r="E204" i="55"/>
  <c r="D204" i="55"/>
  <c r="C204" i="55"/>
  <c r="N203" i="55"/>
  <c r="M203" i="55"/>
  <c r="L203" i="55"/>
  <c r="K203" i="55"/>
  <c r="J203" i="55"/>
  <c r="I203" i="55"/>
  <c r="H203" i="55"/>
  <c r="G203" i="55"/>
  <c r="F203" i="55"/>
  <c r="E203" i="55"/>
  <c r="D203" i="55"/>
  <c r="C203" i="55"/>
  <c r="N202" i="55"/>
  <c r="M202" i="55"/>
  <c r="L202" i="55"/>
  <c r="K202" i="55"/>
  <c r="J202" i="55"/>
  <c r="I202" i="55"/>
  <c r="H202" i="55"/>
  <c r="G202" i="55"/>
  <c r="F202" i="55"/>
  <c r="E202" i="55"/>
  <c r="D202" i="55"/>
  <c r="C202" i="55"/>
  <c r="N201" i="55"/>
  <c r="M201" i="55"/>
  <c r="L201" i="55"/>
  <c r="K201" i="55"/>
  <c r="J201" i="55"/>
  <c r="I201" i="55"/>
  <c r="H201" i="55"/>
  <c r="G201" i="55"/>
  <c r="F201" i="55"/>
  <c r="E201" i="55"/>
  <c r="D201" i="55"/>
  <c r="C201" i="55"/>
  <c r="N200" i="55"/>
  <c r="M200" i="55"/>
  <c r="L200" i="55"/>
  <c r="K200" i="55"/>
  <c r="J200" i="55"/>
  <c r="I200" i="55"/>
  <c r="H200" i="55"/>
  <c r="G200" i="55"/>
  <c r="F200" i="55"/>
  <c r="E200" i="55"/>
  <c r="D200" i="55"/>
  <c r="C200" i="55"/>
  <c r="N199" i="55"/>
  <c r="M199" i="55"/>
  <c r="L199" i="55"/>
  <c r="K199" i="55"/>
  <c r="J199" i="55"/>
  <c r="I199" i="55"/>
  <c r="H199" i="55"/>
  <c r="G199" i="55"/>
  <c r="F199" i="55"/>
  <c r="E199" i="55"/>
  <c r="D199" i="55"/>
  <c r="C199" i="55"/>
  <c r="N198" i="55"/>
  <c r="M198" i="55"/>
  <c r="L198" i="55"/>
  <c r="K198" i="55"/>
  <c r="J198" i="55"/>
  <c r="I198" i="55"/>
  <c r="H198" i="55"/>
  <c r="G198" i="55"/>
  <c r="F198" i="55"/>
  <c r="E198" i="55"/>
  <c r="D198" i="55"/>
  <c r="C198" i="55"/>
  <c r="N197" i="55"/>
  <c r="M197" i="55"/>
  <c r="L197" i="55"/>
  <c r="K197" i="55"/>
  <c r="J197" i="55"/>
  <c r="I197" i="55"/>
  <c r="H197" i="55"/>
  <c r="G197" i="55"/>
  <c r="F197" i="55"/>
  <c r="E197" i="55"/>
  <c r="D197" i="55"/>
  <c r="C197" i="55"/>
  <c r="N196" i="55"/>
  <c r="M196" i="55"/>
  <c r="L196" i="55"/>
  <c r="K196" i="55"/>
  <c r="J196" i="55"/>
  <c r="I196" i="55"/>
  <c r="H196" i="55"/>
  <c r="G196" i="55"/>
  <c r="F196" i="55"/>
  <c r="E196" i="55"/>
  <c r="D196" i="55"/>
  <c r="C196" i="55"/>
  <c r="N195" i="55"/>
  <c r="M195" i="55"/>
  <c r="L195" i="55"/>
  <c r="K195" i="55"/>
  <c r="J195" i="55"/>
  <c r="I195" i="55"/>
  <c r="H195" i="55"/>
  <c r="G195" i="55"/>
  <c r="F195" i="55"/>
  <c r="E195" i="55"/>
  <c r="D195" i="55"/>
  <c r="C195" i="55"/>
  <c r="N194" i="55"/>
  <c r="M194" i="55"/>
  <c r="L194" i="55"/>
  <c r="K194" i="55"/>
  <c r="J194" i="55"/>
  <c r="I194" i="55"/>
  <c r="H194" i="55"/>
  <c r="G194" i="55"/>
  <c r="F194" i="55"/>
  <c r="E194" i="55"/>
  <c r="D194" i="55"/>
  <c r="C194" i="55"/>
  <c r="N193" i="55"/>
  <c r="M193" i="55"/>
  <c r="L193" i="55"/>
  <c r="I193" i="55"/>
  <c r="H193" i="55"/>
  <c r="G193" i="55"/>
  <c r="F193" i="55"/>
  <c r="E193" i="55"/>
  <c r="D193" i="55"/>
  <c r="C193" i="55"/>
  <c r="N192" i="55"/>
  <c r="M192" i="55"/>
  <c r="L192" i="55"/>
  <c r="K192" i="55"/>
  <c r="J192" i="55"/>
  <c r="I192" i="55"/>
  <c r="H192" i="55"/>
  <c r="G192" i="55"/>
  <c r="F192" i="55"/>
  <c r="E192" i="55"/>
  <c r="D192" i="55"/>
  <c r="C192" i="55"/>
  <c r="N191" i="55"/>
  <c r="M191" i="55"/>
  <c r="L191" i="55"/>
  <c r="K191" i="55"/>
  <c r="J191" i="55"/>
  <c r="I191" i="55"/>
  <c r="H191" i="55"/>
  <c r="G191" i="55"/>
  <c r="F191" i="55"/>
  <c r="E191" i="55"/>
  <c r="D191" i="55"/>
  <c r="C191" i="55"/>
  <c r="N190" i="55"/>
  <c r="M190" i="55"/>
  <c r="L190" i="55"/>
  <c r="K190" i="55"/>
  <c r="J190" i="55"/>
  <c r="I190" i="55"/>
  <c r="H190" i="55"/>
  <c r="G190" i="55"/>
  <c r="F190" i="55"/>
  <c r="E190" i="55"/>
  <c r="D190" i="55"/>
  <c r="C190" i="55"/>
  <c r="N189" i="55"/>
  <c r="M189" i="55"/>
  <c r="H189" i="55"/>
  <c r="G189" i="55"/>
  <c r="F189" i="55"/>
  <c r="E189" i="55"/>
  <c r="D189" i="55"/>
  <c r="C189" i="55"/>
  <c r="N188" i="55"/>
  <c r="M188" i="55"/>
  <c r="F188" i="55"/>
  <c r="E188" i="55"/>
  <c r="D188" i="55"/>
  <c r="C188" i="55"/>
  <c r="N187" i="55"/>
  <c r="M187" i="55"/>
  <c r="L187" i="55"/>
  <c r="J187" i="55"/>
  <c r="N186" i="55"/>
  <c r="M186" i="55"/>
  <c r="N185" i="55"/>
  <c r="M185" i="55"/>
  <c r="N184" i="55"/>
  <c r="M184" i="55"/>
  <c r="L184" i="55"/>
  <c r="K184" i="55"/>
  <c r="N183" i="55"/>
  <c r="M183" i="55"/>
  <c r="L183" i="55"/>
  <c r="K183" i="55"/>
  <c r="J183" i="55"/>
  <c r="N182" i="55"/>
  <c r="M182" i="55"/>
  <c r="L182" i="55"/>
  <c r="K182" i="55"/>
  <c r="J182" i="55"/>
  <c r="H182" i="55"/>
  <c r="G182" i="55"/>
  <c r="F182" i="55"/>
  <c r="E182" i="55"/>
  <c r="D182" i="55"/>
  <c r="C182" i="55"/>
  <c r="N181" i="55"/>
  <c r="M181" i="55"/>
  <c r="L181" i="55"/>
  <c r="K181" i="55"/>
  <c r="J181" i="55"/>
  <c r="G181" i="55"/>
  <c r="F181" i="55"/>
  <c r="E181" i="55"/>
  <c r="D181" i="55"/>
  <c r="C181" i="55"/>
  <c r="N180" i="55"/>
  <c r="M180" i="55"/>
  <c r="L180" i="55"/>
  <c r="K180" i="55"/>
  <c r="J180" i="55"/>
  <c r="N179" i="55"/>
  <c r="M179" i="55"/>
  <c r="L179" i="55"/>
  <c r="K179" i="55"/>
  <c r="G179" i="55"/>
  <c r="F179" i="55"/>
  <c r="N178" i="55"/>
  <c r="M178" i="55"/>
  <c r="C178" i="55"/>
  <c r="N177" i="55"/>
  <c r="M177" i="55"/>
  <c r="L177" i="55"/>
  <c r="D177" i="55"/>
  <c r="N176" i="55"/>
  <c r="M176" i="55"/>
  <c r="N175" i="55"/>
  <c r="M175" i="55"/>
  <c r="N174" i="55"/>
  <c r="M174" i="55"/>
  <c r="N173" i="55"/>
  <c r="M173" i="55"/>
  <c r="N172" i="55"/>
  <c r="M172" i="55"/>
  <c r="N171" i="55"/>
  <c r="M171" i="55"/>
  <c r="L171" i="55"/>
  <c r="K171" i="55"/>
  <c r="J171" i="55"/>
  <c r="H171" i="55"/>
  <c r="N170" i="55"/>
  <c r="M170" i="55"/>
  <c r="N169" i="55"/>
  <c r="M169" i="55"/>
  <c r="L169" i="55"/>
  <c r="K169" i="55"/>
  <c r="H169" i="55"/>
  <c r="G169" i="55"/>
  <c r="N168" i="55"/>
  <c r="M168" i="55"/>
  <c r="L168" i="55"/>
  <c r="K168" i="55"/>
  <c r="J168" i="55"/>
  <c r="G168" i="55"/>
  <c r="D168" i="55"/>
  <c r="C168" i="55"/>
  <c r="N167" i="55"/>
  <c r="M167" i="55"/>
  <c r="N166" i="55"/>
  <c r="M166" i="55"/>
  <c r="H166" i="55"/>
  <c r="G166" i="55"/>
  <c r="F166" i="55"/>
  <c r="E166" i="55"/>
  <c r="D166" i="55"/>
  <c r="C166" i="55"/>
  <c r="N165" i="55"/>
  <c r="M165" i="55"/>
  <c r="N164" i="55"/>
  <c r="M164" i="55"/>
  <c r="N163" i="55"/>
  <c r="M163" i="55"/>
  <c r="L163" i="55"/>
  <c r="G163" i="55"/>
  <c r="N162" i="55"/>
  <c r="M162" i="55"/>
  <c r="N161" i="55"/>
  <c r="M161" i="55"/>
  <c r="N160" i="55"/>
  <c r="M160" i="55"/>
  <c r="N159" i="55"/>
  <c r="M159" i="55"/>
  <c r="N158" i="55"/>
  <c r="M158" i="55"/>
  <c r="N157" i="55"/>
  <c r="M157" i="55"/>
  <c r="N156" i="55"/>
  <c r="M156" i="55"/>
  <c r="L156" i="55"/>
  <c r="K156" i="55"/>
  <c r="J156" i="55"/>
  <c r="I156" i="55"/>
  <c r="H156" i="55"/>
  <c r="G156" i="55"/>
  <c r="F156" i="55"/>
  <c r="E156" i="55"/>
  <c r="D156" i="55"/>
  <c r="C156" i="55"/>
  <c r="N155" i="55"/>
  <c r="M155" i="55"/>
  <c r="L155" i="55"/>
  <c r="K155" i="55"/>
  <c r="J155" i="55"/>
  <c r="I155" i="55"/>
  <c r="H155" i="55"/>
  <c r="G155" i="55"/>
  <c r="F155" i="55"/>
  <c r="E155" i="55"/>
  <c r="D155" i="55"/>
  <c r="C155" i="55"/>
  <c r="N154" i="55"/>
  <c r="M154" i="55"/>
  <c r="D154" i="55"/>
  <c r="N153" i="55"/>
  <c r="M153" i="55"/>
  <c r="D153" i="55"/>
  <c r="N152" i="55"/>
  <c r="M152" i="55"/>
  <c r="L152" i="55"/>
  <c r="I152" i="55"/>
  <c r="H152" i="55"/>
  <c r="G152" i="55"/>
  <c r="F152" i="55"/>
  <c r="E152" i="55"/>
  <c r="D152" i="55"/>
  <c r="N151" i="55"/>
  <c r="M151" i="55"/>
  <c r="L151" i="55"/>
  <c r="K151" i="55"/>
  <c r="J151" i="55"/>
  <c r="I151" i="55"/>
  <c r="H151" i="55"/>
  <c r="G151" i="55"/>
  <c r="F151" i="55"/>
  <c r="E151" i="55"/>
  <c r="D151" i="55"/>
  <c r="C151" i="55"/>
  <c r="N150" i="55"/>
  <c r="M150" i="55"/>
  <c r="D150" i="55"/>
  <c r="N149" i="55"/>
  <c r="M149" i="55"/>
  <c r="D149" i="55"/>
  <c r="C149" i="55"/>
  <c r="N148" i="55"/>
  <c r="M148" i="55"/>
  <c r="L148" i="55"/>
  <c r="K148" i="55"/>
  <c r="J148" i="55"/>
  <c r="I148" i="55"/>
  <c r="H148" i="55"/>
  <c r="G148" i="55"/>
  <c r="F148" i="55"/>
  <c r="E148" i="55"/>
  <c r="D148" i="55"/>
  <c r="C148" i="55"/>
  <c r="N147" i="55"/>
  <c r="M147" i="55"/>
  <c r="L147" i="55"/>
  <c r="K147" i="55"/>
  <c r="J147" i="55"/>
  <c r="I147" i="55"/>
  <c r="G147" i="55"/>
  <c r="F147" i="55"/>
  <c r="E147" i="55"/>
  <c r="C147" i="55"/>
  <c r="N146" i="55"/>
  <c r="M146" i="55"/>
  <c r="L146" i="55"/>
  <c r="K146" i="55"/>
  <c r="J146" i="55"/>
  <c r="I146" i="55"/>
  <c r="H146" i="55"/>
  <c r="G146" i="55"/>
  <c r="F146" i="55"/>
  <c r="E146" i="55"/>
  <c r="D146" i="55"/>
  <c r="C146" i="55"/>
  <c r="N145" i="55"/>
  <c r="M145" i="55"/>
  <c r="N144" i="55"/>
  <c r="M144" i="55"/>
  <c r="L144" i="55"/>
  <c r="K144" i="55"/>
  <c r="J144" i="55"/>
  <c r="I144" i="55"/>
  <c r="H144" i="55"/>
  <c r="G144" i="55"/>
  <c r="F144" i="55"/>
  <c r="E144" i="55"/>
  <c r="D144" i="55"/>
  <c r="C144" i="55"/>
  <c r="N143" i="55"/>
  <c r="M143" i="55"/>
  <c r="K143" i="55"/>
  <c r="I143" i="55"/>
  <c r="H143" i="55"/>
  <c r="G143" i="55"/>
  <c r="F143" i="55"/>
  <c r="E143" i="55"/>
  <c r="D143" i="55"/>
  <c r="C143" i="55"/>
  <c r="N142" i="55"/>
  <c r="M142" i="55"/>
  <c r="L142" i="55"/>
  <c r="K142" i="55"/>
  <c r="J142" i="55"/>
  <c r="I142" i="55"/>
  <c r="H142" i="55"/>
  <c r="G142" i="55"/>
  <c r="F142" i="55"/>
  <c r="E142" i="55"/>
  <c r="D142" i="55"/>
  <c r="N141" i="55"/>
  <c r="M141" i="55"/>
  <c r="L141" i="55"/>
  <c r="K141" i="55"/>
  <c r="J141" i="55"/>
  <c r="I141" i="55"/>
  <c r="H141" i="55"/>
  <c r="G141" i="55"/>
  <c r="F141" i="55"/>
  <c r="E141" i="55"/>
  <c r="D141" i="55"/>
  <c r="N140" i="55"/>
  <c r="M140" i="55"/>
  <c r="L140" i="55"/>
  <c r="N139" i="55"/>
  <c r="M139" i="55"/>
  <c r="L139" i="55"/>
  <c r="K139" i="55"/>
  <c r="J139" i="55"/>
  <c r="I139" i="55"/>
  <c r="H139" i="55"/>
  <c r="G139" i="55"/>
  <c r="F139" i="55"/>
  <c r="E139" i="55"/>
  <c r="D139" i="55"/>
  <c r="C139" i="55"/>
  <c r="N138" i="55"/>
  <c r="M138" i="55"/>
  <c r="N137" i="55"/>
  <c r="M137" i="55"/>
  <c r="I137" i="55"/>
  <c r="H137" i="55"/>
  <c r="G137" i="55"/>
  <c r="F137" i="55"/>
  <c r="E137" i="55"/>
  <c r="D137" i="55"/>
  <c r="N136" i="55"/>
  <c r="M136" i="55"/>
  <c r="L136" i="55"/>
  <c r="K136" i="55"/>
  <c r="J136" i="55"/>
  <c r="N135" i="55"/>
  <c r="M135" i="55"/>
  <c r="N134" i="55"/>
  <c r="M134" i="55"/>
  <c r="L134" i="55"/>
  <c r="K134" i="55"/>
  <c r="J134" i="55"/>
  <c r="I134" i="55"/>
  <c r="H134" i="55"/>
  <c r="F134" i="55"/>
  <c r="D134" i="55"/>
  <c r="N133" i="55"/>
  <c r="M133" i="55"/>
  <c r="N132" i="55"/>
  <c r="M132" i="55"/>
  <c r="D132" i="55"/>
  <c r="N131" i="55"/>
  <c r="M131" i="55"/>
  <c r="N130" i="55"/>
  <c r="M130" i="55"/>
  <c r="D130" i="55"/>
  <c r="N129" i="55"/>
  <c r="M129" i="55"/>
  <c r="N128" i="55"/>
  <c r="N127" i="55"/>
  <c r="M127" i="55"/>
  <c r="L127" i="55"/>
  <c r="K127" i="55"/>
  <c r="J127" i="55"/>
  <c r="H127" i="55"/>
  <c r="G127" i="55"/>
  <c r="D127" i="55"/>
  <c r="C127" i="55"/>
  <c r="N126" i="55"/>
  <c r="M126" i="55"/>
  <c r="L126" i="55"/>
  <c r="K126" i="55"/>
  <c r="J126" i="55"/>
  <c r="I126" i="55"/>
  <c r="H126" i="55"/>
  <c r="G126" i="55"/>
  <c r="F126" i="55"/>
  <c r="E126" i="55"/>
  <c r="D126" i="55"/>
  <c r="C126" i="55"/>
  <c r="N125" i="55"/>
  <c r="M125" i="55"/>
  <c r="L125" i="55"/>
  <c r="K125" i="55"/>
  <c r="J125" i="55"/>
  <c r="I125" i="55"/>
  <c r="H125" i="55"/>
  <c r="G125" i="55"/>
  <c r="F125" i="55"/>
  <c r="E125" i="55"/>
  <c r="D125" i="55"/>
  <c r="C125" i="55"/>
  <c r="N124" i="55"/>
  <c r="M124" i="55"/>
  <c r="L124" i="55"/>
  <c r="K124" i="55"/>
  <c r="J124" i="55"/>
  <c r="I124" i="55"/>
  <c r="H124" i="55"/>
  <c r="G124" i="55"/>
  <c r="F124" i="55"/>
  <c r="E124" i="55"/>
  <c r="D124" i="55"/>
  <c r="C124" i="55"/>
  <c r="N123" i="55"/>
  <c r="M123" i="55"/>
  <c r="L123" i="55"/>
  <c r="K123" i="55"/>
  <c r="J123" i="55"/>
  <c r="I123" i="55"/>
  <c r="H123" i="55"/>
  <c r="G123" i="55"/>
  <c r="F123" i="55"/>
  <c r="E123" i="55"/>
  <c r="D123" i="55"/>
  <c r="C123" i="55"/>
  <c r="N122" i="55"/>
  <c r="M122" i="55"/>
  <c r="L122" i="55"/>
  <c r="K122" i="55"/>
  <c r="J122" i="55"/>
  <c r="I122" i="55"/>
  <c r="H122" i="55"/>
  <c r="G122" i="55"/>
  <c r="F122" i="55"/>
  <c r="E122" i="55"/>
  <c r="D122" i="55"/>
  <c r="C122" i="55"/>
  <c r="N120" i="55"/>
  <c r="M120" i="55"/>
  <c r="L120" i="55"/>
  <c r="K120" i="55"/>
  <c r="J120" i="55"/>
  <c r="I120" i="55"/>
  <c r="H120" i="55"/>
  <c r="G120" i="55"/>
  <c r="F120" i="55"/>
  <c r="E120" i="55"/>
  <c r="D120" i="55"/>
  <c r="C120" i="55"/>
  <c r="N119" i="55"/>
  <c r="M119" i="55"/>
  <c r="L119" i="55"/>
  <c r="K119" i="55"/>
  <c r="J119" i="55"/>
  <c r="I119" i="55"/>
  <c r="H119" i="55"/>
  <c r="G119" i="55"/>
  <c r="F119" i="55"/>
  <c r="E119" i="55"/>
  <c r="D119" i="55"/>
  <c r="C119" i="55"/>
  <c r="N118" i="55"/>
  <c r="M118" i="55"/>
  <c r="L118" i="55"/>
  <c r="K118" i="55"/>
  <c r="J118" i="55"/>
  <c r="I118" i="55"/>
  <c r="H118" i="55"/>
  <c r="G118" i="55"/>
  <c r="F118" i="55"/>
  <c r="E118" i="55"/>
  <c r="D118" i="55"/>
  <c r="C118" i="55"/>
  <c r="N117" i="55"/>
  <c r="M117" i="55"/>
  <c r="L117" i="55"/>
  <c r="K117" i="55"/>
  <c r="J117" i="55"/>
  <c r="I117" i="55"/>
  <c r="H117" i="55"/>
  <c r="G117" i="55"/>
  <c r="F117" i="55"/>
  <c r="E117" i="55"/>
  <c r="D117" i="55"/>
  <c r="C117" i="55"/>
  <c r="N116" i="55"/>
  <c r="M116" i="55"/>
  <c r="L116" i="55"/>
  <c r="K116" i="55"/>
  <c r="J116" i="55"/>
  <c r="I116" i="55"/>
  <c r="H116" i="55"/>
  <c r="G116" i="55"/>
  <c r="F116" i="55"/>
  <c r="E116" i="55"/>
  <c r="D116" i="55"/>
  <c r="C116" i="55"/>
  <c r="N115" i="55"/>
  <c r="M115" i="55"/>
  <c r="L115" i="55"/>
  <c r="K115" i="55"/>
  <c r="J115" i="55"/>
  <c r="I115" i="55"/>
  <c r="H115" i="55"/>
  <c r="G115" i="55"/>
  <c r="F115" i="55"/>
  <c r="E115" i="55"/>
  <c r="D115" i="55"/>
  <c r="C115" i="55"/>
  <c r="N114" i="55"/>
  <c r="M114" i="55"/>
  <c r="L114" i="55"/>
  <c r="K114" i="55"/>
  <c r="J114" i="55"/>
  <c r="I114" i="55"/>
  <c r="H114" i="55"/>
  <c r="G114" i="55"/>
  <c r="F114" i="55"/>
  <c r="E114" i="55"/>
  <c r="D114" i="55"/>
  <c r="C114" i="55"/>
  <c r="N113" i="55"/>
  <c r="M113" i="55"/>
  <c r="L113" i="55"/>
  <c r="K113" i="55"/>
  <c r="J113" i="55"/>
  <c r="I113" i="55"/>
  <c r="H113" i="55"/>
  <c r="G113" i="55"/>
  <c r="F113" i="55"/>
  <c r="E113" i="55"/>
  <c r="D113" i="55"/>
  <c r="C113" i="55"/>
  <c r="N112" i="55"/>
  <c r="M112" i="55"/>
  <c r="L112" i="55"/>
  <c r="K112" i="55"/>
  <c r="J112" i="55"/>
  <c r="I112" i="55"/>
  <c r="H112" i="55"/>
  <c r="G112" i="55"/>
  <c r="F112" i="55"/>
  <c r="E112" i="55"/>
  <c r="D112" i="55"/>
  <c r="C112" i="55"/>
  <c r="N111" i="55"/>
  <c r="M111" i="55"/>
  <c r="L111" i="55"/>
  <c r="K111" i="55"/>
  <c r="J111" i="55"/>
  <c r="I111" i="55"/>
  <c r="H111" i="55"/>
  <c r="G111" i="55"/>
  <c r="F111" i="55"/>
  <c r="E111" i="55"/>
  <c r="D111" i="55"/>
  <c r="C111" i="55"/>
  <c r="N110" i="55"/>
  <c r="M110" i="55"/>
  <c r="L110" i="55"/>
  <c r="K110" i="55"/>
  <c r="J110" i="55"/>
  <c r="I110" i="55"/>
  <c r="H110" i="55"/>
  <c r="G110" i="55"/>
  <c r="F110" i="55"/>
  <c r="E110" i="55"/>
  <c r="D110" i="55"/>
  <c r="C110" i="55"/>
  <c r="N109" i="55"/>
  <c r="M109" i="55"/>
  <c r="L109" i="55"/>
  <c r="K109" i="55"/>
  <c r="J109" i="55"/>
  <c r="I109" i="55"/>
  <c r="H109" i="55"/>
  <c r="G109" i="55"/>
  <c r="F109" i="55"/>
  <c r="E109" i="55"/>
  <c r="D109" i="55"/>
  <c r="C109" i="55"/>
  <c r="N108" i="55"/>
  <c r="M108" i="55"/>
  <c r="L108" i="55"/>
  <c r="K108" i="55"/>
  <c r="J108" i="55"/>
  <c r="I108" i="55"/>
  <c r="H108" i="55"/>
  <c r="G108" i="55"/>
  <c r="F108" i="55"/>
  <c r="E108" i="55"/>
  <c r="D108" i="55"/>
  <c r="C108" i="55"/>
  <c r="N107" i="55"/>
  <c r="M107" i="55"/>
  <c r="L107" i="55"/>
  <c r="K107" i="55"/>
  <c r="J107" i="55"/>
  <c r="I107" i="55"/>
  <c r="H107" i="55"/>
  <c r="G107" i="55"/>
  <c r="F107" i="55"/>
  <c r="E107" i="55"/>
  <c r="D107" i="55"/>
  <c r="C107" i="55"/>
  <c r="N106" i="55"/>
  <c r="M106" i="55"/>
  <c r="L106" i="55"/>
  <c r="K106" i="55"/>
  <c r="J106" i="55"/>
  <c r="I106" i="55"/>
  <c r="H106" i="55"/>
  <c r="G106" i="55"/>
  <c r="F106" i="55"/>
  <c r="E106" i="55"/>
  <c r="D106" i="55"/>
  <c r="C106" i="55"/>
  <c r="N105" i="55"/>
  <c r="M105" i="55"/>
  <c r="L105" i="55"/>
  <c r="K105" i="55"/>
  <c r="J105" i="55"/>
  <c r="I105" i="55"/>
  <c r="H105" i="55"/>
  <c r="G105" i="55"/>
  <c r="F105" i="55"/>
  <c r="E105" i="55"/>
  <c r="D105" i="55"/>
  <c r="C105" i="55"/>
  <c r="N104" i="55"/>
  <c r="M104" i="55"/>
  <c r="L104" i="55"/>
  <c r="K104" i="55"/>
  <c r="J104" i="55"/>
  <c r="I104" i="55"/>
  <c r="H104" i="55"/>
  <c r="G104" i="55"/>
  <c r="F104" i="55"/>
  <c r="E104" i="55"/>
  <c r="D104" i="55"/>
  <c r="C104" i="55"/>
  <c r="N103" i="55"/>
  <c r="M103" i="55"/>
  <c r="L103" i="55"/>
  <c r="K103" i="55"/>
  <c r="J103" i="55"/>
  <c r="I103" i="55"/>
  <c r="H103" i="55"/>
  <c r="G103" i="55"/>
  <c r="F103" i="55"/>
  <c r="E103" i="55"/>
  <c r="D103" i="55"/>
  <c r="C103" i="55"/>
  <c r="N102" i="55"/>
  <c r="M102" i="55"/>
  <c r="L102" i="55"/>
  <c r="K102" i="55"/>
  <c r="J102" i="55"/>
  <c r="I102" i="55"/>
  <c r="H102" i="55"/>
  <c r="G102" i="55"/>
  <c r="F102" i="55"/>
  <c r="E102" i="55"/>
  <c r="D102" i="55"/>
  <c r="C102" i="55"/>
  <c r="N101" i="55"/>
  <c r="M101" i="55"/>
  <c r="L101" i="55"/>
  <c r="K101" i="55"/>
  <c r="J101" i="55"/>
  <c r="I101" i="55"/>
  <c r="H101" i="55"/>
  <c r="G101" i="55"/>
  <c r="F101" i="55"/>
  <c r="E101" i="55"/>
  <c r="D101" i="55"/>
  <c r="C101" i="55"/>
  <c r="N100" i="55"/>
  <c r="M100" i="55"/>
  <c r="L100" i="55"/>
  <c r="K100" i="55"/>
  <c r="J100" i="55"/>
  <c r="I100" i="55"/>
  <c r="H100" i="55"/>
  <c r="G100" i="55"/>
  <c r="F100" i="55"/>
  <c r="E100" i="55"/>
  <c r="D100" i="55"/>
  <c r="C100" i="55"/>
  <c r="N99" i="55"/>
  <c r="M99" i="55"/>
  <c r="L99" i="55"/>
  <c r="K99" i="55"/>
  <c r="J99" i="55"/>
  <c r="I99" i="55"/>
  <c r="H99" i="55"/>
  <c r="G99" i="55"/>
  <c r="F99" i="55"/>
  <c r="E99" i="55"/>
  <c r="D99" i="55"/>
  <c r="C99" i="55"/>
  <c r="N98" i="55"/>
  <c r="M98" i="55"/>
  <c r="L98" i="55"/>
  <c r="K98" i="55"/>
  <c r="J98" i="55"/>
  <c r="I98" i="55"/>
  <c r="H98" i="55"/>
  <c r="G98" i="55"/>
  <c r="F98" i="55"/>
  <c r="E98" i="55"/>
  <c r="D98" i="55"/>
  <c r="C98" i="55"/>
  <c r="N97" i="55"/>
  <c r="M97" i="55"/>
  <c r="L97" i="55"/>
  <c r="K97" i="55"/>
  <c r="J97" i="55"/>
  <c r="I97" i="55"/>
  <c r="H97" i="55"/>
  <c r="G97" i="55"/>
  <c r="F97" i="55"/>
  <c r="D97" i="55"/>
  <c r="C97" i="55"/>
  <c r="N96" i="55"/>
  <c r="M96" i="55"/>
  <c r="L96" i="55"/>
  <c r="K96" i="55"/>
  <c r="J96" i="55"/>
  <c r="I96" i="55"/>
  <c r="G96" i="55"/>
  <c r="F96" i="55"/>
  <c r="D96" i="55"/>
  <c r="C96" i="55"/>
  <c r="N95" i="55"/>
  <c r="M95" i="55"/>
  <c r="L95" i="55"/>
  <c r="K95" i="55"/>
  <c r="J95" i="55"/>
  <c r="I95" i="55"/>
  <c r="H95" i="55"/>
  <c r="G95" i="55"/>
  <c r="F95" i="55"/>
  <c r="E95" i="55"/>
  <c r="D95" i="55"/>
  <c r="C95" i="55"/>
  <c r="N94" i="55"/>
  <c r="M94" i="55"/>
  <c r="L94" i="55"/>
  <c r="K94" i="55"/>
  <c r="J94" i="55"/>
  <c r="I94" i="55"/>
  <c r="H94" i="55"/>
  <c r="G94" i="55"/>
  <c r="F94" i="55"/>
  <c r="E94" i="55"/>
  <c r="D94" i="55"/>
  <c r="C94" i="55"/>
  <c r="N93" i="55"/>
  <c r="M93" i="55"/>
  <c r="L93" i="55"/>
  <c r="K93" i="55"/>
  <c r="J93" i="55"/>
  <c r="I93" i="55"/>
  <c r="H93" i="55"/>
  <c r="G93" i="55"/>
  <c r="F93" i="55"/>
  <c r="E93" i="55"/>
  <c r="D93" i="55"/>
  <c r="C93" i="55"/>
  <c r="N92" i="55"/>
  <c r="M92" i="55"/>
  <c r="L92" i="55"/>
  <c r="K92" i="55"/>
  <c r="J92" i="55"/>
  <c r="I92" i="55"/>
  <c r="H92" i="55"/>
  <c r="G92" i="55"/>
  <c r="F92" i="55"/>
  <c r="E92" i="55"/>
  <c r="D92" i="55"/>
  <c r="C92" i="55"/>
  <c r="N91" i="55"/>
  <c r="M91" i="55"/>
  <c r="L91" i="55"/>
  <c r="K91" i="55"/>
  <c r="J91" i="55"/>
  <c r="I91" i="55"/>
  <c r="H91" i="55"/>
  <c r="G91" i="55"/>
  <c r="F91" i="55"/>
  <c r="E91" i="55"/>
  <c r="D91" i="55"/>
  <c r="C91" i="55"/>
  <c r="N90" i="55"/>
  <c r="M90" i="55"/>
  <c r="L90" i="55"/>
  <c r="K90" i="55"/>
  <c r="J90" i="55"/>
  <c r="I90" i="55"/>
  <c r="H90" i="55"/>
  <c r="G90" i="55"/>
  <c r="F90" i="55"/>
  <c r="E90" i="55"/>
  <c r="D90" i="55"/>
  <c r="C90" i="55"/>
  <c r="N89" i="55"/>
  <c r="M89" i="55"/>
  <c r="L89" i="55"/>
  <c r="K89" i="55"/>
  <c r="J89" i="55"/>
  <c r="I89" i="55"/>
  <c r="H89" i="55"/>
  <c r="G89" i="55"/>
  <c r="F89" i="55"/>
  <c r="E89" i="55"/>
  <c r="D89" i="55"/>
  <c r="C89" i="55"/>
  <c r="N88" i="55"/>
  <c r="M88" i="55"/>
  <c r="L88" i="55"/>
  <c r="K88" i="55"/>
  <c r="J88" i="55"/>
  <c r="I88" i="55"/>
  <c r="H88" i="55"/>
  <c r="G88" i="55"/>
  <c r="F88" i="55"/>
  <c r="E88" i="55"/>
  <c r="D88" i="55"/>
  <c r="C88" i="55"/>
  <c r="N86" i="55"/>
  <c r="M86" i="55"/>
  <c r="L86" i="55"/>
  <c r="K86" i="55"/>
  <c r="J86" i="55"/>
  <c r="I86" i="55"/>
  <c r="H86" i="55"/>
  <c r="G86" i="55"/>
  <c r="F86" i="55"/>
  <c r="E86" i="55"/>
  <c r="D86" i="55"/>
  <c r="C86" i="55"/>
  <c r="N85" i="55"/>
  <c r="M85" i="55"/>
  <c r="L85" i="55"/>
  <c r="K85" i="55"/>
  <c r="J85" i="55"/>
  <c r="I85" i="55"/>
  <c r="H85" i="55"/>
  <c r="G85" i="55"/>
  <c r="F85" i="55"/>
  <c r="E85" i="55"/>
  <c r="D85" i="55"/>
  <c r="C85" i="55"/>
  <c r="N84" i="55"/>
  <c r="M84" i="55"/>
  <c r="L84" i="55"/>
  <c r="K84" i="55"/>
  <c r="J84" i="55"/>
  <c r="I84" i="55"/>
  <c r="H84" i="55"/>
  <c r="G84" i="55"/>
  <c r="F84" i="55"/>
  <c r="E84" i="55"/>
  <c r="D84" i="55"/>
  <c r="C84" i="55"/>
  <c r="N83" i="55"/>
  <c r="M83" i="55"/>
  <c r="L83" i="55"/>
  <c r="K83" i="55"/>
  <c r="J83" i="55"/>
  <c r="I83" i="55"/>
  <c r="H83" i="55"/>
  <c r="G83" i="55"/>
  <c r="F83" i="55"/>
  <c r="D83" i="55"/>
  <c r="C83" i="55"/>
  <c r="N82" i="55"/>
  <c r="M82" i="55"/>
  <c r="L82" i="55"/>
  <c r="K82" i="55"/>
  <c r="J82" i="55"/>
  <c r="I82" i="55"/>
  <c r="H82" i="55"/>
  <c r="G82" i="55"/>
  <c r="F82" i="55"/>
  <c r="D82" i="55"/>
  <c r="C82" i="55"/>
  <c r="N81" i="55"/>
  <c r="M81" i="55"/>
  <c r="L81" i="55"/>
  <c r="K81" i="55"/>
  <c r="J81" i="55"/>
  <c r="I81" i="55"/>
  <c r="H81" i="55"/>
  <c r="G81" i="55"/>
  <c r="F81" i="55"/>
  <c r="D81" i="55"/>
  <c r="C81" i="55"/>
  <c r="N80" i="55"/>
  <c r="M80" i="55"/>
  <c r="L80" i="55"/>
  <c r="K80" i="55"/>
  <c r="J80" i="55"/>
  <c r="I80" i="55"/>
  <c r="H80" i="55"/>
  <c r="G80" i="55"/>
  <c r="F80" i="55"/>
  <c r="D80" i="55"/>
  <c r="C80" i="55"/>
  <c r="N79" i="55"/>
  <c r="M79" i="55"/>
  <c r="L79" i="55"/>
  <c r="K79" i="55"/>
  <c r="J79" i="55"/>
  <c r="I79" i="55"/>
  <c r="H79" i="55"/>
  <c r="G79" i="55"/>
  <c r="F79" i="55"/>
  <c r="D79" i="55"/>
  <c r="C79" i="55"/>
  <c r="N78" i="55"/>
  <c r="M78" i="55"/>
  <c r="L78" i="55"/>
  <c r="K78" i="55"/>
  <c r="J78" i="55"/>
  <c r="I78" i="55"/>
  <c r="H78" i="55"/>
  <c r="G78" i="55"/>
  <c r="F78" i="55"/>
  <c r="D78" i="55"/>
  <c r="C78" i="55"/>
  <c r="N77" i="55"/>
  <c r="M77" i="55"/>
  <c r="L77" i="55"/>
  <c r="K77" i="55"/>
  <c r="J77" i="55"/>
  <c r="I77" i="55"/>
  <c r="H77" i="55"/>
  <c r="G77" i="55"/>
  <c r="F77" i="55"/>
  <c r="D77" i="55"/>
  <c r="C77" i="55"/>
  <c r="N76" i="55"/>
  <c r="M76" i="55"/>
  <c r="L76" i="55"/>
  <c r="K76" i="55"/>
  <c r="J76" i="55"/>
  <c r="I76" i="55"/>
  <c r="H76" i="55"/>
  <c r="G76" i="55"/>
  <c r="F76" i="55"/>
  <c r="D76" i="55"/>
  <c r="C76" i="55"/>
  <c r="N75" i="55"/>
  <c r="M75" i="55"/>
  <c r="L75" i="55"/>
  <c r="K75" i="55"/>
  <c r="J75" i="55"/>
  <c r="I75" i="55"/>
  <c r="H75" i="55"/>
  <c r="G75" i="55"/>
  <c r="F75" i="55"/>
  <c r="D75" i="55"/>
  <c r="C75" i="55"/>
  <c r="N74" i="55"/>
  <c r="M74" i="55"/>
  <c r="L74" i="55"/>
  <c r="K74" i="55"/>
  <c r="J74" i="55"/>
  <c r="I74" i="55"/>
  <c r="H74" i="55"/>
  <c r="G74" i="55"/>
  <c r="F74" i="55"/>
  <c r="D74" i="55"/>
  <c r="C74" i="55"/>
  <c r="N73" i="55"/>
  <c r="M73" i="55"/>
  <c r="L73" i="55"/>
  <c r="K73" i="55"/>
  <c r="J73" i="55"/>
  <c r="I73" i="55"/>
  <c r="H73" i="55"/>
  <c r="G73" i="55"/>
  <c r="F73" i="55"/>
  <c r="D73" i="55"/>
  <c r="C73" i="55"/>
  <c r="N72" i="55"/>
  <c r="M72" i="55"/>
  <c r="L72" i="55"/>
  <c r="K72" i="55"/>
  <c r="J72" i="55"/>
  <c r="I72" i="55"/>
  <c r="H72" i="55"/>
  <c r="G72" i="55"/>
  <c r="F72" i="55"/>
  <c r="D72" i="55"/>
  <c r="C72" i="55"/>
  <c r="N71" i="55"/>
  <c r="M71" i="55"/>
  <c r="L71" i="55"/>
  <c r="K71" i="55"/>
  <c r="J71" i="55"/>
  <c r="I71" i="55"/>
  <c r="H71" i="55"/>
  <c r="G71" i="55"/>
  <c r="F71" i="55"/>
  <c r="D71" i="55"/>
  <c r="C71" i="55"/>
  <c r="N70" i="55"/>
  <c r="M70" i="55"/>
  <c r="L70" i="55"/>
  <c r="K70" i="55"/>
  <c r="J70" i="55"/>
  <c r="I70" i="55"/>
  <c r="H70" i="55"/>
  <c r="G70" i="55"/>
  <c r="F70" i="55"/>
  <c r="E70" i="55"/>
  <c r="D70" i="55"/>
  <c r="C70" i="55"/>
  <c r="N69" i="55"/>
  <c r="M69" i="55"/>
  <c r="L69" i="55"/>
  <c r="K69" i="55"/>
  <c r="J69" i="55"/>
  <c r="I69" i="55"/>
  <c r="H69" i="55"/>
  <c r="G69" i="55"/>
  <c r="F69" i="55"/>
  <c r="E69" i="55"/>
  <c r="D69" i="55"/>
  <c r="C69" i="55"/>
  <c r="N67" i="55"/>
  <c r="M67" i="55"/>
  <c r="L67" i="55"/>
  <c r="K67" i="55"/>
  <c r="J67" i="55"/>
  <c r="I67" i="55"/>
  <c r="H67" i="55"/>
  <c r="G67" i="55"/>
  <c r="F67" i="55"/>
  <c r="E67" i="55"/>
  <c r="D67" i="55"/>
  <c r="C67" i="55"/>
  <c r="N66" i="55"/>
  <c r="M66" i="55"/>
  <c r="L66" i="55"/>
  <c r="K66" i="55"/>
  <c r="J66" i="55"/>
  <c r="I66" i="55"/>
  <c r="H66" i="55"/>
  <c r="G66" i="55"/>
  <c r="F66" i="55"/>
  <c r="E66" i="55"/>
  <c r="D66" i="55"/>
  <c r="C66" i="55"/>
  <c r="N65" i="55"/>
  <c r="M65" i="55"/>
  <c r="L65" i="55"/>
  <c r="K65" i="55"/>
  <c r="J65" i="55"/>
  <c r="I65" i="55"/>
  <c r="H65" i="55"/>
  <c r="G65" i="55"/>
  <c r="F65" i="55"/>
  <c r="E65" i="55"/>
  <c r="D65" i="55"/>
  <c r="C65" i="55"/>
  <c r="N64" i="55"/>
  <c r="M64" i="55"/>
  <c r="L64" i="55"/>
  <c r="K64" i="55"/>
  <c r="J64" i="55"/>
  <c r="I64" i="55"/>
  <c r="H64" i="55"/>
  <c r="G64" i="55"/>
  <c r="F64" i="55"/>
  <c r="E64" i="55"/>
  <c r="D64" i="55"/>
  <c r="C64" i="55"/>
  <c r="N63" i="55"/>
  <c r="M63" i="55"/>
  <c r="L63" i="55"/>
  <c r="K63" i="55"/>
  <c r="J63" i="55"/>
  <c r="I63" i="55"/>
  <c r="H63" i="55"/>
  <c r="G63" i="55"/>
  <c r="F63" i="55"/>
  <c r="E63" i="55"/>
  <c r="D63" i="55"/>
  <c r="C63" i="55"/>
  <c r="N62" i="55"/>
  <c r="M62" i="55"/>
  <c r="L62" i="55"/>
  <c r="K62" i="55"/>
  <c r="J62" i="55"/>
  <c r="I62" i="55"/>
  <c r="H62" i="55"/>
  <c r="G62" i="55"/>
  <c r="F62" i="55"/>
  <c r="E62" i="55"/>
  <c r="D62" i="55"/>
  <c r="C62" i="55"/>
  <c r="N61" i="55"/>
  <c r="M61" i="55"/>
  <c r="L61" i="55"/>
  <c r="K61" i="55"/>
  <c r="J61" i="55"/>
  <c r="I61" i="55"/>
  <c r="H61" i="55"/>
  <c r="G61" i="55"/>
  <c r="F61" i="55"/>
  <c r="E61" i="55"/>
  <c r="D61" i="55"/>
  <c r="C61" i="55"/>
  <c r="N60" i="55"/>
  <c r="M60" i="55"/>
  <c r="L60" i="55"/>
  <c r="K60" i="55"/>
  <c r="J60" i="55"/>
  <c r="I60" i="55"/>
  <c r="H60" i="55"/>
  <c r="G60" i="55"/>
  <c r="F60" i="55"/>
  <c r="E60" i="55"/>
  <c r="D60" i="55"/>
  <c r="C60" i="55"/>
  <c r="N59" i="55"/>
  <c r="M59" i="55"/>
  <c r="L59" i="55"/>
  <c r="K59" i="55"/>
  <c r="J59" i="55"/>
  <c r="I59" i="55"/>
  <c r="H59" i="55"/>
  <c r="G59" i="55"/>
  <c r="F59" i="55"/>
  <c r="E59" i="55"/>
  <c r="D59" i="55"/>
  <c r="C59" i="55"/>
  <c r="N58" i="55"/>
  <c r="M58" i="55"/>
  <c r="L58" i="55"/>
  <c r="K58" i="55"/>
  <c r="J58" i="55"/>
  <c r="I58" i="55"/>
  <c r="H58" i="55"/>
  <c r="G58" i="55"/>
  <c r="F58" i="55"/>
  <c r="E58" i="55"/>
  <c r="D58" i="55"/>
  <c r="C58" i="55"/>
  <c r="N57" i="55"/>
  <c r="M57" i="55"/>
  <c r="L57" i="55"/>
  <c r="K57" i="55"/>
  <c r="J57" i="55"/>
  <c r="I57" i="55"/>
  <c r="H57" i="55"/>
  <c r="G57" i="55"/>
  <c r="F57" i="55"/>
  <c r="E57" i="55"/>
  <c r="D57" i="55"/>
  <c r="C57" i="55"/>
  <c r="N56" i="55"/>
  <c r="M56" i="55"/>
  <c r="L56" i="55"/>
  <c r="K56" i="55"/>
  <c r="J56" i="55"/>
  <c r="I56" i="55"/>
  <c r="H56" i="55"/>
  <c r="G56" i="55"/>
  <c r="F56" i="55"/>
  <c r="E56" i="55"/>
  <c r="D56" i="55"/>
  <c r="C56" i="55"/>
  <c r="N55" i="55"/>
  <c r="M55" i="55"/>
  <c r="L55" i="55"/>
  <c r="K55" i="55"/>
  <c r="J55" i="55"/>
  <c r="I55" i="55"/>
  <c r="H55" i="55"/>
  <c r="G55" i="55"/>
  <c r="F55" i="55"/>
  <c r="E55" i="55"/>
  <c r="D55" i="55"/>
  <c r="C55" i="55"/>
  <c r="N54" i="55"/>
  <c r="M54" i="55"/>
  <c r="L54" i="55"/>
  <c r="K54" i="55"/>
  <c r="J54" i="55"/>
  <c r="I54" i="55"/>
  <c r="H54" i="55"/>
  <c r="G54" i="55"/>
  <c r="F54" i="55"/>
  <c r="E54" i="55"/>
  <c r="D54" i="55"/>
  <c r="C54" i="55"/>
  <c r="N53" i="55"/>
  <c r="M53" i="55"/>
  <c r="L53" i="55"/>
  <c r="K53" i="55"/>
  <c r="J53" i="55"/>
  <c r="I53" i="55"/>
  <c r="H53" i="55"/>
  <c r="G53" i="55"/>
  <c r="F53" i="55"/>
  <c r="E53" i="55"/>
  <c r="D53" i="55"/>
  <c r="C53" i="55"/>
  <c r="N52" i="55"/>
  <c r="M52" i="55"/>
  <c r="L52" i="55"/>
  <c r="K52" i="55"/>
  <c r="J52" i="55"/>
  <c r="I52" i="55"/>
  <c r="H52" i="55"/>
  <c r="G52" i="55"/>
  <c r="F52" i="55"/>
  <c r="E52" i="55"/>
  <c r="D52" i="55"/>
  <c r="C52" i="55"/>
  <c r="N51" i="55"/>
  <c r="M51" i="55"/>
  <c r="L51" i="55"/>
  <c r="K51" i="55"/>
  <c r="J51" i="55"/>
  <c r="I51" i="55"/>
  <c r="H51" i="55"/>
  <c r="G51" i="55"/>
  <c r="F51" i="55"/>
  <c r="E51" i="55"/>
  <c r="D51" i="55"/>
  <c r="C51" i="55"/>
  <c r="N50" i="55"/>
  <c r="M50" i="55"/>
  <c r="L50" i="55"/>
  <c r="K50" i="55"/>
  <c r="J50" i="55"/>
  <c r="I50" i="55"/>
  <c r="H50" i="55"/>
  <c r="G50" i="55"/>
  <c r="F50" i="55"/>
  <c r="E50" i="55"/>
  <c r="D50" i="55"/>
  <c r="C50" i="55"/>
  <c r="N49" i="55"/>
  <c r="M49" i="55"/>
  <c r="L49" i="55"/>
  <c r="K49" i="55"/>
  <c r="J49" i="55"/>
  <c r="I49" i="55"/>
  <c r="H49" i="55"/>
  <c r="G49" i="55"/>
  <c r="F49" i="55"/>
  <c r="E49" i="55"/>
  <c r="D49" i="55"/>
  <c r="C49" i="55"/>
  <c r="N48" i="55"/>
  <c r="M48" i="55"/>
  <c r="L48" i="55"/>
  <c r="K48" i="55"/>
  <c r="J48" i="55"/>
  <c r="I48" i="55"/>
  <c r="H48" i="55"/>
  <c r="G48" i="55"/>
  <c r="F48" i="55"/>
  <c r="E48" i="55"/>
  <c r="D48" i="55"/>
  <c r="C48" i="55"/>
  <c r="N47" i="55"/>
  <c r="M47" i="55"/>
  <c r="L47" i="55"/>
  <c r="K47" i="55"/>
  <c r="J47" i="55"/>
  <c r="I47" i="55"/>
  <c r="H47" i="55"/>
  <c r="G47" i="55"/>
  <c r="F47" i="55"/>
  <c r="E47" i="55"/>
  <c r="D47" i="55"/>
  <c r="C47" i="55"/>
  <c r="N46" i="55"/>
  <c r="M46" i="55"/>
  <c r="L46" i="55"/>
  <c r="K46" i="55"/>
  <c r="J46" i="55"/>
  <c r="I46" i="55"/>
  <c r="H46" i="55"/>
  <c r="G46" i="55"/>
  <c r="F46" i="55"/>
  <c r="E46" i="55"/>
  <c r="D46" i="55"/>
  <c r="C46" i="55"/>
  <c r="N45" i="55"/>
  <c r="M45" i="55"/>
  <c r="L45" i="55"/>
  <c r="K45" i="55"/>
  <c r="J45" i="55"/>
  <c r="I45" i="55"/>
  <c r="H45" i="55"/>
  <c r="G45" i="55"/>
  <c r="F45" i="55"/>
  <c r="E45" i="55"/>
  <c r="D45" i="55"/>
  <c r="C45" i="55"/>
  <c r="N44" i="55"/>
  <c r="M44" i="55"/>
  <c r="L44" i="55"/>
  <c r="K44" i="55"/>
  <c r="J44" i="55"/>
  <c r="I44" i="55"/>
  <c r="H44" i="55"/>
  <c r="G44" i="55"/>
  <c r="F44" i="55"/>
  <c r="E44" i="55"/>
  <c r="D44" i="55"/>
  <c r="C44" i="55"/>
  <c r="N43" i="55"/>
  <c r="M43" i="55"/>
  <c r="L43" i="55"/>
  <c r="K43" i="55"/>
  <c r="J43" i="55"/>
  <c r="I43" i="55"/>
  <c r="H43" i="55"/>
  <c r="G43" i="55"/>
  <c r="F43" i="55"/>
  <c r="E43" i="55"/>
  <c r="D43" i="55"/>
  <c r="C43" i="55"/>
  <c r="M42" i="55"/>
  <c r="L42" i="55"/>
  <c r="K42" i="55"/>
  <c r="J42" i="55"/>
  <c r="I42" i="55"/>
  <c r="H42" i="55"/>
  <c r="G42" i="55"/>
  <c r="F42" i="55"/>
  <c r="E42" i="55"/>
  <c r="D42" i="55"/>
  <c r="C42" i="55"/>
  <c r="N41" i="55"/>
  <c r="M41" i="55"/>
  <c r="L41" i="55"/>
  <c r="K41" i="55"/>
  <c r="J41" i="55"/>
  <c r="I41" i="55"/>
  <c r="H41" i="55"/>
  <c r="G41" i="55"/>
  <c r="F41" i="55"/>
  <c r="E41" i="55"/>
  <c r="D41" i="55"/>
  <c r="C41" i="55"/>
  <c r="N40" i="55"/>
  <c r="M40" i="55"/>
  <c r="L40" i="55"/>
  <c r="K40" i="55"/>
  <c r="J40" i="55"/>
  <c r="I40" i="55"/>
  <c r="H40" i="55"/>
  <c r="G40" i="55"/>
  <c r="F40" i="55"/>
  <c r="E40" i="55"/>
  <c r="D40" i="55"/>
  <c r="C40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N38" i="55"/>
  <c r="M38" i="55"/>
  <c r="L38" i="55"/>
  <c r="K38" i="55"/>
  <c r="J38" i="55"/>
  <c r="I38" i="55"/>
  <c r="H38" i="55"/>
  <c r="G38" i="55"/>
  <c r="F38" i="55"/>
  <c r="E38" i="55"/>
  <c r="D38" i="55"/>
  <c r="C38" i="55"/>
  <c r="N37" i="55"/>
  <c r="M37" i="55"/>
  <c r="L37" i="55"/>
  <c r="K37" i="55"/>
  <c r="J37" i="55"/>
  <c r="I37" i="55"/>
  <c r="H37" i="55"/>
  <c r="G37" i="55"/>
  <c r="F37" i="55"/>
  <c r="E37" i="55"/>
  <c r="D37" i="55"/>
  <c r="C37" i="55"/>
  <c r="N36" i="55"/>
  <c r="M36" i="55"/>
  <c r="L36" i="55"/>
  <c r="K36" i="55"/>
  <c r="J36" i="55"/>
  <c r="I36" i="55"/>
  <c r="H36" i="55"/>
  <c r="G36" i="55"/>
  <c r="F36" i="55"/>
  <c r="E36" i="55"/>
  <c r="D36" i="55"/>
  <c r="C36" i="55"/>
  <c r="N35" i="55"/>
  <c r="M35" i="55"/>
  <c r="L35" i="55"/>
  <c r="K35" i="55"/>
  <c r="J35" i="55"/>
  <c r="I35" i="55"/>
  <c r="H35" i="55"/>
  <c r="G35" i="55"/>
  <c r="F35" i="55"/>
  <c r="E35" i="55"/>
  <c r="D35" i="55"/>
  <c r="C35" i="55"/>
  <c r="N34" i="55"/>
  <c r="M34" i="55"/>
  <c r="L34" i="55"/>
  <c r="K34" i="55"/>
  <c r="J34" i="55"/>
  <c r="I34" i="55"/>
  <c r="H34" i="55"/>
  <c r="G34" i="55"/>
  <c r="F34" i="55"/>
  <c r="E34" i="55"/>
  <c r="D34" i="55"/>
  <c r="C34" i="55"/>
  <c r="N33" i="55"/>
  <c r="M33" i="55"/>
  <c r="L33" i="55"/>
  <c r="K33" i="55"/>
  <c r="J33" i="55"/>
  <c r="I33" i="55"/>
  <c r="H33" i="55"/>
  <c r="G33" i="55"/>
  <c r="F33" i="55"/>
  <c r="E33" i="55"/>
  <c r="D33" i="55"/>
  <c r="C33" i="55"/>
  <c r="N32" i="55"/>
  <c r="M32" i="55"/>
  <c r="L32" i="55"/>
  <c r="K32" i="55"/>
  <c r="J32" i="55"/>
  <c r="I32" i="55"/>
  <c r="H32" i="55"/>
  <c r="G32" i="55"/>
  <c r="F32" i="55"/>
  <c r="E32" i="55"/>
  <c r="D32" i="55"/>
  <c r="C32" i="55"/>
  <c r="N31" i="55"/>
  <c r="M31" i="55"/>
  <c r="L31" i="55"/>
  <c r="K31" i="55"/>
  <c r="J31" i="55"/>
  <c r="I31" i="55"/>
  <c r="H31" i="55"/>
  <c r="G31" i="55"/>
  <c r="F31" i="55"/>
  <c r="E31" i="55"/>
  <c r="D31" i="55"/>
  <c r="C31" i="55"/>
  <c r="N30" i="55"/>
  <c r="M30" i="55"/>
  <c r="L30" i="55"/>
  <c r="K30" i="55"/>
  <c r="J30" i="55"/>
  <c r="I30" i="55"/>
  <c r="H30" i="55"/>
  <c r="G30" i="55"/>
  <c r="F30" i="55"/>
  <c r="E30" i="55"/>
  <c r="D30" i="55"/>
  <c r="C30" i="55"/>
  <c r="N29" i="55"/>
  <c r="M29" i="55"/>
  <c r="L29" i="55"/>
  <c r="K29" i="55"/>
  <c r="J29" i="55"/>
  <c r="I29" i="55"/>
  <c r="H29" i="55"/>
  <c r="G29" i="55"/>
  <c r="F29" i="55"/>
  <c r="E29" i="55"/>
  <c r="D29" i="55"/>
  <c r="C29" i="55"/>
  <c r="N28" i="55"/>
  <c r="M28" i="55"/>
  <c r="L28" i="55"/>
  <c r="K28" i="55"/>
  <c r="J28" i="55"/>
  <c r="I28" i="55"/>
  <c r="H28" i="55"/>
  <c r="G28" i="55"/>
  <c r="F28" i="55"/>
  <c r="E28" i="55"/>
  <c r="D28" i="55"/>
  <c r="C28" i="55"/>
  <c r="N27" i="55"/>
  <c r="M27" i="55"/>
  <c r="L27" i="55"/>
  <c r="K27" i="55"/>
  <c r="J27" i="55"/>
  <c r="I27" i="55"/>
  <c r="H27" i="55"/>
  <c r="G27" i="55"/>
  <c r="F27" i="55"/>
  <c r="E27" i="55"/>
  <c r="D27" i="55"/>
  <c r="C27" i="55"/>
  <c r="N26" i="55"/>
  <c r="M26" i="55"/>
  <c r="L26" i="55"/>
  <c r="K26" i="55"/>
  <c r="J26" i="55"/>
  <c r="I26" i="55"/>
  <c r="H26" i="55"/>
  <c r="G26" i="55"/>
  <c r="F26" i="55"/>
  <c r="E26" i="55"/>
  <c r="D26" i="55"/>
  <c r="C26" i="55"/>
  <c r="N25" i="55"/>
  <c r="M25" i="55"/>
  <c r="L25" i="55"/>
  <c r="K25" i="55"/>
  <c r="J25" i="55"/>
  <c r="I25" i="55"/>
  <c r="H25" i="55"/>
  <c r="G25" i="55"/>
  <c r="F25" i="55"/>
  <c r="E25" i="55"/>
  <c r="D25" i="55"/>
  <c r="C25" i="55"/>
  <c r="N24" i="55"/>
  <c r="M24" i="55"/>
  <c r="L24" i="55"/>
  <c r="K24" i="55"/>
  <c r="J24" i="55"/>
  <c r="I24" i="55"/>
  <c r="H24" i="55"/>
  <c r="G24" i="55"/>
  <c r="F24" i="55"/>
  <c r="E24" i="55"/>
  <c r="D24" i="55"/>
  <c r="C24" i="55"/>
  <c r="N23" i="55"/>
  <c r="M23" i="55"/>
  <c r="L23" i="55"/>
  <c r="K23" i="55"/>
  <c r="J23" i="55"/>
  <c r="I23" i="55"/>
  <c r="H23" i="55"/>
  <c r="G23" i="55"/>
  <c r="F23" i="55"/>
  <c r="E23" i="55"/>
  <c r="D23" i="55"/>
  <c r="C23" i="55"/>
  <c r="N22" i="55"/>
  <c r="M22" i="55"/>
  <c r="L22" i="55"/>
  <c r="K22" i="55"/>
  <c r="J22" i="55"/>
  <c r="I22" i="55"/>
  <c r="H22" i="55"/>
  <c r="G22" i="55"/>
  <c r="F22" i="55"/>
  <c r="E22" i="55"/>
  <c r="D22" i="55"/>
  <c r="C22" i="55"/>
  <c r="N21" i="55"/>
  <c r="M21" i="55"/>
  <c r="L21" i="55"/>
  <c r="K21" i="55"/>
  <c r="J21" i="55"/>
  <c r="I21" i="55"/>
  <c r="H21" i="55"/>
  <c r="G21" i="55"/>
  <c r="F21" i="55"/>
  <c r="E21" i="55"/>
  <c r="D21" i="55"/>
  <c r="C21" i="55"/>
  <c r="N20" i="55"/>
  <c r="M20" i="55"/>
  <c r="L20" i="55"/>
  <c r="K20" i="55"/>
  <c r="J20" i="55"/>
  <c r="I20" i="55"/>
  <c r="H20" i="55"/>
  <c r="G20" i="55"/>
  <c r="F20" i="55"/>
  <c r="E20" i="55"/>
  <c r="D20" i="55"/>
  <c r="C20" i="55"/>
  <c r="N19" i="55"/>
  <c r="M19" i="55"/>
  <c r="L19" i="55"/>
  <c r="K19" i="55"/>
  <c r="J19" i="55"/>
  <c r="I19" i="55"/>
  <c r="H19" i="55"/>
  <c r="G19" i="55"/>
  <c r="F19" i="55"/>
  <c r="E19" i="55"/>
  <c r="D19" i="55"/>
  <c r="C19" i="55"/>
  <c r="N18" i="55"/>
  <c r="M18" i="55"/>
  <c r="L18" i="55"/>
  <c r="K18" i="55"/>
  <c r="J18" i="55"/>
  <c r="I18" i="55"/>
  <c r="H18" i="55"/>
  <c r="G18" i="55"/>
  <c r="F18" i="55"/>
  <c r="E18" i="55"/>
  <c r="D18" i="55"/>
  <c r="C18" i="55"/>
  <c r="N17" i="55"/>
  <c r="M17" i="55"/>
  <c r="L17" i="55"/>
  <c r="K17" i="55"/>
  <c r="J17" i="55"/>
  <c r="I17" i="55"/>
  <c r="H17" i="55"/>
  <c r="G17" i="55"/>
  <c r="F17" i="55"/>
  <c r="E17" i="55"/>
  <c r="D17" i="55"/>
  <c r="C17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N15" i="55"/>
  <c r="M15" i="55"/>
  <c r="L15" i="55"/>
  <c r="K15" i="55"/>
  <c r="J15" i="55"/>
  <c r="I15" i="55"/>
  <c r="H15" i="55"/>
  <c r="G15" i="55"/>
  <c r="F15" i="55"/>
  <c r="E15" i="55"/>
  <c r="D15" i="55"/>
  <c r="C15" i="55"/>
  <c r="N14" i="55"/>
  <c r="M14" i="55"/>
  <c r="L14" i="55"/>
  <c r="K14" i="55"/>
  <c r="J14" i="55"/>
  <c r="I14" i="55"/>
  <c r="H14" i="55"/>
  <c r="G14" i="55"/>
  <c r="F14" i="55"/>
  <c r="E14" i="55"/>
  <c r="D14" i="55"/>
  <c r="C14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N11" i="55"/>
  <c r="M11" i="55"/>
  <c r="L11" i="55"/>
  <c r="K11" i="55"/>
  <c r="J11" i="55"/>
  <c r="I11" i="55"/>
  <c r="H11" i="55"/>
  <c r="G11" i="55"/>
  <c r="F11" i="55"/>
  <c r="E11" i="55"/>
  <c r="D11" i="55"/>
  <c r="C11" i="55"/>
  <c r="N10" i="55"/>
  <c r="M10" i="55"/>
  <c r="L10" i="55"/>
  <c r="K10" i="55"/>
  <c r="J10" i="55"/>
  <c r="I10" i="55"/>
  <c r="H10" i="55"/>
  <c r="G10" i="55"/>
  <c r="F10" i="55"/>
  <c r="E10" i="55"/>
  <c r="D10" i="55"/>
  <c r="C10" i="55"/>
  <c r="N9" i="55"/>
  <c r="M9" i="55"/>
  <c r="L9" i="55"/>
  <c r="K9" i="55"/>
  <c r="J9" i="55"/>
  <c r="I9" i="55"/>
  <c r="H9" i="55"/>
  <c r="G9" i="55"/>
  <c r="F9" i="55"/>
  <c r="E9" i="55"/>
  <c r="D9" i="55"/>
  <c r="C9" i="55"/>
  <c r="N8" i="55"/>
  <c r="M8" i="55"/>
  <c r="L8" i="55"/>
  <c r="K8" i="55"/>
  <c r="J8" i="55"/>
  <c r="I8" i="55"/>
  <c r="H8" i="55"/>
  <c r="G8" i="55"/>
  <c r="F8" i="55"/>
  <c r="E8" i="55"/>
  <c r="D8" i="55"/>
  <c r="C8" i="55"/>
  <c r="N7" i="55"/>
  <c r="M7" i="55"/>
  <c r="L7" i="55"/>
  <c r="K7" i="55"/>
  <c r="J7" i="55"/>
  <c r="I7" i="55"/>
  <c r="H7" i="55"/>
  <c r="G7" i="55"/>
  <c r="F7" i="55"/>
  <c r="E7" i="55"/>
  <c r="D7" i="55"/>
  <c r="C7" i="55"/>
  <c r="N6" i="55"/>
  <c r="M6" i="55"/>
  <c r="L6" i="55"/>
  <c r="K6" i="55"/>
  <c r="J6" i="55"/>
  <c r="I6" i="55"/>
  <c r="H6" i="55"/>
  <c r="G6" i="55"/>
  <c r="F6" i="55"/>
  <c r="E6" i="55"/>
  <c r="D6" i="55"/>
  <c r="C6" i="55"/>
  <c r="N5" i="55"/>
  <c r="M5" i="55"/>
  <c r="L5" i="55"/>
  <c r="K5" i="55"/>
  <c r="J5" i="55"/>
  <c r="I5" i="55"/>
  <c r="H5" i="55"/>
  <c r="G5" i="55"/>
  <c r="F5" i="55"/>
  <c r="E5" i="55"/>
  <c r="D5" i="55"/>
  <c r="C5" i="55"/>
  <c r="N4" i="55"/>
  <c r="M4" i="55"/>
  <c r="L4" i="55"/>
  <c r="K4" i="55"/>
  <c r="J4" i="55"/>
  <c r="I4" i="55"/>
  <c r="H4" i="55"/>
  <c r="G4" i="55"/>
  <c r="F4" i="55"/>
  <c r="E4" i="55"/>
  <c r="D4" i="55"/>
  <c r="C4" i="55"/>
  <c r="E272" i="66"/>
  <c r="D272" i="66"/>
  <c r="C272" i="66"/>
  <c r="F272" i="66"/>
  <c r="J270" i="66"/>
  <c r="I270" i="66"/>
  <c r="H270" i="66"/>
  <c r="G270" i="66"/>
  <c r="J269" i="66"/>
  <c r="I269" i="66"/>
  <c r="H269" i="66"/>
  <c r="G269" i="66"/>
  <c r="J268" i="66"/>
  <c r="I268" i="66"/>
  <c r="H268" i="66"/>
  <c r="G268" i="66"/>
  <c r="J267" i="66"/>
  <c r="I267" i="66"/>
  <c r="H267" i="66"/>
  <c r="G267" i="66"/>
  <c r="J266" i="66"/>
  <c r="I266" i="66"/>
  <c r="H266" i="66"/>
  <c r="G266" i="66"/>
  <c r="J265" i="66"/>
  <c r="I265" i="66"/>
  <c r="H265" i="66"/>
  <c r="G265" i="66"/>
  <c r="J264" i="66"/>
  <c r="I264" i="66"/>
  <c r="H264" i="66"/>
  <c r="G264" i="66"/>
  <c r="J263" i="66"/>
  <c r="I263" i="66"/>
  <c r="H263" i="66"/>
  <c r="G263" i="66"/>
  <c r="J262" i="66"/>
  <c r="I262" i="66"/>
  <c r="H262" i="66"/>
  <c r="G262" i="66"/>
  <c r="J261" i="66"/>
  <c r="I261" i="66"/>
  <c r="H261" i="66"/>
  <c r="G261" i="66"/>
  <c r="J260" i="66"/>
  <c r="I260" i="66"/>
  <c r="H260" i="66"/>
  <c r="G260" i="66"/>
  <c r="J259" i="66"/>
  <c r="I259" i="66"/>
  <c r="H259" i="66"/>
  <c r="G259" i="66"/>
  <c r="J258" i="66"/>
  <c r="I258" i="66"/>
  <c r="H258" i="66"/>
  <c r="G258" i="66"/>
  <c r="J257" i="66"/>
  <c r="I257" i="66"/>
  <c r="H257" i="66"/>
  <c r="G257" i="66"/>
  <c r="J256" i="66"/>
  <c r="I256" i="66"/>
  <c r="H256" i="66"/>
  <c r="G256" i="66"/>
  <c r="J255" i="66"/>
  <c r="I255" i="66"/>
  <c r="H255" i="66"/>
  <c r="G255" i="66"/>
  <c r="J254" i="66"/>
  <c r="I254" i="66"/>
  <c r="H254" i="66"/>
  <c r="G254" i="66"/>
  <c r="J253" i="66"/>
  <c r="I253" i="66"/>
  <c r="H253" i="66"/>
  <c r="G253" i="66"/>
  <c r="J252" i="66"/>
  <c r="I252" i="66"/>
  <c r="H252" i="66"/>
  <c r="G252" i="66"/>
  <c r="J251" i="66"/>
  <c r="I251" i="66"/>
  <c r="H251" i="66"/>
  <c r="G251" i="66"/>
  <c r="J250" i="66"/>
  <c r="I250" i="66"/>
  <c r="H250" i="66"/>
  <c r="G250" i="66"/>
  <c r="J249" i="66"/>
  <c r="I249" i="66"/>
  <c r="H249" i="66"/>
  <c r="G249" i="66"/>
  <c r="J248" i="66"/>
  <c r="I248" i="66"/>
  <c r="H248" i="66"/>
  <c r="G248" i="66"/>
  <c r="J247" i="66"/>
  <c r="I247" i="66"/>
  <c r="H247" i="66"/>
  <c r="G247" i="66"/>
  <c r="J246" i="66"/>
  <c r="I246" i="66"/>
  <c r="H246" i="66"/>
  <c r="G246" i="66"/>
  <c r="J245" i="66"/>
  <c r="I245" i="66"/>
  <c r="H245" i="66"/>
  <c r="G245" i="66"/>
  <c r="J244" i="66"/>
  <c r="I244" i="66"/>
  <c r="H244" i="66"/>
  <c r="G244" i="66"/>
  <c r="J243" i="66"/>
  <c r="I243" i="66"/>
  <c r="H243" i="66"/>
  <c r="G243" i="66"/>
  <c r="J242" i="66"/>
  <c r="I242" i="66"/>
  <c r="H242" i="66"/>
  <c r="G242" i="66"/>
  <c r="J241" i="66"/>
  <c r="I241" i="66"/>
  <c r="H241" i="66"/>
  <c r="G241" i="66"/>
  <c r="J240" i="66"/>
  <c r="I240" i="66"/>
  <c r="H240" i="66"/>
  <c r="G240" i="66"/>
  <c r="J239" i="66"/>
  <c r="I239" i="66"/>
  <c r="H239" i="66"/>
  <c r="G239" i="66"/>
  <c r="J238" i="66"/>
  <c r="I238" i="66"/>
  <c r="H238" i="66"/>
  <c r="G238" i="66"/>
  <c r="J237" i="66"/>
  <c r="I237" i="66"/>
  <c r="H237" i="66"/>
  <c r="G237" i="66"/>
  <c r="J236" i="66"/>
  <c r="I236" i="66"/>
  <c r="H236" i="66"/>
  <c r="G236" i="66"/>
  <c r="J235" i="66"/>
  <c r="I235" i="66"/>
  <c r="H235" i="66"/>
  <c r="G235" i="66"/>
  <c r="J234" i="66"/>
  <c r="I234" i="66"/>
  <c r="H234" i="66"/>
  <c r="G234" i="66"/>
  <c r="J233" i="66"/>
  <c r="I233" i="66"/>
  <c r="H233" i="66"/>
  <c r="G233" i="66"/>
  <c r="J232" i="66"/>
  <c r="I232" i="66"/>
  <c r="H232" i="66"/>
  <c r="G232" i="66"/>
  <c r="J231" i="66"/>
  <c r="I231" i="66"/>
  <c r="H231" i="66"/>
  <c r="G231" i="66"/>
  <c r="J230" i="66"/>
  <c r="I230" i="66"/>
  <c r="H230" i="66"/>
  <c r="G230" i="66"/>
  <c r="J229" i="66"/>
  <c r="I229" i="66"/>
  <c r="H229" i="66"/>
  <c r="G229" i="66"/>
  <c r="J228" i="66"/>
  <c r="I228" i="66"/>
  <c r="H228" i="66"/>
  <c r="G228" i="66"/>
  <c r="J227" i="66"/>
  <c r="I227" i="66"/>
  <c r="H227" i="66"/>
  <c r="G227" i="66"/>
  <c r="J226" i="66"/>
  <c r="I226" i="66"/>
  <c r="H226" i="66"/>
  <c r="G226" i="66"/>
  <c r="J225" i="66"/>
  <c r="I225" i="66"/>
  <c r="H225" i="66"/>
  <c r="G225" i="66"/>
  <c r="J224" i="66"/>
  <c r="I224" i="66"/>
  <c r="H224" i="66"/>
  <c r="G224" i="66"/>
  <c r="J223" i="66"/>
  <c r="I223" i="66"/>
  <c r="H223" i="66"/>
  <c r="G223" i="66"/>
  <c r="J222" i="66"/>
  <c r="I222" i="66"/>
  <c r="H222" i="66"/>
  <c r="G222" i="66"/>
  <c r="J221" i="66"/>
  <c r="I221" i="66"/>
  <c r="H221" i="66"/>
  <c r="G221" i="66"/>
  <c r="J220" i="66"/>
  <c r="I220" i="66"/>
  <c r="H220" i="66"/>
  <c r="G220" i="66"/>
  <c r="J219" i="66"/>
  <c r="I219" i="66"/>
  <c r="H219" i="66"/>
  <c r="G219" i="66"/>
  <c r="J218" i="66"/>
  <c r="I218" i="66"/>
  <c r="H218" i="66"/>
  <c r="G218" i="66"/>
  <c r="J217" i="66"/>
  <c r="I217" i="66"/>
  <c r="H217" i="66"/>
  <c r="G217" i="66"/>
  <c r="J216" i="66"/>
  <c r="I216" i="66"/>
  <c r="H216" i="66"/>
  <c r="G216" i="66"/>
  <c r="J215" i="66"/>
  <c r="I215" i="66"/>
  <c r="H215" i="66"/>
  <c r="G215" i="66"/>
  <c r="J214" i="66"/>
  <c r="I214" i="66"/>
  <c r="H214" i="66"/>
  <c r="G214" i="66"/>
  <c r="J213" i="66"/>
  <c r="I213" i="66"/>
  <c r="H213" i="66"/>
  <c r="G213" i="66"/>
  <c r="J212" i="66"/>
  <c r="I212" i="66"/>
  <c r="H212" i="66"/>
  <c r="G212" i="66"/>
  <c r="J211" i="66"/>
  <c r="I211" i="66"/>
  <c r="H211" i="66"/>
  <c r="G211" i="66"/>
  <c r="J210" i="66"/>
  <c r="I210" i="66"/>
  <c r="H210" i="66"/>
  <c r="G210" i="66"/>
  <c r="J209" i="66"/>
  <c r="I209" i="66"/>
  <c r="H209" i="66"/>
  <c r="G209" i="66"/>
  <c r="J208" i="66"/>
  <c r="I208" i="66"/>
  <c r="H208" i="66"/>
  <c r="G208" i="66"/>
  <c r="J207" i="66"/>
  <c r="I207" i="66"/>
  <c r="H207" i="66"/>
  <c r="G207" i="66"/>
  <c r="J206" i="66"/>
  <c r="I206" i="66"/>
  <c r="H206" i="66"/>
  <c r="G206" i="66"/>
  <c r="J205" i="66"/>
  <c r="I205" i="66"/>
  <c r="H205" i="66"/>
  <c r="G205" i="66"/>
  <c r="J204" i="66"/>
  <c r="I204" i="66"/>
  <c r="H204" i="66"/>
  <c r="G204" i="66"/>
  <c r="J203" i="66"/>
  <c r="I203" i="66"/>
  <c r="H203" i="66"/>
  <c r="G203" i="66"/>
  <c r="J202" i="66"/>
  <c r="I202" i="66"/>
  <c r="H202" i="66"/>
  <c r="G202" i="66"/>
  <c r="J201" i="66"/>
  <c r="I201" i="66"/>
  <c r="H201" i="66"/>
  <c r="G201" i="66"/>
  <c r="J200" i="66"/>
  <c r="I200" i="66"/>
  <c r="H200" i="66"/>
  <c r="G200" i="66"/>
  <c r="J199" i="66"/>
  <c r="I199" i="66"/>
  <c r="H199" i="66"/>
  <c r="G199" i="66"/>
  <c r="J198" i="66"/>
  <c r="I198" i="66"/>
  <c r="H198" i="66"/>
  <c r="G198" i="66"/>
  <c r="J197" i="66"/>
  <c r="I197" i="66"/>
  <c r="H197" i="66"/>
  <c r="G197" i="66"/>
  <c r="J196" i="66"/>
  <c r="I196" i="66"/>
  <c r="H196" i="66"/>
  <c r="G196" i="66"/>
  <c r="J195" i="66"/>
  <c r="I195" i="66"/>
  <c r="H195" i="66"/>
  <c r="G195" i="66"/>
  <c r="J194" i="66"/>
  <c r="I194" i="66"/>
  <c r="H194" i="66"/>
  <c r="G194" i="66"/>
  <c r="J193" i="66"/>
  <c r="I193" i="66"/>
  <c r="H193" i="66"/>
  <c r="G193" i="66"/>
  <c r="J192" i="66"/>
  <c r="I192" i="66"/>
  <c r="H192" i="66"/>
  <c r="G192" i="66"/>
  <c r="J191" i="66"/>
  <c r="I191" i="66"/>
  <c r="H191" i="66"/>
  <c r="G191" i="66"/>
  <c r="J190" i="66"/>
  <c r="I190" i="66"/>
  <c r="H190" i="66"/>
  <c r="G190" i="66"/>
  <c r="J189" i="66"/>
  <c r="I189" i="66"/>
  <c r="H189" i="66"/>
  <c r="G189" i="66"/>
  <c r="J188" i="66"/>
  <c r="I188" i="66"/>
  <c r="H188" i="66"/>
  <c r="G188" i="66"/>
  <c r="J187" i="66"/>
  <c r="I187" i="66"/>
  <c r="H187" i="66"/>
  <c r="G187" i="66"/>
  <c r="J186" i="66"/>
  <c r="I186" i="66"/>
  <c r="H186" i="66"/>
  <c r="G186" i="66"/>
  <c r="J185" i="66"/>
  <c r="I185" i="66"/>
  <c r="H185" i="66"/>
  <c r="G185" i="66"/>
  <c r="J184" i="66"/>
  <c r="I184" i="66"/>
  <c r="H184" i="66"/>
  <c r="G184" i="66"/>
  <c r="J183" i="66"/>
  <c r="I183" i="66"/>
  <c r="H183" i="66"/>
  <c r="G183" i="66"/>
  <c r="J182" i="66"/>
  <c r="I182" i="66"/>
  <c r="H182" i="66"/>
  <c r="G182" i="66"/>
  <c r="J181" i="66"/>
  <c r="I181" i="66"/>
  <c r="H181" i="66"/>
  <c r="G181" i="66"/>
  <c r="J180" i="66"/>
  <c r="I180" i="66"/>
  <c r="H180" i="66"/>
  <c r="G180" i="66"/>
  <c r="J179" i="66"/>
  <c r="I179" i="66"/>
  <c r="H179" i="66"/>
  <c r="G179" i="66"/>
  <c r="J178" i="66"/>
  <c r="I178" i="66"/>
  <c r="H178" i="66"/>
  <c r="G178" i="66"/>
  <c r="J177" i="66"/>
  <c r="I177" i="66"/>
  <c r="H177" i="66"/>
  <c r="G177" i="66"/>
  <c r="J176" i="66"/>
  <c r="I176" i="66"/>
  <c r="H176" i="66"/>
  <c r="G176" i="66"/>
  <c r="J175" i="66"/>
  <c r="I175" i="66"/>
  <c r="H175" i="66"/>
  <c r="G175" i="66"/>
  <c r="J174" i="66"/>
  <c r="I174" i="66"/>
  <c r="H174" i="66"/>
  <c r="G174" i="66"/>
  <c r="J173" i="66"/>
  <c r="I173" i="66"/>
  <c r="H173" i="66"/>
  <c r="G173" i="66"/>
  <c r="J172" i="66"/>
  <c r="I172" i="66"/>
  <c r="H172" i="66"/>
  <c r="G172" i="66"/>
  <c r="J171" i="66"/>
  <c r="I171" i="66"/>
  <c r="H171" i="66"/>
  <c r="G171" i="66"/>
  <c r="J170" i="66"/>
  <c r="I170" i="66"/>
  <c r="H170" i="66"/>
  <c r="G170" i="66"/>
  <c r="J169" i="66"/>
  <c r="I169" i="66"/>
  <c r="H169" i="66"/>
  <c r="G169" i="66"/>
  <c r="J168" i="66"/>
  <c r="I168" i="66"/>
  <c r="H168" i="66"/>
  <c r="G168" i="66"/>
  <c r="J167" i="66"/>
  <c r="I167" i="66"/>
  <c r="H167" i="66"/>
  <c r="G167" i="66"/>
  <c r="J166" i="66"/>
  <c r="I166" i="66"/>
  <c r="H166" i="66"/>
  <c r="G166" i="66"/>
  <c r="J165" i="66"/>
  <c r="I165" i="66"/>
  <c r="H165" i="66"/>
  <c r="G165" i="66"/>
  <c r="J164" i="66"/>
  <c r="I164" i="66"/>
  <c r="H164" i="66"/>
  <c r="G164" i="66"/>
  <c r="J163" i="66"/>
  <c r="I163" i="66"/>
  <c r="H163" i="66"/>
  <c r="G163" i="66"/>
  <c r="J162" i="66"/>
  <c r="I162" i="66"/>
  <c r="H162" i="66"/>
  <c r="G162" i="66"/>
  <c r="J161" i="66"/>
  <c r="I161" i="66"/>
  <c r="H161" i="66"/>
  <c r="G161" i="66"/>
  <c r="J160" i="66"/>
  <c r="I160" i="66"/>
  <c r="H160" i="66"/>
  <c r="G160" i="66"/>
  <c r="J159" i="66"/>
  <c r="I159" i="66"/>
  <c r="H159" i="66"/>
  <c r="G159" i="66"/>
  <c r="J158" i="66"/>
  <c r="I158" i="66"/>
  <c r="H158" i="66"/>
  <c r="G158" i="66"/>
  <c r="J157" i="66"/>
  <c r="I157" i="66"/>
  <c r="H157" i="66"/>
  <c r="G157" i="66"/>
  <c r="J156" i="66"/>
  <c r="I156" i="66"/>
  <c r="H156" i="66"/>
  <c r="G156" i="66"/>
  <c r="J155" i="66"/>
  <c r="I155" i="66"/>
  <c r="H155" i="66"/>
  <c r="G155" i="66"/>
  <c r="J154" i="66"/>
  <c r="I154" i="66"/>
  <c r="H154" i="66"/>
  <c r="G154" i="66"/>
  <c r="J153" i="66"/>
  <c r="I153" i="66"/>
  <c r="H153" i="66"/>
  <c r="G153" i="66"/>
  <c r="J152" i="66"/>
  <c r="I152" i="66"/>
  <c r="H152" i="66"/>
  <c r="G152" i="66"/>
  <c r="J151" i="66"/>
  <c r="I151" i="66"/>
  <c r="H151" i="66"/>
  <c r="G151" i="66"/>
  <c r="J150" i="66"/>
  <c r="I150" i="66"/>
  <c r="H150" i="66"/>
  <c r="G150" i="66"/>
  <c r="J149" i="66"/>
  <c r="I149" i="66"/>
  <c r="H149" i="66"/>
  <c r="G149" i="66"/>
  <c r="J148" i="66"/>
  <c r="I148" i="66"/>
  <c r="H148" i="66"/>
  <c r="G148" i="66"/>
  <c r="J147" i="66"/>
  <c r="I147" i="66"/>
  <c r="H147" i="66"/>
  <c r="G147" i="66"/>
  <c r="J146" i="66"/>
  <c r="I146" i="66"/>
  <c r="H146" i="66"/>
  <c r="G146" i="66"/>
  <c r="J145" i="66"/>
  <c r="I145" i="66"/>
  <c r="H145" i="66"/>
  <c r="G145" i="66"/>
  <c r="J144" i="66"/>
  <c r="I144" i="66"/>
  <c r="H144" i="66"/>
  <c r="G144" i="66"/>
  <c r="J143" i="66"/>
  <c r="I143" i="66"/>
  <c r="H143" i="66"/>
  <c r="G143" i="66"/>
  <c r="J142" i="66"/>
  <c r="I142" i="66"/>
  <c r="H142" i="66"/>
  <c r="G142" i="66"/>
  <c r="J141" i="66"/>
  <c r="I141" i="66"/>
  <c r="H141" i="66"/>
  <c r="G141" i="66"/>
  <c r="J140" i="66"/>
  <c r="I140" i="66"/>
  <c r="H140" i="66"/>
  <c r="G140" i="66"/>
  <c r="J139" i="66"/>
  <c r="I139" i="66"/>
  <c r="H139" i="66"/>
  <c r="G139" i="66"/>
  <c r="J138" i="66"/>
  <c r="I138" i="66"/>
  <c r="H138" i="66"/>
  <c r="G138" i="66"/>
  <c r="J137" i="66"/>
  <c r="I137" i="66"/>
  <c r="H137" i="66"/>
  <c r="G137" i="66"/>
  <c r="J136" i="66"/>
  <c r="I136" i="66"/>
  <c r="H136" i="66"/>
  <c r="G136" i="66"/>
  <c r="J135" i="66"/>
  <c r="I135" i="66"/>
  <c r="H135" i="66"/>
  <c r="G135" i="66"/>
  <c r="J134" i="66"/>
  <c r="I134" i="66"/>
  <c r="H134" i="66"/>
  <c r="G134" i="66"/>
  <c r="J133" i="66"/>
  <c r="I133" i="66"/>
  <c r="H133" i="66"/>
  <c r="G133" i="66"/>
  <c r="J132" i="66"/>
  <c r="I132" i="66"/>
  <c r="H132" i="66"/>
  <c r="G132" i="66"/>
  <c r="J131" i="66"/>
  <c r="I131" i="66"/>
  <c r="H131" i="66"/>
  <c r="G131" i="66"/>
  <c r="J130" i="66"/>
  <c r="I130" i="66"/>
  <c r="H130" i="66"/>
  <c r="G130" i="66"/>
  <c r="J129" i="66"/>
  <c r="I129" i="66"/>
  <c r="H129" i="66"/>
  <c r="G129" i="66"/>
  <c r="J128" i="66"/>
  <c r="I128" i="66"/>
  <c r="H128" i="66"/>
  <c r="G128" i="66"/>
  <c r="J127" i="66"/>
  <c r="I127" i="66"/>
  <c r="H127" i="66"/>
  <c r="G127" i="66"/>
  <c r="J126" i="66"/>
  <c r="I126" i="66"/>
  <c r="H126" i="66"/>
  <c r="G126" i="66"/>
  <c r="J125" i="66"/>
  <c r="I125" i="66"/>
  <c r="H125" i="66"/>
  <c r="G125" i="66"/>
  <c r="J124" i="66"/>
  <c r="I124" i="66"/>
  <c r="H124" i="66"/>
  <c r="G124" i="66"/>
  <c r="J123" i="66"/>
  <c r="I123" i="66"/>
  <c r="H123" i="66"/>
  <c r="G123" i="66"/>
  <c r="J122" i="66"/>
  <c r="I122" i="66"/>
  <c r="H122" i="66"/>
  <c r="G122" i="66"/>
  <c r="J121" i="66"/>
  <c r="I121" i="66"/>
  <c r="H121" i="66"/>
  <c r="G121" i="66"/>
  <c r="J120" i="66"/>
  <c r="I120" i="66"/>
  <c r="H120" i="66"/>
  <c r="G120" i="66"/>
  <c r="J119" i="66"/>
  <c r="I119" i="66"/>
  <c r="H119" i="66"/>
  <c r="G119" i="66"/>
  <c r="J118" i="66"/>
  <c r="I118" i="66"/>
  <c r="H118" i="66"/>
  <c r="G118" i="66"/>
  <c r="J117" i="66"/>
  <c r="I117" i="66"/>
  <c r="H117" i="66"/>
  <c r="G117" i="66"/>
  <c r="J116" i="66"/>
  <c r="I116" i="66"/>
  <c r="H116" i="66"/>
  <c r="G116" i="66"/>
  <c r="J115" i="66"/>
  <c r="I115" i="66"/>
  <c r="H115" i="66"/>
  <c r="G115" i="66"/>
  <c r="J114" i="66"/>
  <c r="I114" i="66"/>
  <c r="H114" i="66"/>
  <c r="G114" i="66"/>
  <c r="J113" i="66"/>
  <c r="I113" i="66"/>
  <c r="H113" i="66"/>
  <c r="G113" i="66"/>
  <c r="J112" i="66"/>
  <c r="I112" i="66"/>
  <c r="H112" i="66"/>
  <c r="G112" i="66"/>
  <c r="J111" i="66"/>
  <c r="I111" i="66"/>
  <c r="H111" i="66"/>
  <c r="G111" i="66"/>
  <c r="J110" i="66"/>
  <c r="I110" i="66"/>
  <c r="H110" i="66"/>
  <c r="G110" i="66"/>
  <c r="J109" i="66"/>
  <c r="I109" i="66"/>
  <c r="H109" i="66"/>
  <c r="G109" i="66"/>
  <c r="J108" i="66"/>
  <c r="I108" i="66"/>
  <c r="H108" i="66"/>
  <c r="G108" i="66"/>
  <c r="J107" i="66"/>
  <c r="I107" i="66"/>
  <c r="H107" i="66"/>
  <c r="G107" i="66"/>
  <c r="J106" i="66"/>
  <c r="I106" i="66"/>
  <c r="H106" i="66"/>
  <c r="G106" i="66"/>
  <c r="J105" i="66"/>
  <c r="I105" i="66"/>
  <c r="H105" i="66"/>
  <c r="G105" i="66"/>
  <c r="J104" i="66"/>
  <c r="I104" i="66"/>
  <c r="H104" i="66"/>
  <c r="G104" i="66"/>
  <c r="J103" i="66"/>
  <c r="I103" i="66"/>
  <c r="H103" i="66"/>
  <c r="G103" i="66"/>
  <c r="J102" i="66"/>
  <c r="I102" i="66"/>
  <c r="H102" i="66"/>
  <c r="G102" i="66"/>
  <c r="J101" i="66"/>
  <c r="I101" i="66"/>
  <c r="H101" i="66"/>
  <c r="G101" i="66"/>
  <c r="J100" i="66"/>
  <c r="I100" i="66"/>
  <c r="H100" i="66"/>
  <c r="G100" i="66"/>
  <c r="J99" i="66"/>
  <c r="I99" i="66"/>
  <c r="H99" i="66"/>
  <c r="G99" i="66"/>
  <c r="J98" i="66"/>
  <c r="I98" i="66"/>
  <c r="H98" i="66"/>
  <c r="G98" i="66"/>
  <c r="J97" i="66"/>
  <c r="I97" i="66"/>
  <c r="H97" i="66"/>
  <c r="G97" i="66"/>
  <c r="J96" i="66"/>
  <c r="I96" i="66"/>
  <c r="H96" i="66"/>
  <c r="G96" i="66"/>
  <c r="J95" i="66"/>
  <c r="I95" i="66"/>
  <c r="H95" i="66"/>
  <c r="G95" i="66"/>
  <c r="J94" i="66"/>
  <c r="I94" i="66"/>
  <c r="H94" i="66"/>
  <c r="G94" i="66"/>
  <c r="J93" i="66"/>
  <c r="I93" i="66"/>
  <c r="H93" i="66"/>
  <c r="G93" i="66"/>
  <c r="J92" i="66"/>
  <c r="I92" i="66"/>
  <c r="H92" i="66"/>
  <c r="G92" i="66"/>
  <c r="J91" i="66"/>
  <c r="I91" i="66"/>
  <c r="H91" i="66"/>
  <c r="G91" i="66"/>
  <c r="J90" i="66"/>
  <c r="I90" i="66"/>
  <c r="H90" i="66"/>
  <c r="G90" i="66"/>
  <c r="J89" i="66"/>
  <c r="I89" i="66"/>
  <c r="H89" i="66"/>
  <c r="G89" i="66"/>
  <c r="J88" i="66"/>
  <c r="I88" i="66"/>
  <c r="H88" i="66"/>
  <c r="G88" i="66"/>
  <c r="J87" i="66"/>
  <c r="I87" i="66"/>
  <c r="H87" i="66"/>
  <c r="G87" i="66"/>
  <c r="J86" i="66"/>
  <c r="I86" i="66"/>
  <c r="H86" i="66"/>
  <c r="G86" i="66"/>
  <c r="J85" i="66"/>
  <c r="I85" i="66"/>
  <c r="H85" i="66"/>
  <c r="G85" i="66"/>
  <c r="J84" i="66"/>
  <c r="I84" i="66"/>
  <c r="H84" i="66"/>
  <c r="G84" i="66"/>
  <c r="J83" i="66"/>
  <c r="I83" i="66"/>
  <c r="H83" i="66"/>
  <c r="G83" i="66"/>
  <c r="J82" i="66"/>
  <c r="I82" i="66"/>
  <c r="H82" i="66"/>
  <c r="G82" i="66"/>
  <c r="J81" i="66"/>
  <c r="I81" i="66"/>
  <c r="H81" i="66"/>
  <c r="G81" i="66"/>
  <c r="J80" i="66"/>
  <c r="I80" i="66"/>
  <c r="H80" i="66"/>
  <c r="G80" i="66"/>
  <c r="J79" i="66"/>
  <c r="I79" i="66"/>
  <c r="H79" i="66"/>
  <c r="G79" i="66"/>
  <c r="J78" i="66"/>
  <c r="I78" i="66"/>
  <c r="H78" i="66"/>
  <c r="G78" i="66"/>
  <c r="J77" i="66"/>
  <c r="I77" i="66"/>
  <c r="H77" i="66"/>
  <c r="G77" i="66"/>
  <c r="J76" i="66"/>
  <c r="I76" i="66"/>
  <c r="H76" i="66"/>
  <c r="G76" i="66"/>
  <c r="J75" i="66"/>
  <c r="I75" i="66"/>
  <c r="H75" i="66"/>
  <c r="G75" i="66"/>
  <c r="J74" i="66"/>
  <c r="I74" i="66"/>
  <c r="H74" i="66"/>
  <c r="G74" i="66"/>
  <c r="J73" i="66"/>
  <c r="I73" i="66"/>
  <c r="H73" i="66"/>
  <c r="G73" i="66"/>
  <c r="J72" i="66"/>
  <c r="I72" i="66"/>
  <c r="H72" i="66"/>
  <c r="G72" i="66"/>
  <c r="J71" i="66"/>
  <c r="I71" i="66"/>
  <c r="H71" i="66"/>
  <c r="G71" i="66"/>
  <c r="J70" i="66"/>
  <c r="I70" i="66"/>
  <c r="H70" i="66"/>
  <c r="G70" i="66"/>
  <c r="J69" i="66"/>
  <c r="I69" i="66"/>
  <c r="H69" i="66"/>
  <c r="G69" i="66"/>
  <c r="J68" i="66"/>
  <c r="I68" i="66"/>
  <c r="H68" i="66"/>
  <c r="G68" i="66"/>
  <c r="J67" i="66"/>
  <c r="I67" i="66"/>
  <c r="H67" i="66"/>
  <c r="G67" i="66"/>
  <c r="J66" i="66"/>
  <c r="I66" i="66"/>
  <c r="H66" i="66"/>
  <c r="G66" i="66"/>
  <c r="J65" i="66"/>
  <c r="I65" i="66"/>
  <c r="H65" i="66"/>
  <c r="G65" i="66"/>
  <c r="J64" i="66"/>
  <c r="I64" i="66"/>
  <c r="H64" i="66"/>
  <c r="G64" i="66"/>
  <c r="J63" i="66"/>
  <c r="I63" i="66"/>
  <c r="H63" i="66"/>
  <c r="G63" i="66"/>
  <c r="J62" i="66"/>
  <c r="I62" i="66"/>
  <c r="H62" i="66"/>
  <c r="G62" i="66"/>
  <c r="J61" i="66"/>
  <c r="I61" i="66"/>
  <c r="H61" i="66"/>
  <c r="G61" i="66"/>
  <c r="J60" i="66"/>
  <c r="I60" i="66"/>
  <c r="H60" i="66"/>
  <c r="G60" i="66"/>
  <c r="J59" i="66"/>
  <c r="I59" i="66"/>
  <c r="H59" i="66"/>
  <c r="G59" i="66"/>
  <c r="J58" i="66"/>
  <c r="I58" i="66"/>
  <c r="H58" i="66"/>
  <c r="G58" i="66"/>
  <c r="J57" i="66"/>
  <c r="I57" i="66"/>
  <c r="H57" i="66"/>
  <c r="G57" i="66"/>
  <c r="J56" i="66"/>
  <c r="I56" i="66"/>
  <c r="H56" i="66"/>
  <c r="G56" i="66"/>
  <c r="J55" i="66"/>
  <c r="I55" i="66"/>
  <c r="H55" i="66"/>
  <c r="G55" i="66"/>
  <c r="J54" i="66"/>
  <c r="I54" i="66"/>
  <c r="H54" i="66"/>
  <c r="G54" i="66"/>
  <c r="J53" i="66"/>
  <c r="I53" i="66"/>
  <c r="H53" i="66"/>
  <c r="G53" i="66"/>
  <c r="J52" i="66"/>
  <c r="I52" i="66"/>
  <c r="H52" i="66"/>
  <c r="G52" i="66"/>
  <c r="J51" i="66"/>
  <c r="I51" i="66"/>
  <c r="H51" i="66"/>
  <c r="G51" i="66"/>
  <c r="J50" i="66"/>
  <c r="I50" i="66"/>
  <c r="H50" i="66"/>
  <c r="G50" i="66"/>
  <c r="J49" i="66"/>
  <c r="I49" i="66"/>
  <c r="H49" i="66"/>
  <c r="G49" i="66"/>
  <c r="J48" i="66"/>
  <c r="I48" i="66"/>
  <c r="H48" i="66"/>
  <c r="G48" i="66"/>
  <c r="J47" i="66"/>
  <c r="I47" i="66"/>
  <c r="H47" i="66"/>
  <c r="G47" i="66"/>
  <c r="J46" i="66"/>
  <c r="I46" i="66"/>
  <c r="H46" i="66"/>
  <c r="G46" i="66"/>
  <c r="J45" i="66"/>
  <c r="I45" i="66"/>
  <c r="H45" i="66"/>
  <c r="G45" i="66"/>
  <c r="J44" i="66"/>
  <c r="I44" i="66"/>
  <c r="H44" i="66"/>
  <c r="G44" i="66"/>
  <c r="J43" i="66"/>
  <c r="I43" i="66"/>
  <c r="H43" i="66"/>
  <c r="G43" i="66"/>
  <c r="J42" i="66"/>
  <c r="I42" i="66"/>
  <c r="H42" i="66"/>
  <c r="G42" i="66"/>
  <c r="J41" i="66"/>
  <c r="I41" i="66"/>
  <c r="H41" i="66"/>
  <c r="G41" i="66"/>
  <c r="J40" i="66"/>
  <c r="I40" i="66"/>
  <c r="H40" i="66"/>
  <c r="G40" i="66"/>
  <c r="J39" i="66"/>
  <c r="I39" i="66"/>
  <c r="H39" i="66"/>
  <c r="G39" i="66"/>
  <c r="J38" i="66"/>
  <c r="I38" i="66"/>
  <c r="H38" i="66"/>
  <c r="G38" i="66"/>
  <c r="J37" i="66"/>
  <c r="I37" i="66"/>
  <c r="H37" i="66"/>
  <c r="G37" i="66"/>
  <c r="J36" i="66"/>
  <c r="I36" i="66"/>
  <c r="H36" i="66"/>
  <c r="G36" i="66"/>
  <c r="J35" i="66"/>
  <c r="I35" i="66"/>
  <c r="H35" i="66"/>
  <c r="G35" i="66"/>
  <c r="J34" i="66"/>
  <c r="I34" i="66"/>
  <c r="H34" i="66"/>
  <c r="G34" i="66"/>
  <c r="J33" i="66"/>
  <c r="I33" i="66"/>
  <c r="H33" i="66"/>
  <c r="G33" i="66"/>
  <c r="J32" i="66"/>
  <c r="I32" i="66"/>
  <c r="H32" i="66"/>
  <c r="G32" i="66"/>
  <c r="J31" i="66"/>
  <c r="I31" i="66"/>
  <c r="H31" i="66"/>
  <c r="G31" i="66"/>
  <c r="J30" i="66"/>
  <c r="I30" i="66"/>
  <c r="H30" i="66"/>
  <c r="G30" i="66"/>
  <c r="J29" i="66"/>
  <c r="I29" i="66"/>
  <c r="H29" i="66"/>
  <c r="G29" i="66"/>
  <c r="J28" i="66"/>
  <c r="I28" i="66"/>
  <c r="H28" i="66"/>
  <c r="G28" i="66"/>
  <c r="J27" i="66"/>
  <c r="I27" i="66"/>
  <c r="H27" i="66"/>
  <c r="G27" i="66"/>
  <c r="J26" i="66"/>
  <c r="I26" i="66"/>
  <c r="H26" i="66"/>
  <c r="G26" i="66"/>
  <c r="J25" i="66"/>
  <c r="I25" i="66"/>
  <c r="H25" i="66"/>
  <c r="G25" i="66"/>
  <c r="J24" i="66"/>
  <c r="I24" i="66"/>
  <c r="H24" i="66"/>
  <c r="G24" i="66"/>
  <c r="J23" i="66"/>
  <c r="I23" i="66"/>
  <c r="H23" i="66"/>
  <c r="G23" i="66"/>
  <c r="J22" i="66"/>
  <c r="I22" i="66"/>
  <c r="H22" i="66"/>
  <c r="G22" i="66"/>
  <c r="J21" i="66"/>
  <c r="I21" i="66"/>
  <c r="H21" i="66"/>
  <c r="G21" i="66"/>
  <c r="J20" i="66"/>
  <c r="I20" i="66"/>
  <c r="H20" i="66"/>
  <c r="G20" i="66"/>
  <c r="J19" i="66"/>
  <c r="I19" i="66"/>
  <c r="H19" i="66"/>
  <c r="G19" i="66"/>
  <c r="J18" i="66"/>
  <c r="I18" i="66"/>
  <c r="H18" i="66"/>
  <c r="G18" i="66"/>
  <c r="J17" i="66"/>
  <c r="I17" i="66"/>
  <c r="H17" i="66"/>
  <c r="G17" i="66"/>
  <c r="J16" i="66"/>
  <c r="I16" i="66"/>
  <c r="H16" i="66"/>
  <c r="G16" i="66"/>
  <c r="J15" i="66"/>
  <c r="I15" i="66"/>
  <c r="H15" i="66"/>
  <c r="G15" i="66"/>
  <c r="J14" i="66"/>
  <c r="I14" i="66"/>
  <c r="H14" i="66"/>
  <c r="G14" i="66"/>
  <c r="J13" i="66"/>
  <c r="I13" i="66"/>
  <c r="H13" i="66"/>
  <c r="G13" i="66"/>
  <c r="J12" i="66"/>
  <c r="I12" i="66"/>
  <c r="H12" i="66"/>
  <c r="G12" i="66"/>
  <c r="J11" i="66"/>
  <c r="I11" i="66"/>
  <c r="H11" i="66"/>
  <c r="G11" i="66"/>
  <c r="J10" i="66"/>
  <c r="I10" i="66"/>
  <c r="H10" i="66"/>
  <c r="G10" i="66"/>
  <c r="J9" i="66"/>
  <c r="I9" i="66"/>
  <c r="H9" i="66"/>
  <c r="G9" i="66"/>
  <c r="J8" i="66"/>
  <c r="I8" i="66"/>
  <c r="H8" i="66"/>
  <c r="G8" i="66"/>
  <c r="J7" i="66"/>
  <c r="I7" i="66"/>
  <c r="H7" i="66"/>
  <c r="G7" i="66"/>
  <c r="J6" i="66"/>
  <c r="I6" i="66"/>
  <c r="H6" i="66"/>
  <c r="G6" i="66"/>
  <c r="J5" i="66"/>
  <c r="I5" i="66"/>
  <c r="H5" i="66"/>
  <c r="G5" i="66"/>
  <c r="I188" i="47"/>
  <c r="F259" i="65"/>
  <c r="E259" i="65"/>
  <c r="D259" i="65"/>
  <c r="C259" i="65"/>
  <c r="J257" i="65"/>
  <c r="I257" i="65"/>
  <c r="H257" i="65"/>
  <c r="G257" i="65"/>
  <c r="J256" i="65"/>
  <c r="I256" i="65"/>
  <c r="H256" i="65"/>
  <c r="G256" i="65"/>
  <c r="J255" i="65"/>
  <c r="I255" i="65"/>
  <c r="H255" i="65"/>
  <c r="G255" i="65"/>
  <c r="J254" i="65"/>
  <c r="I254" i="65"/>
  <c r="H254" i="65"/>
  <c r="G254" i="65"/>
  <c r="J253" i="65"/>
  <c r="I253" i="65"/>
  <c r="H253" i="65"/>
  <c r="G253" i="65"/>
  <c r="J252" i="65"/>
  <c r="I252" i="65"/>
  <c r="H252" i="65"/>
  <c r="G252" i="65"/>
  <c r="J251" i="65"/>
  <c r="I251" i="65"/>
  <c r="H251" i="65"/>
  <c r="G251" i="65"/>
  <c r="J250" i="65"/>
  <c r="I250" i="65"/>
  <c r="H250" i="65"/>
  <c r="G250" i="65"/>
  <c r="J249" i="65"/>
  <c r="I249" i="65"/>
  <c r="H249" i="65"/>
  <c r="G249" i="65"/>
  <c r="J248" i="65"/>
  <c r="I248" i="65"/>
  <c r="H248" i="65"/>
  <c r="G248" i="65"/>
  <c r="J247" i="65"/>
  <c r="I247" i="65"/>
  <c r="H247" i="65"/>
  <c r="G247" i="65"/>
  <c r="J246" i="65"/>
  <c r="I246" i="65"/>
  <c r="H246" i="65"/>
  <c r="G246" i="65"/>
  <c r="J245" i="65"/>
  <c r="I245" i="65"/>
  <c r="H245" i="65"/>
  <c r="G245" i="65"/>
  <c r="J244" i="65"/>
  <c r="I244" i="65"/>
  <c r="H244" i="65"/>
  <c r="G244" i="65"/>
  <c r="J243" i="65"/>
  <c r="I243" i="65"/>
  <c r="H243" i="65"/>
  <c r="G243" i="65"/>
  <c r="J242" i="65"/>
  <c r="I242" i="65"/>
  <c r="H242" i="65"/>
  <c r="G242" i="65"/>
  <c r="J241" i="65"/>
  <c r="I241" i="65"/>
  <c r="H241" i="65"/>
  <c r="G241" i="65"/>
  <c r="J240" i="65"/>
  <c r="I240" i="65"/>
  <c r="H240" i="65"/>
  <c r="G240" i="65"/>
  <c r="J239" i="65"/>
  <c r="I239" i="65"/>
  <c r="H239" i="65"/>
  <c r="G239" i="65"/>
  <c r="J238" i="65"/>
  <c r="I238" i="65"/>
  <c r="H238" i="65"/>
  <c r="G238" i="65"/>
  <c r="J237" i="65"/>
  <c r="I237" i="65"/>
  <c r="H237" i="65"/>
  <c r="G237" i="65"/>
  <c r="J236" i="65"/>
  <c r="I236" i="65"/>
  <c r="H236" i="65"/>
  <c r="G236" i="65"/>
  <c r="J235" i="65"/>
  <c r="I235" i="65"/>
  <c r="H235" i="65"/>
  <c r="G235" i="65"/>
  <c r="J234" i="65"/>
  <c r="I234" i="65"/>
  <c r="H234" i="65"/>
  <c r="G234" i="65"/>
  <c r="J233" i="65"/>
  <c r="I233" i="65"/>
  <c r="H233" i="65"/>
  <c r="G233" i="65"/>
  <c r="J232" i="65"/>
  <c r="I232" i="65"/>
  <c r="H232" i="65"/>
  <c r="G232" i="65"/>
  <c r="J231" i="65"/>
  <c r="I231" i="65"/>
  <c r="H231" i="65"/>
  <c r="G231" i="65"/>
  <c r="J230" i="65"/>
  <c r="I230" i="65"/>
  <c r="H230" i="65"/>
  <c r="G230" i="65"/>
  <c r="J229" i="65"/>
  <c r="I229" i="65"/>
  <c r="H229" i="65"/>
  <c r="G229" i="65"/>
  <c r="J228" i="65"/>
  <c r="I228" i="65"/>
  <c r="H228" i="65"/>
  <c r="G228" i="65"/>
  <c r="J227" i="65"/>
  <c r="I227" i="65"/>
  <c r="H227" i="65"/>
  <c r="G227" i="65"/>
  <c r="J226" i="65"/>
  <c r="I226" i="65"/>
  <c r="H226" i="65"/>
  <c r="G226" i="65"/>
  <c r="J225" i="65"/>
  <c r="I225" i="65"/>
  <c r="H225" i="65"/>
  <c r="G225" i="65"/>
  <c r="J224" i="65"/>
  <c r="I224" i="65"/>
  <c r="H224" i="65"/>
  <c r="G224" i="65"/>
  <c r="J223" i="65"/>
  <c r="I223" i="65"/>
  <c r="H223" i="65"/>
  <c r="G223" i="65"/>
  <c r="J222" i="65"/>
  <c r="I222" i="65"/>
  <c r="H222" i="65"/>
  <c r="G222" i="65"/>
  <c r="J221" i="65"/>
  <c r="I221" i="65"/>
  <c r="H221" i="65"/>
  <c r="G221" i="65"/>
  <c r="J220" i="65"/>
  <c r="I220" i="65"/>
  <c r="H220" i="65"/>
  <c r="G220" i="65"/>
  <c r="J219" i="65"/>
  <c r="I219" i="65"/>
  <c r="H219" i="65"/>
  <c r="G219" i="65"/>
  <c r="J218" i="65"/>
  <c r="I218" i="65"/>
  <c r="H218" i="65"/>
  <c r="G218" i="65"/>
  <c r="J217" i="65"/>
  <c r="I217" i="65"/>
  <c r="H217" i="65"/>
  <c r="G217" i="65"/>
  <c r="J216" i="65"/>
  <c r="I216" i="65"/>
  <c r="H216" i="65"/>
  <c r="G216" i="65"/>
  <c r="J215" i="65"/>
  <c r="I215" i="65"/>
  <c r="H215" i="65"/>
  <c r="G215" i="65"/>
  <c r="J214" i="65"/>
  <c r="I214" i="65"/>
  <c r="H214" i="65"/>
  <c r="G214" i="65"/>
  <c r="J213" i="65"/>
  <c r="I213" i="65"/>
  <c r="H213" i="65"/>
  <c r="G213" i="65"/>
  <c r="J212" i="65"/>
  <c r="I212" i="65"/>
  <c r="H212" i="65"/>
  <c r="G212" i="65"/>
  <c r="J211" i="65"/>
  <c r="I211" i="65"/>
  <c r="H211" i="65"/>
  <c r="G211" i="65"/>
  <c r="J210" i="65"/>
  <c r="I210" i="65"/>
  <c r="H210" i="65"/>
  <c r="G210" i="65"/>
  <c r="J209" i="65"/>
  <c r="I209" i="65"/>
  <c r="H209" i="65"/>
  <c r="G209" i="65"/>
  <c r="J208" i="65"/>
  <c r="I208" i="65"/>
  <c r="H208" i="65"/>
  <c r="G208" i="65"/>
  <c r="J207" i="65"/>
  <c r="I207" i="65"/>
  <c r="H207" i="65"/>
  <c r="G207" i="65"/>
  <c r="J206" i="65"/>
  <c r="I206" i="65"/>
  <c r="H206" i="65"/>
  <c r="G206" i="65"/>
  <c r="J205" i="65"/>
  <c r="I205" i="65"/>
  <c r="H205" i="65"/>
  <c r="G205" i="65"/>
  <c r="J204" i="65"/>
  <c r="I204" i="65"/>
  <c r="H204" i="65"/>
  <c r="G204" i="65"/>
  <c r="J203" i="65"/>
  <c r="I203" i="65"/>
  <c r="H203" i="65"/>
  <c r="G203" i="65"/>
  <c r="J202" i="65"/>
  <c r="I202" i="65"/>
  <c r="H202" i="65"/>
  <c r="G202" i="65"/>
  <c r="J201" i="65"/>
  <c r="I201" i="65"/>
  <c r="H201" i="65"/>
  <c r="G201" i="65"/>
  <c r="J200" i="65"/>
  <c r="I200" i="65"/>
  <c r="H200" i="65"/>
  <c r="G200" i="65"/>
  <c r="J199" i="65"/>
  <c r="I199" i="65"/>
  <c r="H199" i="65"/>
  <c r="G199" i="65"/>
  <c r="J198" i="65"/>
  <c r="I198" i="65"/>
  <c r="H198" i="65"/>
  <c r="G198" i="65"/>
  <c r="J197" i="65"/>
  <c r="I197" i="65"/>
  <c r="H197" i="65"/>
  <c r="G197" i="65"/>
  <c r="J196" i="65"/>
  <c r="I196" i="65"/>
  <c r="H196" i="65"/>
  <c r="G196" i="65"/>
  <c r="J195" i="65"/>
  <c r="I195" i="65"/>
  <c r="H195" i="65"/>
  <c r="G195" i="65"/>
  <c r="J194" i="65"/>
  <c r="I194" i="65"/>
  <c r="H194" i="65"/>
  <c r="G194" i="65"/>
  <c r="J193" i="65"/>
  <c r="I193" i="65"/>
  <c r="H193" i="65"/>
  <c r="G193" i="65"/>
  <c r="J192" i="65"/>
  <c r="I192" i="65"/>
  <c r="H192" i="65"/>
  <c r="G192" i="65"/>
  <c r="J191" i="65"/>
  <c r="I191" i="65"/>
  <c r="H191" i="65"/>
  <c r="G191" i="65"/>
  <c r="J190" i="65"/>
  <c r="I190" i="65"/>
  <c r="H190" i="65"/>
  <c r="G190" i="65"/>
  <c r="J189" i="65"/>
  <c r="I189" i="65"/>
  <c r="H189" i="65"/>
  <c r="G189" i="65"/>
  <c r="J188" i="65"/>
  <c r="I188" i="65"/>
  <c r="H188" i="65"/>
  <c r="G188" i="65"/>
  <c r="J187" i="65"/>
  <c r="I187" i="65"/>
  <c r="H187" i="65"/>
  <c r="G187" i="65"/>
  <c r="J186" i="65"/>
  <c r="I186" i="65"/>
  <c r="H186" i="65"/>
  <c r="G186" i="65"/>
  <c r="J185" i="65"/>
  <c r="I185" i="65"/>
  <c r="H185" i="65"/>
  <c r="G185" i="65"/>
  <c r="J184" i="65"/>
  <c r="I184" i="65"/>
  <c r="H184" i="65"/>
  <c r="G184" i="65"/>
  <c r="J183" i="65"/>
  <c r="I183" i="65"/>
  <c r="H183" i="65"/>
  <c r="G183" i="65"/>
  <c r="J182" i="65"/>
  <c r="I182" i="65"/>
  <c r="H182" i="65"/>
  <c r="G182" i="65"/>
  <c r="J181" i="65"/>
  <c r="I181" i="65"/>
  <c r="H181" i="65"/>
  <c r="G181" i="65"/>
  <c r="J180" i="65"/>
  <c r="I180" i="65"/>
  <c r="H180" i="65"/>
  <c r="G180" i="65"/>
  <c r="J179" i="65"/>
  <c r="I179" i="65"/>
  <c r="H179" i="65"/>
  <c r="G179" i="65"/>
  <c r="J178" i="65"/>
  <c r="I178" i="65"/>
  <c r="H178" i="65"/>
  <c r="G178" i="65"/>
  <c r="J177" i="65"/>
  <c r="I177" i="65"/>
  <c r="H177" i="65"/>
  <c r="G177" i="65"/>
  <c r="J176" i="65"/>
  <c r="I176" i="65"/>
  <c r="H176" i="65"/>
  <c r="G176" i="65"/>
  <c r="J175" i="65"/>
  <c r="I175" i="65"/>
  <c r="H175" i="65"/>
  <c r="G175" i="65"/>
  <c r="J174" i="65"/>
  <c r="I174" i="65"/>
  <c r="H174" i="65"/>
  <c r="G174" i="65"/>
  <c r="J173" i="65"/>
  <c r="I173" i="65"/>
  <c r="H173" i="65"/>
  <c r="G173" i="65"/>
  <c r="J172" i="65"/>
  <c r="I172" i="65"/>
  <c r="H172" i="65"/>
  <c r="G172" i="65"/>
  <c r="J171" i="65"/>
  <c r="I171" i="65"/>
  <c r="H171" i="65"/>
  <c r="G171" i="65"/>
  <c r="J170" i="65"/>
  <c r="I170" i="65"/>
  <c r="H170" i="65"/>
  <c r="G170" i="65"/>
  <c r="J169" i="65"/>
  <c r="I169" i="65"/>
  <c r="H169" i="65"/>
  <c r="G169" i="65"/>
  <c r="J168" i="65"/>
  <c r="I168" i="65"/>
  <c r="H168" i="65"/>
  <c r="G168" i="65"/>
  <c r="J167" i="65"/>
  <c r="I167" i="65"/>
  <c r="H167" i="65"/>
  <c r="G167" i="65"/>
  <c r="J166" i="65"/>
  <c r="I166" i="65"/>
  <c r="H166" i="65"/>
  <c r="G166" i="65"/>
  <c r="J165" i="65"/>
  <c r="I165" i="65"/>
  <c r="H165" i="65"/>
  <c r="G165" i="65"/>
  <c r="J164" i="65"/>
  <c r="I164" i="65"/>
  <c r="H164" i="65"/>
  <c r="G164" i="65"/>
  <c r="J163" i="65"/>
  <c r="I163" i="65"/>
  <c r="H163" i="65"/>
  <c r="G163" i="65"/>
  <c r="J162" i="65"/>
  <c r="I162" i="65"/>
  <c r="H162" i="65"/>
  <c r="G162" i="65"/>
  <c r="J161" i="65"/>
  <c r="I161" i="65"/>
  <c r="H161" i="65"/>
  <c r="G161" i="65"/>
  <c r="J160" i="65"/>
  <c r="I160" i="65"/>
  <c r="H160" i="65"/>
  <c r="G160" i="65"/>
  <c r="J159" i="65"/>
  <c r="I159" i="65"/>
  <c r="H159" i="65"/>
  <c r="G159" i="65"/>
  <c r="J158" i="65"/>
  <c r="I158" i="65"/>
  <c r="H158" i="65"/>
  <c r="G158" i="65"/>
  <c r="J157" i="65"/>
  <c r="I157" i="65"/>
  <c r="H157" i="65"/>
  <c r="G157" i="65"/>
  <c r="J156" i="65"/>
  <c r="I156" i="65"/>
  <c r="H156" i="65"/>
  <c r="G156" i="65"/>
  <c r="J155" i="65"/>
  <c r="I155" i="65"/>
  <c r="H155" i="65"/>
  <c r="G155" i="65"/>
  <c r="J154" i="65"/>
  <c r="I154" i="65"/>
  <c r="H154" i="65"/>
  <c r="G154" i="65"/>
  <c r="J153" i="65"/>
  <c r="I153" i="65"/>
  <c r="H153" i="65"/>
  <c r="G153" i="65"/>
  <c r="J152" i="65"/>
  <c r="I152" i="65"/>
  <c r="H152" i="65"/>
  <c r="G152" i="65"/>
  <c r="J151" i="65"/>
  <c r="I151" i="65"/>
  <c r="H151" i="65"/>
  <c r="G151" i="65"/>
  <c r="J150" i="65"/>
  <c r="I150" i="65"/>
  <c r="H150" i="65"/>
  <c r="G150" i="65"/>
  <c r="J149" i="65"/>
  <c r="I149" i="65"/>
  <c r="H149" i="65"/>
  <c r="G149" i="65"/>
  <c r="J148" i="65"/>
  <c r="I148" i="65"/>
  <c r="H148" i="65"/>
  <c r="G148" i="65"/>
  <c r="J147" i="65"/>
  <c r="I147" i="65"/>
  <c r="H147" i="65"/>
  <c r="G147" i="65"/>
  <c r="J146" i="65"/>
  <c r="I146" i="65"/>
  <c r="H146" i="65"/>
  <c r="G146" i="65"/>
  <c r="J145" i="65"/>
  <c r="I145" i="65"/>
  <c r="H145" i="65"/>
  <c r="G145" i="65"/>
  <c r="J144" i="65"/>
  <c r="I144" i="65"/>
  <c r="H144" i="65"/>
  <c r="G144" i="65"/>
  <c r="J143" i="65"/>
  <c r="I143" i="65"/>
  <c r="H143" i="65"/>
  <c r="G143" i="65"/>
  <c r="J142" i="65"/>
  <c r="I142" i="65"/>
  <c r="H142" i="65"/>
  <c r="G142" i="65"/>
  <c r="J141" i="65"/>
  <c r="I141" i="65"/>
  <c r="H141" i="65"/>
  <c r="G141" i="65"/>
  <c r="J140" i="65"/>
  <c r="I140" i="65"/>
  <c r="H140" i="65"/>
  <c r="G140" i="65"/>
  <c r="J139" i="65"/>
  <c r="I139" i="65"/>
  <c r="H139" i="65"/>
  <c r="G139" i="65"/>
  <c r="J138" i="65"/>
  <c r="I138" i="65"/>
  <c r="H138" i="65"/>
  <c r="G138" i="65"/>
  <c r="J137" i="65"/>
  <c r="I137" i="65"/>
  <c r="H137" i="65"/>
  <c r="G137" i="65"/>
  <c r="J136" i="65"/>
  <c r="I136" i="65"/>
  <c r="H136" i="65"/>
  <c r="G136" i="65"/>
  <c r="J135" i="65"/>
  <c r="I135" i="65"/>
  <c r="H135" i="65"/>
  <c r="G135" i="65"/>
  <c r="J134" i="65"/>
  <c r="I134" i="65"/>
  <c r="H134" i="65"/>
  <c r="G134" i="65"/>
  <c r="J133" i="65"/>
  <c r="I133" i="65"/>
  <c r="H133" i="65"/>
  <c r="G133" i="65"/>
  <c r="J132" i="65"/>
  <c r="I132" i="65"/>
  <c r="H132" i="65"/>
  <c r="G132" i="65"/>
  <c r="J131" i="65"/>
  <c r="I131" i="65"/>
  <c r="H131" i="65"/>
  <c r="G131" i="65"/>
  <c r="J130" i="65"/>
  <c r="I130" i="65"/>
  <c r="H130" i="65"/>
  <c r="G130" i="65"/>
  <c r="J129" i="65"/>
  <c r="I129" i="65"/>
  <c r="H129" i="65"/>
  <c r="G129" i="65"/>
  <c r="J128" i="65"/>
  <c r="I128" i="65"/>
  <c r="H128" i="65"/>
  <c r="G128" i="65"/>
  <c r="J127" i="65"/>
  <c r="I127" i="65"/>
  <c r="H127" i="65"/>
  <c r="G127" i="65"/>
  <c r="J126" i="65"/>
  <c r="I126" i="65"/>
  <c r="H126" i="65"/>
  <c r="G126" i="65"/>
  <c r="J125" i="65"/>
  <c r="I125" i="65"/>
  <c r="H125" i="65"/>
  <c r="G125" i="65"/>
  <c r="J124" i="65"/>
  <c r="I124" i="65"/>
  <c r="H124" i="65"/>
  <c r="G124" i="65"/>
  <c r="J123" i="65"/>
  <c r="I123" i="65"/>
  <c r="H123" i="65"/>
  <c r="G123" i="65"/>
  <c r="J122" i="65"/>
  <c r="I122" i="65"/>
  <c r="H122" i="65"/>
  <c r="G122" i="65"/>
  <c r="J121" i="65"/>
  <c r="I121" i="65"/>
  <c r="H121" i="65"/>
  <c r="G121" i="65"/>
  <c r="J120" i="65"/>
  <c r="I120" i="65"/>
  <c r="H120" i="65"/>
  <c r="G120" i="65"/>
  <c r="J119" i="65"/>
  <c r="I119" i="65"/>
  <c r="H119" i="65"/>
  <c r="G119" i="65"/>
  <c r="J118" i="65"/>
  <c r="I118" i="65"/>
  <c r="H118" i="65"/>
  <c r="G118" i="65"/>
  <c r="J117" i="65"/>
  <c r="I117" i="65"/>
  <c r="H117" i="65"/>
  <c r="G117" i="65"/>
  <c r="J116" i="65"/>
  <c r="I116" i="65"/>
  <c r="H116" i="65"/>
  <c r="G116" i="65"/>
  <c r="J115" i="65"/>
  <c r="I115" i="65"/>
  <c r="H115" i="65"/>
  <c r="G115" i="65"/>
  <c r="J114" i="65"/>
  <c r="I114" i="65"/>
  <c r="H114" i="65"/>
  <c r="G114" i="65"/>
  <c r="J113" i="65"/>
  <c r="I113" i="65"/>
  <c r="H113" i="65"/>
  <c r="G113" i="65"/>
  <c r="J112" i="65"/>
  <c r="I112" i="65"/>
  <c r="H112" i="65"/>
  <c r="G112" i="65"/>
  <c r="J111" i="65"/>
  <c r="I111" i="65"/>
  <c r="H111" i="65"/>
  <c r="G111" i="65"/>
  <c r="J110" i="65"/>
  <c r="I110" i="65"/>
  <c r="H110" i="65"/>
  <c r="G110" i="65"/>
  <c r="J109" i="65"/>
  <c r="I109" i="65"/>
  <c r="H109" i="65"/>
  <c r="G109" i="65"/>
  <c r="J108" i="65"/>
  <c r="I108" i="65"/>
  <c r="H108" i="65"/>
  <c r="G108" i="65"/>
  <c r="J107" i="65"/>
  <c r="I107" i="65"/>
  <c r="H107" i="65"/>
  <c r="G107" i="65"/>
  <c r="J106" i="65"/>
  <c r="I106" i="65"/>
  <c r="H106" i="65"/>
  <c r="G106" i="65"/>
  <c r="J105" i="65"/>
  <c r="I105" i="65"/>
  <c r="H105" i="65"/>
  <c r="G105" i="65"/>
  <c r="J104" i="65"/>
  <c r="I104" i="65"/>
  <c r="H104" i="65"/>
  <c r="G104" i="65"/>
  <c r="J103" i="65"/>
  <c r="I103" i="65"/>
  <c r="H103" i="65"/>
  <c r="G103" i="65"/>
  <c r="J102" i="65"/>
  <c r="I102" i="65"/>
  <c r="H102" i="65"/>
  <c r="G102" i="65"/>
  <c r="J101" i="65"/>
  <c r="I101" i="65"/>
  <c r="H101" i="65"/>
  <c r="G101" i="65"/>
  <c r="J100" i="65"/>
  <c r="I100" i="65"/>
  <c r="H100" i="65"/>
  <c r="G100" i="65"/>
  <c r="J99" i="65"/>
  <c r="I99" i="65"/>
  <c r="H99" i="65"/>
  <c r="G99" i="65"/>
  <c r="J98" i="65"/>
  <c r="I98" i="65"/>
  <c r="H98" i="65"/>
  <c r="G98" i="65"/>
  <c r="J97" i="65"/>
  <c r="I97" i="65"/>
  <c r="H97" i="65"/>
  <c r="G97" i="65"/>
  <c r="J96" i="65"/>
  <c r="I96" i="65"/>
  <c r="H96" i="65"/>
  <c r="G96" i="65"/>
  <c r="J95" i="65"/>
  <c r="I95" i="65"/>
  <c r="H95" i="65"/>
  <c r="G95" i="65"/>
  <c r="J94" i="65"/>
  <c r="I94" i="65"/>
  <c r="H94" i="65"/>
  <c r="G94" i="65"/>
  <c r="J93" i="65"/>
  <c r="I93" i="65"/>
  <c r="H93" i="65"/>
  <c r="G93" i="65"/>
  <c r="J92" i="65"/>
  <c r="I92" i="65"/>
  <c r="H92" i="65"/>
  <c r="G92" i="65"/>
  <c r="J91" i="65"/>
  <c r="I91" i="65"/>
  <c r="H91" i="65"/>
  <c r="G91" i="65"/>
  <c r="J90" i="65"/>
  <c r="I90" i="65"/>
  <c r="H90" i="65"/>
  <c r="G90" i="65"/>
  <c r="J89" i="65"/>
  <c r="I89" i="65"/>
  <c r="H89" i="65"/>
  <c r="G89" i="65"/>
  <c r="J88" i="65"/>
  <c r="I88" i="65"/>
  <c r="H88" i="65"/>
  <c r="G88" i="65"/>
  <c r="J87" i="65"/>
  <c r="I87" i="65"/>
  <c r="H87" i="65"/>
  <c r="G87" i="65"/>
  <c r="J86" i="65"/>
  <c r="I86" i="65"/>
  <c r="H86" i="65"/>
  <c r="G86" i="65"/>
  <c r="J85" i="65"/>
  <c r="I85" i="65"/>
  <c r="H85" i="65"/>
  <c r="G85" i="65"/>
  <c r="J84" i="65"/>
  <c r="I84" i="65"/>
  <c r="H84" i="65"/>
  <c r="G84" i="65"/>
  <c r="J83" i="65"/>
  <c r="I83" i="65"/>
  <c r="H83" i="65"/>
  <c r="G83" i="65"/>
  <c r="J82" i="65"/>
  <c r="I82" i="65"/>
  <c r="H82" i="65"/>
  <c r="G82" i="65"/>
  <c r="J81" i="65"/>
  <c r="I81" i="65"/>
  <c r="H81" i="65"/>
  <c r="G81" i="65"/>
  <c r="J80" i="65"/>
  <c r="I80" i="65"/>
  <c r="H80" i="65"/>
  <c r="G80" i="65"/>
  <c r="J79" i="65"/>
  <c r="I79" i="65"/>
  <c r="H79" i="65"/>
  <c r="G79" i="65"/>
  <c r="J78" i="65"/>
  <c r="I78" i="65"/>
  <c r="H78" i="65"/>
  <c r="G78" i="65"/>
  <c r="J77" i="65"/>
  <c r="I77" i="65"/>
  <c r="H77" i="65"/>
  <c r="G77" i="65"/>
  <c r="J76" i="65"/>
  <c r="I76" i="65"/>
  <c r="H76" i="65"/>
  <c r="G76" i="65"/>
  <c r="J75" i="65"/>
  <c r="I75" i="65"/>
  <c r="H75" i="65"/>
  <c r="G75" i="65"/>
  <c r="J74" i="65"/>
  <c r="I74" i="65"/>
  <c r="H74" i="65"/>
  <c r="G74" i="65"/>
  <c r="J73" i="65"/>
  <c r="I73" i="65"/>
  <c r="H73" i="65"/>
  <c r="G73" i="65"/>
  <c r="J72" i="65"/>
  <c r="I72" i="65"/>
  <c r="H72" i="65"/>
  <c r="G72" i="65"/>
  <c r="J71" i="65"/>
  <c r="I71" i="65"/>
  <c r="H71" i="65"/>
  <c r="G71" i="65"/>
  <c r="J70" i="65"/>
  <c r="I70" i="65"/>
  <c r="H70" i="65"/>
  <c r="G70" i="65"/>
  <c r="J69" i="65"/>
  <c r="I69" i="65"/>
  <c r="H69" i="65"/>
  <c r="G69" i="65"/>
  <c r="J68" i="65"/>
  <c r="I68" i="65"/>
  <c r="H68" i="65"/>
  <c r="G68" i="65"/>
  <c r="J67" i="65"/>
  <c r="I67" i="65"/>
  <c r="H67" i="65"/>
  <c r="G67" i="65"/>
  <c r="J66" i="65"/>
  <c r="I66" i="65"/>
  <c r="H66" i="65"/>
  <c r="G66" i="65"/>
  <c r="J65" i="65"/>
  <c r="I65" i="65"/>
  <c r="H65" i="65"/>
  <c r="G65" i="65"/>
  <c r="J64" i="65"/>
  <c r="I64" i="65"/>
  <c r="H64" i="65"/>
  <c r="G64" i="65"/>
  <c r="J63" i="65"/>
  <c r="I63" i="65"/>
  <c r="H63" i="65"/>
  <c r="G63" i="65"/>
  <c r="J62" i="65"/>
  <c r="I62" i="65"/>
  <c r="H62" i="65"/>
  <c r="G62" i="65"/>
  <c r="J61" i="65"/>
  <c r="I61" i="65"/>
  <c r="H61" i="65"/>
  <c r="G61" i="65"/>
  <c r="J60" i="65"/>
  <c r="I60" i="65"/>
  <c r="H60" i="65"/>
  <c r="G60" i="65"/>
  <c r="J59" i="65"/>
  <c r="I59" i="65"/>
  <c r="H59" i="65"/>
  <c r="G59" i="65"/>
  <c r="J58" i="65"/>
  <c r="I58" i="65"/>
  <c r="H58" i="65"/>
  <c r="G58" i="65"/>
  <c r="J57" i="65"/>
  <c r="I57" i="65"/>
  <c r="H57" i="65"/>
  <c r="G57" i="65"/>
  <c r="J56" i="65"/>
  <c r="I56" i="65"/>
  <c r="H56" i="65"/>
  <c r="G56" i="65"/>
  <c r="J55" i="65"/>
  <c r="I55" i="65"/>
  <c r="H55" i="65"/>
  <c r="G55" i="65"/>
  <c r="J54" i="65"/>
  <c r="I54" i="65"/>
  <c r="H54" i="65"/>
  <c r="G54" i="65"/>
  <c r="J53" i="65"/>
  <c r="I53" i="65"/>
  <c r="H53" i="65"/>
  <c r="G53" i="65"/>
  <c r="J52" i="65"/>
  <c r="I52" i="65"/>
  <c r="H52" i="65"/>
  <c r="G52" i="65"/>
  <c r="J51" i="65"/>
  <c r="I51" i="65"/>
  <c r="H51" i="65"/>
  <c r="G51" i="65"/>
  <c r="J50" i="65"/>
  <c r="I50" i="65"/>
  <c r="H50" i="65"/>
  <c r="G50" i="65"/>
  <c r="J49" i="65"/>
  <c r="I49" i="65"/>
  <c r="H49" i="65"/>
  <c r="G49" i="65"/>
  <c r="J48" i="65"/>
  <c r="I48" i="65"/>
  <c r="H48" i="65"/>
  <c r="G48" i="65"/>
  <c r="J47" i="65"/>
  <c r="I47" i="65"/>
  <c r="H47" i="65"/>
  <c r="G47" i="65"/>
  <c r="J46" i="65"/>
  <c r="I46" i="65"/>
  <c r="H46" i="65"/>
  <c r="G46" i="65"/>
  <c r="J45" i="65"/>
  <c r="I45" i="65"/>
  <c r="H45" i="65"/>
  <c r="G45" i="65"/>
  <c r="J44" i="65"/>
  <c r="I44" i="65"/>
  <c r="H44" i="65"/>
  <c r="G44" i="65"/>
  <c r="J43" i="65"/>
  <c r="I43" i="65"/>
  <c r="H43" i="65"/>
  <c r="G43" i="65"/>
  <c r="J42" i="65"/>
  <c r="I42" i="65"/>
  <c r="H42" i="65"/>
  <c r="G42" i="65"/>
  <c r="J41" i="65"/>
  <c r="I41" i="65"/>
  <c r="H41" i="65"/>
  <c r="G41" i="65"/>
  <c r="J40" i="65"/>
  <c r="I40" i="65"/>
  <c r="H40" i="65"/>
  <c r="G40" i="65"/>
  <c r="J39" i="65"/>
  <c r="I39" i="65"/>
  <c r="H39" i="65"/>
  <c r="G39" i="65"/>
  <c r="J38" i="65"/>
  <c r="I38" i="65"/>
  <c r="H38" i="65"/>
  <c r="G38" i="65"/>
  <c r="J37" i="65"/>
  <c r="I37" i="65"/>
  <c r="H37" i="65"/>
  <c r="G37" i="65"/>
  <c r="J36" i="65"/>
  <c r="I36" i="65"/>
  <c r="H36" i="65"/>
  <c r="G36" i="65"/>
  <c r="J35" i="65"/>
  <c r="I35" i="65"/>
  <c r="H35" i="65"/>
  <c r="G35" i="65"/>
  <c r="J34" i="65"/>
  <c r="I34" i="65"/>
  <c r="H34" i="65"/>
  <c r="G34" i="65"/>
  <c r="J33" i="65"/>
  <c r="I33" i="65"/>
  <c r="H33" i="65"/>
  <c r="G33" i="65"/>
  <c r="J32" i="65"/>
  <c r="I32" i="65"/>
  <c r="H32" i="65"/>
  <c r="G32" i="65"/>
  <c r="J31" i="65"/>
  <c r="I31" i="65"/>
  <c r="H31" i="65"/>
  <c r="G31" i="65"/>
  <c r="J30" i="65"/>
  <c r="I30" i="65"/>
  <c r="H30" i="65"/>
  <c r="G30" i="65"/>
  <c r="J29" i="65"/>
  <c r="I29" i="65"/>
  <c r="H29" i="65"/>
  <c r="G29" i="65"/>
  <c r="J28" i="65"/>
  <c r="I28" i="65"/>
  <c r="H28" i="65"/>
  <c r="G28" i="65"/>
  <c r="J27" i="65"/>
  <c r="I27" i="65"/>
  <c r="H27" i="65"/>
  <c r="G27" i="65"/>
  <c r="J26" i="65"/>
  <c r="I26" i="65"/>
  <c r="H26" i="65"/>
  <c r="G26" i="65"/>
  <c r="J25" i="65"/>
  <c r="I25" i="65"/>
  <c r="H25" i="65"/>
  <c r="G25" i="65"/>
  <c r="J24" i="65"/>
  <c r="I24" i="65"/>
  <c r="H24" i="65"/>
  <c r="G24" i="65"/>
  <c r="J23" i="65"/>
  <c r="I23" i="65"/>
  <c r="H23" i="65"/>
  <c r="G23" i="65"/>
  <c r="J22" i="65"/>
  <c r="I22" i="65"/>
  <c r="H22" i="65"/>
  <c r="G22" i="65"/>
  <c r="J21" i="65"/>
  <c r="I21" i="65"/>
  <c r="H21" i="65"/>
  <c r="G21" i="65"/>
  <c r="J20" i="65"/>
  <c r="I20" i="65"/>
  <c r="H20" i="65"/>
  <c r="G20" i="65"/>
  <c r="J19" i="65"/>
  <c r="I19" i="65"/>
  <c r="H19" i="65"/>
  <c r="G19" i="65"/>
  <c r="J18" i="65"/>
  <c r="I18" i="65"/>
  <c r="H18" i="65"/>
  <c r="G18" i="65"/>
  <c r="J17" i="65"/>
  <c r="I17" i="65"/>
  <c r="H17" i="65"/>
  <c r="G17" i="65"/>
  <c r="J16" i="65"/>
  <c r="I16" i="65"/>
  <c r="H16" i="65"/>
  <c r="G16" i="65"/>
  <c r="J15" i="65"/>
  <c r="I15" i="65"/>
  <c r="H15" i="65"/>
  <c r="G15" i="65"/>
  <c r="J14" i="65"/>
  <c r="I14" i="65"/>
  <c r="H14" i="65"/>
  <c r="G14" i="65"/>
  <c r="J13" i="65"/>
  <c r="I13" i="65"/>
  <c r="H13" i="65"/>
  <c r="G13" i="65"/>
  <c r="J12" i="65"/>
  <c r="I12" i="65"/>
  <c r="H12" i="65"/>
  <c r="G12" i="65"/>
  <c r="J11" i="65"/>
  <c r="I11" i="65"/>
  <c r="H11" i="65"/>
  <c r="G11" i="65"/>
  <c r="J10" i="65"/>
  <c r="I10" i="65"/>
  <c r="H10" i="65"/>
  <c r="G10" i="65"/>
  <c r="J9" i="65"/>
  <c r="I9" i="65"/>
  <c r="H9" i="65"/>
  <c r="G9" i="65"/>
  <c r="J8" i="65"/>
  <c r="I8" i="65"/>
  <c r="H8" i="65"/>
  <c r="G8" i="65"/>
  <c r="J7" i="65"/>
  <c r="I7" i="65"/>
  <c r="H7" i="65"/>
  <c r="G7" i="65"/>
  <c r="J6" i="65"/>
  <c r="I6" i="65"/>
  <c r="H6" i="65"/>
  <c r="G6" i="65"/>
  <c r="J5" i="65"/>
  <c r="I5" i="65"/>
  <c r="H5" i="65"/>
  <c r="G5" i="65"/>
  <c r="G5" i="62"/>
  <c r="G6" i="62"/>
  <c r="G7" i="62"/>
  <c r="G8" i="62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38" i="62"/>
  <c r="G39" i="62"/>
  <c r="G40" i="62"/>
  <c r="G41" i="62"/>
  <c r="G42" i="62"/>
  <c r="G43" i="62"/>
  <c r="G44" i="62"/>
  <c r="G45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58" i="62"/>
  <c r="G59" i="62"/>
  <c r="G60" i="62"/>
  <c r="G61" i="62"/>
  <c r="G62" i="62"/>
  <c r="G63" i="62"/>
  <c r="G64" i="62"/>
  <c r="G65" i="62"/>
  <c r="G66" i="62"/>
  <c r="G67" i="62"/>
  <c r="G68" i="62"/>
  <c r="G69" i="62"/>
  <c r="G70" i="62"/>
  <c r="G71" i="62"/>
  <c r="G72" i="62"/>
  <c r="G73" i="62"/>
  <c r="G74" i="62"/>
  <c r="G75" i="62"/>
  <c r="G76" i="62"/>
  <c r="G77" i="62"/>
  <c r="G78" i="62"/>
  <c r="G79" i="62"/>
  <c r="G80" i="62"/>
  <c r="G81" i="62"/>
  <c r="G82" i="62"/>
  <c r="G83" i="62"/>
  <c r="G84" i="62"/>
  <c r="G85" i="62"/>
  <c r="G86" i="62"/>
  <c r="G87" i="62"/>
  <c r="G88" i="62"/>
  <c r="G89" i="62"/>
  <c r="G90" i="62"/>
  <c r="G91" i="62"/>
  <c r="G92" i="62"/>
  <c r="G93" i="62"/>
  <c r="G94" i="62"/>
  <c r="G95" i="62"/>
  <c r="G96" i="62"/>
  <c r="G97" i="62"/>
  <c r="G98" i="62"/>
  <c r="G99" i="62"/>
  <c r="G100" i="62"/>
  <c r="G101" i="62"/>
  <c r="G102" i="62"/>
  <c r="G103" i="62"/>
  <c r="G104" i="62"/>
  <c r="G105" i="62"/>
  <c r="G106" i="62"/>
  <c r="G107" i="62"/>
  <c r="G108" i="62"/>
  <c r="G109" i="62"/>
  <c r="G110" i="62"/>
  <c r="G111" i="62"/>
  <c r="G112" i="62"/>
  <c r="G113" i="62"/>
  <c r="G114" i="62"/>
  <c r="G115" i="62"/>
  <c r="G116" i="62"/>
  <c r="G117" i="62"/>
  <c r="G118" i="62"/>
  <c r="G119" i="62"/>
  <c r="G120" i="62"/>
  <c r="G121" i="62"/>
  <c r="G122" i="62"/>
  <c r="G123" i="62"/>
  <c r="G124" i="62"/>
  <c r="G125" i="62"/>
  <c r="G126" i="62"/>
  <c r="G127" i="62"/>
  <c r="G128" i="62"/>
  <c r="G129" i="62"/>
  <c r="G130" i="62"/>
  <c r="G131" i="62"/>
  <c r="G132" i="62"/>
  <c r="G133" i="62"/>
  <c r="G134" i="62"/>
  <c r="G135" i="62"/>
  <c r="G136" i="62"/>
  <c r="G137" i="62"/>
  <c r="G138" i="62"/>
  <c r="G139" i="62"/>
  <c r="G140" i="62"/>
  <c r="G141" i="62"/>
  <c r="G142" i="62"/>
  <c r="G143" i="62"/>
  <c r="G144" i="62"/>
  <c r="G145" i="62"/>
  <c r="G146" i="62"/>
  <c r="G147" i="62"/>
  <c r="G148" i="62"/>
  <c r="G149" i="62"/>
  <c r="G150" i="62"/>
  <c r="G151" i="62"/>
  <c r="G152" i="62"/>
  <c r="G153" i="62"/>
  <c r="G154" i="62"/>
  <c r="G155" i="62"/>
  <c r="G156" i="62"/>
  <c r="G157" i="62"/>
  <c r="G158" i="62"/>
  <c r="G159" i="62"/>
  <c r="G160" i="62"/>
  <c r="G161" i="62"/>
  <c r="G162" i="62"/>
  <c r="G163" i="62"/>
  <c r="G164" i="62"/>
  <c r="G165" i="62"/>
  <c r="G166" i="62"/>
  <c r="G167" i="62"/>
  <c r="G168" i="62"/>
  <c r="G169" i="62"/>
  <c r="G170" i="62"/>
  <c r="G171" i="62"/>
  <c r="G172" i="62"/>
  <c r="G173" i="62"/>
  <c r="G174" i="62"/>
  <c r="G175" i="62"/>
  <c r="G176" i="62"/>
  <c r="G177" i="62"/>
  <c r="G178" i="62"/>
  <c r="G179" i="62"/>
  <c r="G180" i="62"/>
  <c r="G181" i="62"/>
  <c r="G182" i="62"/>
  <c r="G183" i="62"/>
  <c r="G184" i="62"/>
  <c r="G185" i="62"/>
  <c r="G186" i="62"/>
  <c r="G187" i="62"/>
  <c r="G188" i="62"/>
  <c r="G189" i="62"/>
  <c r="G190" i="62"/>
  <c r="G191" i="62"/>
  <c r="G192" i="62"/>
  <c r="G193" i="62"/>
  <c r="G194" i="62"/>
  <c r="G195" i="62"/>
  <c r="G196" i="62"/>
  <c r="G197" i="62"/>
  <c r="G198" i="62"/>
  <c r="G199" i="62"/>
  <c r="G200" i="62"/>
  <c r="G201" i="62"/>
  <c r="G202" i="62"/>
  <c r="G203" i="62"/>
  <c r="G204" i="62"/>
  <c r="G205" i="62"/>
  <c r="G206" i="62"/>
  <c r="G207" i="62"/>
  <c r="G208" i="62"/>
  <c r="G209" i="62"/>
  <c r="G210" i="62"/>
  <c r="G211" i="62"/>
  <c r="G212" i="62"/>
  <c r="G213" i="62"/>
  <c r="G214" i="62"/>
  <c r="G215" i="62"/>
  <c r="G216" i="62"/>
  <c r="G217" i="62"/>
  <c r="G218" i="62"/>
  <c r="G219" i="62"/>
  <c r="G220" i="62"/>
  <c r="G221" i="62"/>
  <c r="G222" i="62"/>
  <c r="G223" i="62"/>
  <c r="G224" i="62"/>
  <c r="G225" i="62"/>
  <c r="G226" i="62"/>
  <c r="G227" i="62"/>
  <c r="G228" i="62"/>
  <c r="G229" i="62"/>
  <c r="G230" i="62"/>
  <c r="G231" i="62"/>
  <c r="G232" i="62"/>
  <c r="G233" i="62"/>
  <c r="G234" i="62"/>
  <c r="G235" i="62"/>
  <c r="G236" i="62"/>
  <c r="G237" i="62"/>
  <c r="G238" i="62"/>
  <c r="G239" i="62"/>
  <c r="G240" i="62"/>
  <c r="G241" i="62"/>
  <c r="G242" i="62"/>
  <c r="G243" i="62"/>
  <c r="G244" i="62"/>
  <c r="G245" i="62"/>
  <c r="G246" i="62"/>
  <c r="G247" i="62"/>
  <c r="G248" i="62"/>
  <c r="G249" i="62"/>
  <c r="AP110" i="57"/>
  <c r="AB110" i="57"/>
  <c r="AP104" i="57"/>
  <c r="AB104" i="57"/>
  <c r="AP95" i="57"/>
  <c r="AP112" i="57" s="1"/>
  <c r="AB95" i="57"/>
  <c r="N175" i="57"/>
  <c r="N177" i="57" s="1"/>
  <c r="N170" i="57"/>
  <c r="N169" i="57"/>
  <c r="N164" i="57"/>
  <c r="N163" i="57"/>
  <c r="N162" i="57"/>
  <c r="N161" i="57"/>
  <c r="N156" i="57"/>
  <c r="N158" i="57" s="1"/>
  <c r="N151" i="57"/>
  <c r="N150" i="57"/>
  <c r="N149" i="57"/>
  <c r="N148" i="57"/>
  <c r="N147" i="57"/>
  <c r="N146" i="57"/>
  <c r="N145" i="57"/>
  <c r="N144" i="57"/>
  <c r="N143" i="57"/>
  <c r="N142" i="57"/>
  <c r="N141" i="57"/>
  <c r="N140" i="57"/>
  <c r="N139" i="57"/>
  <c r="N138" i="57"/>
  <c r="N153" i="57" s="1"/>
  <c r="N133" i="57"/>
  <c r="N132" i="57"/>
  <c r="N131" i="57"/>
  <c r="N130" i="57"/>
  <c r="N129" i="57"/>
  <c r="N128" i="57"/>
  <c r="N127" i="57"/>
  <c r="N126" i="57"/>
  <c r="N125" i="57"/>
  <c r="N124" i="57"/>
  <c r="N123" i="57"/>
  <c r="N122" i="57"/>
  <c r="N135" i="57" s="1"/>
  <c r="N117" i="57"/>
  <c r="N116" i="57"/>
  <c r="N119" i="57" s="1"/>
  <c r="N102" i="57"/>
  <c r="N101" i="57"/>
  <c r="N100" i="57"/>
  <c r="N99" i="57"/>
  <c r="N98" i="57"/>
  <c r="N97" i="57"/>
  <c r="N104" i="57" s="1"/>
  <c r="N108" i="57"/>
  <c r="N107" i="57"/>
  <c r="N106" i="57"/>
  <c r="N110" i="57" s="1"/>
  <c r="N93" i="57"/>
  <c r="N92" i="57"/>
  <c r="N91" i="57"/>
  <c r="N90" i="57"/>
  <c r="N89" i="57"/>
  <c r="N88" i="57"/>
  <c r="N87" i="57"/>
  <c r="N95" i="57" s="1"/>
  <c r="N112" i="57" s="1"/>
  <c r="N79" i="57"/>
  <c r="N78" i="57"/>
  <c r="N77" i="57"/>
  <c r="N76" i="57"/>
  <c r="N75" i="57"/>
  <c r="N74" i="57"/>
  <c r="N73" i="57"/>
  <c r="N72" i="57"/>
  <c r="N71" i="57"/>
  <c r="N70" i="57"/>
  <c r="N69" i="57"/>
  <c r="N68" i="57"/>
  <c r="N67" i="57"/>
  <c r="N66" i="57"/>
  <c r="N65" i="57"/>
  <c r="N64" i="57"/>
  <c r="N63" i="57"/>
  <c r="N62" i="57"/>
  <c r="N61" i="57"/>
  <c r="N81" i="57" s="1"/>
  <c r="N56" i="57"/>
  <c r="N55" i="57"/>
  <c r="N54" i="57"/>
  <c r="N53" i="57"/>
  <c r="N52" i="57"/>
  <c r="N51" i="57"/>
  <c r="N50" i="57"/>
  <c r="N49" i="57"/>
  <c r="N48" i="57"/>
  <c r="N47" i="57"/>
  <c r="N46" i="57"/>
  <c r="N45" i="57"/>
  <c r="N44" i="57"/>
  <c r="N43" i="57"/>
  <c r="N42" i="57"/>
  <c r="N41" i="57"/>
  <c r="N40" i="57"/>
  <c r="N39" i="57"/>
  <c r="N38" i="57"/>
  <c r="N37" i="57"/>
  <c r="N58" i="57" s="1"/>
  <c r="N33" i="57"/>
  <c r="N32" i="57"/>
  <c r="N31" i="57"/>
  <c r="N30" i="57"/>
  <c r="N35" i="57" s="1"/>
  <c r="N25" i="57"/>
  <c r="N24" i="57"/>
  <c r="N23" i="57"/>
  <c r="N22" i="57"/>
  <c r="N21" i="57"/>
  <c r="N20" i="57"/>
  <c r="N19" i="57"/>
  <c r="N18" i="57"/>
  <c r="N17" i="57"/>
  <c r="N16" i="57"/>
  <c r="N15" i="57"/>
  <c r="N14" i="57"/>
  <c r="N13" i="57"/>
  <c r="N12" i="57"/>
  <c r="N11" i="57"/>
  <c r="N10" i="57"/>
  <c r="N9" i="57"/>
  <c r="N8" i="57"/>
  <c r="N7" i="57"/>
  <c r="N27" i="57" s="1"/>
  <c r="AO186" i="57"/>
  <c r="AO185" i="57"/>
  <c r="AO184" i="57"/>
  <c r="AO183" i="57"/>
  <c r="AO182" i="57"/>
  <c r="AO181" i="57"/>
  <c r="AO180" i="57"/>
  <c r="AO175" i="57"/>
  <c r="AO177" i="57" s="1"/>
  <c r="AO170" i="57"/>
  <c r="AO169" i="57"/>
  <c r="AO164" i="57"/>
  <c r="AO163" i="57"/>
  <c r="AO162" i="57"/>
  <c r="AO161" i="57"/>
  <c r="AO166" i="57" s="1"/>
  <c r="AO156" i="57"/>
  <c r="AO158" i="57" s="1"/>
  <c r="AO151" i="57"/>
  <c r="AO150" i="57"/>
  <c r="AO149" i="57"/>
  <c r="AO148" i="57"/>
  <c r="AO147" i="57"/>
  <c r="AO146" i="57"/>
  <c r="AO145" i="57"/>
  <c r="AO144" i="57"/>
  <c r="AO143" i="57"/>
  <c r="AO142" i="57"/>
  <c r="AO141" i="57"/>
  <c r="AO140" i="57"/>
  <c r="AO139" i="57"/>
  <c r="AO138" i="57"/>
  <c r="AO133" i="57"/>
  <c r="AO132" i="57"/>
  <c r="AO131" i="57"/>
  <c r="AO130" i="57"/>
  <c r="AO129" i="57"/>
  <c r="AO128" i="57"/>
  <c r="AO127" i="57"/>
  <c r="AO126" i="57"/>
  <c r="AO125" i="57"/>
  <c r="AO124" i="57"/>
  <c r="AO123" i="57"/>
  <c r="AO122" i="57"/>
  <c r="AO117" i="57"/>
  <c r="AO116" i="57"/>
  <c r="AO102" i="57"/>
  <c r="AO101" i="57"/>
  <c r="AO100" i="57"/>
  <c r="AO99" i="57"/>
  <c r="AO98" i="57"/>
  <c r="AO97" i="57"/>
  <c r="AO108" i="57"/>
  <c r="AO107" i="57"/>
  <c r="AO106" i="57"/>
  <c r="AO110" i="57" s="1"/>
  <c r="AO93" i="57"/>
  <c r="AO92" i="57"/>
  <c r="AO91" i="57"/>
  <c r="AO90" i="57"/>
  <c r="AO89" i="57"/>
  <c r="AO88" i="57"/>
  <c r="AO87" i="57"/>
  <c r="AO79" i="57"/>
  <c r="AO78" i="57"/>
  <c r="AO77" i="57"/>
  <c r="AO76" i="57"/>
  <c r="AO75" i="57"/>
  <c r="AO74" i="57"/>
  <c r="AO73" i="57"/>
  <c r="AO72" i="57"/>
  <c r="AO71" i="57"/>
  <c r="AO70" i="57"/>
  <c r="AO69" i="57"/>
  <c r="AO68" i="57"/>
  <c r="AO67" i="57"/>
  <c r="AO66" i="57"/>
  <c r="AO65" i="57"/>
  <c r="AO64" i="57"/>
  <c r="AO63" i="57"/>
  <c r="AO62" i="57"/>
  <c r="AO61" i="57"/>
  <c r="AO56" i="57"/>
  <c r="AO55" i="57"/>
  <c r="AO54" i="57"/>
  <c r="AO53" i="57"/>
  <c r="AO52" i="57"/>
  <c r="AO51" i="57"/>
  <c r="AO50" i="57"/>
  <c r="AO49" i="57"/>
  <c r="AO48" i="57"/>
  <c r="AO47" i="57"/>
  <c r="AO46" i="57"/>
  <c r="AO45" i="57"/>
  <c r="AO44" i="57"/>
  <c r="AO43" i="57"/>
  <c r="AO42" i="57"/>
  <c r="AO41" i="57"/>
  <c r="AO40" i="57"/>
  <c r="AO39" i="57"/>
  <c r="AO38" i="57"/>
  <c r="AO37" i="57"/>
  <c r="AO33" i="57"/>
  <c r="AO32" i="57"/>
  <c r="AO31" i="57"/>
  <c r="AO30" i="57"/>
  <c r="AO35" i="57" s="1"/>
  <c r="AO25" i="57"/>
  <c r="AO24" i="57"/>
  <c r="AO23" i="57"/>
  <c r="AO22" i="57"/>
  <c r="AO21" i="57"/>
  <c r="AO20" i="57"/>
  <c r="AO19" i="57"/>
  <c r="AO18" i="57"/>
  <c r="AO17" i="57"/>
  <c r="AO16" i="57"/>
  <c r="AO15" i="57"/>
  <c r="AO14" i="57"/>
  <c r="AO13" i="57"/>
  <c r="AO12" i="57"/>
  <c r="AO11" i="57"/>
  <c r="AO10" i="57"/>
  <c r="AO9" i="57"/>
  <c r="AO8" i="57"/>
  <c r="AO7" i="57"/>
  <c r="AO27" i="57" s="1"/>
  <c r="AN186" i="57"/>
  <c r="AN185" i="57"/>
  <c r="AN184" i="57"/>
  <c r="AN183" i="57"/>
  <c r="AN182" i="57"/>
  <c r="AN181" i="57"/>
  <c r="AN180" i="57"/>
  <c r="AN175" i="57"/>
  <c r="AN177" i="57" s="1"/>
  <c r="AN170" i="57"/>
  <c r="AN169" i="57"/>
  <c r="AN172" i="57" s="1"/>
  <c r="AN164" i="57"/>
  <c r="AN163" i="57"/>
  <c r="AN162" i="57"/>
  <c r="AN161" i="57"/>
  <c r="AN166" i="57" s="1"/>
  <c r="AN156" i="57"/>
  <c r="AN158" i="57" s="1"/>
  <c r="AN151" i="57"/>
  <c r="AN150" i="57"/>
  <c r="AN149" i="57"/>
  <c r="AN148" i="57"/>
  <c r="AN147" i="57"/>
  <c r="AN146" i="57"/>
  <c r="AN145" i="57"/>
  <c r="AN144" i="57"/>
  <c r="AN143" i="57"/>
  <c r="AN142" i="57"/>
  <c r="AN141" i="57"/>
  <c r="AN140" i="57"/>
  <c r="AN139" i="57"/>
  <c r="AN133" i="57"/>
  <c r="AN132" i="57"/>
  <c r="AN131" i="57"/>
  <c r="AN130" i="57"/>
  <c r="AN129" i="57"/>
  <c r="AN128" i="57"/>
  <c r="AN127" i="57"/>
  <c r="AN126" i="57"/>
  <c r="AN125" i="57"/>
  <c r="AN124" i="57"/>
  <c r="AN123" i="57"/>
  <c r="AN122" i="57"/>
  <c r="AN117" i="57"/>
  <c r="AN116" i="57"/>
  <c r="AN119" i="57" s="1"/>
  <c r="AN102" i="57"/>
  <c r="AN101" i="57"/>
  <c r="AN100" i="57"/>
  <c r="AN99" i="57"/>
  <c r="AN98" i="57"/>
  <c r="AN97" i="57"/>
  <c r="AN104" i="57" s="1"/>
  <c r="AN108" i="57"/>
  <c r="AN107" i="57"/>
  <c r="AN106" i="57"/>
  <c r="AN110" i="57" s="1"/>
  <c r="AN93" i="57"/>
  <c r="AN92" i="57"/>
  <c r="AN91" i="57"/>
  <c r="AN90" i="57"/>
  <c r="AN89" i="57"/>
  <c r="AN88" i="57"/>
  <c r="AN87" i="57"/>
  <c r="AN79" i="57"/>
  <c r="AN78" i="57"/>
  <c r="AN77" i="57"/>
  <c r="AN76" i="57"/>
  <c r="AN75" i="57"/>
  <c r="AN74" i="57"/>
  <c r="AN73" i="57"/>
  <c r="AN72" i="57"/>
  <c r="AN71" i="57"/>
  <c r="AN70" i="57"/>
  <c r="AN69" i="57"/>
  <c r="AN68" i="57"/>
  <c r="AN67" i="57"/>
  <c r="AN66" i="57"/>
  <c r="AN65" i="57"/>
  <c r="AN64" i="57"/>
  <c r="AN63" i="57"/>
  <c r="AN62" i="57"/>
  <c r="AN61" i="57"/>
  <c r="AN56" i="57"/>
  <c r="AN55" i="57"/>
  <c r="AN53" i="57"/>
  <c r="AN52" i="57"/>
  <c r="AN51" i="57"/>
  <c r="AN50" i="57"/>
  <c r="AN49" i="57"/>
  <c r="AN48" i="57"/>
  <c r="AN47" i="57"/>
  <c r="AN46" i="57"/>
  <c r="AN45" i="57"/>
  <c r="AN44" i="57"/>
  <c r="AN43" i="57"/>
  <c r="AN42" i="57"/>
  <c r="AN41" i="57"/>
  <c r="AN40" i="57"/>
  <c r="AN39" i="57"/>
  <c r="AN38" i="57"/>
  <c r="AN37" i="57"/>
  <c r="AN33" i="57"/>
  <c r="AN32" i="57"/>
  <c r="AN31" i="57"/>
  <c r="AN30" i="57"/>
  <c r="AN35" i="57" s="1"/>
  <c r="AN25" i="57"/>
  <c r="AN24" i="57"/>
  <c r="AN23" i="57"/>
  <c r="AN22" i="57"/>
  <c r="AN21" i="57"/>
  <c r="AN20" i="57"/>
  <c r="AN19" i="57"/>
  <c r="AN18" i="57"/>
  <c r="AN17" i="57"/>
  <c r="AN16" i="57"/>
  <c r="AN15" i="57"/>
  <c r="AN14" i="57"/>
  <c r="AN13" i="57"/>
  <c r="AN12" i="57"/>
  <c r="AN11" i="57"/>
  <c r="AN10" i="57"/>
  <c r="AN9" i="57"/>
  <c r="AN8" i="57"/>
  <c r="AN7" i="57"/>
  <c r="AM186" i="57"/>
  <c r="AM185" i="57"/>
  <c r="AM184" i="57"/>
  <c r="AM183" i="57"/>
  <c r="AM182" i="57"/>
  <c r="AM181" i="57"/>
  <c r="AM180" i="57"/>
  <c r="AM175" i="57"/>
  <c r="AM177" i="57" s="1"/>
  <c r="AM170" i="57"/>
  <c r="AM169" i="57"/>
  <c r="AM164" i="57"/>
  <c r="AM163" i="57"/>
  <c r="AM162" i="57"/>
  <c r="AM161" i="57"/>
  <c r="AM166" i="57" s="1"/>
  <c r="AM156" i="57"/>
  <c r="AM158" i="57" s="1"/>
  <c r="AM151" i="57"/>
  <c r="AM150" i="57"/>
  <c r="AM149" i="57"/>
  <c r="AM148" i="57"/>
  <c r="AM147" i="57"/>
  <c r="AM146" i="57"/>
  <c r="AM145" i="57"/>
  <c r="AM144" i="57"/>
  <c r="AM143" i="57"/>
  <c r="AM142" i="57"/>
  <c r="AM141" i="57"/>
  <c r="AM140" i="57"/>
  <c r="AM139" i="57"/>
  <c r="AM133" i="57"/>
  <c r="AM132" i="57"/>
  <c r="AM131" i="57"/>
  <c r="AM130" i="57"/>
  <c r="AM129" i="57"/>
  <c r="AM128" i="57"/>
  <c r="AM127" i="57"/>
  <c r="AM126" i="57"/>
  <c r="AM125" i="57"/>
  <c r="AM124" i="57"/>
  <c r="AM123" i="57"/>
  <c r="AM122" i="57"/>
  <c r="AM117" i="57"/>
  <c r="AM116" i="57"/>
  <c r="AM119" i="57" s="1"/>
  <c r="AM102" i="57"/>
  <c r="AM101" i="57"/>
  <c r="AM100" i="57"/>
  <c r="AM99" i="57"/>
  <c r="AM98" i="57"/>
  <c r="AM97" i="57"/>
  <c r="AM104" i="57" s="1"/>
  <c r="AM108" i="57"/>
  <c r="AM107" i="57"/>
  <c r="AM106" i="57"/>
  <c r="AM110" i="57" s="1"/>
  <c r="AM93" i="57"/>
  <c r="AM92" i="57"/>
  <c r="AM91" i="57"/>
  <c r="AM90" i="57"/>
  <c r="AM89" i="57"/>
  <c r="AM88" i="57"/>
  <c r="AM87" i="57"/>
  <c r="AM79" i="57"/>
  <c r="AM78" i="57"/>
  <c r="AM77" i="57"/>
  <c r="AM76" i="57"/>
  <c r="AM75" i="57"/>
  <c r="AM74" i="57"/>
  <c r="AM73" i="57"/>
  <c r="AM72" i="57"/>
  <c r="AM71" i="57"/>
  <c r="AM70" i="57"/>
  <c r="AM69" i="57"/>
  <c r="AM68" i="57"/>
  <c r="AM67" i="57"/>
  <c r="AM66" i="57"/>
  <c r="AM65" i="57"/>
  <c r="AM64" i="57"/>
  <c r="AM63" i="57"/>
  <c r="AM62" i="57"/>
  <c r="AM61" i="57"/>
  <c r="AM81" i="57" s="1"/>
  <c r="AM56" i="57"/>
  <c r="AM55" i="57"/>
  <c r="AM53" i="57"/>
  <c r="AM52" i="57"/>
  <c r="AM51" i="57"/>
  <c r="AM50" i="57"/>
  <c r="AM49" i="57"/>
  <c r="AM48" i="57"/>
  <c r="AM47" i="57"/>
  <c r="AM46" i="57"/>
  <c r="AM45" i="57"/>
  <c r="AM44" i="57"/>
  <c r="AM43" i="57"/>
  <c r="AM42" i="57"/>
  <c r="AM41" i="57"/>
  <c r="AM40" i="57"/>
  <c r="AM39" i="57"/>
  <c r="AM38" i="57"/>
  <c r="AM37" i="57"/>
  <c r="AM33" i="57"/>
  <c r="AM32" i="57"/>
  <c r="AM31" i="57"/>
  <c r="AM30" i="57"/>
  <c r="AM35" i="57" s="1"/>
  <c r="AM25" i="57"/>
  <c r="AM24" i="57"/>
  <c r="AM23" i="57"/>
  <c r="AM22" i="57"/>
  <c r="AM21" i="57"/>
  <c r="AM20" i="57"/>
  <c r="AM19" i="57"/>
  <c r="AM18" i="57"/>
  <c r="AM17" i="57"/>
  <c r="AM16" i="57"/>
  <c r="AM15" i="57"/>
  <c r="AM14" i="57"/>
  <c r="AM13" i="57"/>
  <c r="AM12" i="57"/>
  <c r="AM11" i="57"/>
  <c r="AM10" i="57"/>
  <c r="AM9" i="57"/>
  <c r="AM8" i="57"/>
  <c r="AM7" i="57"/>
  <c r="AM27" i="57" s="1"/>
  <c r="AL186" i="57"/>
  <c r="AL185" i="57"/>
  <c r="AL184" i="57"/>
  <c r="AL183" i="57"/>
  <c r="AL182" i="57"/>
  <c r="AL181" i="57"/>
  <c r="AL180" i="57"/>
  <c r="AL175" i="57"/>
  <c r="AL177" i="57" s="1"/>
  <c r="AL170" i="57"/>
  <c r="AL169" i="57"/>
  <c r="AL164" i="57"/>
  <c r="AL163" i="57"/>
  <c r="AL162" i="57"/>
  <c r="AL161" i="57"/>
  <c r="AL156" i="57"/>
  <c r="AL158" i="57" s="1"/>
  <c r="AL151" i="57"/>
  <c r="AL150" i="57"/>
  <c r="AL149" i="57"/>
  <c r="AL148" i="57"/>
  <c r="AL147" i="57"/>
  <c r="AL146" i="57"/>
  <c r="AL145" i="57"/>
  <c r="AL144" i="57"/>
  <c r="AL143" i="57"/>
  <c r="AL142" i="57"/>
  <c r="AL141" i="57"/>
  <c r="AL140" i="57"/>
  <c r="AL139" i="57"/>
  <c r="AL133" i="57"/>
  <c r="AL132" i="57"/>
  <c r="AL131" i="57"/>
  <c r="AL130" i="57"/>
  <c r="AL129" i="57"/>
  <c r="AL128" i="57"/>
  <c r="AL127" i="57"/>
  <c r="AL126" i="57"/>
  <c r="AL125" i="57"/>
  <c r="AL124" i="57"/>
  <c r="AL123" i="57"/>
  <c r="AL122" i="57"/>
  <c r="AL135" i="57" s="1"/>
  <c r="AL117" i="57"/>
  <c r="AL116" i="57"/>
  <c r="AL119" i="57" s="1"/>
  <c r="AL102" i="57"/>
  <c r="AL101" i="57"/>
  <c r="AL100" i="57"/>
  <c r="AL99" i="57"/>
  <c r="AL98" i="57"/>
  <c r="AL97" i="57"/>
  <c r="AL108" i="57"/>
  <c r="AL107" i="57"/>
  <c r="AL106" i="57"/>
  <c r="AL110" i="57" s="1"/>
  <c r="AL93" i="57"/>
  <c r="AL92" i="57"/>
  <c r="AL91" i="57"/>
  <c r="AL90" i="57"/>
  <c r="AL89" i="57"/>
  <c r="AL88" i="57"/>
  <c r="AL87" i="57"/>
  <c r="AL95" i="57" s="1"/>
  <c r="AL79" i="57"/>
  <c r="AL78" i="57"/>
  <c r="AL77" i="57"/>
  <c r="AL76" i="57"/>
  <c r="AL75" i="57"/>
  <c r="AL74" i="57"/>
  <c r="AL73" i="57"/>
  <c r="AL72" i="57"/>
  <c r="AL71" i="57"/>
  <c r="AL70" i="57"/>
  <c r="AL69" i="57"/>
  <c r="AL68" i="57"/>
  <c r="AL67" i="57"/>
  <c r="AL66" i="57"/>
  <c r="AL65" i="57"/>
  <c r="AL64" i="57"/>
  <c r="AL63" i="57"/>
  <c r="AL62" i="57"/>
  <c r="AL61" i="57"/>
  <c r="AL56" i="57"/>
  <c r="AL55" i="57"/>
  <c r="AL53" i="57"/>
  <c r="AL52" i="57"/>
  <c r="AL51" i="57"/>
  <c r="AL50" i="57"/>
  <c r="AL49" i="57"/>
  <c r="AL48" i="57"/>
  <c r="AL47" i="57"/>
  <c r="AL46" i="57"/>
  <c r="AL45" i="57"/>
  <c r="AL44" i="57"/>
  <c r="AL43" i="57"/>
  <c r="AL42" i="57"/>
  <c r="AL41" i="57"/>
  <c r="AL40" i="57"/>
  <c r="AL39" i="57"/>
  <c r="AL38" i="57"/>
  <c r="AL37" i="57"/>
  <c r="AL33" i="57"/>
  <c r="AL32" i="57"/>
  <c r="AL31" i="57"/>
  <c r="AL30" i="57"/>
  <c r="AL25" i="57"/>
  <c r="AL24" i="57"/>
  <c r="AL23" i="57"/>
  <c r="AL22" i="57"/>
  <c r="AL21" i="57"/>
  <c r="AL20" i="57"/>
  <c r="AL19" i="57"/>
  <c r="AL18" i="57"/>
  <c r="AL17" i="57"/>
  <c r="AL16" i="57"/>
  <c r="AL15" i="57"/>
  <c r="AL14" i="57"/>
  <c r="AL13" i="57"/>
  <c r="AL12" i="57"/>
  <c r="AL11" i="57"/>
  <c r="AL10" i="57"/>
  <c r="AL9" i="57"/>
  <c r="AL8" i="57"/>
  <c r="AL7" i="57"/>
  <c r="AK186" i="57"/>
  <c r="AK185" i="57"/>
  <c r="AK184" i="57"/>
  <c r="AK183" i="57"/>
  <c r="AK182" i="57"/>
  <c r="AK181" i="57"/>
  <c r="AK180" i="57"/>
  <c r="AK175" i="57"/>
  <c r="AK177" i="57" s="1"/>
  <c r="AK170" i="57"/>
  <c r="AK169" i="57"/>
  <c r="AK172" i="57" s="1"/>
  <c r="AK164" i="57"/>
  <c r="AK163" i="57"/>
  <c r="AK162" i="57"/>
  <c r="AK161" i="57"/>
  <c r="AK156" i="57"/>
  <c r="AK158" i="57" s="1"/>
  <c r="AK151" i="57"/>
  <c r="AK150" i="57"/>
  <c r="AK149" i="57"/>
  <c r="AK148" i="57"/>
  <c r="AK147" i="57"/>
  <c r="AK146" i="57"/>
  <c r="AK145" i="57"/>
  <c r="AK144" i="57"/>
  <c r="AK143" i="57"/>
  <c r="AK142" i="57"/>
  <c r="AK141" i="57"/>
  <c r="AK140" i="57"/>
  <c r="AK139" i="57"/>
  <c r="AK133" i="57"/>
  <c r="AK132" i="57"/>
  <c r="AK131" i="57"/>
  <c r="AK130" i="57"/>
  <c r="AK129" i="57"/>
  <c r="AK128" i="57"/>
  <c r="AK127" i="57"/>
  <c r="AK126" i="57"/>
  <c r="AK125" i="57"/>
  <c r="AK124" i="57"/>
  <c r="AK123" i="57"/>
  <c r="AK122" i="57"/>
  <c r="AK117" i="57"/>
  <c r="AK116" i="57"/>
  <c r="AK119" i="57" s="1"/>
  <c r="AK102" i="57"/>
  <c r="AK101" i="57"/>
  <c r="AK100" i="57"/>
  <c r="AK99" i="57"/>
  <c r="AK98" i="57"/>
  <c r="AK97" i="57"/>
  <c r="AK104" i="57" s="1"/>
  <c r="AK108" i="57"/>
  <c r="AK107" i="57"/>
  <c r="AK106" i="57"/>
  <c r="AK110" i="57" s="1"/>
  <c r="AK93" i="57"/>
  <c r="AK92" i="57"/>
  <c r="AK91" i="57"/>
  <c r="AK90" i="57"/>
  <c r="AK89" i="57"/>
  <c r="AK88" i="57"/>
  <c r="AK87" i="57"/>
  <c r="AK95" i="57" s="1"/>
  <c r="AK79" i="57"/>
  <c r="AK78" i="57"/>
  <c r="AK77" i="57"/>
  <c r="AK76" i="57"/>
  <c r="AK75" i="57"/>
  <c r="AK74" i="57"/>
  <c r="AK73" i="57"/>
  <c r="AK72" i="57"/>
  <c r="AK71" i="57"/>
  <c r="AK70" i="57"/>
  <c r="AK69" i="57"/>
  <c r="AK68" i="57"/>
  <c r="AK67" i="57"/>
  <c r="AK66" i="57"/>
  <c r="AK65" i="57"/>
  <c r="AK64" i="57"/>
  <c r="AK63" i="57"/>
  <c r="AK62" i="57"/>
  <c r="AK61" i="57"/>
  <c r="AK56" i="57"/>
  <c r="AK55" i="57"/>
  <c r="AK53" i="57"/>
  <c r="AK52" i="57"/>
  <c r="AK51" i="57"/>
  <c r="AK50" i="57"/>
  <c r="AK49" i="57"/>
  <c r="AK48" i="57"/>
  <c r="AK47" i="57"/>
  <c r="AK46" i="57"/>
  <c r="AK45" i="57"/>
  <c r="AK44" i="57"/>
  <c r="AK43" i="57"/>
  <c r="AK42" i="57"/>
  <c r="AK41" i="57"/>
  <c r="AK40" i="57"/>
  <c r="AK39" i="57"/>
  <c r="AK38" i="57"/>
  <c r="AK37" i="57"/>
  <c r="AK33" i="57"/>
  <c r="AK32" i="57"/>
  <c r="AK31" i="57"/>
  <c r="AK30" i="57"/>
  <c r="AK35" i="57" s="1"/>
  <c r="AK25" i="57"/>
  <c r="AK24" i="57"/>
  <c r="AK23" i="57"/>
  <c r="AK22" i="57"/>
  <c r="AK21" i="57"/>
  <c r="AK20" i="57"/>
  <c r="AK19" i="57"/>
  <c r="AK18" i="57"/>
  <c r="AK17" i="57"/>
  <c r="AK16" i="57"/>
  <c r="AK15" i="57"/>
  <c r="AK14" i="57"/>
  <c r="AK13" i="57"/>
  <c r="AK12" i="57"/>
  <c r="AK11" i="57"/>
  <c r="AK10" i="57"/>
  <c r="AK9" i="57"/>
  <c r="AK8" i="57"/>
  <c r="AK7" i="57"/>
  <c r="AJ186" i="57"/>
  <c r="AJ185" i="57"/>
  <c r="AJ184" i="57"/>
  <c r="AJ183" i="57"/>
  <c r="AJ182" i="57"/>
  <c r="AJ181" i="57"/>
  <c r="AJ180" i="57"/>
  <c r="AJ188" i="57" s="1"/>
  <c r="AJ175" i="57"/>
  <c r="AJ177" i="57" s="1"/>
  <c r="AJ170" i="57"/>
  <c r="AJ169" i="57"/>
  <c r="AJ164" i="57"/>
  <c r="AJ163" i="57"/>
  <c r="AJ162" i="57"/>
  <c r="AJ161" i="57"/>
  <c r="AJ166" i="57" s="1"/>
  <c r="AJ156" i="57"/>
  <c r="AJ158" i="57" s="1"/>
  <c r="AJ151" i="57"/>
  <c r="AJ150" i="57"/>
  <c r="AJ149" i="57"/>
  <c r="AJ148" i="57"/>
  <c r="AJ147" i="57"/>
  <c r="AJ146" i="57"/>
  <c r="AJ145" i="57"/>
  <c r="AJ144" i="57"/>
  <c r="AJ143" i="57"/>
  <c r="AJ142" i="57"/>
  <c r="AJ141" i="57"/>
  <c r="AJ140" i="57"/>
  <c r="AJ139" i="57"/>
  <c r="AJ133" i="57"/>
  <c r="AJ132" i="57"/>
  <c r="AJ131" i="57"/>
  <c r="AJ130" i="57"/>
  <c r="AJ129" i="57"/>
  <c r="AJ128" i="57"/>
  <c r="AJ127" i="57"/>
  <c r="AJ126" i="57"/>
  <c r="AJ125" i="57"/>
  <c r="AJ124" i="57"/>
  <c r="AJ123" i="57"/>
  <c r="AJ122" i="57"/>
  <c r="AJ117" i="57"/>
  <c r="AJ116" i="57"/>
  <c r="AJ119" i="57" s="1"/>
  <c r="AJ102" i="57"/>
  <c r="AJ101" i="57"/>
  <c r="AJ100" i="57"/>
  <c r="AJ99" i="57"/>
  <c r="AJ98" i="57"/>
  <c r="AJ97" i="57"/>
  <c r="AJ104" i="57" s="1"/>
  <c r="AJ108" i="57"/>
  <c r="AJ107" i="57"/>
  <c r="AJ106" i="57"/>
  <c r="AJ110" i="57" s="1"/>
  <c r="AJ93" i="57"/>
  <c r="AJ92" i="57"/>
  <c r="AJ91" i="57"/>
  <c r="AJ90" i="57"/>
  <c r="AJ89" i="57"/>
  <c r="AJ88" i="57"/>
  <c r="AJ87" i="57"/>
  <c r="AJ95" i="57" s="1"/>
  <c r="AJ79" i="57"/>
  <c r="AJ78" i="57"/>
  <c r="AJ77" i="57"/>
  <c r="AJ76" i="57"/>
  <c r="AJ75" i="57"/>
  <c r="AJ74" i="57"/>
  <c r="AJ73" i="57"/>
  <c r="AJ72" i="57"/>
  <c r="AJ71" i="57"/>
  <c r="AJ70" i="57"/>
  <c r="AJ69" i="57"/>
  <c r="AJ68" i="57"/>
  <c r="AJ67" i="57"/>
  <c r="AJ66" i="57"/>
  <c r="AJ65" i="57"/>
  <c r="AJ64" i="57"/>
  <c r="AJ63" i="57"/>
  <c r="AJ62" i="57"/>
  <c r="AJ61" i="57"/>
  <c r="AJ56" i="57"/>
  <c r="AJ55" i="57"/>
  <c r="AJ53" i="57"/>
  <c r="AJ52" i="57"/>
  <c r="AJ51" i="57"/>
  <c r="AJ50" i="57"/>
  <c r="AJ49" i="57"/>
  <c r="AJ48" i="57"/>
  <c r="AJ47" i="57"/>
  <c r="AJ46" i="57"/>
  <c r="AJ45" i="57"/>
  <c r="AJ44" i="57"/>
  <c r="AJ43" i="57"/>
  <c r="AJ42" i="57"/>
  <c r="AJ41" i="57"/>
  <c r="AJ40" i="57"/>
  <c r="AJ39" i="57"/>
  <c r="AJ38" i="57"/>
  <c r="AJ37" i="57"/>
  <c r="AJ33" i="57"/>
  <c r="AJ32" i="57"/>
  <c r="AJ31" i="57"/>
  <c r="AJ30" i="57"/>
  <c r="AJ25" i="57"/>
  <c r="AJ24" i="57"/>
  <c r="AJ23" i="57"/>
  <c r="AJ22" i="57"/>
  <c r="AJ21" i="57"/>
  <c r="AJ20" i="57"/>
  <c r="AJ19" i="57"/>
  <c r="AJ18" i="57"/>
  <c r="AJ17" i="57"/>
  <c r="AJ16" i="57"/>
  <c r="AJ15" i="57"/>
  <c r="AJ14" i="57"/>
  <c r="AJ13" i="57"/>
  <c r="AJ12" i="57"/>
  <c r="AJ11" i="57"/>
  <c r="AJ10" i="57"/>
  <c r="AJ9" i="57"/>
  <c r="AJ8" i="57"/>
  <c r="AJ7" i="57"/>
  <c r="AI186" i="57"/>
  <c r="AI185" i="57"/>
  <c r="AI184" i="57"/>
  <c r="AI183" i="57"/>
  <c r="AI182" i="57"/>
  <c r="AI181" i="57"/>
  <c r="AI180" i="57"/>
  <c r="AI175" i="57"/>
  <c r="AI177" i="57" s="1"/>
  <c r="AI170" i="57"/>
  <c r="AI169" i="57"/>
  <c r="AI172" i="57" s="1"/>
  <c r="AI164" i="57"/>
  <c r="AI163" i="57"/>
  <c r="AI162" i="57"/>
  <c r="AI161" i="57"/>
  <c r="AI156" i="57"/>
  <c r="AI158" i="57" s="1"/>
  <c r="AI151" i="57"/>
  <c r="AI150" i="57"/>
  <c r="AI149" i="57"/>
  <c r="AI148" i="57"/>
  <c r="AI147" i="57"/>
  <c r="AI146" i="57"/>
  <c r="AI145" i="57"/>
  <c r="AI144" i="57"/>
  <c r="AI143" i="57"/>
  <c r="AI142" i="57"/>
  <c r="AI141" i="57"/>
  <c r="AI140" i="57"/>
  <c r="AI139" i="57"/>
  <c r="AI133" i="57"/>
  <c r="AI132" i="57"/>
  <c r="AI131" i="57"/>
  <c r="AI130" i="57"/>
  <c r="AI129" i="57"/>
  <c r="AI128" i="57"/>
  <c r="AI127" i="57"/>
  <c r="AI126" i="57"/>
  <c r="AI125" i="57"/>
  <c r="AI124" i="57"/>
  <c r="AI123" i="57"/>
  <c r="AI122" i="57"/>
  <c r="AI117" i="57"/>
  <c r="AI116" i="57"/>
  <c r="AI102" i="57"/>
  <c r="AI101" i="57"/>
  <c r="AI100" i="57"/>
  <c r="AI99" i="57"/>
  <c r="AI98" i="57"/>
  <c r="AI97" i="57"/>
  <c r="AI104" i="57" s="1"/>
  <c r="AI108" i="57"/>
  <c r="AI107" i="57"/>
  <c r="AI106" i="57"/>
  <c r="AI93" i="57"/>
  <c r="AI92" i="57"/>
  <c r="AI91" i="57"/>
  <c r="AI90" i="57"/>
  <c r="AI89" i="57"/>
  <c r="AI88" i="57"/>
  <c r="AI87" i="57"/>
  <c r="AI95" i="57" s="1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56" i="57"/>
  <c r="AI55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3" i="57"/>
  <c r="AI32" i="57"/>
  <c r="AI31" i="57"/>
  <c r="AI30" i="57"/>
  <c r="AI35" i="57" s="1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86" i="57"/>
  <c r="AH185" i="57"/>
  <c r="AH184" i="57"/>
  <c r="AH183" i="57"/>
  <c r="AH182" i="57"/>
  <c r="AH181" i="57"/>
  <c r="AH180" i="57"/>
  <c r="AH175" i="57"/>
  <c r="AH177" i="57" s="1"/>
  <c r="AH170" i="57"/>
  <c r="AH169" i="57"/>
  <c r="AH172" i="57" s="1"/>
  <c r="AH164" i="57"/>
  <c r="AH163" i="57"/>
  <c r="AH162" i="57"/>
  <c r="AH161" i="57"/>
  <c r="AH166" i="57" s="1"/>
  <c r="AH156" i="57"/>
  <c r="AH158" i="57" s="1"/>
  <c r="AH151" i="57"/>
  <c r="AH150" i="57"/>
  <c r="AH149" i="57"/>
  <c r="AH148" i="57"/>
  <c r="AH147" i="57"/>
  <c r="AH146" i="57"/>
  <c r="AH145" i="57"/>
  <c r="AH144" i="57"/>
  <c r="AH143" i="57"/>
  <c r="AH142" i="57"/>
  <c r="AH141" i="57"/>
  <c r="AH140" i="57"/>
  <c r="AH139" i="57"/>
  <c r="AH133" i="57"/>
  <c r="AH132" i="57"/>
  <c r="AH131" i="57"/>
  <c r="AH130" i="57"/>
  <c r="AH129" i="57"/>
  <c r="AH128" i="57"/>
  <c r="AH127" i="57"/>
  <c r="AH126" i="57"/>
  <c r="AH125" i="57"/>
  <c r="AH124" i="57"/>
  <c r="AH123" i="57"/>
  <c r="AH122" i="57"/>
  <c r="AH117" i="57"/>
  <c r="AH116" i="57"/>
  <c r="AH119" i="57" s="1"/>
  <c r="AH102" i="57"/>
  <c r="AH101" i="57"/>
  <c r="AH100" i="57"/>
  <c r="AH99" i="57"/>
  <c r="AH98" i="57"/>
  <c r="AH97" i="57"/>
  <c r="AH104" i="57" s="1"/>
  <c r="AH108" i="57"/>
  <c r="AH107" i="57"/>
  <c r="AH106" i="57"/>
  <c r="AH110" i="57" s="1"/>
  <c r="AH93" i="57"/>
  <c r="AH92" i="57"/>
  <c r="AH91" i="57"/>
  <c r="AH90" i="57"/>
  <c r="AH89" i="57"/>
  <c r="AH88" i="57"/>
  <c r="AH87" i="57"/>
  <c r="AH95" i="57" s="1"/>
  <c r="AH79" i="57"/>
  <c r="AH78" i="57"/>
  <c r="AH77" i="57"/>
  <c r="AH76" i="57"/>
  <c r="AH75" i="57"/>
  <c r="AH74" i="57"/>
  <c r="AH73" i="57"/>
  <c r="AH72" i="57"/>
  <c r="AH71" i="57"/>
  <c r="AH70" i="57"/>
  <c r="AH69" i="57"/>
  <c r="AH68" i="57"/>
  <c r="AH67" i="57"/>
  <c r="AH66" i="57"/>
  <c r="AH65" i="57"/>
  <c r="AH64" i="57"/>
  <c r="AH63" i="57"/>
  <c r="AH62" i="57"/>
  <c r="AH61" i="57"/>
  <c r="AH56" i="57"/>
  <c r="AH55" i="57"/>
  <c r="AH53" i="57"/>
  <c r="AH52" i="57"/>
  <c r="AH51" i="57"/>
  <c r="AH50" i="57"/>
  <c r="AH49" i="57"/>
  <c r="AH48" i="57"/>
  <c r="AH47" i="57"/>
  <c r="AH46" i="57"/>
  <c r="AH45" i="57"/>
  <c r="AH44" i="57"/>
  <c r="AH43" i="57"/>
  <c r="AH42" i="57"/>
  <c r="AH41" i="57"/>
  <c r="AH40" i="57"/>
  <c r="AH39" i="57"/>
  <c r="AH38" i="57"/>
  <c r="AH37" i="57"/>
  <c r="AH33" i="57"/>
  <c r="AH32" i="57"/>
  <c r="AH31" i="57"/>
  <c r="AH30" i="57"/>
  <c r="AH35" i="57" s="1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G186" i="57"/>
  <c r="AG185" i="57"/>
  <c r="AG184" i="57"/>
  <c r="AG183" i="57"/>
  <c r="AG182" i="57"/>
  <c r="AG181" i="57"/>
  <c r="AG180" i="57"/>
  <c r="AG175" i="57"/>
  <c r="AG177" i="57" s="1"/>
  <c r="AG170" i="57"/>
  <c r="AG169" i="57"/>
  <c r="AG172" i="57" s="1"/>
  <c r="AG164" i="57"/>
  <c r="AG163" i="57"/>
  <c r="AG162" i="57"/>
  <c r="AG161" i="57"/>
  <c r="AG156" i="57"/>
  <c r="AG158" i="57" s="1"/>
  <c r="AG151" i="57"/>
  <c r="AG150" i="57"/>
  <c r="AG149" i="57"/>
  <c r="AG148" i="57"/>
  <c r="AG147" i="57"/>
  <c r="AG146" i="57"/>
  <c r="AG145" i="57"/>
  <c r="AG144" i="57"/>
  <c r="AG143" i="57"/>
  <c r="AG142" i="57"/>
  <c r="AG141" i="57"/>
  <c r="AG140" i="57"/>
  <c r="AG139" i="57"/>
  <c r="AG133" i="57"/>
  <c r="AG132" i="57"/>
  <c r="AG131" i="57"/>
  <c r="AG130" i="57"/>
  <c r="AG129" i="57"/>
  <c r="AG128" i="57"/>
  <c r="AG127" i="57"/>
  <c r="AG126" i="57"/>
  <c r="AG125" i="57"/>
  <c r="AG124" i="57"/>
  <c r="AG123" i="57"/>
  <c r="AG122" i="57"/>
  <c r="AG135" i="57" s="1"/>
  <c r="AG117" i="57"/>
  <c r="AG116" i="57"/>
  <c r="AG119" i="57" s="1"/>
  <c r="AG102" i="57"/>
  <c r="AG101" i="57"/>
  <c r="AG100" i="57"/>
  <c r="AG99" i="57"/>
  <c r="AG98" i="57"/>
  <c r="AG97" i="57"/>
  <c r="AG104" i="57" s="1"/>
  <c r="AG108" i="57"/>
  <c r="AG107" i="57"/>
  <c r="AG106" i="57"/>
  <c r="AG110" i="57" s="1"/>
  <c r="AG93" i="57"/>
  <c r="AG92" i="57"/>
  <c r="AG91" i="57"/>
  <c r="AG90" i="57"/>
  <c r="AG89" i="57"/>
  <c r="AG88" i="57"/>
  <c r="AG87" i="57"/>
  <c r="AG95" i="57" s="1"/>
  <c r="AG79" i="57"/>
  <c r="AG78" i="57"/>
  <c r="AG77" i="57"/>
  <c r="AG76" i="57"/>
  <c r="AG75" i="57"/>
  <c r="AG74" i="57"/>
  <c r="AG73" i="57"/>
  <c r="AG72" i="57"/>
  <c r="AG71" i="57"/>
  <c r="AG70" i="57"/>
  <c r="AG69" i="57"/>
  <c r="AG68" i="57"/>
  <c r="AG67" i="57"/>
  <c r="AG66" i="57"/>
  <c r="AG65" i="57"/>
  <c r="AG64" i="57"/>
  <c r="AG63" i="57"/>
  <c r="AG62" i="57"/>
  <c r="AG61" i="57"/>
  <c r="AG56" i="57"/>
  <c r="AG55" i="57"/>
  <c r="AG53" i="57"/>
  <c r="AG52" i="57"/>
  <c r="AG51" i="57"/>
  <c r="AG50" i="57"/>
  <c r="AG49" i="57"/>
  <c r="AG48" i="57"/>
  <c r="AG47" i="57"/>
  <c r="AG46" i="57"/>
  <c r="AG45" i="57"/>
  <c r="AG44" i="57"/>
  <c r="AG43" i="57"/>
  <c r="AG42" i="57"/>
  <c r="AG41" i="57"/>
  <c r="AG40" i="57"/>
  <c r="AG39" i="57"/>
  <c r="AG38" i="57"/>
  <c r="AG37" i="57"/>
  <c r="AG33" i="57"/>
  <c r="AG32" i="57"/>
  <c r="AG31" i="57"/>
  <c r="AG30" i="57"/>
  <c r="AG35" i="57" s="1"/>
  <c r="AG25" i="57"/>
  <c r="AG24" i="57"/>
  <c r="AG23" i="57"/>
  <c r="AG22" i="57"/>
  <c r="AG21" i="57"/>
  <c r="AG20" i="57"/>
  <c r="AG19" i="57"/>
  <c r="AG18" i="57"/>
  <c r="AG17" i="57"/>
  <c r="AG16" i="57"/>
  <c r="AG15" i="57"/>
  <c r="AG14" i="57"/>
  <c r="AG13" i="57"/>
  <c r="AG12" i="57"/>
  <c r="AG11" i="57"/>
  <c r="AG10" i="57"/>
  <c r="AG9" i="57"/>
  <c r="AG8" i="57"/>
  <c r="AG7" i="57"/>
  <c r="AG27" i="57" s="1"/>
  <c r="AF186" i="57"/>
  <c r="AF185" i="57"/>
  <c r="AF184" i="57"/>
  <c r="AF183" i="57"/>
  <c r="AF182" i="57"/>
  <c r="AF181" i="57"/>
  <c r="AF180" i="57"/>
  <c r="AF188" i="57" s="1"/>
  <c r="AF175" i="57"/>
  <c r="AF177" i="57" s="1"/>
  <c r="AF170" i="57"/>
  <c r="AF169" i="57"/>
  <c r="AF172" i="57" s="1"/>
  <c r="AF164" i="57"/>
  <c r="AF163" i="57"/>
  <c r="AF162" i="57"/>
  <c r="AF161" i="57"/>
  <c r="AF166" i="57" s="1"/>
  <c r="AF156" i="57"/>
  <c r="AF158" i="57" s="1"/>
  <c r="AF151" i="57"/>
  <c r="AF150" i="57"/>
  <c r="AF149" i="57"/>
  <c r="AF148" i="57"/>
  <c r="AF147" i="57"/>
  <c r="AF146" i="57"/>
  <c r="AF145" i="57"/>
  <c r="AF144" i="57"/>
  <c r="AF143" i="57"/>
  <c r="AF142" i="57"/>
  <c r="AF139" i="57"/>
  <c r="AF133" i="57"/>
  <c r="AF132" i="57"/>
  <c r="AF131" i="57"/>
  <c r="AF130" i="57"/>
  <c r="AF129" i="57"/>
  <c r="AF128" i="57"/>
  <c r="AF127" i="57"/>
  <c r="AF126" i="57"/>
  <c r="AF125" i="57"/>
  <c r="AF124" i="57"/>
  <c r="AF123" i="57"/>
  <c r="AF122" i="57"/>
  <c r="AF135" i="57" s="1"/>
  <c r="AF117" i="57"/>
  <c r="AF116" i="57"/>
  <c r="AF119" i="57" s="1"/>
  <c r="AF102" i="57"/>
  <c r="AF101" i="57"/>
  <c r="AF100" i="57"/>
  <c r="AF99" i="57"/>
  <c r="AF98" i="57"/>
  <c r="AF97" i="57"/>
  <c r="AF104" i="57" s="1"/>
  <c r="AF108" i="57"/>
  <c r="AF107" i="57"/>
  <c r="AF93" i="57"/>
  <c r="AF92" i="57"/>
  <c r="AF91" i="57"/>
  <c r="AF90" i="57"/>
  <c r="AF89" i="57"/>
  <c r="AF88" i="57"/>
  <c r="AF87" i="57"/>
  <c r="AF95" i="57" s="1"/>
  <c r="AF79" i="57"/>
  <c r="AF78" i="57"/>
  <c r="AF77" i="57"/>
  <c r="AF76" i="57"/>
  <c r="AF73" i="57"/>
  <c r="AF69" i="57"/>
  <c r="AF68" i="57"/>
  <c r="AF66" i="57"/>
  <c r="AF65" i="57"/>
  <c r="AF64" i="57"/>
  <c r="AF62" i="57"/>
  <c r="AF56" i="57"/>
  <c r="AF55" i="57"/>
  <c r="AF53" i="57"/>
  <c r="AF52" i="57"/>
  <c r="AF51" i="57"/>
  <c r="AF50" i="57"/>
  <c r="AF49" i="57"/>
  <c r="AF48" i="57"/>
  <c r="AF47" i="57"/>
  <c r="AF46" i="57"/>
  <c r="AF45" i="57"/>
  <c r="AF44" i="57"/>
  <c r="AF43" i="57"/>
  <c r="AF42" i="57"/>
  <c r="AF41" i="57"/>
  <c r="AF40" i="57"/>
  <c r="AF39" i="57"/>
  <c r="AF38" i="57"/>
  <c r="AF37" i="57"/>
  <c r="AF33" i="57"/>
  <c r="AF32" i="57"/>
  <c r="AF31" i="57"/>
  <c r="AF30" i="57"/>
  <c r="AF35" i="57" s="1"/>
  <c r="AF25" i="57"/>
  <c r="AF24" i="57"/>
  <c r="AF23" i="57"/>
  <c r="AF22" i="57"/>
  <c r="AF21" i="57"/>
  <c r="AF20" i="57"/>
  <c r="AF19" i="57"/>
  <c r="AF18" i="57"/>
  <c r="AF17" i="57"/>
  <c r="AF16" i="57"/>
  <c r="AF15" i="57"/>
  <c r="AF14" i="57"/>
  <c r="AF13" i="57"/>
  <c r="AF12" i="57"/>
  <c r="AF11" i="57"/>
  <c r="AF10" i="57"/>
  <c r="AF9" i="57"/>
  <c r="AF8" i="57"/>
  <c r="AF7" i="57"/>
  <c r="AE222" i="57"/>
  <c r="AE224" i="57" s="1"/>
  <c r="AE217" i="57"/>
  <c r="AE216" i="57"/>
  <c r="AE215" i="57"/>
  <c r="AE214" i="57"/>
  <c r="AE213" i="57"/>
  <c r="AE212" i="57"/>
  <c r="AE210" i="57"/>
  <c r="AE209" i="57"/>
  <c r="AE208" i="57"/>
  <c r="AE206" i="57"/>
  <c r="AE205" i="57"/>
  <c r="AE200" i="57"/>
  <c r="AE199" i="57"/>
  <c r="AE198" i="57"/>
  <c r="AE186" i="57"/>
  <c r="AE185" i="57"/>
  <c r="AE184" i="57"/>
  <c r="AE183" i="57"/>
  <c r="AE182" i="57"/>
  <c r="AE181" i="57"/>
  <c r="AE180" i="57"/>
  <c r="AE175" i="57"/>
  <c r="AE177" i="57" s="1"/>
  <c r="AE170" i="57"/>
  <c r="AE169" i="57"/>
  <c r="AE172" i="57" s="1"/>
  <c r="AE164" i="57"/>
  <c r="AE163" i="57"/>
  <c r="AE162" i="57"/>
  <c r="AE161" i="57"/>
  <c r="AE166" i="57" s="1"/>
  <c r="AE156" i="57"/>
  <c r="AE158" i="57" s="1"/>
  <c r="AE151" i="57"/>
  <c r="AE150" i="57"/>
  <c r="AE149" i="57"/>
  <c r="AE148" i="57"/>
  <c r="AE147" i="57"/>
  <c r="AE146" i="57"/>
  <c r="AE145" i="57"/>
  <c r="AE144" i="57"/>
  <c r="AE143" i="57"/>
  <c r="AE142" i="57"/>
  <c r="AE139" i="57"/>
  <c r="AE133" i="57"/>
  <c r="AE132" i="57"/>
  <c r="AE131" i="57"/>
  <c r="AE130" i="57"/>
  <c r="AE129" i="57"/>
  <c r="AE128" i="57"/>
  <c r="AE127" i="57"/>
  <c r="AE126" i="57"/>
  <c r="AE125" i="57"/>
  <c r="AE124" i="57"/>
  <c r="AE123" i="57"/>
  <c r="AE122" i="57"/>
  <c r="AE117" i="57"/>
  <c r="AE116" i="57"/>
  <c r="AE119" i="57" s="1"/>
  <c r="AE102" i="57"/>
  <c r="AE101" i="57"/>
  <c r="AE100" i="57"/>
  <c r="AE99" i="57"/>
  <c r="AE98" i="57"/>
  <c r="AE97" i="57"/>
  <c r="AE104" i="57" s="1"/>
  <c r="AE108" i="57"/>
  <c r="AE107" i="57"/>
  <c r="AE93" i="57"/>
  <c r="AE92" i="57"/>
  <c r="AE91" i="57"/>
  <c r="AE90" i="57"/>
  <c r="AE89" i="57"/>
  <c r="AE88" i="57"/>
  <c r="AE87" i="57"/>
  <c r="AE79" i="57"/>
  <c r="AE78" i="57"/>
  <c r="AE77" i="57"/>
  <c r="AE76" i="57"/>
  <c r="AE73" i="57"/>
  <c r="AE69" i="57"/>
  <c r="AE68" i="57"/>
  <c r="AE66" i="57"/>
  <c r="AE65" i="57"/>
  <c r="AE64" i="57"/>
  <c r="AE62" i="57"/>
  <c r="AE56" i="57"/>
  <c r="AE55" i="57"/>
  <c r="AE53" i="57"/>
  <c r="AE52" i="57"/>
  <c r="AE51" i="57"/>
  <c r="AE50" i="57"/>
  <c r="AE49" i="57"/>
  <c r="AE48" i="57"/>
  <c r="AE47" i="57"/>
  <c r="AE46" i="57"/>
  <c r="AE45" i="57"/>
  <c r="AE44" i="57"/>
  <c r="AE43" i="57"/>
  <c r="AE42" i="57"/>
  <c r="AE41" i="57"/>
  <c r="AE40" i="57"/>
  <c r="AE39" i="57"/>
  <c r="AE38" i="57"/>
  <c r="AE37" i="57"/>
  <c r="AE33" i="57"/>
  <c r="AE32" i="57"/>
  <c r="AE31" i="57"/>
  <c r="AE30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27" i="57" s="1"/>
  <c r="AE35" i="57"/>
  <c r="AA186" i="57"/>
  <c r="AA185" i="57"/>
  <c r="AA184" i="57"/>
  <c r="AA183" i="57"/>
  <c r="AA182" i="57"/>
  <c r="AA181" i="57"/>
  <c r="AA175" i="57"/>
  <c r="AA169" i="57"/>
  <c r="AA164" i="57"/>
  <c r="AA163" i="57"/>
  <c r="AA162" i="57"/>
  <c r="AA161" i="57"/>
  <c r="AA156" i="57"/>
  <c r="AA151" i="57"/>
  <c r="AA150" i="57"/>
  <c r="AA149" i="57"/>
  <c r="AA148" i="57"/>
  <c r="AA147" i="57"/>
  <c r="AA145" i="57"/>
  <c r="AA144" i="57"/>
  <c r="AA143" i="57"/>
  <c r="AA142" i="57"/>
  <c r="AA141" i="57"/>
  <c r="AA140" i="57"/>
  <c r="AA139" i="57"/>
  <c r="AA133" i="57"/>
  <c r="AA132" i="57"/>
  <c r="AA131" i="57"/>
  <c r="AA130" i="57"/>
  <c r="AA129" i="57"/>
  <c r="AA128" i="57"/>
  <c r="AA127" i="57"/>
  <c r="AA126" i="57"/>
  <c r="AA125" i="57"/>
  <c r="AA124" i="57"/>
  <c r="AA123" i="57"/>
  <c r="AA122" i="57"/>
  <c r="AA116" i="57"/>
  <c r="AA100" i="57"/>
  <c r="AA98" i="57"/>
  <c r="AA97" i="57"/>
  <c r="AA108" i="57"/>
  <c r="AA107" i="57"/>
  <c r="AA106" i="57"/>
  <c r="AA93" i="57"/>
  <c r="AA92" i="57"/>
  <c r="AA91" i="57"/>
  <c r="AA90" i="57"/>
  <c r="AA89" i="57"/>
  <c r="AA88" i="57"/>
  <c r="AA87" i="57"/>
  <c r="AA79" i="57"/>
  <c r="AA78" i="57"/>
  <c r="AA77" i="57"/>
  <c r="AA76" i="57"/>
  <c r="AA75" i="57"/>
  <c r="AA74" i="57"/>
  <c r="AA73" i="57"/>
  <c r="AA72" i="57"/>
  <c r="AA71" i="57"/>
  <c r="AA70" i="57"/>
  <c r="AA69" i="57"/>
  <c r="AA68" i="57"/>
  <c r="AA67" i="57"/>
  <c r="AA66" i="57"/>
  <c r="AA65" i="57"/>
  <c r="AA64" i="57"/>
  <c r="AA63" i="57"/>
  <c r="AA62" i="57"/>
  <c r="AA61" i="57"/>
  <c r="AA55" i="57"/>
  <c r="AA54" i="57"/>
  <c r="AA53" i="57"/>
  <c r="AA52" i="57"/>
  <c r="AA51" i="57"/>
  <c r="AA50" i="57"/>
  <c r="AA49" i="57"/>
  <c r="AA48" i="57"/>
  <c r="AA47" i="57"/>
  <c r="AA46" i="57"/>
  <c r="AA45" i="57"/>
  <c r="AA44" i="57"/>
  <c r="AA43" i="57"/>
  <c r="AA42" i="57"/>
  <c r="AA41" i="57"/>
  <c r="AA40" i="57"/>
  <c r="AA39" i="57"/>
  <c r="AA38" i="57"/>
  <c r="AA37" i="57"/>
  <c r="AA33" i="57"/>
  <c r="AA32" i="57"/>
  <c r="AA31" i="57"/>
  <c r="AA30" i="57"/>
  <c r="AA25" i="57"/>
  <c r="AA24" i="57"/>
  <c r="AA23" i="57"/>
  <c r="AA22" i="57"/>
  <c r="AA21" i="57"/>
  <c r="AA20" i="57"/>
  <c r="AA19" i="57"/>
  <c r="AA18" i="57"/>
  <c r="AA17" i="57"/>
  <c r="AA16" i="57"/>
  <c r="AA15" i="57"/>
  <c r="AA14" i="57"/>
  <c r="AA13" i="57"/>
  <c r="AA12" i="57"/>
  <c r="AA11" i="57"/>
  <c r="AA10" i="57"/>
  <c r="AA9" i="57"/>
  <c r="AA8" i="57"/>
  <c r="AA7" i="57"/>
  <c r="Z186" i="57"/>
  <c r="Z185" i="57"/>
  <c r="Z184" i="57"/>
  <c r="Z183" i="57"/>
  <c r="Z182" i="57"/>
  <c r="Z181" i="57"/>
  <c r="Z175" i="57"/>
  <c r="Z169" i="57"/>
  <c r="Z164" i="57"/>
  <c r="Z163" i="57"/>
  <c r="Z162" i="57"/>
  <c r="Z161" i="57"/>
  <c r="Z156" i="57"/>
  <c r="Z151" i="57"/>
  <c r="Z150" i="57"/>
  <c r="Z149" i="57"/>
  <c r="Z148" i="57"/>
  <c r="Z147" i="57"/>
  <c r="Z145" i="57"/>
  <c r="Z144" i="57"/>
  <c r="Z143" i="57"/>
  <c r="Z142" i="57"/>
  <c r="Z141" i="57"/>
  <c r="Z140" i="57"/>
  <c r="Z139" i="57"/>
  <c r="Z133" i="57"/>
  <c r="Z132" i="57"/>
  <c r="Z131" i="57"/>
  <c r="Z130" i="57"/>
  <c r="Z129" i="57"/>
  <c r="Z128" i="57"/>
  <c r="Z127" i="57"/>
  <c r="Z126" i="57"/>
  <c r="Z125" i="57"/>
  <c r="Z124" i="57"/>
  <c r="Z123" i="57"/>
  <c r="Z122" i="57"/>
  <c r="Z116" i="57"/>
  <c r="Z98" i="57"/>
  <c r="Z108" i="57"/>
  <c r="Z107" i="57"/>
  <c r="Z106" i="57"/>
  <c r="Z93" i="57"/>
  <c r="Z92" i="57"/>
  <c r="Z91" i="57"/>
  <c r="Z90" i="57"/>
  <c r="Z89" i="57"/>
  <c r="Z88" i="57"/>
  <c r="Z87" i="57"/>
  <c r="Z79" i="57"/>
  <c r="Z78" i="57"/>
  <c r="Z77" i="57"/>
  <c r="Z76" i="57"/>
  <c r="Z75" i="57"/>
  <c r="Z73" i="57"/>
  <c r="Z72" i="57"/>
  <c r="Z71" i="57"/>
  <c r="Z70" i="57"/>
  <c r="Z69" i="57"/>
  <c r="Z68" i="57"/>
  <c r="Z67" i="57"/>
  <c r="Z66" i="57"/>
  <c r="Z65" i="57"/>
  <c r="Z64" i="57"/>
  <c r="Z62" i="57"/>
  <c r="Z55" i="57"/>
  <c r="Z54" i="57"/>
  <c r="Z53" i="57"/>
  <c r="Z52" i="57"/>
  <c r="Z51" i="57"/>
  <c r="Z50" i="57"/>
  <c r="Z48" i="57"/>
  <c r="Z47" i="57"/>
  <c r="Z46" i="57"/>
  <c r="Z45" i="57"/>
  <c r="Z44" i="57"/>
  <c r="Z43" i="57"/>
  <c r="Z42" i="57"/>
  <c r="Z41" i="57"/>
  <c r="Z40" i="57"/>
  <c r="Z39" i="57"/>
  <c r="Z38" i="57"/>
  <c r="Z37" i="57"/>
  <c r="Z32" i="57"/>
  <c r="Z31" i="57"/>
  <c r="Z30" i="57"/>
  <c r="Z25" i="57"/>
  <c r="Z24" i="57"/>
  <c r="Z23" i="57"/>
  <c r="Z22" i="57"/>
  <c r="Z21" i="57"/>
  <c r="Z20" i="57"/>
  <c r="Z19" i="57"/>
  <c r="Z18" i="57"/>
  <c r="Z17" i="57"/>
  <c r="Z16" i="57"/>
  <c r="Z15" i="57"/>
  <c r="Z14" i="57"/>
  <c r="Z13" i="57"/>
  <c r="Z12" i="57"/>
  <c r="Z11" i="57"/>
  <c r="Z10" i="57"/>
  <c r="Z9" i="57"/>
  <c r="Z8" i="57"/>
  <c r="Z7" i="57"/>
  <c r="Y186" i="57"/>
  <c r="Y185" i="57"/>
  <c r="Y184" i="57"/>
  <c r="Y183" i="57"/>
  <c r="Y182" i="57"/>
  <c r="Y181" i="57"/>
  <c r="Y175" i="57"/>
  <c r="Y169" i="57"/>
  <c r="Y164" i="57"/>
  <c r="Y163" i="57"/>
  <c r="Y162" i="57"/>
  <c r="Y161" i="57"/>
  <c r="Y156" i="57"/>
  <c r="Y151" i="57"/>
  <c r="Y150" i="57"/>
  <c r="Y149" i="57"/>
  <c r="Y148" i="57"/>
  <c r="Y147" i="57"/>
  <c r="Y145" i="57"/>
  <c r="Y144" i="57"/>
  <c r="Y143" i="57"/>
  <c r="Y142" i="57"/>
  <c r="Y141" i="57"/>
  <c r="Y140" i="57"/>
  <c r="Y139" i="57"/>
  <c r="Y133" i="57"/>
  <c r="Y132" i="57"/>
  <c r="Y131" i="57"/>
  <c r="Y130" i="57"/>
  <c r="Y129" i="57"/>
  <c r="Y128" i="57"/>
  <c r="Y127" i="57"/>
  <c r="Y126" i="57"/>
  <c r="Y125" i="57"/>
  <c r="Y124" i="57"/>
  <c r="Y123" i="57"/>
  <c r="Y122" i="57"/>
  <c r="Y116" i="57"/>
  <c r="Y98" i="57"/>
  <c r="Y108" i="57"/>
  <c r="Y107" i="57"/>
  <c r="Y106" i="57"/>
  <c r="Y93" i="57"/>
  <c r="Y92" i="57"/>
  <c r="Y91" i="57"/>
  <c r="Y90" i="57"/>
  <c r="Y89" i="57"/>
  <c r="Y88" i="57"/>
  <c r="Y87" i="57"/>
  <c r="Y79" i="57"/>
  <c r="Y78" i="57"/>
  <c r="Y77" i="57"/>
  <c r="Y76" i="57"/>
  <c r="Y75" i="57"/>
  <c r="Y73" i="57"/>
  <c r="Y72" i="57"/>
  <c r="Y71" i="57"/>
  <c r="Y70" i="57"/>
  <c r="Y69" i="57"/>
  <c r="Y68" i="57"/>
  <c r="Y67" i="57"/>
  <c r="Y66" i="57"/>
  <c r="Y65" i="57"/>
  <c r="Y64" i="57"/>
  <c r="Y62" i="57"/>
  <c r="Y55" i="57"/>
  <c r="Y54" i="57"/>
  <c r="Y53" i="57"/>
  <c r="Y52" i="57"/>
  <c r="Y51" i="57"/>
  <c r="Y50" i="57"/>
  <c r="Y48" i="57"/>
  <c r="Y47" i="57"/>
  <c r="Y46" i="57"/>
  <c r="Y45" i="57"/>
  <c r="Y44" i="57"/>
  <c r="Y43" i="57"/>
  <c r="Y42" i="57"/>
  <c r="Y41" i="57"/>
  <c r="Y40" i="57"/>
  <c r="Y39" i="57"/>
  <c r="Y38" i="57"/>
  <c r="Y37" i="57"/>
  <c r="Y32" i="57"/>
  <c r="Y31" i="57"/>
  <c r="Y30" i="57"/>
  <c r="Y25" i="57"/>
  <c r="Y24" i="57"/>
  <c r="Y23" i="57"/>
  <c r="Y22" i="57"/>
  <c r="Y21" i="57"/>
  <c r="Y20" i="57"/>
  <c r="Y19" i="57"/>
  <c r="Y18" i="57"/>
  <c r="Y17" i="57"/>
  <c r="Y16" i="57"/>
  <c r="Y15" i="57"/>
  <c r="Y14" i="57"/>
  <c r="Y13" i="57"/>
  <c r="Y12" i="57"/>
  <c r="Y11" i="57"/>
  <c r="Y10" i="57"/>
  <c r="Y9" i="57"/>
  <c r="Y8" i="57"/>
  <c r="Y7" i="57"/>
  <c r="X185" i="57"/>
  <c r="X184" i="57"/>
  <c r="X183" i="57"/>
  <c r="X182" i="57"/>
  <c r="X181" i="57"/>
  <c r="X175" i="57"/>
  <c r="X169" i="57"/>
  <c r="X164" i="57"/>
  <c r="X163" i="57"/>
  <c r="X162" i="57"/>
  <c r="X161" i="57"/>
  <c r="X156" i="57"/>
  <c r="X151" i="57"/>
  <c r="X150" i="57"/>
  <c r="X149" i="57"/>
  <c r="X148" i="57"/>
  <c r="X147" i="57"/>
  <c r="X145" i="57"/>
  <c r="X144" i="57"/>
  <c r="X143" i="57"/>
  <c r="X142" i="57"/>
  <c r="X141" i="57"/>
  <c r="X140" i="57"/>
  <c r="X139" i="57"/>
  <c r="X133" i="57"/>
  <c r="X132" i="57"/>
  <c r="X131" i="57"/>
  <c r="X130" i="57"/>
  <c r="X129" i="57"/>
  <c r="X128" i="57"/>
  <c r="X127" i="57"/>
  <c r="X126" i="57"/>
  <c r="X125" i="57"/>
  <c r="X124" i="57"/>
  <c r="X123" i="57"/>
  <c r="X122" i="57"/>
  <c r="X116" i="57"/>
  <c r="X98" i="57"/>
  <c r="X108" i="57"/>
  <c r="X107" i="57"/>
  <c r="X106" i="57"/>
  <c r="X93" i="57"/>
  <c r="X92" i="57"/>
  <c r="X91" i="57"/>
  <c r="X90" i="57"/>
  <c r="X89" i="57"/>
  <c r="X88" i="57"/>
  <c r="X87" i="57"/>
  <c r="X79" i="57"/>
  <c r="X78" i="57"/>
  <c r="X77" i="57"/>
  <c r="X76" i="57"/>
  <c r="X75" i="57"/>
  <c r="X73" i="57"/>
  <c r="X72" i="57"/>
  <c r="X71" i="57"/>
  <c r="X70" i="57"/>
  <c r="X69" i="57"/>
  <c r="X68" i="57"/>
  <c r="X67" i="57"/>
  <c r="X66" i="57"/>
  <c r="X65" i="57"/>
  <c r="X64" i="57"/>
  <c r="X62" i="57"/>
  <c r="X55" i="57"/>
  <c r="X54" i="57"/>
  <c r="X53" i="57"/>
  <c r="X52" i="57"/>
  <c r="X51" i="57"/>
  <c r="X50" i="57"/>
  <c r="X48" i="57"/>
  <c r="X47" i="57"/>
  <c r="X46" i="57"/>
  <c r="X45" i="57"/>
  <c r="X44" i="57"/>
  <c r="X43" i="57"/>
  <c r="X42" i="57"/>
  <c r="X41" i="57"/>
  <c r="X40" i="57"/>
  <c r="X39" i="57"/>
  <c r="X38" i="57"/>
  <c r="X37" i="57"/>
  <c r="X32" i="57"/>
  <c r="X31" i="57"/>
  <c r="X30" i="57"/>
  <c r="X25" i="57"/>
  <c r="X24" i="57"/>
  <c r="X23" i="57"/>
  <c r="X22" i="57"/>
  <c r="X21" i="57"/>
  <c r="X20" i="57"/>
  <c r="X19" i="57"/>
  <c r="X18" i="57"/>
  <c r="X17" i="57"/>
  <c r="X16" i="57"/>
  <c r="X15" i="57"/>
  <c r="X14" i="57"/>
  <c r="X13" i="57"/>
  <c r="X12" i="57"/>
  <c r="X11" i="57"/>
  <c r="X10" i="57"/>
  <c r="X9" i="57"/>
  <c r="X8" i="57"/>
  <c r="X7" i="57"/>
  <c r="W186" i="57"/>
  <c r="W185" i="57"/>
  <c r="W184" i="57"/>
  <c r="W183" i="57"/>
  <c r="W182" i="57"/>
  <c r="W181" i="57"/>
  <c r="W175" i="57"/>
  <c r="W169" i="57"/>
  <c r="W164" i="57"/>
  <c r="W163" i="57"/>
  <c r="W162" i="57"/>
  <c r="W161" i="57"/>
  <c r="W156" i="57"/>
  <c r="W151" i="57"/>
  <c r="W150" i="57"/>
  <c r="W149" i="57"/>
  <c r="W148" i="57"/>
  <c r="W147" i="57"/>
  <c r="W145" i="57"/>
  <c r="W144" i="57"/>
  <c r="W143" i="57"/>
  <c r="W142" i="57"/>
  <c r="W141" i="57"/>
  <c r="W139" i="57"/>
  <c r="W133" i="57"/>
  <c r="W132" i="57"/>
  <c r="W131" i="57"/>
  <c r="W130" i="57"/>
  <c r="W129" i="57"/>
  <c r="W128" i="57"/>
  <c r="W127" i="57"/>
  <c r="W126" i="57"/>
  <c r="W125" i="57"/>
  <c r="W124" i="57"/>
  <c r="W123" i="57"/>
  <c r="W122" i="57"/>
  <c r="W116" i="57"/>
  <c r="W98" i="57"/>
  <c r="W108" i="57"/>
  <c r="W107" i="57"/>
  <c r="W106" i="57"/>
  <c r="W93" i="57"/>
  <c r="W92" i="57"/>
  <c r="W91" i="57"/>
  <c r="W90" i="57"/>
  <c r="W89" i="57"/>
  <c r="W88" i="57"/>
  <c r="W87" i="57"/>
  <c r="W79" i="57"/>
  <c r="W78" i="57"/>
  <c r="W77" i="57"/>
  <c r="W76" i="57"/>
  <c r="W75" i="57"/>
  <c r="W73" i="57"/>
  <c r="W72" i="57"/>
  <c r="W71" i="57"/>
  <c r="W70" i="57"/>
  <c r="W69" i="57"/>
  <c r="W68" i="57"/>
  <c r="W67" i="57"/>
  <c r="W66" i="57"/>
  <c r="W65" i="57"/>
  <c r="W64" i="57"/>
  <c r="W62" i="57"/>
  <c r="W55" i="57"/>
  <c r="W54" i="57"/>
  <c r="W53" i="57"/>
  <c r="W52" i="57"/>
  <c r="W51" i="57"/>
  <c r="W50" i="57"/>
  <c r="W48" i="57"/>
  <c r="W47" i="57"/>
  <c r="W46" i="57"/>
  <c r="W45" i="57"/>
  <c r="W44" i="57"/>
  <c r="W43" i="57"/>
  <c r="W42" i="57"/>
  <c r="W41" i="57"/>
  <c r="W40" i="57"/>
  <c r="W39" i="57"/>
  <c r="W38" i="57"/>
  <c r="W37" i="57"/>
  <c r="W32" i="57"/>
  <c r="W31" i="57"/>
  <c r="W30" i="57"/>
  <c r="W25" i="57"/>
  <c r="W24" i="57"/>
  <c r="W23" i="57"/>
  <c r="W22" i="57"/>
  <c r="W21" i="57"/>
  <c r="W20" i="57"/>
  <c r="W19" i="57"/>
  <c r="W18" i="57"/>
  <c r="W17" i="57"/>
  <c r="W16" i="57"/>
  <c r="W15" i="57"/>
  <c r="W14" i="57"/>
  <c r="W13" i="57"/>
  <c r="W12" i="57"/>
  <c r="W11" i="57"/>
  <c r="W10" i="57"/>
  <c r="W9" i="57"/>
  <c r="W8" i="57"/>
  <c r="W7" i="57"/>
  <c r="V186" i="57"/>
  <c r="V185" i="57"/>
  <c r="V184" i="57"/>
  <c r="V183" i="57"/>
  <c r="V182" i="57"/>
  <c r="V181" i="57"/>
  <c r="V175" i="57"/>
  <c r="V169" i="57"/>
  <c r="V164" i="57"/>
  <c r="V163" i="57"/>
  <c r="V162" i="57"/>
  <c r="V161" i="57"/>
  <c r="V156" i="57"/>
  <c r="V151" i="57"/>
  <c r="V150" i="57"/>
  <c r="V149" i="57"/>
  <c r="V148" i="57"/>
  <c r="V147" i="57"/>
  <c r="V145" i="57"/>
  <c r="V144" i="57"/>
  <c r="V143" i="57"/>
  <c r="V142" i="57"/>
  <c r="V141" i="57"/>
  <c r="V140" i="57"/>
  <c r="V139" i="57"/>
  <c r="V133" i="57"/>
  <c r="V132" i="57"/>
  <c r="V131" i="57"/>
  <c r="V130" i="57"/>
  <c r="V129" i="57"/>
  <c r="V128" i="57"/>
  <c r="V127" i="57"/>
  <c r="V126" i="57"/>
  <c r="V125" i="57"/>
  <c r="V124" i="57"/>
  <c r="V123" i="57"/>
  <c r="V122" i="57"/>
  <c r="V116" i="57"/>
  <c r="V98" i="57"/>
  <c r="V108" i="57"/>
  <c r="V107" i="57"/>
  <c r="V106" i="57"/>
  <c r="V93" i="57"/>
  <c r="V92" i="57"/>
  <c r="V91" i="57"/>
  <c r="V90" i="57"/>
  <c r="V89" i="57"/>
  <c r="V88" i="57"/>
  <c r="V87" i="57"/>
  <c r="V79" i="57"/>
  <c r="V78" i="57"/>
  <c r="V77" i="57"/>
  <c r="V76" i="57"/>
  <c r="V75" i="57"/>
  <c r="V73" i="57"/>
  <c r="V72" i="57"/>
  <c r="V71" i="57"/>
  <c r="V70" i="57"/>
  <c r="V69" i="57"/>
  <c r="V68" i="57"/>
  <c r="V67" i="57"/>
  <c r="V66" i="57"/>
  <c r="V65" i="57"/>
  <c r="V64" i="57"/>
  <c r="V62" i="57"/>
  <c r="V55" i="57"/>
  <c r="V54" i="57"/>
  <c r="V53" i="57"/>
  <c r="V52" i="57"/>
  <c r="V51" i="57"/>
  <c r="V50" i="57"/>
  <c r="V48" i="57"/>
  <c r="V47" i="57"/>
  <c r="V46" i="57"/>
  <c r="V45" i="57"/>
  <c r="V44" i="57"/>
  <c r="V43" i="57"/>
  <c r="V42" i="57"/>
  <c r="V41" i="57"/>
  <c r="V40" i="57"/>
  <c r="V39" i="57"/>
  <c r="V38" i="57"/>
  <c r="V37" i="57"/>
  <c r="V32" i="57"/>
  <c r="V31" i="57"/>
  <c r="V30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U185" i="57"/>
  <c r="U184" i="57"/>
  <c r="U183" i="57"/>
  <c r="U182" i="57"/>
  <c r="U181" i="57"/>
  <c r="U175" i="57"/>
  <c r="U169" i="57"/>
  <c r="U164" i="57"/>
  <c r="U163" i="57"/>
  <c r="U162" i="57"/>
  <c r="U161" i="57"/>
  <c r="U156" i="57"/>
  <c r="U151" i="57"/>
  <c r="U150" i="57"/>
  <c r="U149" i="57"/>
  <c r="U148" i="57"/>
  <c r="U147" i="57"/>
  <c r="U146" i="57"/>
  <c r="U145" i="57"/>
  <c r="U144" i="57"/>
  <c r="U143" i="57"/>
  <c r="U142" i="57"/>
  <c r="U141" i="57"/>
  <c r="U140" i="57"/>
  <c r="U139" i="57"/>
  <c r="U133" i="57"/>
  <c r="U132" i="57"/>
  <c r="U131" i="57"/>
  <c r="U130" i="57"/>
  <c r="U129" i="57"/>
  <c r="U128" i="57"/>
  <c r="U127" i="57"/>
  <c r="U126" i="57"/>
  <c r="U125" i="57"/>
  <c r="U124" i="57"/>
  <c r="U123" i="57"/>
  <c r="U122" i="57"/>
  <c r="U116" i="57"/>
  <c r="U98" i="57"/>
  <c r="U108" i="57"/>
  <c r="U107" i="57"/>
  <c r="U106" i="57"/>
  <c r="U93" i="57"/>
  <c r="U92" i="57"/>
  <c r="U91" i="57"/>
  <c r="U90" i="57"/>
  <c r="U89" i="57"/>
  <c r="U88" i="57"/>
  <c r="U87" i="57"/>
  <c r="U79" i="57"/>
  <c r="U78" i="57"/>
  <c r="U77" i="57"/>
  <c r="U76" i="57"/>
  <c r="U75" i="57"/>
  <c r="U73" i="57"/>
  <c r="U72" i="57"/>
  <c r="U71" i="57"/>
  <c r="U70" i="57"/>
  <c r="U69" i="57"/>
  <c r="U68" i="57"/>
  <c r="U67" i="57"/>
  <c r="U66" i="57"/>
  <c r="U65" i="57"/>
  <c r="U64" i="57"/>
  <c r="U62" i="57"/>
  <c r="U55" i="57"/>
  <c r="U54" i="57"/>
  <c r="U53" i="57"/>
  <c r="U52" i="57"/>
  <c r="U51" i="57"/>
  <c r="U50" i="57"/>
  <c r="U48" i="57"/>
  <c r="U47" i="57"/>
  <c r="U46" i="57"/>
  <c r="U45" i="57"/>
  <c r="U44" i="57"/>
  <c r="U43" i="57"/>
  <c r="U42" i="57"/>
  <c r="U41" i="57"/>
  <c r="U40" i="57"/>
  <c r="U39" i="57"/>
  <c r="U38" i="57"/>
  <c r="U37" i="57"/>
  <c r="U32" i="57"/>
  <c r="U31" i="57"/>
  <c r="U30" i="57"/>
  <c r="U25" i="57"/>
  <c r="U24" i="57"/>
  <c r="U23" i="57"/>
  <c r="U22" i="57"/>
  <c r="U21" i="57"/>
  <c r="U20" i="57"/>
  <c r="U19" i="57"/>
  <c r="U18" i="57"/>
  <c r="U17" i="57"/>
  <c r="U16" i="57"/>
  <c r="U15" i="57"/>
  <c r="U14" i="57"/>
  <c r="U13" i="57"/>
  <c r="U12" i="57"/>
  <c r="U11" i="57"/>
  <c r="U10" i="57"/>
  <c r="U9" i="57"/>
  <c r="U8" i="57"/>
  <c r="U7" i="57"/>
  <c r="T185" i="57"/>
  <c r="T184" i="57"/>
  <c r="T183" i="57"/>
  <c r="T182" i="57"/>
  <c r="T181" i="57"/>
  <c r="T175" i="57"/>
  <c r="T169" i="57"/>
  <c r="T164" i="57"/>
  <c r="T163" i="57"/>
  <c r="T162" i="57"/>
  <c r="T161" i="57"/>
  <c r="T156" i="57"/>
  <c r="T151" i="57"/>
  <c r="T150" i="57"/>
  <c r="T149" i="57"/>
  <c r="T148" i="57"/>
  <c r="T147" i="57"/>
  <c r="T146" i="57"/>
  <c r="T145" i="57"/>
  <c r="T144" i="57"/>
  <c r="T143" i="57"/>
  <c r="T142" i="57"/>
  <c r="T139" i="57"/>
  <c r="T133" i="57"/>
  <c r="T132" i="57"/>
  <c r="T131" i="57"/>
  <c r="T130" i="57"/>
  <c r="T129" i="57"/>
  <c r="T128" i="57"/>
  <c r="T127" i="57"/>
  <c r="T126" i="57"/>
  <c r="T125" i="57"/>
  <c r="T124" i="57"/>
  <c r="T123" i="57"/>
  <c r="T122" i="57"/>
  <c r="T116" i="57"/>
  <c r="T98" i="57"/>
  <c r="T108" i="57"/>
  <c r="T107" i="57"/>
  <c r="T106" i="57"/>
  <c r="T93" i="57"/>
  <c r="T92" i="57"/>
  <c r="T91" i="57"/>
  <c r="T90" i="57"/>
  <c r="T89" i="57"/>
  <c r="T88" i="57"/>
  <c r="T87" i="57"/>
  <c r="T79" i="57"/>
  <c r="T78" i="57"/>
  <c r="T77" i="57"/>
  <c r="T76" i="57"/>
  <c r="T62" i="57"/>
  <c r="T55" i="57"/>
  <c r="T54" i="57"/>
  <c r="T53" i="57"/>
  <c r="T52" i="57"/>
  <c r="T51" i="57"/>
  <c r="T50" i="57"/>
  <c r="T48" i="57"/>
  <c r="T47" i="57"/>
  <c r="T46" i="57"/>
  <c r="T45" i="57"/>
  <c r="T44" i="57"/>
  <c r="T43" i="57"/>
  <c r="T42" i="57"/>
  <c r="T41" i="57"/>
  <c r="T40" i="57"/>
  <c r="T39" i="57"/>
  <c r="T38" i="57"/>
  <c r="T37" i="57"/>
  <c r="T32" i="57"/>
  <c r="T31" i="57"/>
  <c r="T30" i="57"/>
  <c r="T25" i="57"/>
  <c r="T24" i="57"/>
  <c r="T23" i="57"/>
  <c r="T22" i="57"/>
  <c r="T21" i="57"/>
  <c r="T20" i="57"/>
  <c r="T19" i="57"/>
  <c r="T18" i="57"/>
  <c r="T17" i="57"/>
  <c r="T16" i="57"/>
  <c r="T15" i="57"/>
  <c r="T14" i="57"/>
  <c r="T13" i="57"/>
  <c r="T12" i="57"/>
  <c r="T11" i="57"/>
  <c r="T10" i="57"/>
  <c r="T9" i="57"/>
  <c r="T8" i="57"/>
  <c r="T7" i="57"/>
  <c r="S186" i="57"/>
  <c r="S185" i="57"/>
  <c r="S184" i="57"/>
  <c r="S183" i="57"/>
  <c r="S182" i="57"/>
  <c r="S181" i="57"/>
  <c r="S175" i="57"/>
  <c r="S169" i="57"/>
  <c r="S164" i="57"/>
  <c r="S163" i="57"/>
  <c r="S162" i="57"/>
  <c r="S161" i="57"/>
  <c r="S156" i="57"/>
  <c r="S151" i="57"/>
  <c r="S150" i="57"/>
  <c r="S149" i="57"/>
  <c r="S148" i="57"/>
  <c r="S147" i="57"/>
  <c r="S146" i="57"/>
  <c r="S145" i="57"/>
  <c r="S144" i="57"/>
  <c r="S143" i="57"/>
  <c r="S142" i="57"/>
  <c r="S141" i="57"/>
  <c r="S140" i="57"/>
  <c r="S139" i="57"/>
  <c r="S133" i="57"/>
  <c r="S132" i="57"/>
  <c r="S131" i="57"/>
  <c r="S130" i="57"/>
  <c r="S129" i="57"/>
  <c r="S128" i="57"/>
  <c r="S127" i="57"/>
  <c r="S126" i="57"/>
  <c r="S125" i="57"/>
  <c r="S124" i="57"/>
  <c r="S123" i="57"/>
  <c r="S122" i="57"/>
  <c r="S116" i="57"/>
  <c r="S98" i="57"/>
  <c r="S108" i="57"/>
  <c r="S107" i="57"/>
  <c r="S106" i="57"/>
  <c r="S93" i="57"/>
  <c r="S92" i="57"/>
  <c r="S91" i="57"/>
  <c r="S90" i="57"/>
  <c r="S89" i="57"/>
  <c r="S88" i="57"/>
  <c r="S87" i="57"/>
  <c r="S79" i="57"/>
  <c r="S78" i="57"/>
  <c r="S77" i="57"/>
  <c r="S76" i="57"/>
  <c r="S75" i="57"/>
  <c r="S73" i="57"/>
  <c r="S72" i="57"/>
  <c r="S71" i="57"/>
  <c r="S70" i="57"/>
  <c r="S69" i="57"/>
  <c r="S68" i="57"/>
  <c r="S67" i="57"/>
  <c r="S66" i="57"/>
  <c r="S65" i="57"/>
  <c r="S64" i="57"/>
  <c r="S62" i="57"/>
  <c r="S55" i="57"/>
  <c r="S54" i="57"/>
  <c r="S53" i="57"/>
  <c r="S52" i="57"/>
  <c r="S51" i="57"/>
  <c r="S50" i="57"/>
  <c r="S48" i="57"/>
  <c r="S47" i="57"/>
  <c r="S46" i="57"/>
  <c r="S45" i="57"/>
  <c r="S44" i="57"/>
  <c r="S43" i="57"/>
  <c r="S42" i="57"/>
  <c r="S41" i="57"/>
  <c r="S40" i="57"/>
  <c r="S39" i="57"/>
  <c r="S38" i="57"/>
  <c r="S37" i="57"/>
  <c r="S32" i="57"/>
  <c r="S31" i="57"/>
  <c r="S30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R186" i="57"/>
  <c r="R185" i="57"/>
  <c r="R184" i="57"/>
  <c r="R183" i="57"/>
  <c r="R182" i="57"/>
  <c r="R181" i="57"/>
  <c r="R175" i="57"/>
  <c r="R169" i="57"/>
  <c r="R164" i="57"/>
  <c r="R163" i="57"/>
  <c r="R162" i="57"/>
  <c r="R161" i="57"/>
  <c r="R156" i="57"/>
  <c r="R151" i="57"/>
  <c r="R150" i="57"/>
  <c r="R149" i="57"/>
  <c r="R148" i="57"/>
  <c r="R147" i="57"/>
  <c r="R146" i="57"/>
  <c r="R145" i="57"/>
  <c r="R144" i="57"/>
  <c r="R143" i="57"/>
  <c r="R142" i="57"/>
  <c r="R139" i="57"/>
  <c r="R133" i="57"/>
  <c r="R132" i="57"/>
  <c r="R131" i="57"/>
  <c r="R130" i="57"/>
  <c r="R129" i="57"/>
  <c r="R128" i="57"/>
  <c r="R127" i="57"/>
  <c r="R126" i="57"/>
  <c r="R125" i="57"/>
  <c r="R124" i="57"/>
  <c r="R123" i="57"/>
  <c r="R122" i="57"/>
  <c r="R116" i="57"/>
  <c r="R98" i="57"/>
  <c r="R89" i="57"/>
  <c r="R88" i="57"/>
  <c r="R87" i="57"/>
  <c r="R79" i="57"/>
  <c r="R78" i="57"/>
  <c r="R69" i="57"/>
  <c r="R68" i="57"/>
  <c r="R67" i="57"/>
  <c r="R62" i="57"/>
  <c r="R55" i="57"/>
  <c r="R54" i="57"/>
  <c r="R53" i="57"/>
  <c r="R52" i="57"/>
  <c r="R51" i="57"/>
  <c r="R50" i="57"/>
  <c r="R48" i="57"/>
  <c r="R47" i="57"/>
  <c r="R46" i="57"/>
  <c r="R45" i="57"/>
  <c r="R44" i="57"/>
  <c r="R43" i="57"/>
  <c r="R42" i="57"/>
  <c r="R41" i="57"/>
  <c r="R40" i="57"/>
  <c r="R39" i="57"/>
  <c r="R38" i="57"/>
  <c r="R37" i="57"/>
  <c r="R32" i="57"/>
  <c r="R31" i="57"/>
  <c r="R30" i="57"/>
  <c r="R25" i="57"/>
  <c r="R24" i="57"/>
  <c r="R23" i="57"/>
  <c r="R22" i="57"/>
  <c r="R21" i="57"/>
  <c r="R20" i="57"/>
  <c r="R19" i="57"/>
  <c r="R18" i="57"/>
  <c r="R17" i="57"/>
  <c r="R16" i="57"/>
  <c r="R15" i="57"/>
  <c r="R14" i="57"/>
  <c r="R13" i="57"/>
  <c r="R12" i="57"/>
  <c r="R11" i="57"/>
  <c r="R10" i="57"/>
  <c r="R9" i="57"/>
  <c r="R8" i="57"/>
  <c r="R7" i="57"/>
  <c r="AB188" i="57"/>
  <c r="AB177" i="57"/>
  <c r="AB172" i="57"/>
  <c r="AB166" i="57"/>
  <c r="AB158" i="57"/>
  <c r="AB153" i="57"/>
  <c r="AB135" i="57"/>
  <c r="AB119" i="57"/>
  <c r="AB81" i="57"/>
  <c r="AB58" i="57"/>
  <c r="AB35" i="57"/>
  <c r="AB27" i="57"/>
  <c r="Q175" i="57"/>
  <c r="Q169" i="57"/>
  <c r="Q164" i="57"/>
  <c r="Q163" i="57"/>
  <c r="Q162" i="57"/>
  <c r="Q161" i="57"/>
  <c r="Q156" i="57"/>
  <c r="Q151" i="57"/>
  <c r="Q150" i="57"/>
  <c r="Q149" i="57"/>
  <c r="Q148" i="57"/>
  <c r="Q147" i="57"/>
  <c r="Q146" i="57"/>
  <c r="Q145" i="57"/>
  <c r="Q144" i="57"/>
  <c r="Q143" i="57"/>
  <c r="Q142" i="57"/>
  <c r="Q139" i="57"/>
  <c r="Q133" i="57"/>
  <c r="Q132" i="57"/>
  <c r="Q131" i="57"/>
  <c r="Q130" i="57"/>
  <c r="Q129" i="57"/>
  <c r="Q128" i="57"/>
  <c r="Q127" i="57"/>
  <c r="Q126" i="57"/>
  <c r="Q125" i="57"/>
  <c r="Q124" i="57"/>
  <c r="Q123" i="57"/>
  <c r="Q122" i="57"/>
  <c r="Q117" i="57"/>
  <c r="Q116" i="57"/>
  <c r="Q102" i="57"/>
  <c r="Q101" i="57"/>
  <c r="Q100" i="57"/>
  <c r="Q98" i="57"/>
  <c r="Q97" i="57"/>
  <c r="Q89" i="57"/>
  <c r="Q88" i="57"/>
  <c r="Q87" i="57"/>
  <c r="Q79" i="57"/>
  <c r="Q78" i="57"/>
  <c r="Q69" i="57"/>
  <c r="Q68" i="57"/>
  <c r="Q67" i="57"/>
  <c r="Q62" i="57"/>
  <c r="S46" i="12"/>
  <c r="S45" i="12"/>
  <c r="S43" i="12"/>
  <c r="S42" i="12"/>
  <c r="S38" i="12"/>
  <c r="S31" i="12"/>
  <c r="S30" i="12"/>
  <c r="S23" i="12"/>
  <c r="S10" i="12"/>
  <c r="S4" i="12"/>
  <c r="O267" i="55"/>
  <c r="F251" i="62"/>
  <c r="E251" i="62"/>
  <c r="D251" i="62"/>
  <c r="C251" i="62"/>
  <c r="AA146" i="57"/>
  <c r="AA170" i="57"/>
  <c r="AA117" i="57"/>
  <c r="AA102" i="57"/>
  <c r="AA101" i="57"/>
  <c r="AA99" i="57"/>
  <c r="J249" i="62"/>
  <c r="I249" i="62"/>
  <c r="H249" i="62"/>
  <c r="J248" i="62"/>
  <c r="I248" i="62"/>
  <c r="H248" i="62"/>
  <c r="J247" i="62"/>
  <c r="I247" i="62"/>
  <c r="H247" i="62"/>
  <c r="J246" i="62"/>
  <c r="I246" i="62"/>
  <c r="H246" i="62"/>
  <c r="J245" i="62"/>
  <c r="I245" i="62"/>
  <c r="H245" i="62"/>
  <c r="J244" i="62"/>
  <c r="I244" i="62"/>
  <c r="H244" i="62"/>
  <c r="J243" i="62"/>
  <c r="I243" i="62"/>
  <c r="H243" i="62"/>
  <c r="J242" i="62"/>
  <c r="I242" i="62"/>
  <c r="H242" i="62"/>
  <c r="J241" i="62"/>
  <c r="I241" i="62"/>
  <c r="H241" i="62"/>
  <c r="J240" i="62"/>
  <c r="I240" i="62"/>
  <c r="H240" i="62"/>
  <c r="J239" i="62"/>
  <c r="I239" i="62"/>
  <c r="H239" i="62"/>
  <c r="J238" i="62"/>
  <c r="I238" i="62"/>
  <c r="H238" i="62"/>
  <c r="J237" i="62"/>
  <c r="I237" i="62"/>
  <c r="H237" i="62"/>
  <c r="J236" i="62"/>
  <c r="I236" i="62"/>
  <c r="H236" i="62"/>
  <c r="J235" i="62"/>
  <c r="I235" i="62"/>
  <c r="H235" i="62"/>
  <c r="J234" i="62"/>
  <c r="I234" i="62"/>
  <c r="H234" i="62"/>
  <c r="J233" i="62"/>
  <c r="I233" i="62"/>
  <c r="H233" i="62"/>
  <c r="J232" i="62"/>
  <c r="I232" i="62"/>
  <c r="H232" i="62"/>
  <c r="J231" i="62"/>
  <c r="I231" i="62"/>
  <c r="H231" i="62"/>
  <c r="J230" i="62"/>
  <c r="I230" i="62"/>
  <c r="H230" i="62"/>
  <c r="J229" i="62"/>
  <c r="I229" i="62"/>
  <c r="H229" i="62"/>
  <c r="J228" i="62"/>
  <c r="I228" i="62"/>
  <c r="H228" i="62"/>
  <c r="J227" i="62"/>
  <c r="I227" i="62"/>
  <c r="H227" i="62"/>
  <c r="J226" i="62"/>
  <c r="I226" i="62"/>
  <c r="H226" i="62"/>
  <c r="J225" i="62"/>
  <c r="I225" i="62"/>
  <c r="H225" i="62"/>
  <c r="J224" i="62"/>
  <c r="I224" i="62"/>
  <c r="H224" i="62"/>
  <c r="J223" i="62"/>
  <c r="I223" i="62"/>
  <c r="H223" i="62"/>
  <c r="J222" i="62"/>
  <c r="I222" i="62"/>
  <c r="H222" i="62"/>
  <c r="J221" i="62"/>
  <c r="I221" i="62"/>
  <c r="H221" i="62"/>
  <c r="J220" i="62"/>
  <c r="I220" i="62"/>
  <c r="H220" i="62"/>
  <c r="J219" i="62"/>
  <c r="I219" i="62"/>
  <c r="H219" i="62"/>
  <c r="J218" i="62"/>
  <c r="I218" i="62"/>
  <c r="H218" i="62"/>
  <c r="J217" i="62"/>
  <c r="I217" i="62"/>
  <c r="H217" i="62"/>
  <c r="J216" i="62"/>
  <c r="I216" i="62"/>
  <c r="H216" i="62"/>
  <c r="J215" i="62"/>
  <c r="I215" i="62"/>
  <c r="H215" i="62"/>
  <c r="J214" i="62"/>
  <c r="I214" i="62"/>
  <c r="H214" i="62"/>
  <c r="J213" i="62"/>
  <c r="I213" i="62"/>
  <c r="H213" i="62"/>
  <c r="J212" i="62"/>
  <c r="I212" i="62"/>
  <c r="H212" i="62"/>
  <c r="J211" i="62"/>
  <c r="I211" i="62"/>
  <c r="H211" i="62"/>
  <c r="J210" i="62"/>
  <c r="I210" i="62"/>
  <c r="H210" i="62"/>
  <c r="J209" i="62"/>
  <c r="I209" i="62"/>
  <c r="H209" i="62"/>
  <c r="J208" i="62"/>
  <c r="I208" i="62"/>
  <c r="H208" i="62"/>
  <c r="J207" i="62"/>
  <c r="I207" i="62"/>
  <c r="H207" i="62"/>
  <c r="J206" i="62"/>
  <c r="I206" i="62"/>
  <c r="H206" i="62"/>
  <c r="J205" i="62"/>
  <c r="I205" i="62"/>
  <c r="H205" i="62"/>
  <c r="J204" i="62"/>
  <c r="I204" i="62"/>
  <c r="H204" i="62"/>
  <c r="J203" i="62"/>
  <c r="I203" i="62"/>
  <c r="H203" i="62"/>
  <c r="J202" i="62"/>
  <c r="I202" i="62"/>
  <c r="H202" i="62"/>
  <c r="J201" i="62"/>
  <c r="I201" i="62"/>
  <c r="H201" i="62"/>
  <c r="J200" i="62"/>
  <c r="I200" i="62"/>
  <c r="H200" i="62"/>
  <c r="J199" i="62"/>
  <c r="I199" i="62"/>
  <c r="H199" i="62"/>
  <c r="J198" i="62"/>
  <c r="I198" i="62"/>
  <c r="H198" i="62"/>
  <c r="J197" i="62"/>
  <c r="I197" i="62"/>
  <c r="H197" i="62"/>
  <c r="J196" i="62"/>
  <c r="I196" i="62"/>
  <c r="H196" i="62"/>
  <c r="J195" i="62"/>
  <c r="I195" i="62"/>
  <c r="H195" i="62"/>
  <c r="J194" i="62"/>
  <c r="I194" i="62"/>
  <c r="H194" i="62"/>
  <c r="J193" i="62"/>
  <c r="I193" i="62"/>
  <c r="H193" i="62"/>
  <c r="J192" i="62"/>
  <c r="I192" i="62"/>
  <c r="H192" i="62"/>
  <c r="J191" i="62"/>
  <c r="I191" i="62"/>
  <c r="H191" i="62"/>
  <c r="J190" i="62"/>
  <c r="I190" i="62"/>
  <c r="H190" i="62"/>
  <c r="J189" i="62"/>
  <c r="I189" i="62"/>
  <c r="H189" i="62"/>
  <c r="J188" i="62"/>
  <c r="I188" i="62"/>
  <c r="H188" i="62"/>
  <c r="J187" i="62"/>
  <c r="I187" i="62"/>
  <c r="H187" i="62"/>
  <c r="J186" i="62"/>
  <c r="I186" i="62"/>
  <c r="H186" i="62"/>
  <c r="J185" i="62"/>
  <c r="I185" i="62"/>
  <c r="H185" i="62"/>
  <c r="J184" i="62"/>
  <c r="I184" i="62"/>
  <c r="H184" i="62"/>
  <c r="J183" i="62"/>
  <c r="I183" i="62"/>
  <c r="H183" i="62"/>
  <c r="J182" i="62"/>
  <c r="I182" i="62"/>
  <c r="H182" i="62"/>
  <c r="J181" i="62"/>
  <c r="I181" i="62"/>
  <c r="H181" i="62"/>
  <c r="J180" i="62"/>
  <c r="I180" i="62"/>
  <c r="H180" i="62"/>
  <c r="J179" i="62"/>
  <c r="I179" i="62"/>
  <c r="H179" i="62"/>
  <c r="J178" i="62"/>
  <c r="I178" i="62"/>
  <c r="H178" i="62"/>
  <c r="J177" i="62"/>
  <c r="I177" i="62"/>
  <c r="H177" i="62"/>
  <c r="J176" i="62"/>
  <c r="I176" i="62"/>
  <c r="H176" i="62"/>
  <c r="J175" i="62"/>
  <c r="I175" i="62"/>
  <c r="H175" i="62"/>
  <c r="J174" i="62"/>
  <c r="I174" i="62"/>
  <c r="H174" i="62"/>
  <c r="J173" i="62"/>
  <c r="I173" i="62"/>
  <c r="H173" i="62"/>
  <c r="J172" i="62"/>
  <c r="I172" i="62"/>
  <c r="H172" i="62"/>
  <c r="J171" i="62"/>
  <c r="I171" i="62"/>
  <c r="H171" i="62"/>
  <c r="J170" i="62"/>
  <c r="I170" i="62"/>
  <c r="H170" i="62"/>
  <c r="J169" i="62"/>
  <c r="I169" i="62"/>
  <c r="H169" i="62"/>
  <c r="J168" i="62"/>
  <c r="I168" i="62"/>
  <c r="H168" i="62"/>
  <c r="J167" i="62"/>
  <c r="I167" i="62"/>
  <c r="H167" i="62"/>
  <c r="J166" i="62"/>
  <c r="I166" i="62"/>
  <c r="H166" i="62"/>
  <c r="J165" i="62"/>
  <c r="I165" i="62"/>
  <c r="H165" i="62"/>
  <c r="J164" i="62"/>
  <c r="I164" i="62"/>
  <c r="H164" i="62"/>
  <c r="J163" i="62"/>
  <c r="I163" i="62"/>
  <c r="H163" i="62"/>
  <c r="J162" i="62"/>
  <c r="I162" i="62"/>
  <c r="H162" i="62"/>
  <c r="J161" i="62"/>
  <c r="I161" i="62"/>
  <c r="H161" i="62"/>
  <c r="J160" i="62"/>
  <c r="I160" i="62"/>
  <c r="H160" i="62"/>
  <c r="J159" i="62"/>
  <c r="I159" i="62"/>
  <c r="H159" i="62"/>
  <c r="J158" i="62"/>
  <c r="I158" i="62"/>
  <c r="H158" i="62"/>
  <c r="J157" i="62"/>
  <c r="I157" i="62"/>
  <c r="H157" i="62"/>
  <c r="J156" i="62"/>
  <c r="I156" i="62"/>
  <c r="H156" i="62"/>
  <c r="J155" i="62"/>
  <c r="I155" i="62"/>
  <c r="H155" i="62"/>
  <c r="J154" i="62"/>
  <c r="I154" i="62"/>
  <c r="H154" i="62"/>
  <c r="J153" i="62"/>
  <c r="I153" i="62"/>
  <c r="H153" i="62"/>
  <c r="J152" i="62"/>
  <c r="I152" i="62"/>
  <c r="H152" i="62"/>
  <c r="J151" i="62"/>
  <c r="I151" i="62"/>
  <c r="H151" i="62"/>
  <c r="J150" i="62"/>
  <c r="I150" i="62"/>
  <c r="H150" i="62"/>
  <c r="J149" i="62"/>
  <c r="I149" i="62"/>
  <c r="H149" i="62"/>
  <c r="J148" i="62"/>
  <c r="I148" i="62"/>
  <c r="H148" i="62"/>
  <c r="J147" i="62"/>
  <c r="I147" i="62"/>
  <c r="H147" i="62"/>
  <c r="J146" i="62"/>
  <c r="I146" i="62"/>
  <c r="H146" i="62"/>
  <c r="J145" i="62"/>
  <c r="I145" i="62"/>
  <c r="H145" i="62"/>
  <c r="J144" i="62"/>
  <c r="I144" i="62"/>
  <c r="H144" i="62"/>
  <c r="J143" i="62"/>
  <c r="I143" i="62"/>
  <c r="H143" i="62"/>
  <c r="J142" i="62"/>
  <c r="I142" i="62"/>
  <c r="H142" i="62"/>
  <c r="J141" i="62"/>
  <c r="I141" i="62"/>
  <c r="H141" i="62"/>
  <c r="J140" i="62"/>
  <c r="I140" i="62"/>
  <c r="H140" i="62"/>
  <c r="J139" i="62"/>
  <c r="I139" i="62"/>
  <c r="H139" i="62"/>
  <c r="J138" i="62"/>
  <c r="I138" i="62"/>
  <c r="H138" i="62"/>
  <c r="J137" i="62"/>
  <c r="I137" i="62"/>
  <c r="H137" i="62"/>
  <c r="J136" i="62"/>
  <c r="I136" i="62"/>
  <c r="H136" i="62"/>
  <c r="J135" i="62"/>
  <c r="I135" i="62"/>
  <c r="H135" i="62"/>
  <c r="J134" i="62"/>
  <c r="I134" i="62"/>
  <c r="H134" i="62"/>
  <c r="J133" i="62"/>
  <c r="I133" i="62"/>
  <c r="H133" i="62"/>
  <c r="J132" i="62"/>
  <c r="I132" i="62"/>
  <c r="H132" i="62"/>
  <c r="J131" i="62"/>
  <c r="I131" i="62"/>
  <c r="H131" i="62"/>
  <c r="J130" i="62"/>
  <c r="I130" i="62"/>
  <c r="H130" i="62"/>
  <c r="J129" i="62"/>
  <c r="I129" i="62"/>
  <c r="H129" i="62"/>
  <c r="J128" i="62"/>
  <c r="I128" i="62"/>
  <c r="H128" i="62"/>
  <c r="J127" i="62"/>
  <c r="I127" i="62"/>
  <c r="H127" i="62"/>
  <c r="J126" i="62"/>
  <c r="I126" i="62"/>
  <c r="H126" i="62"/>
  <c r="J125" i="62"/>
  <c r="I125" i="62"/>
  <c r="H125" i="62"/>
  <c r="J124" i="62"/>
  <c r="I124" i="62"/>
  <c r="H124" i="62"/>
  <c r="J123" i="62"/>
  <c r="I123" i="62"/>
  <c r="H123" i="62"/>
  <c r="J122" i="62"/>
  <c r="I122" i="62"/>
  <c r="H122" i="62"/>
  <c r="J121" i="62"/>
  <c r="I121" i="62"/>
  <c r="H121" i="62"/>
  <c r="J120" i="62"/>
  <c r="I120" i="62"/>
  <c r="H120" i="62"/>
  <c r="J119" i="62"/>
  <c r="I119" i="62"/>
  <c r="H119" i="62"/>
  <c r="J118" i="62"/>
  <c r="I118" i="62"/>
  <c r="H118" i="62"/>
  <c r="J117" i="62"/>
  <c r="I117" i="62"/>
  <c r="H117" i="62"/>
  <c r="J116" i="62"/>
  <c r="I116" i="62"/>
  <c r="H116" i="62"/>
  <c r="J115" i="62"/>
  <c r="I115" i="62"/>
  <c r="H115" i="62"/>
  <c r="J114" i="62"/>
  <c r="I114" i="62"/>
  <c r="H114" i="62"/>
  <c r="J113" i="62"/>
  <c r="I113" i="62"/>
  <c r="H113" i="62"/>
  <c r="J112" i="62"/>
  <c r="I112" i="62"/>
  <c r="H112" i="62"/>
  <c r="J111" i="62"/>
  <c r="I111" i="62"/>
  <c r="H111" i="62"/>
  <c r="J110" i="62"/>
  <c r="I110" i="62"/>
  <c r="H110" i="62"/>
  <c r="J109" i="62"/>
  <c r="I109" i="62"/>
  <c r="H109" i="62"/>
  <c r="J108" i="62"/>
  <c r="I108" i="62"/>
  <c r="H108" i="62"/>
  <c r="J107" i="62"/>
  <c r="I107" i="62"/>
  <c r="H107" i="62"/>
  <c r="J106" i="62"/>
  <c r="I106" i="62"/>
  <c r="H106" i="62"/>
  <c r="J105" i="62"/>
  <c r="I105" i="62"/>
  <c r="H105" i="62"/>
  <c r="J104" i="62"/>
  <c r="I104" i="62"/>
  <c r="H104" i="62"/>
  <c r="J103" i="62"/>
  <c r="I103" i="62"/>
  <c r="H103" i="62"/>
  <c r="J102" i="62"/>
  <c r="I102" i="62"/>
  <c r="H102" i="62"/>
  <c r="J101" i="62"/>
  <c r="I101" i="62"/>
  <c r="H101" i="62"/>
  <c r="J100" i="62"/>
  <c r="I100" i="62"/>
  <c r="H100" i="62"/>
  <c r="J99" i="62"/>
  <c r="I99" i="62"/>
  <c r="H99" i="62"/>
  <c r="J98" i="62"/>
  <c r="I98" i="62"/>
  <c r="H98" i="62"/>
  <c r="J97" i="62"/>
  <c r="I97" i="62"/>
  <c r="H97" i="62"/>
  <c r="J96" i="62"/>
  <c r="I96" i="62"/>
  <c r="H96" i="62"/>
  <c r="J95" i="62"/>
  <c r="I95" i="62"/>
  <c r="H95" i="62"/>
  <c r="J94" i="62"/>
  <c r="I94" i="62"/>
  <c r="H94" i="62"/>
  <c r="J93" i="62"/>
  <c r="I93" i="62"/>
  <c r="H93" i="62"/>
  <c r="J92" i="62"/>
  <c r="I92" i="62"/>
  <c r="H92" i="62"/>
  <c r="J91" i="62"/>
  <c r="I91" i="62"/>
  <c r="H91" i="62"/>
  <c r="J90" i="62"/>
  <c r="I90" i="62"/>
  <c r="H90" i="62"/>
  <c r="J89" i="62"/>
  <c r="I89" i="62"/>
  <c r="H89" i="62"/>
  <c r="J88" i="62"/>
  <c r="I88" i="62"/>
  <c r="H88" i="62"/>
  <c r="J87" i="62"/>
  <c r="I87" i="62"/>
  <c r="H87" i="62"/>
  <c r="J86" i="62"/>
  <c r="I86" i="62"/>
  <c r="H86" i="62"/>
  <c r="J85" i="62"/>
  <c r="I85" i="62"/>
  <c r="H85" i="62"/>
  <c r="J84" i="62"/>
  <c r="I84" i="62"/>
  <c r="H84" i="62"/>
  <c r="J83" i="62"/>
  <c r="I83" i="62"/>
  <c r="H83" i="62"/>
  <c r="J82" i="62"/>
  <c r="I82" i="62"/>
  <c r="H82" i="62"/>
  <c r="J81" i="62"/>
  <c r="I81" i="62"/>
  <c r="H81" i="62"/>
  <c r="J80" i="62"/>
  <c r="I80" i="62"/>
  <c r="H80" i="62"/>
  <c r="J79" i="62"/>
  <c r="I79" i="62"/>
  <c r="H79" i="62"/>
  <c r="J78" i="62"/>
  <c r="I78" i="62"/>
  <c r="H78" i="62"/>
  <c r="J77" i="62"/>
  <c r="I77" i="62"/>
  <c r="H77" i="62"/>
  <c r="J76" i="62"/>
  <c r="I76" i="62"/>
  <c r="H76" i="62"/>
  <c r="J75" i="62"/>
  <c r="I75" i="62"/>
  <c r="H75" i="62"/>
  <c r="J74" i="62"/>
  <c r="I74" i="62"/>
  <c r="H74" i="62"/>
  <c r="J73" i="62"/>
  <c r="I73" i="62"/>
  <c r="H73" i="62"/>
  <c r="J72" i="62"/>
  <c r="I72" i="62"/>
  <c r="H72" i="62"/>
  <c r="J71" i="62"/>
  <c r="I71" i="62"/>
  <c r="H71" i="62"/>
  <c r="J70" i="62"/>
  <c r="I70" i="62"/>
  <c r="H70" i="62"/>
  <c r="J69" i="62"/>
  <c r="I69" i="62"/>
  <c r="H69" i="62"/>
  <c r="J68" i="62"/>
  <c r="I68" i="62"/>
  <c r="H68" i="62"/>
  <c r="J67" i="62"/>
  <c r="I67" i="62"/>
  <c r="H67" i="62"/>
  <c r="J66" i="62"/>
  <c r="I66" i="62"/>
  <c r="H66" i="62"/>
  <c r="J65" i="62"/>
  <c r="I65" i="62"/>
  <c r="H65" i="62"/>
  <c r="J64" i="62"/>
  <c r="I64" i="62"/>
  <c r="H64" i="62"/>
  <c r="J63" i="62"/>
  <c r="I63" i="62"/>
  <c r="H63" i="62"/>
  <c r="J62" i="62"/>
  <c r="I62" i="62"/>
  <c r="H62" i="62"/>
  <c r="J61" i="62"/>
  <c r="I61" i="62"/>
  <c r="H61" i="62"/>
  <c r="J60" i="62"/>
  <c r="I60" i="62"/>
  <c r="H60" i="62"/>
  <c r="J59" i="62"/>
  <c r="I59" i="62"/>
  <c r="H59" i="62"/>
  <c r="J58" i="62"/>
  <c r="I58" i="62"/>
  <c r="H58" i="62"/>
  <c r="J57" i="62"/>
  <c r="I57" i="62"/>
  <c r="H57" i="62"/>
  <c r="J56" i="62"/>
  <c r="I56" i="62"/>
  <c r="H56" i="62"/>
  <c r="J55" i="62"/>
  <c r="I55" i="62"/>
  <c r="H55" i="62"/>
  <c r="J54" i="62"/>
  <c r="I54" i="62"/>
  <c r="H54" i="62"/>
  <c r="J53" i="62"/>
  <c r="I53" i="62"/>
  <c r="H53" i="62"/>
  <c r="J52" i="62"/>
  <c r="I52" i="62"/>
  <c r="H52" i="62"/>
  <c r="J51" i="62"/>
  <c r="I51" i="62"/>
  <c r="H51" i="62"/>
  <c r="J50" i="62"/>
  <c r="I50" i="62"/>
  <c r="H50" i="62"/>
  <c r="J49" i="62"/>
  <c r="I49" i="62"/>
  <c r="H49" i="62"/>
  <c r="J48" i="62"/>
  <c r="I48" i="62"/>
  <c r="H48" i="62"/>
  <c r="J47" i="62"/>
  <c r="I47" i="62"/>
  <c r="H47" i="62"/>
  <c r="J46" i="62"/>
  <c r="I46" i="62"/>
  <c r="H46" i="62"/>
  <c r="J45" i="62"/>
  <c r="I45" i="62"/>
  <c r="H45" i="62"/>
  <c r="J44" i="62"/>
  <c r="I44" i="62"/>
  <c r="H44" i="62"/>
  <c r="J43" i="62"/>
  <c r="I43" i="62"/>
  <c r="H43" i="62"/>
  <c r="J42" i="62"/>
  <c r="I42" i="62"/>
  <c r="H42" i="62"/>
  <c r="J41" i="62"/>
  <c r="I41" i="62"/>
  <c r="H41" i="62"/>
  <c r="J40" i="62"/>
  <c r="I40" i="62"/>
  <c r="H40" i="62"/>
  <c r="J39" i="62"/>
  <c r="I39" i="62"/>
  <c r="H39" i="62"/>
  <c r="J38" i="62"/>
  <c r="I38" i="62"/>
  <c r="H38" i="62"/>
  <c r="J37" i="62"/>
  <c r="I37" i="62"/>
  <c r="H37" i="62"/>
  <c r="J36" i="62"/>
  <c r="I36" i="62"/>
  <c r="H36" i="62"/>
  <c r="J35" i="62"/>
  <c r="I35" i="62"/>
  <c r="H35" i="62"/>
  <c r="J34" i="62"/>
  <c r="I34" i="62"/>
  <c r="H34" i="62"/>
  <c r="J33" i="62"/>
  <c r="I33" i="62"/>
  <c r="H33" i="62"/>
  <c r="J32" i="62"/>
  <c r="I32" i="62"/>
  <c r="H32" i="62"/>
  <c r="J31" i="62"/>
  <c r="I31" i="62"/>
  <c r="H31" i="62"/>
  <c r="J30" i="62"/>
  <c r="I30" i="62"/>
  <c r="H30" i="62"/>
  <c r="J29" i="62"/>
  <c r="I29" i="62"/>
  <c r="H29" i="62"/>
  <c r="J28" i="62"/>
  <c r="I28" i="62"/>
  <c r="H28" i="62"/>
  <c r="J27" i="62"/>
  <c r="I27" i="62"/>
  <c r="H27" i="62"/>
  <c r="J26" i="62"/>
  <c r="I26" i="62"/>
  <c r="H26" i="62"/>
  <c r="J25" i="62"/>
  <c r="I25" i="62"/>
  <c r="H25" i="62"/>
  <c r="J24" i="62"/>
  <c r="I24" i="62"/>
  <c r="H24" i="62"/>
  <c r="J23" i="62"/>
  <c r="I23" i="62"/>
  <c r="H23" i="62"/>
  <c r="J22" i="62"/>
  <c r="I22" i="62"/>
  <c r="H22" i="62"/>
  <c r="J21" i="62"/>
  <c r="I21" i="62"/>
  <c r="H21" i="62"/>
  <c r="J20" i="62"/>
  <c r="I20" i="62"/>
  <c r="H20" i="62"/>
  <c r="J19" i="62"/>
  <c r="I19" i="62"/>
  <c r="H19" i="62"/>
  <c r="J18" i="62"/>
  <c r="I18" i="62"/>
  <c r="H18" i="62"/>
  <c r="J17" i="62"/>
  <c r="I17" i="62"/>
  <c r="H17" i="62"/>
  <c r="J16" i="62"/>
  <c r="I16" i="62"/>
  <c r="H16" i="62"/>
  <c r="J15" i="62"/>
  <c r="I15" i="62"/>
  <c r="H15" i="62"/>
  <c r="J14" i="62"/>
  <c r="I14" i="62"/>
  <c r="H14" i="62"/>
  <c r="J13" i="62"/>
  <c r="I13" i="62"/>
  <c r="H13" i="62"/>
  <c r="J12" i="62"/>
  <c r="I12" i="62"/>
  <c r="H12" i="62"/>
  <c r="J11" i="62"/>
  <c r="I11" i="62"/>
  <c r="H11" i="62"/>
  <c r="J10" i="62"/>
  <c r="I10" i="62"/>
  <c r="H10" i="62"/>
  <c r="J9" i="62"/>
  <c r="I9" i="62"/>
  <c r="H9" i="62"/>
  <c r="J8" i="62"/>
  <c r="I8" i="62"/>
  <c r="H8" i="62"/>
  <c r="J7" i="62"/>
  <c r="I7" i="62"/>
  <c r="H7" i="62"/>
  <c r="J6" i="62"/>
  <c r="I6" i="62"/>
  <c r="H6" i="62"/>
  <c r="J5" i="62"/>
  <c r="I5" i="62"/>
  <c r="H5" i="62"/>
  <c r="S95" i="57" l="1"/>
  <c r="AA110" i="57"/>
  <c r="D129" i="55"/>
  <c r="L128" i="55"/>
  <c r="Y110" i="57"/>
  <c r="W110" i="57"/>
  <c r="U110" i="57"/>
  <c r="X110" i="57"/>
  <c r="H128" i="55"/>
  <c r="I128" i="55"/>
  <c r="J128" i="55"/>
  <c r="L121" i="55"/>
  <c r="AA180" i="57"/>
  <c r="AA188" i="57" s="1"/>
  <c r="L68" i="55"/>
  <c r="AA56" i="57"/>
  <c r="C145" i="55"/>
  <c r="C153" i="55"/>
  <c r="C154" i="55"/>
  <c r="C157" i="55"/>
  <c r="C158" i="55"/>
  <c r="C159" i="55"/>
  <c r="C160" i="55"/>
  <c r="C161" i="55"/>
  <c r="C162" i="55"/>
  <c r="C163" i="55"/>
  <c r="C164" i="55"/>
  <c r="C165" i="55"/>
  <c r="C167" i="55"/>
  <c r="C169" i="55"/>
  <c r="C170" i="55"/>
  <c r="C171" i="55"/>
  <c r="C172" i="55"/>
  <c r="C173" i="55"/>
  <c r="C174" i="55"/>
  <c r="C175" i="55"/>
  <c r="C176" i="55"/>
  <c r="C177" i="55"/>
  <c r="C180" i="55"/>
  <c r="C183" i="55"/>
  <c r="C184" i="55"/>
  <c r="C185" i="55"/>
  <c r="C186" i="55"/>
  <c r="V110" i="57"/>
  <c r="K128" i="55"/>
  <c r="K129" i="55"/>
  <c r="K130" i="55"/>
  <c r="K131" i="55"/>
  <c r="C187" i="55"/>
  <c r="E128" i="55"/>
  <c r="Z110" i="57"/>
  <c r="M15" i="32"/>
  <c r="M19" i="32"/>
  <c r="M16" i="32"/>
  <c r="L16" i="32"/>
  <c r="L19" i="32"/>
  <c r="N19" i="32"/>
  <c r="N16" i="32"/>
  <c r="N15" i="32"/>
  <c r="L15" i="32"/>
  <c r="N18" i="32"/>
  <c r="N20" i="32"/>
  <c r="N17" i="32"/>
  <c r="M18" i="32"/>
  <c r="M20" i="32"/>
  <c r="M17" i="32"/>
  <c r="L18" i="32"/>
  <c r="L20" i="32"/>
  <c r="L17" i="32"/>
  <c r="O30" i="9"/>
  <c r="O26" i="9"/>
  <c r="O25" i="9"/>
  <c r="O24" i="9"/>
  <c r="O23" i="9"/>
  <c r="O16" i="9"/>
  <c r="O15" i="9"/>
  <c r="O14" i="9"/>
  <c r="O10" i="9"/>
  <c r="O9" i="9"/>
  <c r="O8" i="9"/>
  <c r="O7" i="9"/>
  <c r="N42" i="32"/>
  <c r="M41" i="9"/>
  <c r="M40" i="9"/>
  <c r="M39" i="9"/>
  <c r="M38" i="9"/>
  <c r="M33" i="9"/>
  <c r="M32" i="9"/>
  <c r="M31" i="9"/>
  <c r="M30" i="9"/>
  <c r="M25" i="9"/>
  <c r="M24" i="9"/>
  <c r="M23" i="9"/>
  <c r="M16" i="9"/>
  <c r="M15" i="9"/>
  <c r="M14" i="9"/>
  <c r="M10" i="9"/>
  <c r="M9" i="9"/>
  <c r="M8" i="9"/>
  <c r="M7" i="9"/>
  <c r="L42" i="32"/>
  <c r="N41" i="9"/>
  <c r="N38" i="9"/>
  <c r="N33" i="9"/>
  <c r="N31" i="9"/>
  <c r="N25" i="9"/>
  <c r="N23" i="9"/>
  <c r="N15" i="9"/>
  <c r="N10" i="9"/>
  <c r="N8" i="9"/>
  <c r="N40" i="9"/>
  <c r="N39" i="9"/>
  <c r="N32" i="9"/>
  <c r="N30" i="9"/>
  <c r="N24" i="9"/>
  <c r="N16" i="9"/>
  <c r="N14" i="9"/>
  <c r="N17" i="9" s="1"/>
  <c r="N9" i="9"/>
  <c r="N7" i="9"/>
  <c r="M42" i="32"/>
  <c r="M8" i="32"/>
  <c r="N53" i="9" s="1"/>
  <c r="M87" i="55"/>
  <c r="M271" i="55" s="1"/>
  <c r="N26" i="9"/>
  <c r="M42" i="9"/>
  <c r="AA138" i="57"/>
  <c r="L87" i="55"/>
  <c r="M26" i="9"/>
  <c r="M27" i="9" s="1"/>
  <c r="K87" i="55"/>
  <c r="K271" i="55" s="1"/>
  <c r="J87" i="55"/>
  <c r="J271" i="55" s="1"/>
  <c r="I87" i="55"/>
  <c r="H87" i="55"/>
  <c r="G87" i="55"/>
  <c r="F87" i="55"/>
  <c r="E169" i="55"/>
  <c r="E133" i="55"/>
  <c r="E135" i="55"/>
  <c r="E145" i="55"/>
  <c r="E158" i="55"/>
  <c r="E159" i="55"/>
  <c r="E161" i="55"/>
  <c r="E163" i="55"/>
  <c r="E164" i="55"/>
  <c r="E185" i="55"/>
  <c r="E150" i="55"/>
  <c r="E129" i="55"/>
  <c r="E157" i="55"/>
  <c r="E170" i="55"/>
  <c r="E172" i="55"/>
  <c r="E183" i="55"/>
  <c r="E149" i="55"/>
  <c r="E176" i="55"/>
  <c r="E180" i="55"/>
  <c r="E140" i="55"/>
  <c r="E160" i="55"/>
  <c r="E173" i="55"/>
  <c r="E186" i="55"/>
  <c r="E153" i="55"/>
  <c r="E131" i="55"/>
  <c r="E171" i="55"/>
  <c r="E187" i="55"/>
  <c r="E136" i="55"/>
  <c r="E162" i="55"/>
  <c r="E165" i="55"/>
  <c r="E174" i="55"/>
  <c r="E175" i="55"/>
  <c r="E154" i="55"/>
  <c r="E184" i="55"/>
  <c r="E167" i="55"/>
  <c r="E138" i="55"/>
  <c r="E87" i="55"/>
  <c r="S110" i="57"/>
  <c r="D87" i="55"/>
  <c r="D271" i="55" s="1"/>
  <c r="O41" i="9"/>
  <c r="O32" i="9"/>
  <c r="O40" i="9"/>
  <c r="O33" i="9"/>
  <c r="O38" i="9"/>
  <c r="O39" i="9"/>
  <c r="O31" i="9"/>
  <c r="E72" i="55"/>
  <c r="T64" i="57"/>
  <c r="F64" i="57" s="1"/>
  <c r="E73" i="55"/>
  <c r="T65" i="57"/>
  <c r="F65" i="57" s="1"/>
  <c r="T66" i="57"/>
  <c r="F66" i="57" s="1"/>
  <c r="E74" i="55"/>
  <c r="E75" i="55"/>
  <c r="T67" i="57"/>
  <c r="F67" i="57" s="1"/>
  <c r="E76" i="55"/>
  <c r="T68" i="57"/>
  <c r="F68" i="57" s="1"/>
  <c r="T69" i="57"/>
  <c r="F69" i="57" s="1"/>
  <c r="E77" i="55"/>
  <c r="E78" i="55"/>
  <c r="T70" i="57"/>
  <c r="F70" i="57" s="1"/>
  <c r="E79" i="55"/>
  <c r="T71" i="57"/>
  <c r="F71" i="57" s="1"/>
  <c r="E80" i="55"/>
  <c r="T72" i="57"/>
  <c r="F72" i="57" s="1"/>
  <c r="E81" i="55"/>
  <c r="T73" i="57"/>
  <c r="F73" i="57" s="1"/>
  <c r="E83" i="55"/>
  <c r="T75" i="57"/>
  <c r="F75" i="57" s="1"/>
  <c r="E96" i="55"/>
  <c r="T140" i="57"/>
  <c r="F140" i="57" s="1"/>
  <c r="T141" i="57"/>
  <c r="F141" i="57" s="1"/>
  <c r="E97" i="55"/>
  <c r="E127" i="55"/>
  <c r="T186" i="57"/>
  <c r="F127" i="55"/>
  <c r="U186" i="57"/>
  <c r="G129" i="55"/>
  <c r="G130" i="55"/>
  <c r="G131" i="55"/>
  <c r="G133" i="55"/>
  <c r="G134" i="55"/>
  <c r="G135" i="55"/>
  <c r="G136" i="55"/>
  <c r="G140" i="55"/>
  <c r="G145" i="55"/>
  <c r="G149" i="55"/>
  <c r="G150" i="55"/>
  <c r="G153" i="55"/>
  <c r="G154" i="55"/>
  <c r="G157" i="55"/>
  <c r="G158" i="55"/>
  <c r="G159" i="55"/>
  <c r="G160" i="55"/>
  <c r="G161" i="55"/>
  <c r="G162" i="55"/>
  <c r="G164" i="55"/>
  <c r="G165" i="55"/>
  <c r="G167" i="55"/>
  <c r="G170" i="55"/>
  <c r="G171" i="55"/>
  <c r="G172" i="55"/>
  <c r="G173" i="55"/>
  <c r="G174" i="55"/>
  <c r="G175" i="55"/>
  <c r="G176" i="55"/>
  <c r="G177" i="55"/>
  <c r="G178" i="55"/>
  <c r="G180" i="55"/>
  <c r="G183" i="55"/>
  <c r="G184" i="55"/>
  <c r="G185" i="55"/>
  <c r="G186" i="55"/>
  <c r="G187" i="55"/>
  <c r="G188" i="55"/>
  <c r="G138" i="55"/>
  <c r="W140" i="57"/>
  <c r="I140" i="57" s="1"/>
  <c r="H96" i="55"/>
  <c r="I127" i="55"/>
  <c r="X186" i="57"/>
  <c r="L174" i="55"/>
  <c r="N54" i="32"/>
  <c r="N47" i="32"/>
  <c r="N39" i="32"/>
  <c r="N37" i="32"/>
  <c r="N30" i="32"/>
  <c r="N27" i="32"/>
  <c r="N13" i="32"/>
  <c r="N53" i="32"/>
  <c r="N52" i="32"/>
  <c r="N51" i="32"/>
  <c r="N41" i="32"/>
  <c r="N38" i="32"/>
  <c r="N35" i="32"/>
  <c r="N29" i="32"/>
  <c r="N28" i="32"/>
  <c r="N14" i="32"/>
  <c r="N11" i="32"/>
  <c r="N58" i="32"/>
  <c r="N46" i="32"/>
  <c r="N40" i="32"/>
  <c r="N36" i="32"/>
  <c r="N34" i="32"/>
  <c r="N12" i="32"/>
  <c r="N10" i="32"/>
  <c r="N8" i="32"/>
  <c r="O53" i="9" s="1"/>
  <c r="C271" i="55"/>
  <c r="N271" i="55"/>
  <c r="M58" i="32"/>
  <c r="M54" i="32"/>
  <c r="M53" i="32"/>
  <c r="L10" i="32"/>
  <c r="L58" i="32"/>
  <c r="L54" i="32"/>
  <c r="L53" i="32"/>
  <c r="L52" i="32"/>
  <c r="L51" i="32"/>
  <c r="L47" i="32"/>
  <c r="L46" i="32"/>
  <c r="L41" i="32"/>
  <c r="L40" i="32"/>
  <c r="L39" i="32"/>
  <c r="L38" i="32"/>
  <c r="L37" i="32"/>
  <c r="L36" i="32"/>
  <c r="L35" i="32"/>
  <c r="L34" i="32"/>
  <c r="L30" i="32"/>
  <c r="L29" i="32"/>
  <c r="L28" i="32"/>
  <c r="L27" i="32"/>
  <c r="L14" i="32"/>
  <c r="L13" i="32"/>
  <c r="L12" i="32"/>
  <c r="L11" i="32"/>
  <c r="L8" i="32"/>
  <c r="M53" i="9" s="1"/>
  <c r="M52" i="32"/>
  <c r="M46" i="32"/>
  <c r="M38" i="32"/>
  <c r="M29" i="32"/>
  <c r="M27" i="32"/>
  <c r="M10" i="32"/>
  <c r="M47" i="32"/>
  <c r="M36" i="32"/>
  <c r="M11" i="32"/>
  <c r="M51" i="32"/>
  <c r="M77" i="32" s="1"/>
  <c r="M37" i="32"/>
  <c r="M28" i="32"/>
  <c r="M12" i="32"/>
  <c r="M41" i="32"/>
  <c r="M34" i="32"/>
  <c r="M14" i="32"/>
  <c r="M67" i="32" s="1"/>
  <c r="M40" i="32"/>
  <c r="M35" i="32"/>
  <c r="M39" i="32"/>
  <c r="M30" i="32"/>
  <c r="M13" i="32"/>
  <c r="AJ81" i="57"/>
  <c r="AI135" i="57"/>
  <c r="AI110" i="57"/>
  <c r="AI112" i="57" s="1"/>
  <c r="AI119" i="57"/>
  <c r="AH188" i="57"/>
  <c r="AG166" i="57"/>
  <c r="AG188" i="57"/>
  <c r="AE135" i="57"/>
  <c r="AN95" i="57"/>
  <c r="AN112" i="57" s="1"/>
  <c r="AL104" i="57"/>
  <c r="AJ27" i="57"/>
  <c r="AI166" i="57"/>
  <c r="AE95" i="57"/>
  <c r="AO95" i="57"/>
  <c r="AO135" i="57"/>
  <c r="AO119" i="57"/>
  <c r="Z95" i="57"/>
  <c r="Y95" i="57"/>
  <c r="AO81" i="57"/>
  <c r="AN81" i="57"/>
  <c r="L76" i="57"/>
  <c r="L69" i="57"/>
  <c r="L67" i="57"/>
  <c r="L64" i="57"/>
  <c r="L55" i="57"/>
  <c r="L53" i="57"/>
  <c r="L50" i="57"/>
  <c r="L47" i="57"/>
  <c r="L45" i="57"/>
  <c r="L44" i="57"/>
  <c r="L42" i="57"/>
  <c r="L40" i="57"/>
  <c r="L39" i="57"/>
  <c r="L32" i="57"/>
  <c r="L30" i="57"/>
  <c r="L24" i="57"/>
  <c r="L22" i="57"/>
  <c r="L20" i="57"/>
  <c r="L18" i="57"/>
  <c r="L16" i="57"/>
  <c r="L14" i="57"/>
  <c r="L12" i="57"/>
  <c r="L10" i="57"/>
  <c r="L8" i="57"/>
  <c r="L164" i="57"/>
  <c r="L163" i="57"/>
  <c r="L162" i="57"/>
  <c r="L151" i="57"/>
  <c r="L150" i="57"/>
  <c r="L149" i="57"/>
  <c r="L148" i="57"/>
  <c r="L147" i="57"/>
  <c r="L145" i="57"/>
  <c r="L144" i="57"/>
  <c r="L143" i="57"/>
  <c r="L142" i="57"/>
  <c r="L141" i="57"/>
  <c r="L140" i="57"/>
  <c r="L139" i="57"/>
  <c r="L133" i="57"/>
  <c r="L132" i="57"/>
  <c r="L131" i="57"/>
  <c r="L130" i="57"/>
  <c r="L129" i="57"/>
  <c r="L128" i="57"/>
  <c r="L127" i="57"/>
  <c r="L126" i="57"/>
  <c r="L125" i="57"/>
  <c r="L124" i="57"/>
  <c r="L123" i="57"/>
  <c r="L122" i="57"/>
  <c r="L98" i="57"/>
  <c r="L108" i="57"/>
  <c r="L107" i="57"/>
  <c r="L93" i="57"/>
  <c r="L92" i="57"/>
  <c r="L91" i="57"/>
  <c r="L90" i="57"/>
  <c r="L89" i="57"/>
  <c r="L88" i="57"/>
  <c r="L79" i="57"/>
  <c r="L78" i="57"/>
  <c r="L77" i="57"/>
  <c r="L75" i="57"/>
  <c r="L73" i="57"/>
  <c r="L72" i="57"/>
  <c r="L71" i="57"/>
  <c r="L70" i="57"/>
  <c r="L68" i="57"/>
  <c r="L66" i="57"/>
  <c r="L65" i="57"/>
  <c r="L62" i="57"/>
  <c r="L52" i="57"/>
  <c r="L51" i="57"/>
  <c r="L48" i="57"/>
  <c r="L46" i="57"/>
  <c r="L43" i="57"/>
  <c r="L41" i="57"/>
  <c r="L38" i="57"/>
  <c r="L31" i="57"/>
  <c r="L25" i="57"/>
  <c r="L23" i="57"/>
  <c r="L21" i="57"/>
  <c r="L19" i="57"/>
  <c r="L17" i="57"/>
  <c r="L15" i="57"/>
  <c r="L13" i="57"/>
  <c r="L11" i="57"/>
  <c r="L9" i="57"/>
  <c r="AN188" i="57"/>
  <c r="AN135" i="57"/>
  <c r="AM135" i="57"/>
  <c r="AM95" i="57"/>
  <c r="AM112" i="57" s="1"/>
  <c r="K164" i="57"/>
  <c r="K163" i="57"/>
  <c r="K162" i="57"/>
  <c r="K151" i="57"/>
  <c r="K150" i="57"/>
  <c r="K149" i="57"/>
  <c r="K148" i="57"/>
  <c r="K147" i="57"/>
  <c r="K145" i="57"/>
  <c r="K144" i="57"/>
  <c r="K143" i="57"/>
  <c r="K142" i="57"/>
  <c r="K140" i="57"/>
  <c r="K139" i="57"/>
  <c r="K133" i="57"/>
  <c r="K132" i="57"/>
  <c r="K130" i="57"/>
  <c r="K129" i="57"/>
  <c r="K127" i="57"/>
  <c r="K125" i="57"/>
  <c r="K123" i="57"/>
  <c r="K108" i="57"/>
  <c r="K93" i="57"/>
  <c r="K91" i="57"/>
  <c r="K89" i="57"/>
  <c r="K88" i="57"/>
  <c r="K78" i="57"/>
  <c r="K141" i="57"/>
  <c r="K131" i="57"/>
  <c r="K128" i="57"/>
  <c r="K126" i="57"/>
  <c r="K124" i="57"/>
  <c r="K98" i="57"/>
  <c r="K107" i="57"/>
  <c r="K92" i="57"/>
  <c r="K90" i="57"/>
  <c r="K79" i="57"/>
  <c r="K77" i="57"/>
  <c r="AL112" i="57"/>
  <c r="AL172" i="57"/>
  <c r="X95" i="57"/>
  <c r="W95" i="57"/>
  <c r="H141" i="57"/>
  <c r="H129" i="57"/>
  <c r="H125" i="57"/>
  <c r="H98" i="57"/>
  <c r="H92" i="57"/>
  <c r="H89" i="57"/>
  <c r="H78" i="57"/>
  <c r="H75" i="57"/>
  <c r="H70" i="57"/>
  <c r="H68" i="57"/>
  <c r="H65" i="57"/>
  <c r="H55" i="57"/>
  <c r="H51" i="57"/>
  <c r="H48" i="57"/>
  <c r="H45" i="57"/>
  <c r="H42" i="57"/>
  <c r="H39" i="57"/>
  <c r="H32" i="57"/>
  <c r="H23" i="57"/>
  <c r="H21" i="57"/>
  <c r="H16" i="57"/>
  <c r="H13" i="57"/>
  <c r="H10" i="57"/>
  <c r="H142" i="57"/>
  <c r="H127" i="57"/>
  <c r="H126" i="57"/>
  <c r="H123" i="57"/>
  <c r="H107" i="57"/>
  <c r="H91" i="57"/>
  <c r="H88" i="57"/>
  <c r="H77" i="57"/>
  <c r="H76" i="57"/>
  <c r="H72" i="57"/>
  <c r="H69" i="57"/>
  <c r="H66" i="57"/>
  <c r="H62" i="57"/>
  <c r="H53" i="57"/>
  <c r="H50" i="57"/>
  <c r="H46" i="57"/>
  <c r="H44" i="57"/>
  <c r="H40" i="57"/>
  <c r="H37" i="57"/>
  <c r="H25" i="57"/>
  <c r="H22" i="57"/>
  <c r="H20" i="57"/>
  <c r="H17" i="57"/>
  <c r="H15" i="57"/>
  <c r="H11" i="57"/>
  <c r="H9" i="57"/>
  <c r="H150" i="57"/>
  <c r="H149" i="57"/>
  <c r="H148" i="57"/>
  <c r="H147" i="57"/>
  <c r="H145" i="57"/>
  <c r="H144" i="57"/>
  <c r="H143" i="57"/>
  <c r="H140" i="57"/>
  <c r="H139" i="57"/>
  <c r="H133" i="57"/>
  <c r="H132" i="57"/>
  <c r="H131" i="57"/>
  <c r="H130" i="57"/>
  <c r="H128" i="57"/>
  <c r="H124" i="57"/>
  <c r="H108" i="57"/>
  <c r="H93" i="57"/>
  <c r="H90" i="57"/>
  <c r="H79" i="57"/>
  <c r="H73" i="57"/>
  <c r="H71" i="57"/>
  <c r="H67" i="57"/>
  <c r="H64" i="57"/>
  <c r="H52" i="57"/>
  <c r="H47" i="57"/>
  <c r="H43" i="57"/>
  <c r="H41" i="57"/>
  <c r="H38" i="57"/>
  <c r="H31" i="57"/>
  <c r="H24" i="57"/>
  <c r="H19" i="57"/>
  <c r="H18" i="57"/>
  <c r="H14" i="57"/>
  <c r="H12" i="57"/>
  <c r="H8" i="57"/>
  <c r="V95" i="57"/>
  <c r="AI27" i="57"/>
  <c r="G143" i="57"/>
  <c r="G132" i="57"/>
  <c r="G129" i="57"/>
  <c r="G127" i="57"/>
  <c r="G125" i="57"/>
  <c r="G124" i="57"/>
  <c r="G98" i="57"/>
  <c r="G93" i="57"/>
  <c r="G92" i="57"/>
  <c r="G90" i="57"/>
  <c r="G88" i="57"/>
  <c r="G78" i="57"/>
  <c r="G76" i="57"/>
  <c r="G75" i="57"/>
  <c r="G72" i="57"/>
  <c r="G70" i="57"/>
  <c r="G68" i="57"/>
  <c r="G67" i="57"/>
  <c r="G65" i="57"/>
  <c r="G62" i="57"/>
  <c r="G52" i="57"/>
  <c r="G48" i="57"/>
  <c r="G46" i="57"/>
  <c r="G44" i="57"/>
  <c r="G42" i="57"/>
  <c r="G40" i="57"/>
  <c r="G38" i="57"/>
  <c r="G31" i="57"/>
  <c r="G24" i="57"/>
  <c r="G23" i="57"/>
  <c r="G21" i="57"/>
  <c r="G19" i="57"/>
  <c r="G17" i="57"/>
  <c r="G15" i="57"/>
  <c r="G13" i="57"/>
  <c r="G11" i="57"/>
  <c r="G9" i="57"/>
  <c r="G164" i="57"/>
  <c r="G163" i="57"/>
  <c r="G162" i="57"/>
  <c r="G151" i="57"/>
  <c r="G150" i="57"/>
  <c r="G149" i="57"/>
  <c r="G148" i="57"/>
  <c r="G147" i="57"/>
  <c r="G146" i="57"/>
  <c r="G145" i="57"/>
  <c r="G144" i="57"/>
  <c r="G142" i="57"/>
  <c r="G141" i="57"/>
  <c r="G140" i="57"/>
  <c r="G139" i="57"/>
  <c r="G133" i="57"/>
  <c r="G131" i="57"/>
  <c r="G130" i="57"/>
  <c r="G128" i="57"/>
  <c r="G126" i="57"/>
  <c r="G123" i="57"/>
  <c r="G108" i="57"/>
  <c r="G107" i="57"/>
  <c r="G91" i="57"/>
  <c r="G89" i="57"/>
  <c r="G79" i="57"/>
  <c r="G77" i="57"/>
  <c r="G73" i="57"/>
  <c r="G71" i="57"/>
  <c r="G69" i="57"/>
  <c r="G66" i="57"/>
  <c r="G64" i="57"/>
  <c r="G55" i="57"/>
  <c r="G53" i="57"/>
  <c r="G51" i="57"/>
  <c r="G50" i="57"/>
  <c r="G47" i="57"/>
  <c r="G45" i="57"/>
  <c r="G43" i="57"/>
  <c r="G41" i="57"/>
  <c r="G39" i="57"/>
  <c r="G32" i="57"/>
  <c r="G25" i="57"/>
  <c r="G22" i="57"/>
  <c r="G20" i="57"/>
  <c r="G18" i="57"/>
  <c r="G16" i="57"/>
  <c r="G14" i="57"/>
  <c r="G12" i="57"/>
  <c r="G10" i="57"/>
  <c r="AI188" i="57"/>
  <c r="U95" i="57"/>
  <c r="T95" i="57"/>
  <c r="AG81" i="57"/>
  <c r="D55" i="57"/>
  <c r="D47" i="57"/>
  <c r="D45" i="57"/>
  <c r="D43" i="57"/>
  <c r="D41" i="57"/>
  <c r="D39" i="57"/>
  <c r="D32" i="57"/>
  <c r="D25" i="57"/>
  <c r="D23" i="57"/>
  <c r="D21" i="57"/>
  <c r="D19" i="57"/>
  <c r="D17" i="57"/>
  <c r="D15" i="57"/>
  <c r="D13" i="57"/>
  <c r="D11" i="57"/>
  <c r="D9" i="57"/>
  <c r="D139" i="57"/>
  <c r="D133" i="57"/>
  <c r="D132" i="57"/>
  <c r="D131" i="57"/>
  <c r="D130" i="57"/>
  <c r="D129" i="57"/>
  <c r="D128" i="57"/>
  <c r="D127" i="57"/>
  <c r="D126" i="57"/>
  <c r="D125" i="57"/>
  <c r="D124" i="57"/>
  <c r="D123" i="57"/>
  <c r="D98" i="57"/>
  <c r="D89" i="57"/>
  <c r="D88" i="57"/>
  <c r="D79" i="57"/>
  <c r="D78" i="57"/>
  <c r="D69" i="57"/>
  <c r="D68" i="57"/>
  <c r="D62" i="57"/>
  <c r="D53" i="57"/>
  <c r="D52" i="57"/>
  <c r="D51" i="57"/>
  <c r="D50" i="57"/>
  <c r="D48" i="57"/>
  <c r="D46" i="57"/>
  <c r="D44" i="57"/>
  <c r="D42" i="57"/>
  <c r="D40" i="57"/>
  <c r="D38" i="57"/>
  <c r="D31" i="57"/>
  <c r="D24" i="57"/>
  <c r="D22" i="57"/>
  <c r="D20" i="57"/>
  <c r="D18" i="57"/>
  <c r="D16" i="57"/>
  <c r="D14" i="57"/>
  <c r="D12" i="57"/>
  <c r="D10" i="57"/>
  <c r="D8" i="57"/>
  <c r="C69" i="57"/>
  <c r="C164" i="57"/>
  <c r="C162" i="57"/>
  <c r="C150" i="57"/>
  <c r="C148" i="57"/>
  <c r="C146" i="57"/>
  <c r="C144" i="57"/>
  <c r="C139" i="57"/>
  <c r="C132" i="57"/>
  <c r="C131" i="57"/>
  <c r="C129" i="57"/>
  <c r="C126" i="57"/>
  <c r="C124" i="57"/>
  <c r="C122" i="57"/>
  <c r="C116" i="57"/>
  <c r="C101" i="57"/>
  <c r="C98" i="57"/>
  <c r="C88" i="57"/>
  <c r="C78" i="57"/>
  <c r="C68" i="57"/>
  <c r="C62" i="57"/>
  <c r="C163" i="57"/>
  <c r="C151" i="57"/>
  <c r="C149" i="57"/>
  <c r="C147" i="57"/>
  <c r="C145" i="57"/>
  <c r="C143" i="57"/>
  <c r="C133" i="57"/>
  <c r="C130" i="57"/>
  <c r="C128" i="57"/>
  <c r="C127" i="57"/>
  <c r="C125" i="57"/>
  <c r="C123" i="57"/>
  <c r="C117" i="57"/>
  <c r="C102" i="57"/>
  <c r="C100" i="57"/>
  <c r="C89" i="57"/>
  <c r="C79" i="57"/>
  <c r="T110" i="57"/>
  <c r="AA104" i="57"/>
  <c r="AA95" i="57"/>
  <c r="AO104" i="57"/>
  <c r="AO58" i="57"/>
  <c r="AO188" i="57"/>
  <c r="M169" i="57"/>
  <c r="M164" i="57"/>
  <c r="M162" i="57"/>
  <c r="M150" i="57"/>
  <c r="M148" i="57"/>
  <c r="M146" i="57"/>
  <c r="M144" i="57"/>
  <c r="M141" i="57"/>
  <c r="M139" i="57"/>
  <c r="M132" i="57"/>
  <c r="M130" i="57"/>
  <c r="M128" i="57"/>
  <c r="M126" i="57"/>
  <c r="M125" i="57"/>
  <c r="M123" i="57"/>
  <c r="M102" i="57"/>
  <c r="M99" i="57"/>
  <c r="M98" i="57"/>
  <c r="M107" i="57"/>
  <c r="M92" i="57"/>
  <c r="M90" i="57"/>
  <c r="M88" i="57"/>
  <c r="M78" i="57"/>
  <c r="M76" i="57"/>
  <c r="M75" i="57"/>
  <c r="M73" i="57"/>
  <c r="M71" i="57"/>
  <c r="M69" i="57"/>
  <c r="M67" i="57"/>
  <c r="M64" i="57"/>
  <c r="M62" i="57"/>
  <c r="M55" i="57"/>
  <c r="M53" i="57"/>
  <c r="M50" i="57"/>
  <c r="M48" i="57"/>
  <c r="M46" i="57"/>
  <c r="M45" i="57"/>
  <c r="M43" i="57"/>
  <c r="M41" i="57"/>
  <c r="M39" i="57"/>
  <c r="M38" i="57"/>
  <c r="M32" i="57"/>
  <c r="M24" i="57"/>
  <c r="M23" i="57"/>
  <c r="M21" i="57"/>
  <c r="M19" i="57"/>
  <c r="M17" i="57"/>
  <c r="M15" i="57"/>
  <c r="M12" i="57"/>
  <c r="M10" i="57"/>
  <c r="M9" i="57"/>
  <c r="M170" i="57"/>
  <c r="M163" i="57"/>
  <c r="M151" i="57"/>
  <c r="M149" i="57"/>
  <c r="M147" i="57"/>
  <c r="M145" i="57"/>
  <c r="M143" i="57"/>
  <c r="M142" i="57"/>
  <c r="M140" i="57"/>
  <c r="M133" i="57"/>
  <c r="M131" i="57"/>
  <c r="M129" i="57"/>
  <c r="M127" i="57"/>
  <c r="M124" i="57"/>
  <c r="M117" i="57"/>
  <c r="M101" i="57"/>
  <c r="M100" i="57"/>
  <c r="M108" i="57"/>
  <c r="M93" i="57"/>
  <c r="M91" i="57"/>
  <c r="M89" i="57"/>
  <c r="M79" i="57"/>
  <c r="M77" i="57"/>
  <c r="M74" i="57"/>
  <c r="M72" i="57"/>
  <c r="M70" i="57"/>
  <c r="M68" i="57"/>
  <c r="M66" i="57"/>
  <c r="M65" i="57"/>
  <c r="M63" i="57"/>
  <c r="M54" i="57"/>
  <c r="M52" i="57"/>
  <c r="M51" i="57"/>
  <c r="M49" i="57"/>
  <c r="M47" i="57"/>
  <c r="M44" i="57"/>
  <c r="M42" i="57"/>
  <c r="M40" i="57"/>
  <c r="M33" i="57"/>
  <c r="M31" i="57"/>
  <c r="M25" i="57"/>
  <c r="M22" i="57"/>
  <c r="M20" i="57"/>
  <c r="M18" i="57"/>
  <c r="M16" i="57"/>
  <c r="M14" i="57"/>
  <c r="M13" i="57"/>
  <c r="M11" i="57"/>
  <c r="M8" i="57"/>
  <c r="M7" i="57"/>
  <c r="N172" i="57"/>
  <c r="AK81" i="57"/>
  <c r="AE202" i="57"/>
  <c r="AB112" i="57"/>
  <c r="AO112" i="57"/>
  <c r="AL35" i="57"/>
  <c r="K76" i="57"/>
  <c r="K75" i="57"/>
  <c r="K73" i="57"/>
  <c r="K72" i="57"/>
  <c r="K71" i="57"/>
  <c r="K70" i="57"/>
  <c r="K69" i="57"/>
  <c r="K68" i="57"/>
  <c r="K67" i="57"/>
  <c r="K66" i="57"/>
  <c r="K65" i="57"/>
  <c r="K64" i="57"/>
  <c r="K62" i="57"/>
  <c r="K55" i="57"/>
  <c r="K53" i="57"/>
  <c r="K52" i="57"/>
  <c r="K51" i="57"/>
  <c r="K50" i="57"/>
  <c r="K48" i="57"/>
  <c r="K47" i="57"/>
  <c r="K46" i="57"/>
  <c r="K45" i="57"/>
  <c r="K44" i="57"/>
  <c r="K43" i="57"/>
  <c r="K42" i="57"/>
  <c r="K41" i="57"/>
  <c r="K40" i="57"/>
  <c r="K39" i="57"/>
  <c r="K38" i="57"/>
  <c r="K32" i="57"/>
  <c r="K31" i="57"/>
  <c r="M97" i="57"/>
  <c r="M106" i="57"/>
  <c r="M87" i="57"/>
  <c r="L106" i="57"/>
  <c r="K106" i="57"/>
  <c r="H106" i="57"/>
  <c r="G106" i="57"/>
  <c r="C97" i="57"/>
  <c r="C87" i="57"/>
  <c r="AH112" i="57"/>
  <c r="AG112" i="57"/>
  <c r="AK112" i="57"/>
  <c r="K25" i="57"/>
  <c r="K24" i="57"/>
  <c r="K23" i="57"/>
  <c r="K22" i="57"/>
  <c r="K21" i="57"/>
  <c r="K20" i="57"/>
  <c r="K19" i="57"/>
  <c r="K18" i="57"/>
  <c r="K17" i="57"/>
  <c r="K16" i="57"/>
  <c r="K15" i="57"/>
  <c r="K14" i="57"/>
  <c r="C142" i="57"/>
  <c r="AM188" i="57"/>
  <c r="N166" i="57"/>
  <c r="AM172" i="57"/>
  <c r="K13" i="57"/>
  <c r="K12" i="57"/>
  <c r="K11" i="57"/>
  <c r="K10" i="57"/>
  <c r="K9" i="57"/>
  <c r="K8" i="57"/>
  <c r="K7" i="57"/>
  <c r="J164" i="57"/>
  <c r="J163" i="57"/>
  <c r="J162" i="57"/>
  <c r="J151" i="57"/>
  <c r="J150" i="57"/>
  <c r="J149" i="57"/>
  <c r="J148" i="57"/>
  <c r="J147" i="57"/>
  <c r="J145" i="57"/>
  <c r="J144" i="57"/>
  <c r="J143" i="57"/>
  <c r="J142" i="57"/>
  <c r="J141" i="57"/>
  <c r="J140" i="57"/>
  <c r="J139" i="57"/>
  <c r="J133" i="57"/>
  <c r="J132" i="57"/>
  <c r="J131" i="57"/>
  <c r="J130" i="57"/>
  <c r="J129" i="57"/>
  <c r="J128" i="57"/>
  <c r="J127" i="57"/>
  <c r="J126" i="57"/>
  <c r="J125" i="57"/>
  <c r="J124" i="57"/>
  <c r="J123" i="57"/>
  <c r="J98" i="57"/>
  <c r="J108" i="57"/>
  <c r="J107" i="57"/>
  <c r="J106" i="57"/>
  <c r="J110" i="57" s="1"/>
  <c r="J93" i="57"/>
  <c r="J92" i="57"/>
  <c r="J91" i="57"/>
  <c r="J90" i="57"/>
  <c r="J89" i="57"/>
  <c r="J88" i="57"/>
  <c r="J79" i="57"/>
  <c r="J78" i="57"/>
  <c r="J77" i="57"/>
  <c r="J76" i="57"/>
  <c r="J75" i="57"/>
  <c r="J73" i="57"/>
  <c r="J72" i="57"/>
  <c r="G8" i="57"/>
  <c r="F164" i="57"/>
  <c r="F163" i="57"/>
  <c r="F162" i="57"/>
  <c r="F151" i="57"/>
  <c r="AE188" i="57"/>
  <c r="J71" i="57"/>
  <c r="J70" i="57"/>
  <c r="J69" i="57"/>
  <c r="J68" i="57"/>
  <c r="J67" i="57"/>
  <c r="J66" i="57"/>
  <c r="J65" i="57"/>
  <c r="J64" i="57"/>
  <c r="J62" i="57"/>
  <c r="J55" i="57"/>
  <c r="J53" i="57"/>
  <c r="J52" i="57"/>
  <c r="J51" i="57"/>
  <c r="J50" i="57"/>
  <c r="J48" i="57"/>
  <c r="J47" i="57"/>
  <c r="J46" i="57"/>
  <c r="J45" i="57"/>
  <c r="J44" i="57"/>
  <c r="J43" i="57"/>
  <c r="J42" i="57"/>
  <c r="J41" i="57"/>
  <c r="J40" i="57"/>
  <c r="J39" i="57"/>
  <c r="J38" i="57"/>
  <c r="J32" i="57"/>
  <c r="J31" i="57"/>
  <c r="J25" i="57"/>
  <c r="J24" i="57"/>
  <c r="J23" i="57"/>
  <c r="J22" i="57"/>
  <c r="J21" i="57"/>
  <c r="J20" i="57"/>
  <c r="J19" i="57"/>
  <c r="J18" i="57"/>
  <c r="J17" i="57"/>
  <c r="J16" i="57"/>
  <c r="J15" i="57"/>
  <c r="J14" i="57"/>
  <c r="J13" i="57"/>
  <c r="J12" i="57"/>
  <c r="J11" i="57"/>
  <c r="J10" i="57"/>
  <c r="J9" i="57"/>
  <c r="J8" i="57"/>
  <c r="I164" i="57"/>
  <c r="I163" i="57"/>
  <c r="I162" i="57"/>
  <c r="I151" i="57"/>
  <c r="I150" i="57"/>
  <c r="I149" i="57"/>
  <c r="I148" i="57"/>
  <c r="I147" i="57"/>
  <c r="I145" i="57"/>
  <c r="I144" i="57"/>
  <c r="I143" i="57"/>
  <c r="I142" i="57"/>
  <c r="I141" i="57"/>
  <c r="I139" i="57"/>
  <c r="I133" i="57"/>
  <c r="I132" i="57"/>
  <c r="I131" i="57"/>
  <c r="I130" i="57"/>
  <c r="I129" i="57"/>
  <c r="I128" i="57"/>
  <c r="I127" i="57"/>
  <c r="I126" i="57"/>
  <c r="I125" i="57"/>
  <c r="I124" i="57"/>
  <c r="I123" i="57"/>
  <c r="I98" i="57"/>
  <c r="I108" i="57"/>
  <c r="I107" i="57"/>
  <c r="I106" i="57"/>
  <c r="I110" i="57" s="1"/>
  <c r="I93" i="57"/>
  <c r="I92" i="57"/>
  <c r="I91" i="57"/>
  <c r="I90" i="57"/>
  <c r="I89" i="57"/>
  <c r="I88" i="57"/>
  <c r="I79" i="57"/>
  <c r="I78" i="57"/>
  <c r="I77" i="57"/>
  <c r="I76" i="57"/>
  <c r="I75" i="57"/>
  <c r="I73" i="57"/>
  <c r="I72" i="57"/>
  <c r="I71" i="57"/>
  <c r="I70" i="57"/>
  <c r="I69" i="57"/>
  <c r="I68" i="57"/>
  <c r="I67" i="57"/>
  <c r="I66" i="57"/>
  <c r="I65" i="57"/>
  <c r="I64" i="57"/>
  <c r="I62" i="57"/>
  <c r="I55" i="57"/>
  <c r="I53" i="57"/>
  <c r="I52" i="57"/>
  <c r="I51" i="57"/>
  <c r="I50" i="57"/>
  <c r="I48" i="57"/>
  <c r="I47" i="57"/>
  <c r="I46" i="57"/>
  <c r="I45" i="57"/>
  <c r="I44" i="57"/>
  <c r="I43" i="57"/>
  <c r="I42" i="57"/>
  <c r="I41" i="57"/>
  <c r="I40" i="57"/>
  <c r="I39" i="57"/>
  <c r="I38" i="57"/>
  <c r="I32" i="57"/>
  <c r="I31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H164" i="57"/>
  <c r="H163" i="57"/>
  <c r="H162" i="57"/>
  <c r="H151" i="57"/>
  <c r="F150" i="57"/>
  <c r="F149" i="57"/>
  <c r="F148" i="57"/>
  <c r="F147" i="57"/>
  <c r="F146" i="57"/>
  <c r="F145" i="57"/>
  <c r="F144" i="57"/>
  <c r="F143" i="57"/>
  <c r="F142" i="57"/>
  <c r="F139" i="57"/>
  <c r="F133" i="57"/>
  <c r="F132" i="57"/>
  <c r="F131" i="57"/>
  <c r="F130" i="57"/>
  <c r="F129" i="57"/>
  <c r="F128" i="57"/>
  <c r="F127" i="57"/>
  <c r="F126" i="57"/>
  <c r="F125" i="57"/>
  <c r="F124" i="57"/>
  <c r="F123" i="57"/>
  <c r="F98" i="57"/>
  <c r="F108" i="57"/>
  <c r="F107" i="57"/>
  <c r="F106" i="57"/>
  <c r="F93" i="57"/>
  <c r="F92" i="57"/>
  <c r="F91" i="57"/>
  <c r="F90" i="57"/>
  <c r="F89" i="57"/>
  <c r="F88" i="57"/>
  <c r="F79" i="57"/>
  <c r="F78" i="57"/>
  <c r="F77" i="57"/>
  <c r="F76" i="57"/>
  <c r="F62" i="57"/>
  <c r="F55" i="57"/>
  <c r="F53" i="57"/>
  <c r="F52" i="57"/>
  <c r="F51" i="57"/>
  <c r="F50" i="57"/>
  <c r="F48" i="57"/>
  <c r="F47" i="57"/>
  <c r="F46" i="57"/>
  <c r="F45" i="57"/>
  <c r="F44" i="57"/>
  <c r="F43" i="57"/>
  <c r="F42" i="57"/>
  <c r="F41" i="57"/>
  <c r="F40" i="57"/>
  <c r="F39" i="57"/>
  <c r="F38" i="57"/>
  <c r="F32" i="57"/>
  <c r="F31" i="57"/>
  <c r="F25" i="57"/>
  <c r="F24" i="57"/>
  <c r="F23" i="57"/>
  <c r="F22" i="57"/>
  <c r="F21" i="57"/>
  <c r="F20" i="57"/>
  <c r="F19" i="57"/>
  <c r="F18" i="57"/>
  <c r="F17" i="57"/>
  <c r="F16" i="57"/>
  <c r="F15" i="57"/>
  <c r="F14" i="57"/>
  <c r="F13" i="57"/>
  <c r="F12" i="57"/>
  <c r="F11" i="57"/>
  <c r="F10" i="57"/>
  <c r="F9" i="57"/>
  <c r="F8" i="57"/>
  <c r="E164" i="57"/>
  <c r="E163" i="57"/>
  <c r="E162" i="57"/>
  <c r="E151" i="57"/>
  <c r="E150" i="57"/>
  <c r="E149" i="57"/>
  <c r="E148" i="57"/>
  <c r="E147" i="57"/>
  <c r="E146" i="57"/>
  <c r="E145" i="57"/>
  <c r="E144" i="57"/>
  <c r="E143" i="57"/>
  <c r="E142" i="57"/>
  <c r="E141" i="57"/>
  <c r="E140" i="57"/>
  <c r="E139" i="57"/>
  <c r="E133" i="57"/>
  <c r="E132" i="57"/>
  <c r="E131" i="57"/>
  <c r="E130" i="57"/>
  <c r="E129" i="57"/>
  <c r="E128" i="57"/>
  <c r="E127" i="57"/>
  <c r="E126" i="57"/>
  <c r="E125" i="57"/>
  <c r="E124" i="57"/>
  <c r="E123" i="57"/>
  <c r="E122" i="57"/>
  <c r="E98" i="57"/>
  <c r="E108" i="57"/>
  <c r="E107" i="57"/>
  <c r="E106" i="57"/>
  <c r="E110" i="57" s="1"/>
  <c r="E93" i="57"/>
  <c r="E92" i="57"/>
  <c r="E91" i="57"/>
  <c r="E90" i="57"/>
  <c r="E89" i="57"/>
  <c r="E88" i="57"/>
  <c r="E79" i="57"/>
  <c r="E78" i="57"/>
  <c r="E77" i="57"/>
  <c r="E76" i="57"/>
  <c r="E75" i="57"/>
  <c r="E73" i="57"/>
  <c r="E72" i="57"/>
  <c r="E71" i="57"/>
  <c r="E70" i="57"/>
  <c r="E69" i="57"/>
  <c r="E68" i="57"/>
  <c r="E67" i="57"/>
  <c r="E66" i="57"/>
  <c r="E65" i="57"/>
  <c r="E64" i="57"/>
  <c r="E62" i="57"/>
  <c r="E55" i="57"/>
  <c r="E53" i="57"/>
  <c r="E52" i="57"/>
  <c r="E51" i="57"/>
  <c r="E50" i="57"/>
  <c r="E48" i="57"/>
  <c r="E47" i="57"/>
  <c r="E46" i="57"/>
  <c r="E45" i="57"/>
  <c r="E44" i="57"/>
  <c r="E43" i="57"/>
  <c r="E42" i="57"/>
  <c r="E41" i="57"/>
  <c r="E40" i="57"/>
  <c r="E39" i="57"/>
  <c r="E38" i="57"/>
  <c r="E37" i="57"/>
  <c r="E32" i="57"/>
  <c r="E31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D164" i="57"/>
  <c r="D163" i="57"/>
  <c r="D162" i="57"/>
  <c r="D151" i="57"/>
  <c r="D150" i="57"/>
  <c r="D149" i="57"/>
  <c r="D148" i="57"/>
  <c r="D147" i="57"/>
  <c r="D146" i="57"/>
  <c r="D145" i="57"/>
  <c r="D144" i="57"/>
  <c r="D143" i="57"/>
  <c r="D142" i="57"/>
  <c r="AL81" i="57"/>
  <c r="AJ35" i="57"/>
  <c r="AI81" i="57"/>
  <c r="AH81" i="57"/>
  <c r="AO172" i="57"/>
  <c r="AO153" i="57"/>
  <c r="AL188" i="57"/>
  <c r="AK188" i="57"/>
  <c r="AK135" i="57"/>
  <c r="AK27" i="57"/>
  <c r="AJ172" i="57"/>
  <c r="AJ135" i="57"/>
  <c r="AA172" i="57"/>
  <c r="AN27" i="57"/>
  <c r="AF27" i="57"/>
  <c r="AA27" i="57"/>
  <c r="AH27" i="57"/>
  <c r="AJ112" i="57"/>
  <c r="Z135" i="57"/>
  <c r="S135" i="57"/>
  <c r="AL166" i="57"/>
  <c r="AL27" i="57"/>
  <c r="AK166" i="57"/>
  <c r="AH135" i="57"/>
  <c r="Y27" i="57"/>
  <c r="AA177" i="57"/>
  <c r="M175" i="57"/>
  <c r="M177" i="57" s="1"/>
  <c r="AA166" i="57"/>
  <c r="M161" i="57"/>
  <c r="AA158" i="57"/>
  <c r="M156" i="57"/>
  <c r="M158" i="57" s="1"/>
  <c r="AA135" i="57"/>
  <c r="M122" i="57"/>
  <c r="AA119" i="57"/>
  <c r="M116" i="57"/>
  <c r="AA81" i="57"/>
  <c r="M61" i="57"/>
  <c r="M37" i="57"/>
  <c r="AA35" i="57"/>
  <c r="M30" i="57"/>
  <c r="Z177" i="57"/>
  <c r="L175" i="57"/>
  <c r="L177" i="57" s="1"/>
  <c r="L169" i="57"/>
  <c r="Z166" i="57"/>
  <c r="L161" i="57"/>
  <c r="Z158" i="57"/>
  <c r="L156" i="57"/>
  <c r="L158" i="57" s="1"/>
  <c r="L116" i="57"/>
  <c r="L87" i="57"/>
  <c r="L37" i="57"/>
  <c r="Z27" i="57"/>
  <c r="L7" i="57"/>
  <c r="Y177" i="57"/>
  <c r="K175" i="57"/>
  <c r="K177" i="57" s="1"/>
  <c r="K169" i="57"/>
  <c r="Y166" i="57"/>
  <c r="K161" i="57"/>
  <c r="Y158" i="57"/>
  <c r="K156" i="57"/>
  <c r="K158" i="57" s="1"/>
  <c r="Y135" i="57"/>
  <c r="K122" i="57"/>
  <c r="K116" i="57"/>
  <c r="K87" i="57"/>
  <c r="K37" i="57"/>
  <c r="K30" i="57"/>
  <c r="X177" i="57"/>
  <c r="J175" i="57"/>
  <c r="J177" i="57" s="1"/>
  <c r="J169" i="57"/>
  <c r="X166" i="57"/>
  <c r="J161" i="57"/>
  <c r="X158" i="57"/>
  <c r="J156" i="57"/>
  <c r="J158" i="57" s="1"/>
  <c r="X135" i="57"/>
  <c r="J122" i="57"/>
  <c r="J116" i="57"/>
  <c r="J87" i="57"/>
  <c r="J37" i="57"/>
  <c r="J30" i="57"/>
  <c r="X27" i="57"/>
  <c r="J7" i="57"/>
  <c r="W177" i="57"/>
  <c r="I175" i="57"/>
  <c r="I177" i="57" s="1"/>
  <c r="I169" i="57"/>
  <c r="W166" i="57"/>
  <c r="I161" i="57"/>
  <c r="W158" i="57"/>
  <c r="I156" i="57"/>
  <c r="I158" i="57" s="1"/>
  <c r="W135" i="57"/>
  <c r="I122" i="57"/>
  <c r="I116" i="57"/>
  <c r="I87" i="57"/>
  <c r="I37" i="57"/>
  <c r="I30" i="57"/>
  <c r="W27" i="57"/>
  <c r="I7" i="57"/>
  <c r="V177" i="57"/>
  <c r="H175" i="57"/>
  <c r="H177" i="57" s="1"/>
  <c r="H169" i="57"/>
  <c r="V166" i="57"/>
  <c r="H161" i="57"/>
  <c r="V158" i="57"/>
  <c r="H156" i="57"/>
  <c r="H158" i="57" s="1"/>
  <c r="V135" i="57"/>
  <c r="H122" i="57"/>
  <c r="H116" i="57"/>
  <c r="H87" i="57"/>
  <c r="H30" i="57"/>
  <c r="V27" i="57"/>
  <c r="H7" i="57"/>
  <c r="U177" i="57"/>
  <c r="G175" i="57"/>
  <c r="G177" i="57" s="1"/>
  <c r="G169" i="57"/>
  <c r="U166" i="57"/>
  <c r="G161" i="57"/>
  <c r="U158" i="57"/>
  <c r="G156" i="57"/>
  <c r="G158" i="57" s="1"/>
  <c r="U135" i="57"/>
  <c r="G122" i="57"/>
  <c r="G116" i="57"/>
  <c r="G87" i="57"/>
  <c r="G37" i="57"/>
  <c r="G30" i="57"/>
  <c r="U27" i="57"/>
  <c r="G7" i="57"/>
  <c r="T177" i="57"/>
  <c r="F175" i="57"/>
  <c r="F177" i="57" s="1"/>
  <c r="F169" i="57"/>
  <c r="T166" i="57"/>
  <c r="F161" i="57"/>
  <c r="T158" i="57"/>
  <c r="F156" i="57"/>
  <c r="F158" i="57" s="1"/>
  <c r="T135" i="57"/>
  <c r="F122" i="57"/>
  <c r="F116" i="57"/>
  <c r="F87" i="57"/>
  <c r="F37" i="57"/>
  <c r="F30" i="57"/>
  <c r="T27" i="57"/>
  <c r="F7" i="57"/>
  <c r="S177" i="57"/>
  <c r="E175" i="57"/>
  <c r="E177" i="57" s="1"/>
  <c r="E169" i="57"/>
  <c r="S166" i="57"/>
  <c r="E161" i="57"/>
  <c r="S158" i="57"/>
  <c r="E156" i="57"/>
  <c r="E158" i="57" s="1"/>
  <c r="E116" i="57"/>
  <c r="E87" i="57"/>
  <c r="E30" i="57"/>
  <c r="S27" i="57"/>
  <c r="E7" i="57"/>
  <c r="R177" i="57"/>
  <c r="D175" i="57"/>
  <c r="D177" i="57" s="1"/>
  <c r="D169" i="57"/>
  <c r="R166" i="57"/>
  <c r="D161" i="57"/>
  <c r="D156" i="57"/>
  <c r="D158" i="57" s="1"/>
  <c r="R158" i="57"/>
  <c r="R135" i="57"/>
  <c r="D122" i="57"/>
  <c r="D116" i="57"/>
  <c r="D87" i="57"/>
  <c r="D37" i="57"/>
  <c r="D30" i="57"/>
  <c r="R27" i="57"/>
  <c r="D7" i="57"/>
  <c r="Q177" i="57"/>
  <c r="C175" i="57"/>
  <c r="C177" i="57" s="1"/>
  <c r="C169" i="57"/>
  <c r="Q166" i="57"/>
  <c r="C161" i="57"/>
  <c r="Q158" i="57"/>
  <c r="C156" i="57"/>
  <c r="C158" i="57" s="1"/>
  <c r="Q119" i="57"/>
  <c r="Q135" i="57"/>
  <c r="M56" i="57" l="1"/>
  <c r="AA58" i="57"/>
  <c r="G271" i="55"/>
  <c r="L67" i="32"/>
  <c r="M70" i="32"/>
  <c r="L73" i="32"/>
  <c r="M71" i="32"/>
  <c r="M73" i="32"/>
  <c r="L70" i="32"/>
  <c r="L71" i="32"/>
  <c r="L68" i="32"/>
  <c r="M72" i="32"/>
  <c r="L72" i="32"/>
  <c r="M68" i="32"/>
  <c r="M69" i="32"/>
  <c r="L69" i="32"/>
  <c r="N71" i="32"/>
  <c r="N73" i="32"/>
  <c r="N69" i="32"/>
  <c r="N70" i="32"/>
  <c r="O34" i="9"/>
  <c r="N72" i="32"/>
  <c r="N68" i="32"/>
  <c r="M63" i="32"/>
  <c r="M64" i="32"/>
  <c r="M65" i="32"/>
  <c r="O17" i="9"/>
  <c r="O27" i="9"/>
  <c r="O11" i="9"/>
  <c r="N11" i="9"/>
  <c r="N19" i="9" s="1"/>
  <c r="M34" i="9"/>
  <c r="M11" i="9"/>
  <c r="H271" i="55"/>
  <c r="M17" i="9"/>
  <c r="L271" i="55"/>
  <c r="M78" i="32"/>
  <c r="N42" i="9"/>
  <c r="N34" i="9"/>
  <c r="N27" i="9"/>
  <c r="M138" i="57"/>
  <c r="M153" i="57" s="1"/>
  <c r="AA153" i="57"/>
  <c r="I271" i="55"/>
  <c r="F271" i="55"/>
  <c r="E271" i="55"/>
  <c r="N44" i="32"/>
  <c r="O42" i="9"/>
  <c r="N32" i="32"/>
  <c r="N75" i="32" s="1"/>
  <c r="N65" i="32"/>
  <c r="L64" i="32"/>
  <c r="N63" i="32"/>
  <c r="N22" i="32"/>
  <c r="N66" i="32"/>
  <c r="N64" i="32"/>
  <c r="N78" i="32"/>
  <c r="N77" i="32"/>
  <c r="N67" i="32"/>
  <c r="N7" i="32"/>
  <c r="L63" i="32"/>
  <c r="L65" i="32"/>
  <c r="L77" i="32"/>
  <c r="L78" i="32"/>
  <c r="M32" i="32"/>
  <c r="M75" i="32" s="1"/>
  <c r="M22" i="32"/>
  <c r="M44" i="32"/>
  <c r="M76" i="32" s="1"/>
  <c r="L135" i="57"/>
  <c r="AA112" i="57"/>
  <c r="M27" i="57"/>
  <c r="C135" i="57"/>
  <c r="L110" i="57"/>
  <c r="L166" i="57"/>
  <c r="L95" i="57"/>
  <c r="L27" i="57"/>
  <c r="K110" i="57"/>
  <c r="K166" i="57"/>
  <c r="K135" i="57"/>
  <c r="K95" i="57"/>
  <c r="J95" i="57"/>
  <c r="I95" i="57"/>
  <c r="H110" i="57"/>
  <c r="H135" i="57"/>
  <c r="H95" i="57"/>
  <c r="H27" i="57"/>
  <c r="G110" i="57"/>
  <c r="G166" i="57"/>
  <c r="G135" i="57"/>
  <c r="G95" i="57"/>
  <c r="F110" i="57"/>
  <c r="E166" i="57"/>
  <c r="E95" i="57"/>
  <c r="D135" i="57"/>
  <c r="D27" i="57"/>
  <c r="C166" i="57"/>
  <c r="C119" i="57"/>
  <c r="F95" i="57"/>
  <c r="M104" i="57"/>
  <c r="M110" i="57"/>
  <c r="M95" i="57"/>
  <c r="M135" i="57"/>
  <c r="M166" i="57"/>
  <c r="M58" i="57"/>
  <c r="M119" i="57"/>
  <c r="M81" i="57"/>
  <c r="M35" i="57"/>
  <c r="M172" i="57"/>
  <c r="K27" i="57"/>
  <c r="H166" i="57"/>
  <c r="E27" i="57"/>
  <c r="D166" i="57"/>
  <c r="F135" i="57"/>
  <c r="F27" i="57"/>
  <c r="J166" i="57"/>
  <c r="J135" i="57"/>
  <c r="J27" i="57"/>
  <c r="I166" i="57"/>
  <c r="I135" i="57"/>
  <c r="I27" i="57"/>
  <c r="G27" i="57"/>
  <c r="F166" i="57"/>
  <c r="E135" i="57"/>
  <c r="O35" i="9" l="1"/>
  <c r="O19" i="9"/>
  <c r="O48" i="9"/>
  <c r="O49" i="9"/>
  <c r="M35" i="9"/>
  <c r="M44" i="9"/>
  <c r="N82" i="32"/>
  <c r="N76" i="32"/>
  <c r="O44" i="9"/>
  <c r="O46" i="9" s="1"/>
  <c r="O50" i="9"/>
  <c r="M19" i="9"/>
  <c r="N35" i="9"/>
  <c r="N50" i="9" s="1"/>
  <c r="N44" i="9"/>
  <c r="N46" i="9" s="1"/>
  <c r="N55" i="9"/>
  <c r="N54" i="9"/>
  <c r="N24" i="32"/>
  <c r="N62" i="32"/>
  <c r="N83" i="32"/>
  <c r="N84" i="32" s="1"/>
  <c r="N85" i="32" s="1"/>
  <c r="N86" i="32" s="1"/>
  <c r="N87" i="32" s="1"/>
  <c r="O55" i="9"/>
  <c r="O54" i="9"/>
  <c r="N48" i="9"/>
  <c r="N49" i="9"/>
  <c r="M24" i="32"/>
  <c r="M74" i="32" s="1"/>
  <c r="M62" i="32"/>
  <c r="M112" i="57"/>
  <c r="N56" i="9" l="1"/>
  <c r="O56" i="9"/>
  <c r="N49" i="32"/>
  <c r="N25" i="32"/>
  <c r="N74" i="32"/>
  <c r="M48" i="9"/>
  <c r="M49" i="9"/>
  <c r="M46" i="9"/>
  <c r="M50" i="9"/>
  <c r="Q55" i="57"/>
  <c r="C55" i="57" s="1"/>
  <c r="Q53" i="57"/>
  <c r="C53" i="57" s="1"/>
  <c r="Q52" i="57"/>
  <c r="C52" i="57" s="1"/>
  <c r="Q51" i="57"/>
  <c r="C51" i="57" s="1"/>
  <c r="Q50" i="57"/>
  <c r="C50" i="57" s="1"/>
  <c r="Q48" i="57"/>
  <c r="C48" i="57" s="1"/>
  <c r="Q47" i="57"/>
  <c r="C47" i="57" s="1"/>
  <c r="Q46" i="57"/>
  <c r="C46" i="57" s="1"/>
  <c r="Q45" i="57"/>
  <c r="C45" i="57" s="1"/>
  <c r="Q44" i="57"/>
  <c r="C44" i="57" s="1"/>
  <c r="Q43" i="57"/>
  <c r="C43" i="57" s="1"/>
  <c r="Q42" i="57"/>
  <c r="C42" i="57" s="1"/>
  <c r="Q41" i="57"/>
  <c r="C41" i="57" s="1"/>
  <c r="Q40" i="57"/>
  <c r="C40" i="57" s="1"/>
  <c r="Q39" i="57"/>
  <c r="C39" i="57" s="1"/>
  <c r="Q38" i="57"/>
  <c r="C38" i="57" s="1"/>
  <c r="Q37" i="57"/>
  <c r="C37" i="57" s="1"/>
  <c r="Q32" i="57"/>
  <c r="C32" i="57" s="1"/>
  <c r="Q31" i="57"/>
  <c r="C31" i="57" s="1"/>
  <c r="Q30" i="57"/>
  <c r="C30" i="57" s="1"/>
  <c r="Q25" i="57"/>
  <c r="C25" i="57" s="1"/>
  <c r="Q24" i="57"/>
  <c r="C24" i="57" s="1"/>
  <c r="Q23" i="57"/>
  <c r="C23" i="57" s="1"/>
  <c r="Q22" i="57"/>
  <c r="C22" i="57" s="1"/>
  <c r="Q21" i="57"/>
  <c r="C21" i="57" s="1"/>
  <c r="Q20" i="57"/>
  <c r="C20" i="57" s="1"/>
  <c r="Q19" i="57"/>
  <c r="C19" i="57" s="1"/>
  <c r="Q18" i="57"/>
  <c r="C18" i="57" s="1"/>
  <c r="Q17" i="57"/>
  <c r="C17" i="57" s="1"/>
  <c r="Q16" i="57"/>
  <c r="C16" i="57" s="1"/>
  <c r="Q15" i="57"/>
  <c r="C15" i="57" s="1"/>
  <c r="Q14" i="57"/>
  <c r="C14" i="57" s="1"/>
  <c r="Q13" i="57"/>
  <c r="C13" i="57" s="1"/>
  <c r="Q12" i="57"/>
  <c r="C12" i="57" s="1"/>
  <c r="Q11" i="57"/>
  <c r="C11" i="57" s="1"/>
  <c r="Q10" i="57"/>
  <c r="C10" i="57" s="1"/>
  <c r="Q9" i="57"/>
  <c r="C9" i="57" s="1"/>
  <c r="Q8" i="57"/>
  <c r="C8" i="57" s="1"/>
  <c r="Q7" i="57"/>
  <c r="Q222" i="57"/>
  <c r="Q224" i="57" s="1"/>
  <c r="AB224" i="57"/>
  <c r="AA224" i="57"/>
  <c r="Z224" i="57"/>
  <c r="Y224" i="57"/>
  <c r="X224" i="57"/>
  <c r="W224" i="57"/>
  <c r="V224" i="57"/>
  <c r="U224" i="57"/>
  <c r="T224" i="57"/>
  <c r="S224" i="57"/>
  <c r="R224" i="57"/>
  <c r="AB216" i="57"/>
  <c r="AB219" i="57" s="1"/>
  <c r="AA216" i="57"/>
  <c r="AA219" i="57" s="1"/>
  <c r="Z216" i="57"/>
  <c r="Z219" i="57" s="1"/>
  <c r="Y216" i="57"/>
  <c r="Y219" i="57" s="1"/>
  <c r="X216" i="57"/>
  <c r="X219" i="57" s="1"/>
  <c r="W216" i="57"/>
  <c r="W219" i="57" s="1"/>
  <c r="V216" i="57"/>
  <c r="V219" i="57" s="1"/>
  <c r="U216" i="57"/>
  <c r="U219" i="57" s="1"/>
  <c r="T216" i="57"/>
  <c r="T219" i="57" s="1"/>
  <c r="S216" i="57"/>
  <c r="S219" i="57" s="1"/>
  <c r="R216" i="57"/>
  <c r="R219" i="57" s="1"/>
  <c r="Q216" i="57"/>
  <c r="Q215" i="57"/>
  <c r="Q212" i="57"/>
  <c r="Q211" i="57"/>
  <c r="Q210" i="57"/>
  <c r="Q209" i="57"/>
  <c r="Q207" i="57"/>
  <c r="AP202" i="57"/>
  <c r="AO202" i="57"/>
  <c r="AN202" i="57"/>
  <c r="AM202" i="57"/>
  <c r="AL202" i="57"/>
  <c r="AK202" i="57"/>
  <c r="AJ202" i="57"/>
  <c r="AI202" i="57"/>
  <c r="AH202" i="57"/>
  <c r="AG202" i="57"/>
  <c r="AF202" i="57"/>
  <c r="AB202" i="57"/>
  <c r="AA202" i="57"/>
  <c r="Z202" i="57"/>
  <c r="Y202" i="57"/>
  <c r="X202" i="57"/>
  <c r="W202" i="57"/>
  <c r="V202" i="57"/>
  <c r="U202" i="57"/>
  <c r="T202" i="57"/>
  <c r="S202" i="57"/>
  <c r="R202" i="57"/>
  <c r="Q200" i="57"/>
  <c r="Q199" i="57"/>
  <c r="Q198" i="57"/>
  <c r="O194" i="57"/>
  <c r="O193" i="57"/>
  <c r="O192" i="57"/>
  <c r="O191" i="57"/>
  <c r="O190" i="57"/>
  <c r="N195" i="57"/>
  <c r="M195" i="57"/>
  <c r="L195" i="57"/>
  <c r="K195" i="57"/>
  <c r="J195" i="57"/>
  <c r="I195" i="57"/>
  <c r="H195" i="57"/>
  <c r="G195" i="57"/>
  <c r="F195" i="57"/>
  <c r="E195" i="57"/>
  <c r="D195" i="57"/>
  <c r="C195" i="57"/>
  <c r="AP195" i="57"/>
  <c r="AO195" i="57"/>
  <c r="AN195" i="57"/>
  <c r="AM195" i="57"/>
  <c r="AL195" i="57"/>
  <c r="AK195" i="57"/>
  <c r="AJ195" i="57"/>
  <c r="AI195" i="57"/>
  <c r="AH195" i="57"/>
  <c r="AG195" i="57"/>
  <c r="AF195" i="57"/>
  <c r="AB195" i="57"/>
  <c r="AA195" i="57"/>
  <c r="Z195" i="57"/>
  <c r="Y195" i="57"/>
  <c r="X195" i="57"/>
  <c r="W195" i="57"/>
  <c r="V195" i="57"/>
  <c r="U195" i="57"/>
  <c r="T195" i="57"/>
  <c r="S195" i="57"/>
  <c r="R195" i="57"/>
  <c r="AP186" i="57"/>
  <c r="AP185" i="57"/>
  <c r="AP184" i="57"/>
  <c r="AP183" i="57"/>
  <c r="AP182" i="57"/>
  <c r="AP181" i="57"/>
  <c r="AP180" i="57"/>
  <c r="Q186" i="57"/>
  <c r="Q185" i="57"/>
  <c r="Q184" i="57"/>
  <c r="Q183" i="57"/>
  <c r="Q182" i="57"/>
  <c r="Q181" i="57"/>
  <c r="N56" i="32" l="1"/>
  <c r="N59" i="32" s="1"/>
  <c r="N79" i="32"/>
  <c r="C7" i="57"/>
  <c r="C27" i="57" s="1"/>
  <c r="Q27" i="57"/>
  <c r="J181" i="57"/>
  <c r="G182" i="57"/>
  <c r="D183" i="57"/>
  <c r="L183" i="57"/>
  <c r="I184" i="57"/>
  <c r="F185" i="57"/>
  <c r="N185" i="57"/>
  <c r="K186" i="57"/>
  <c r="F181" i="57"/>
  <c r="N181" i="57"/>
  <c r="K182" i="57"/>
  <c r="H183" i="57"/>
  <c r="E184" i="57"/>
  <c r="M184" i="57"/>
  <c r="J185" i="57"/>
  <c r="G186" i="57"/>
  <c r="C184" i="57"/>
  <c r="K181" i="57"/>
  <c r="H182" i="57"/>
  <c r="E183" i="57"/>
  <c r="M183" i="57"/>
  <c r="J184" i="57"/>
  <c r="G185" i="57"/>
  <c r="D186" i="57"/>
  <c r="L186" i="57"/>
  <c r="C181" i="57"/>
  <c r="I181" i="57"/>
  <c r="F182" i="57"/>
  <c r="N182" i="57"/>
  <c r="K183" i="57"/>
  <c r="H184" i="57"/>
  <c r="E185" i="57"/>
  <c r="M185" i="57"/>
  <c r="J186" i="57"/>
  <c r="H181" i="57"/>
  <c r="E182" i="57"/>
  <c r="M182" i="57"/>
  <c r="J183" i="57"/>
  <c r="G184" i="57"/>
  <c r="D185" i="57"/>
  <c r="L185" i="57"/>
  <c r="I186" i="57"/>
  <c r="O195" i="57"/>
  <c r="D181" i="57"/>
  <c r="L181" i="57"/>
  <c r="I182" i="57"/>
  <c r="F183" i="57"/>
  <c r="N183" i="57"/>
  <c r="K184" i="57"/>
  <c r="H185" i="57"/>
  <c r="E186" i="57"/>
  <c r="M186" i="57"/>
  <c r="C182" i="57"/>
  <c r="G181" i="57"/>
  <c r="D182" i="57"/>
  <c r="L182" i="57"/>
  <c r="I183" i="57"/>
  <c r="F184" i="57"/>
  <c r="N184" i="57"/>
  <c r="K185" i="57"/>
  <c r="H186" i="57"/>
  <c r="C185" i="57"/>
  <c r="E181" i="57"/>
  <c r="M181" i="57"/>
  <c r="J182" i="57"/>
  <c r="G183" i="57"/>
  <c r="D184" i="57"/>
  <c r="L184" i="57"/>
  <c r="I185" i="57"/>
  <c r="F186" i="57"/>
  <c r="N186" i="57"/>
  <c r="AP188" i="57"/>
  <c r="C183" i="57"/>
  <c r="C186" i="57"/>
  <c r="N80" i="32" l="1"/>
  <c r="A3" i="57"/>
  <c r="Y63" i="57" l="1"/>
  <c r="K63" i="57" s="1"/>
  <c r="Y61" i="57"/>
  <c r="X63" i="57"/>
  <c r="J63" i="57" s="1"/>
  <c r="X61" i="57"/>
  <c r="W63" i="57"/>
  <c r="I63" i="57" s="1"/>
  <c r="W61" i="57"/>
  <c r="V63" i="57"/>
  <c r="H63" i="57" s="1"/>
  <c r="V61" i="57"/>
  <c r="U63" i="57"/>
  <c r="G63" i="57" s="1"/>
  <c r="U61" i="57"/>
  <c r="T63" i="57"/>
  <c r="F63" i="57" s="1"/>
  <c r="T61" i="57"/>
  <c r="S63" i="57"/>
  <c r="E63" i="57" s="1"/>
  <c r="S61" i="57"/>
  <c r="Z63" i="57" l="1"/>
  <c r="L63" i="57" s="1"/>
  <c r="Z61" i="57"/>
  <c r="K61" i="57"/>
  <c r="J61" i="57"/>
  <c r="I61" i="57"/>
  <c r="H61" i="57"/>
  <c r="G61" i="57"/>
  <c r="F61" i="57"/>
  <c r="E61" i="57"/>
  <c r="L61" i="57" l="1"/>
  <c r="AE211" i="57" l="1"/>
  <c r="O269" i="55" l="1"/>
  <c r="O268" i="55"/>
  <c r="O266" i="55"/>
  <c r="O265" i="55"/>
  <c r="O264" i="55"/>
  <c r="O263" i="55"/>
  <c r="O262" i="55"/>
  <c r="O261" i="55"/>
  <c r="O260" i="55"/>
  <c r="O259" i="55"/>
  <c r="O258" i="55"/>
  <c r="O257" i="55"/>
  <c r="O256" i="55"/>
  <c r="O255" i="55"/>
  <c r="O254" i="55"/>
  <c r="O253" i="55"/>
  <c r="O252" i="55"/>
  <c r="O251" i="55"/>
  <c r="O250" i="55"/>
  <c r="O249" i="55"/>
  <c r="O248" i="55"/>
  <c r="O247" i="55"/>
  <c r="O246" i="55"/>
  <c r="O245" i="55"/>
  <c r="O244" i="55"/>
  <c r="O243" i="55"/>
  <c r="O242" i="55"/>
  <c r="O241" i="55"/>
  <c r="O240" i="55"/>
  <c r="O239" i="55"/>
  <c r="O238" i="55"/>
  <c r="O237" i="55"/>
  <c r="O236" i="55"/>
  <c r="O235" i="55"/>
  <c r="O234" i="55"/>
  <c r="O233" i="55"/>
  <c r="O232" i="55"/>
  <c r="O231" i="55"/>
  <c r="O230" i="55"/>
  <c r="O229" i="55"/>
  <c r="O228" i="55"/>
  <c r="O227" i="55"/>
  <c r="O226" i="55"/>
  <c r="O225" i="55"/>
  <c r="O224" i="55"/>
  <c r="O223" i="55"/>
  <c r="O222" i="55"/>
  <c r="O221" i="55"/>
  <c r="O220" i="55"/>
  <c r="O219" i="55"/>
  <c r="O218" i="55"/>
  <c r="O217" i="55"/>
  <c r="O216" i="55"/>
  <c r="O215" i="55"/>
  <c r="O214" i="55"/>
  <c r="O213" i="55"/>
  <c r="O212" i="55"/>
  <c r="O211" i="55"/>
  <c r="O210" i="55"/>
  <c r="O209" i="55"/>
  <c r="O208" i="55"/>
  <c r="O207" i="55"/>
  <c r="O206" i="55"/>
  <c r="O205" i="55"/>
  <c r="O204" i="55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C243" i="53" l="1"/>
  <c r="AN138" i="57"/>
  <c r="AN153" i="57" s="1"/>
  <c r="AN54" i="57"/>
  <c r="Z180" i="57"/>
  <c r="Z188" i="57" s="1"/>
  <c r="Z146" i="57"/>
  <c r="L146" i="57" s="1"/>
  <c r="Z138" i="57"/>
  <c r="Z56" i="57"/>
  <c r="L56" i="57" s="1"/>
  <c r="Z49" i="57"/>
  <c r="Z170" i="57"/>
  <c r="Z33" i="57"/>
  <c r="Z117" i="57"/>
  <c r="Z102" i="57"/>
  <c r="L102" i="57" s="1"/>
  <c r="Z101" i="57"/>
  <c r="L101" i="57" s="1"/>
  <c r="Z100" i="57"/>
  <c r="L100" i="57" s="1"/>
  <c r="Z99" i="57"/>
  <c r="L99" i="57" s="1"/>
  <c r="Z97" i="57"/>
  <c r="J241" i="53"/>
  <c r="I241" i="53"/>
  <c r="H241" i="53"/>
  <c r="G241" i="53"/>
  <c r="J240" i="53"/>
  <c r="I240" i="53"/>
  <c r="H240" i="53"/>
  <c r="G240" i="53"/>
  <c r="J239" i="53"/>
  <c r="I239" i="53"/>
  <c r="H239" i="53"/>
  <c r="G239" i="53"/>
  <c r="J238" i="53"/>
  <c r="I238" i="53"/>
  <c r="H238" i="53"/>
  <c r="G238" i="53"/>
  <c r="J237" i="53"/>
  <c r="I237" i="53"/>
  <c r="H237" i="53"/>
  <c r="G237" i="53"/>
  <c r="J236" i="53"/>
  <c r="I236" i="53"/>
  <c r="H236" i="53"/>
  <c r="G236" i="53"/>
  <c r="J235" i="53"/>
  <c r="I235" i="53"/>
  <c r="H235" i="53"/>
  <c r="G235" i="53"/>
  <c r="J234" i="53"/>
  <c r="I234" i="53"/>
  <c r="H234" i="53"/>
  <c r="G234" i="53"/>
  <c r="J233" i="53"/>
  <c r="I233" i="53"/>
  <c r="H233" i="53"/>
  <c r="G233" i="53"/>
  <c r="J232" i="53"/>
  <c r="I232" i="53"/>
  <c r="H232" i="53"/>
  <c r="G232" i="53"/>
  <c r="J231" i="53"/>
  <c r="I231" i="53"/>
  <c r="H231" i="53"/>
  <c r="G231" i="53"/>
  <c r="J230" i="53"/>
  <c r="I230" i="53"/>
  <c r="H230" i="53"/>
  <c r="G230" i="53"/>
  <c r="J229" i="53"/>
  <c r="I229" i="53"/>
  <c r="H229" i="53"/>
  <c r="G229" i="53"/>
  <c r="J228" i="53"/>
  <c r="I228" i="53"/>
  <c r="H228" i="53"/>
  <c r="G228" i="53"/>
  <c r="J227" i="53"/>
  <c r="I227" i="53"/>
  <c r="H227" i="53"/>
  <c r="G227" i="53"/>
  <c r="J226" i="53"/>
  <c r="I226" i="53"/>
  <c r="H226" i="53"/>
  <c r="G226" i="53"/>
  <c r="J225" i="53"/>
  <c r="I225" i="53"/>
  <c r="H225" i="53"/>
  <c r="G225" i="53"/>
  <c r="J224" i="53"/>
  <c r="I224" i="53"/>
  <c r="H224" i="53"/>
  <c r="G224" i="53"/>
  <c r="J223" i="53"/>
  <c r="I223" i="53"/>
  <c r="H223" i="53"/>
  <c r="G223" i="53"/>
  <c r="J222" i="53"/>
  <c r="I222" i="53"/>
  <c r="H222" i="53"/>
  <c r="G222" i="53"/>
  <c r="J221" i="53"/>
  <c r="I221" i="53"/>
  <c r="H221" i="53"/>
  <c r="G221" i="53"/>
  <c r="J220" i="53"/>
  <c r="I220" i="53"/>
  <c r="H220" i="53"/>
  <c r="G220" i="53"/>
  <c r="J219" i="53"/>
  <c r="I219" i="53"/>
  <c r="H219" i="53"/>
  <c r="G219" i="53"/>
  <c r="J218" i="53"/>
  <c r="I218" i="53"/>
  <c r="H218" i="53"/>
  <c r="G218" i="53"/>
  <c r="J217" i="53"/>
  <c r="I217" i="53"/>
  <c r="H217" i="53"/>
  <c r="G217" i="53"/>
  <c r="J216" i="53"/>
  <c r="I216" i="53"/>
  <c r="H216" i="53"/>
  <c r="G216" i="53"/>
  <c r="J215" i="53"/>
  <c r="I215" i="53"/>
  <c r="H215" i="53"/>
  <c r="G215" i="53"/>
  <c r="J214" i="53"/>
  <c r="I214" i="53"/>
  <c r="H214" i="53"/>
  <c r="G214" i="53"/>
  <c r="J213" i="53"/>
  <c r="I213" i="53"/>
  <c r="H213" i="53"/>
  <c r="G213" i="53"/>
  <c r="J212" i="53"/>
  <c r="I212" i="53"/>
  <c r="H212" i="53"/>
  <c r="G212" i="53"/>
  <c r="J211" i="53"/>
  <c r="I211" i="53"/>
  <c r="H211" i="53"/>
  <c r="G211" i="53"/>
  <c r="J210" i="53"/>
  <c r="I210" i="53"/>
  <c r="H210" i="53"/>
  <c r="G210" i="53"/>
  <c r="J209" i="53"/>
  <c r="I209" i="53"/>
  <c r="H209" i="53"/>
  <c r="G209" i="53"/>
  <c r="J208" i="53"/>
  <c r="I208" i="53"/>
  <c r="H208" i="53"/>
  <c r="G208" i="53"/>
  <c r="J207" i="53"/>
  <c r="I207" i="53"/>
  <c r="H207" i="53"/>
  <c r="G207" i="53"/>
  <c r="J206" i="53"/>
  <c r="I206" i="53"/>
  <c r="H206" i="53"/>
  <c r="G206" i="53"/>
  <c r="J205" i="53"/>
  <c r="I205" i="53"/>
  <c r="H205" i="53"/>
  <c r="G205" i="53"/>
  <c r="J204" i="53"/>
  <c r="I204" i="53"/>
  <c r="H204" i="53"/>
  <c r="G204" i="53"/>
  <c r="J203" i="53"/>
  <c r="I203" i="53"/>
  <c r="H203" i="53"/>
  <c r="G203" i="53"/>
  <c r="J202" i="53"/>
  <c r="I202" i="53"/>
  <c r="H202" i="53"/>
  <c r="G202" i="53"/>
  <c r="J201" i="53"/>
  <c r="I201" i="53"/>
  <c r="H201" i="53"/>
  <c r="G201" i="53"/>
  <c r="J200" i="53"/>
  <c r="I200" i="53"/>
  <c r="H200" i="53"/>
  <c r="G200" i="53"/>
  <c r="J199" i="53"/>
  <c r="I199" i="53"/>
  <c r="H199" i="53"/>
  <c r="G199" i="53"/>
  <c r="J198" i="53"/>
  <c r="I198" i="53"/>
  <c r="H198" i="53"/>
  <c r="G198" i="53"/>
  <c r="J197" i="53"/>
  <c r="I197" i="53"/>
  <c r="H197" i="53"/>
  <c r="G197" i="53"/>
  <c r="J196" i="53"/>
  <c r="I196" i="53"/>
  <c r="H196" i="53"/>
  <c r="G196" i="53"/>
  <c r="J195" i="53"/>
  <c r="I195" i="53"/>
  <c r="H195" i="53"/>
  <c r="G195" i="53"/>
  <c r="J194" i="53"/>
  <c r="I194" i="53"/>
  <c r="H194" i="53"/>
  <c r="G194" i="53"/>
  <c r="J193" i="53"/>
  <c r="I193" i="53"/>
  <c r="H193" i="53"/>
  <c r="G193" i="53"/>
  <c r="J192" i="53"/>
  <c r="I192" i="53"/>
  <c r="H192" i="53"/>
  <c r="G192" i="53"/>
  <c r="J191" i="53"/>
  <c r="I191" i="53"/>
  <c r="H191" i="53"/>
  <c r="G191" i="53"/>
  <c r="J190" i="53"/>
  <c r="I190" i="53"/>
  <c r="H190" i="53"/>
  <c r="G190" i="53"/>
  <c r="J189" i="53"/>
  <c r="I189" i="53"/>
  <c r="H189" i="53"/>
  <c r="G189" i="53"/>
  <c r="J188" i="53"/>
  <c r="I188" i="53"/>
  <c r="H188" i="53"/>
  <c r="G188" i="53"/>
  <c r="J187" i="53"/>
  <c r="I187" i="53"/>
  <c r="H187" i="53"/>
  <c r="G187" i="53"/>
  <c r="J186" i="53"/>
  <c r="I186" i="53"/>
  <c r="H186" i="53"/>
  <c r="G186" i="53"/>
  <c r="J185" i="53"/>
  <c r="I185" i="53"/>
  <c r="H185" i="53"/>
  <c r="G185" i="53"/>
  <c r="J184" i="53"/>
  <c r="I184" i="53"/>
  <c r="H184" i="53"/>
  <c r="G184" i="53"/>
  <c r="J183" i="53"/>
  <c r="I183" i="53"/>
  <c r="H183" i="53"/>
  <c r="G183" i="53"/>
  <c r="J182" i="53"/>
  <c r="I182" i="53"/>
  <c r="H182" i="53"/>
  <c r="G182" i="53"/>
  <c r="J181" i="53"/>
  <c r="I181" i="53"/>
  <c r="H181" i="53"/>
  <c r="G181" i="53"/>
  <c r="J180" i="53"/>
  <c r="I180" i="53"/>
  <c r="H180" i="53"/>
  <c r="G180" i="53"/>
  <c r="J179" i="53"/>
  <c r="I179" i="53"/>
  <c r="H179" i="53"/>
  <c r="G179" i="53"/>
  <c r="J178" i="53"/>
  <c r="I178" i="53"/>
  <c r="H178" i="53"/>
  <c r="G178" i="53"/>
  <c r="J177" i="53"/>
  <c r="I177" i="53"/>
  <c r="H177" i="53"/>
  <c r="G177" i="53"/>
  <c r="J176" i="53"/>
  <c r="I176" i="53"/>
  <c r="H176" i="53"/>
  <c r="G176" i="53"/>
  <c r="J175" i="53"/>
  <c r="I175" i="53"/>
  <c r="H175" i="53"/>
  <c r="G175" i="53"/>
  <c r="J174" i="53"/>
  <c r="I174" i="53"/>
  <c r="H174" i="53"/>
  <c r="G174" i="53"/>
  <c r="J173" i="53"/>
  <c r="I173" i="53"/>
  <c r="H173" i="53"/>
  <c r="G173" i="53"/>
  <c r="J172" i="53"/>
  <c r="I172" i="53"/>
  <c r="H172" i="53"/>
  <c r="G172" i="53"/>
  <c r="J171" i="53"/>
  <c r="I171" i="53"/>
  <c r="H171" i="53"/>
  <c r="G171" i="53"/>
  <c r="J170" i="53"/>
  <c r="I170" i="53"/>
  <c r="H170" i="53"/>
  <c r="G170" i="53"/>
  <c r="J169" i="53"/>
  <c r="I169" i="53"/>
  <c r="H169" i="53"/>
  <c r="G169" i="53"/>
  <c r="J168" i="53"/>
  <c r="I168" i="53"/>
  <c r="H168" i="53"/>
  <c r="G168" i="53"/>
  <c r="J167" i="53"/>
  <c r="I167" i="53"/>
  <c r="H167" i="53"/>
  <c r="G167" i="53"/>
  <c r="J166" i="53"/>
  <c r="I166" i="53"/>
  <c r="H166" i="53"/>
  <c r="G166" i="53"/>
  <c r="J165" i="53"/>
  <c r="I165" i="53"/>
  <c r="H165" i="53"/>
  <c r="G165" i="53"/>
  <c r="J164" i="53"/>
  <c r="I164" i="53"/>
  <c r="H164" i="53"/>
  <c r="G164" i="53"/>
  <c r="J163" i="53"/>
  <c r="I163" i="53"/>
  <c r="H163" i="53"/>
  <c r="G163" i="53"/>
  <c r="J162" i="53"/>
  <c r="I162" i="53"/>
  <c r="H162" i="53"/>
  <c r="G162" i="53"/>
  <c r="J161" i="53"/>
  <c r="I161" i="53"/>
  <c r="H161" i="53"/>
  <c r="G161" i="53"/>
  <c r="J160" i="53"/>
  <c r="I160" i="53"/>
  <c r="H160" i="53"/>
  <c r="G160" i="53"/>
  <c r="J159" i="53"/>
  <c r="I159" i="53"/>
  <c r="H159" i="53"/>
  <c r="G159" i="53"/>
  <c r="J158" i="53"/>
  <c r="I158" i="53"/>
  <c r="H158" i="53"/>
  <c r="G158" i="53"/>
  <c r="J157" i="53"/>
  <c r="I157" i="53"/>
  <c r="H157" i="53"/>
  <c r="G157" i="53"/>
  <c r="J156" i="53"/>
  <c r="I156" i="53"/>
  <c r="H156" i="53"/>
  <c r="G156" i="53"/>
  <c r="J155" i="53"/>
  <c r="I155" i="53"/>
  <c r="H155" i="53"/>
  <c r="G155" i="53"/>
  <c r="J154" i="53"/>
  <c r="I154" i="53"/>
  <c r="H154" i="53"/>
  <c r="G154" i="53"/>
  <c r="J153" i="53"/>
  <c r="I153" i="53"/>
  <c r="H153" i="53"/>
  <c r="G153" i="53"/>
  <c r="J152" i="53"/>
  <c r="I152" i="53"/>
  <c r="H152" i="53"/>
  <c r="G152" i="53"/>
  <c r="J151" i="53"/>
  <c r="I151" i="53"/>
  <c r="H151" i="53"/>
  <c r="G151" i="53"/>
  <c r="J150" i="53"/>
  <c r="I150" i="53"/>
  <c r="H150" i="53"/>
  <c r="G150" i="53"/>
  <c r="J149" i="53"/>
  <c r="I149" i="53"/>
  <c r="H149" i="53"/>
  <c r="G149" i="53"/>
  <c r="J148" i="53"/>
  <c r="I148" i="53"/>
  <c r="H148" i="53"/>
  <c r="G148" i="53"/>
  <c r="J147" i="53"/>
  <c r="I147" i="53"/>
  <c r="H147" i="53"/>
  <c r="G147" i="53"/>
  <c r="J146" i="53"/>
  <c r="I146" i="53"/>
  <c r="H146" i="53"/>
  <c r="G146" i="53"/>
  <c r="J145" i="53"/>
  <c r="I145" i="53"/>
  <c r="H145" i="53"/>
  <c r="G145" i="53"/>
  <c r="J144" i="53"/>
  <c r="I144" i="53"/>
  <c r="H144" i="53"/>
  <c r="G144" i="53"/>
  <c r="J143" i="53"/>
  <c r="I143" i="53"/>
  <c r="H143" i="53"/>
  <c r="G143" i="53"/>
  <c r="J142" i="53"/>
  <c r="I142" i="53"/>
  <c r="H142" i="53"/>
  <c r="G142" i="53"/>
  <c r="J141" i="53"/>
  <c r="I141" i="53"/>
  <c r="H141" i="53"/>
  <c r="G141" i="53"/>
  <c r="J140" i="53"/>
  <c r="I140" i="53"/>
  <c r="H140" i="53"/>
  <c r="G140" i="53"/>
  <c r="J139" i="53"/>
  <c r="I139" i="53"/>
  <c r="H139" i="53"/>
  <c r="G139" i="53"/>
  <c r="J138" i="53"/>
  <c r="I138" i="53"/>
  <c r="H138" i="53"/>
  <c r="G138" i="53"/>
  <c r="J137" i="53"/>
  <c r="I137" i="53"/>
  <c r="H137" i="53"/>
  <c r="G137" i="53"/>
  <c r="J136" i="53"/>
  <c r="I136" i="53"/>
  <c r="H136" i="53"/>
  <c r="G136" i="53"/>
  <c r="J135" i="53"/>
  <c r="I135" i="53"/>
  <c r="H135" i="53"/>
  <c r="G135" i="53"/>
  <c r="J134" i="53"/>
  <c r="I134" i="53"/>
  <c r="H134" i="53"/>
  <c r="G134" i="53"/>
  <c r="J133" i="53"/>
  <c r="I133" i="53"/>
  <c r="H133" i="53"/>
  <c r="G133" i="53"/>
  <c r="J132" i="53"/>
  <c r="I132" i="53"/>
  <c r="H132" i="53"/>
  <c r="G132" i="53"/>
  <c r="J131" i="53"/>
  <c r="I131" i="53"/>
  <c r="H131" i="53"/>
  <c r="G131" i="53"/>
  <c r="J130" i="53"/>
  <c r="I130" i="53"/>
  <c r="H130" i="53"/>
  <c r="G130" i="53"/>
  <c r="J129" i="53"/>
  <c r="I129" i="53"/>
  <c r="H129" i="53"/>
  <c r="G129" i="53"/>
  <c r="J128" i="53"/>
  <c r="I128" i="53"/>
  <c r="H128" i="53"/>
  <c r="G128" i="53"/>
  <c r="J127" i="53"/>
  <c r="I127" i="53"/>
  <c r="H127" i="53"/>
  <c r="G127" i="53"/>
  <c r="J126" i="53"/>
  <c r="I126" i="53"/>
  <c r="H126" i="53"/>
  <c r="G126" i="53"/>
  <c r="J125" i="53"/>
  <c r="I125" i="53"/>
  <c r="H125" i="53"/>
  <c r="G125" i="53"/>
  <c r="J124" i="53"/>
  <c r="I124" i="53"/>
  <c r="H124" i="53"/>
  <c r="G124" i="53"/>
  <c r="J123" i="53"/>
  <c r="I123" i="53"/>
  <c r="H123" i="53"/>
  <c r="G123" i="53"/>
  <c r="J122" i="53"/>
  <c r="I122" i="53"/>
  <c r="H122" i="53"/>
  <c r="G122" i="53"/>
  <c r="J121" i="53"/>
  <c r="I121" i="53"/>
  <c r="H121" i="53"/>
  <c r="G121" i="53"/>
  <c r="J120" i="53"/>
  <c r="I120" i="53"/>
  <c r="H120" i="53"/>
  <c r="G120" i="53"/>
  <c r="J119" i="53"/>
  <c r="I119" i="53"/>
  <c r="H119" i="53"/>
  <c r="G119" i="53"/>
  <c r="J118" i="53"/>
  <c r="I118" i="53"/>
  <c r="H118" i="53"/>
  <c r="G118" i="53"/>
  <c r="J117" i="53"/>
  <c r="I117" i="53"/>
  <c r="H117" i="53"/>
  <c r="G117" i="53"/>
  <c r="J116" i="53"/>
  <c r="I116" i="53"/>
  <c r="H116" i="53"/>
  <c r="G116" i="53"/>
  <c r="J115" i="53"/>
  <c r="I115" i="53"/>
  <c r="H115" i="53"/>
  <c r="G115" i="53"/>
  <c r="J114" i="53"/>
  <c r="I114" i="53"/>
  <c r="H114" i="53"/>
  <c r="G114" i="53"/>
  <c r="J113" i="53"/>
  <c r="I113" i="53"/>
  <c r="H113" i="53"/>
  <c r="G113" i="53"/>
  <c r="J112" i="53"/>
  <c r="I112" i="53"/>
  <c r="H112" i="53"/>
  <c r="G112" i="53"/>
  <c r="J111" i="53"/>
  <c r="I111" i="53"/>
  <c r="H111" i="53"/>
  <c r="G111" i="53"/>
  <c r="J110" i="53"/>
  <c r="I110" i="53"/>
  <c r="H110" i="53"/>
  <c r="G110" i="53"/>
  <c r="J109" i="53"/>
  <c r="I109" i="53"/>
  <c r="H109" i="53"/>
  <c r="G109" i="53"/>
  <c r="J108" i="53"/>
  <c r="I108" i="53"/>
  <c r="H108" i="53"/>
  <c r="G108" i="53"/>
  <c r="J107" i="53"/>
  <c r="I107" i="53"/>
  <c r="H107" i="53"/>
  <c r="G107" i="53"/>
  <c r="J106" i="53"/>
  <c r="I106" i="53"/>
  <c r="H106" i="53"/>
  <c r="G106" i="53"/>
  <c r="J105" i="53"/>
  <c r="I105" i="53"/>
  <c r="H105" i="53"/>
  <c r="G105" i="53"/>
  <c r="J104" i="53"/>
  <c r="I104" i="53"/>
  <c r="H104" i="53"/>
  <c r="G104" i="53"/>
  <c r="J103" i="53"/>
  <c r="I103" i="53"/>
  <c r="H103" i="53"/>
  <c r="G103" i="53"/>
  <c r="J102" i="53"/>
  <c r="I102" i="53"/>
  <c r="H102" i="53"/>
  <c r="G102" i="53"/>
  <c r="J101" i="53"/>
  <c r="I101" i="53"/>
  <c r="H101" i="53"/>
  <c r="G101" i="53"/>
  <c r="J100" i="53"/>
  <c r="I100" i="53"/>
  <c r="H100" i="53"/>
  <c r="G100" i="53"/>
  <c r="J99" i="53"/>
  <c r="I99" i="53"/>
  <c r="H99" i="53"/>
  <c r="G99" i="53"/>
  <c r="J98" i="53"/>
  <c r="I98" i="53"/>
  <c r="H98" i="53"/>
  <c r="G98" i="53"/>
  <c r="J97" i="53"/>
  <c r="I97" i="53"/>
  <c r="H97" i="53"/>
  <c r="G97" i="53"/>
  <c r="J96" i="53"/>
  <c r="I96" i="53"/>
  <c r="H96" i="53"/>
  <c r="G96" i="53"/>
  <c r="J95" i="53"/>
  <c r="I95" i="53"/>
  <c r="H95" i="53"/>
  <c r="G95" i="53"/>
  <c r="J94" i="53"/>
  <c r="I94" i="53"/>
  <c r="H94" i="53"/>
  <c r="G94" i="53"/>
  <c r="J93" i="53"/>
  <c r="I93" i="53"/>
  <c r="H93" i="53"/>
  <c r="G93" i="53"/>
  <c r="J92" i="53"/>
  <c r="I92" i="53"/>
  <c r="H92" i="53"/>
  <c r="G92" i="53"/>
  <c r="J91" i="53"/>
  <c r="I91" i="53"/>
  <c r="H91" i="53"/>
  <c r="G91" i="53"/>
  <c r="J90" i="53"/>
  <c r="I90" i="53"/>
  <c r="H90" i="53"/>
  <c r="G90" i="53"/>
  <c r="J89" i="53"/>
  <c r="I89" i="53"/>
  <c r="H89" i="53"/>
  <c r="G89" i="53"/>
  <c r="J88" i="53"/>
  <c r="I88" i="53"/>
  <c r="H88" i="53"/>
  <c r="G88" i="53"/>
  <c r="J87" i="53"/>
  <c r="I87" i="53"/>
  <c r="H87" i="53"/>
  <c r="G87" i="53"/>
  <c r="J86" i="53"/>
  <c r="I86" i="53"/>
  <c r="H86" i="53"/>
  <c r="G86" i="53"/>
  <c r="J85" i="53"/>
  <c r="I85" i="53"/>
  <c r="H85" i="53"/>
  <c r="G85" i="53"/>
  <c r="J84" i="53"/>
  <c r="I84" i="53"/>
  <c r="H84" i="53"/>
  <c r="G84" i="53"/>
  <c r="J83" i="53"/>
  <c r="I83" i="53"/>
  <c r="H83" i="53"/>
  <c r="G83" i="53"/>
  <c r="J82" i="53"/>
  <c r="I82" i="53"/>
  <c r="H82" i="53"/>
  <c r="G82" i="53"/>
  <c r="J81" i="53"/>
  <c r="I81" i="53"/>
  <c r="H81" i="53"/>
  <c r="G81" i="53"/>
  <c r="J80" i="53"/>
  <c r="I80" i="53"/>
  <c r="H80" i="53"/>
  <c r="G80" i="53"/>
  <c r="J79" i="53"/>
  <c r="I79" i="53"/>
  <c r="H79" i="53"/>
  <c r="G79" i="53"/>
  <c r="J78" i="53"/>
  <c r="I78" i="53"/>
  <c r="H78" i="53"/>
  <c r="G78" i="53"/>
  <c r="J77" i="53"/>
  <c r="I77" i="53"/>
  <c r="H77" i="53"/>
  <c r="G77" i="53"/>
  <c r="J76" i="53"/>
  <c r="I76" i="53"/>
  <c r="H76" i="53"/>
  <c r="G76" i="53"/>
  <c r="J75" i="53"/>
  <c r="I75" i="53"/>
  <c r="H75" i="53"/>
  <c r="G75" i="53"/>
  <c r="J74" i="53"/>
  <c r="I74" i="53"/>
  <c r="H74" i="53"/>
  <c r="G74" i="53"/>
  <c r="J73" i="53"/>
  <c r="I73" i="53"/>
  <c r="H73" i="53"/>
  <c r="G73" i="53"/>
  <c r="J72" i="53"/>
  <c r="I72" i="53"/>
  <c r="H72" i="53"/>
  <c r="G72" i="53"/>
  <c r="J71" i="53"/>
  <c r="I71" i="53"/>
  <c r="H71" i="53"/>
  <c r="G71" i="53"/>
  <c r="J70" i="53"/>
  <c r="I70" i="53"/>
  <c r="H70" i="53"/>
  <c r="G70" i="53"/>
  <c r="J69" i="53"/>
  <c r="I69" i="53"/>
  <c r="H69" i="53"/>
  <c r="G69" i="53"/>
  <c r="J68" i="53"/>
  <c r="I68" i="53"/>
  <c r="H68" i="53"/>
  <c r="G68" i="53"/>
  <c r="J67" i="53"/>
  <c r="I67" i="53"/>
  <c r="H67" i="53"/>
  <c r="G67" i="53"/>
  <c r="J66" i="53"/>
  <c r="I66" i="53"/>
  <c r="H66" i="53"/>
  <c r="G66" i="53"/>
  <c r="J65" i="53"/>
  <c r="I65" i="53"/>
  <c r="H65" i="53"/>
  <c r="G65" i="53"/>
  <c r="J64" i="53"/>
  <c r="I64" i="53"/>
  <c r="H64" i="53"/>
  <c r="G64" i="53"/>
  <c r="J63" i="53"/>
  <c r="I63" i="53"/>
  <c r="H63" i="53"/>
  <c r="G63" i="53"/>
  <c r="J62" i="53"/>
  <c r="I62" i="53"/>
  <c r="H62" i="53"/>
  <c r="G62" i="53"/>
  <c r="J61" i="53"/>
  <c r="I61" i="53"/>
  <c r="H61" i="53"/>
  <c r="G61" i="53"/>
  <c r="J60" i="53"/>
  <c r="I60" i="53"/>
  <c r="H60" i="53"/>
  <c r="G60" i="53"/>
  <c r="J59" i="53"/>
  <c r="I59" i="53"/>
  <c r="H59" i="53"/>
  <c r="G59" i="53"/>
  <c r="J58" i="53"/>
  <c r="I58" i="53"/>
  <c r="H58" i="53"/>
  <c r="G58" i="53"/>
  <c r="J57" i="53"/>
  <c r="I57" i="53"/>
  <c r="H57" i="53"/>
  <c r="G57" i="53"/>
  <c r="J56" i="53"/>
  <c r="I56" i="53"/>
  <c r="H56" i="53"/>
  <c r="G56" i="53"/>
  <c r="J55" i="53"/>
  <c r="I55" i="53"/>
  <c r="H55" i="53"/>
  <c r="G55" i="53"/>
  <c r="J54" i="53"/>
  <c r="I54" i="53"/>
  <c r="H54" i="53"/>
  <c r="G54" i="53"/>
  <c r="J53" i="53"/>
  <c r="I53" i="53"/>
  <c r="H53" i="53"/>
  <c r="G53" i="53"/>
  <c r="J52" i="53"/>
  <c r="I52" i="53"/>
  <c r="H52" i="53"/>
  <c r="G52" i="53"/>
  <c r="J51" i="53"/>
  <c r="I51" i="53"/>
  <c r="H51" i="53"/>
  <c r="G51" i="53"/>
  <c r="J50" i="53"/>
  <c r="I50" i="53"/>
  <c r="H50" i="53"/>
  <c r="G50" i="53"/>
  <c r="J49" i="53"/>
  <c r="I49" i="53"/>
  <c r="H49" i="53"/>
  <c r="G49" i="53"/>
  <c r="J48" i="53"/>
  <c r="I48" i="53"/>
  <c r="H48" i="53"/>
  <c r="G48" i="53"/>
  <c r="J47" i="53"/>
  <c r="I47" i="53"/>
  <c r="H47" i="53"/>
  <c r="G47" i="53"/>
  <c r="J46" i="53"/>
  <c r="I46" i="53"/>
  <c r="H46" i="53"/>
  <c r="G46" i="53"/>
  <c r="J45" i="53"/>
  <c r="I45" i="53"/>
  <c r="H45" i="53"/>
  <c r="G45" i="53"/>
  <c r="J44" i="53"/>
  <c r="I44" i="53"/>
  <c r="H44" i="53"/>
  <c r="G44" i="53"/>
  <c r="J43" i="53"/>
  <c r="I43" i="53"/>
  <c r="H43" i="53"/>
  <c r="G43" i="53"/>
  <c r="J42" i="53"/>
  <c r="I42" i="53"/>
  <c r="H42" i="53"/>
  <c r="G42" i="53"/>
  <c r="J41" i="53"/>
  <c r="I41" i="53"/>
  <c r="H41" i="53"/>
  <c r="G41" i="53"/>
  <c r="J40" i="53"/>
  <c r="I40" i="53"/>
  <c r="H40" i="53"/>
  <c r="G40" i="53"/>
  <c r="J39" i="53"/>
  <c r="I39" i="53"/>
  <c r="H39" i="53"/>
  <c r="G39" i="53"/>
  <c r="J38" i="53"/>
  <c r="I38" i="53"/>
  <c r="H38" i="53"/>
  <c r="G38" i="53"/>
  <c r="J37" i="53"/>
  <c r="I37" i="53"/>
  <c r="H37" i="53"/>
  <c r="G37" i="53"/>
  <c r="J36" i="53"/>
  <c r="I36" i="53"/>
  <c r="H36" i="53"/>
  <c r="G36" i="53"/>
  <c r="J35" i="53"/>
  <c r="I35" i="53"/>
  <c r="H35" i="53"/>
  <c r="G35" i="53"/>
  <c r="J34" i="53"/>
  <c r="I34" i="53"/>
  <c r="H34" i="53"/>
  <c r="G34" i="53"/>
  <c r="J33" i="53"/>
  <c r="I33" i="53"/>
  <c r="H33" i="53"/>
  <c r="G33" i="53"/>
  <c r="J32" i="53"/>
  <c r="I32" i="53"/>
  <c r="H32" i="53"/>
  <c r="G32" i="53"/>
  <c r="J31" i="53"/>
  <c r="I31" i="53"/>
  <c r="H31" i="53"/>
  <c r="G31" i="53"/>
  <c r="J30" i="53"/>
  <c r="I30" i="53"/>
  <c r="H30" i="53"/>
  <c r="G30" i="53"/>
  <c r="J29" i="53"/>
  <c r="I29" i="53"/>
  <c r="H29" i="53"/>
  <c r="G29" i="53"/>
  <c r="J28" i="53"/>
  <c r="I28" i="53"/>
  <c r="H28" i="53"/>
  <c r="G28" i="53"/>
  <c r="J27" i="53"/>
  <c r="I27" i="53"/>
  <c r="H27" i="53"/>
  <c r="G27" i="53"/>
  <c r="J26" i="53"/>
  <c r="I26" i="53"/>
  <c r="H26" i="53"/>
  <c r="G26" i="53"/>
  <c r="J25" i="53"/>
  <c r="I25" i="53"/>
  <c r="H25" i="53"/>
  <c r="G25" i="53"/>
  <c r="J24" i="53"/>
  <c r="I24" i="53"/>
  <c r="H24" i="53"/>
  <c r="G24" i="53"/>
  <c r="J23" i="53"/>
  <c r="I23" i="53"/>
  <c r="H23" i="53"/>
  <c r="G23" i="53"/>
  <c r="J22" i="53"/>
  <c r="I22" i="53"/>
  <c r="H22" i="53"/>
  <c r="G22" i="53"/>
  <c r="J21" i="53"/>
  <c r="I21" i="53"/>
  <c r="H21" i="53"/>
  <c r="G21" i="53"/>
  <c r="J20" i="53"/>
  <c r="I20" i="53"/>
  <c r="H20" i="53"/>
  <c r="G20" i="53"/>
  <c r="J19" i="53"/>
  <c r="I19" i="53"/>
  <c r="H19" i="53"/>
  <c r="G19" i="53"/>
  <c r="J18" i="53"/>
  <c r="I18" i="53"/>
  <c r="H18" i="53"/>
  <c r="G18" i="53"/>
  <c r="J17" i="53"/>
  <c r="I17" i="53"/>
  <c r="H17" i="53"/>
  <c r="G17" i="53"/>
  <c r="J16" i="53"/>
  <c r="I16" i="53"/>
  <c r="H16" i="53"/>
  <c r="G16" i="53"/>
  <c r="J15" i="53"/>
  <c r="I15" i="53"/>
  <c r="H15" i="53"/>
  <c r="G15" i="53"/>
  <c r="J14" i="53"/>
  <c r="I14" i="53"/>
  <c r="H14" i="53"/>
  <c r="G14" i="53"/>
  <c r="J13" i="53"/>
  <c r="I13" i="53"/>
  <c r="H13" i="53"/>
  <c r="G13" i="53"/>
  <c r="J12" i="53"/>
  <c r="I12" i="53"/>
  <c r="H12" i="53"/>
  <c r="G12" i="53"/>
  <c r="J11" i="53"/>
  <c r="I11" i="53"/>
  <c r="H11" i="53"/>
  <c r="G11" i="53"/>
  <c r="J10" i="53"/>
  <c r="I10" i="53"/>
  <c r="H10" i="53"/>
  <c r="G10" i="53"/>
  <c r="J9" i="53"/>
  <c r="I9" i="53"/>
  <c r="H9" i="53"/>
  <c r="G9" i="53"/>
  <c r="J8" i="53"/>
  <c r="I8" i="53"/>
  <c r="H8" i="53"/>
  <c r="G8" i="53"/>
  <c r="J7" i="53"/>
  <c r="I7" i="53"/>
  <c r="H7" i="53"/>
  <c r="G7" i="53"/>
  <c r="J6" i="53"/>
  <c r="I6" i="53"/>
  <c r="H6" i="53"/>
  <c r="G6" i="53"/>
  <c r="J5" i="53"/>
  <c r="I5" i="53"/>
  <c r="H5" i="53"/>
  <c r="G5" i="53"/>
  <c r="Y74" i="57"/>
  <c r="K19" i="32" l="1"/>
  <c r="K16" i="32"/>
  <c r="K15" i="32"/>
  <c r="K20" i="32"/>
  <c r="K17" i="32"/>
  <c r="K18" i="32"/>
  <c r="L41" i="9"/>
  <c r="L40" i="9"/>
  <c r="L39" i="9"/>
  <c r="L38" i="9"/>
  <c r="L33" i="9"/>
  <c r="L32" i="9"/>
  <c r="L31" i="9"/>
  <c r="L30" i="9"/>
  <c r="L25" i="9"/>
  <c r="L24" i="9"/>
  <c r="L23" i="9"/>
  <c r="L16" i="9"/>
  <c r="L15" i="9"/>
  <c r="L14" i="9"/>
  <c r="L10" i="9"/>
  <c r="L9" i="9"/>
  <c r="L8" i="9"/>
  <c r="L7" i="9"/>
  <c r="K42" i="32"/>
  <c r="L26" i="9"/>
  <c r="K58" i="32"/>
  <c r="K54" i="32"/>
  <c r="K53" i="32"/>
  <c r="K52" i="32"/>
  <c r="K51" i="32"/>
  <c r="K47" i="32"/>
  <c r="K46" i="32"/>
  <c r="K41" i="32"/>
  <c r="K40" i="32"/>
  <c r="K39" i="32"/>
  <c r="K38" i="32"/>
  <c r="K37" i="32"/>
  <c r="K36" i="32"/>
  <c r="K35" i="32"/>
  <c r="K34" i="32"/>
  <c r="K30" i="32"/>
  <c r="K29" i="32"/>
  <c r="K28" i="32"/>
  <c r="K27" i="32"/>
  <c r="K14" i="32"/>
  <c r="K13" i="32"/>
  <c r="K12" i="32"/>
  <c r="K11" i="32"/>
  <c r="K10" i="32"/>
  <c r="K8" i="32"/>
  <c r="AN58" i="57"/>
  <c r="L54" i="57"/>
  <c r="Z74" i="57"/>
  <c r="Z153" i="57"/>
  <c r="L138" i="57"/>
  <c r="L153" i="57" s="1"/>
  <c r="Z58" i="57"/>
  <c r="L49" i="57"/>
  <c r="L58" i="57" s="1"/>
  <c r="Z172" i="57"/>
  <c r="L170" i="57"/>
  <c r="L172" i="57" s="1"/>
  <c r="Z35" i="57"/>
  <c r="L33" i="57"/>
  <c r="L35" i="57" s="1"/>
  <c r="Z119" i="57"/>
  <c r="L117" i="57"/>
  <c r="L119" i="57" s="1"/>
  <c r="L97" i="57"/>
  <c r="L104" i="57" s="1"/>
  <c r="L112" i="57" s="1"/>
  <c r="Z104" i="57"/>
  <c r="Z112" i="57" s="1"/>
  <c r="Y81" i="57"/>
  <c r="K74" i="57"/>
  <c r="K81" i="57" s="1"/>
  <c r="D243" i="53"/>
  <c r="R46" i="12"/>
  <c r="Q46" i="12"/>
  <c r="P46" i="12"/>
  <c r="R45" i="12"/>
  <c r="Q45" i="12"/>
  <c r="P45" i="12"/>
  <c r="R10" i="12"/>
  <c r="Q10" i="12"/>
  <c r="P10" i="12"/>
  <c r="K67" i="32" l="1"/>
  <c r="K68" i="32"/>
  <c r="K71" i="32"/>
  <c r="K70" i="32"/>
  <c r="K72" i="32"/>
  <c r="K69" i="32"/>
  <c r="L34" i="9"/>
  <c r="L17" i="9"/>
  <c r="L53" i="9"/>
  <c r="L42" i="9"/>
  <c r="L27" i="9"/>
  <c r="L11" i="9"/>
  <c r="K63" i="32"/>
  <c r="K65" i="32"/>
  <c r="K64" i="32"/>
  <c r="K78" i="32"/>
  <c r="K77" i="32"/>
  <c r="Z81" i="57"/>
  <c r="L74" i="57"/>
  <c r="L81" i="57" s="1"/>
  <c r="F243" i="53"/>
  <c r="T45" i="12"/>
  <c r="T46" i="12"/>
  <c r="T10" i="12"/>
  <c r="E243" i="53"/>
  <c r="L29" i="12"/>
  <c r="L13" i="12"/>
  <c r="L9" i="12"/>
  <c r="L19" i="12"/>
  <c r="L22" i="12"/>
  <c r="L53" i="12"/>
  <c r="L12" i="12"/>
  <c r="L20" i="12"/>
  <c r="L35" i="9" l="1"/>
  <c r="L50" i="9" s="1"/>
  <c r="L44" i="9"/>
  <c r="L19" i="9"/>
  <c r="L48" i="9"/>
  <c r="L49" i="9"/>
  <c r="L44" i="12"/>
  <c r="L37" i="12"/>
  <c r="L21" i="12"/>
  <c r="L24" i="12"/>
  <c r="L46" i="9" l="1"/>
  <c r="F241" i="49"/>
  <c r="E241" i="49"/>
  <c r="D241" i="49"/>
  <c r="C241" i="49"/>
  <c r="AM138" i="57" l="1"/>
  <c r="AM153" i="57" s="1"/>
  <c r="AM54" i="57"/>
  <c r="Y180" i="57"/>
  <c r="Y188" i="57" s="1"/>
  <c r="Y146" i="57"/>
  <c r="K146" i="57" s="1"/>
  <c r="Y138" i="57"/>
  <c r="Y56" i="57"/>
  <c r="K56" i="57" s="1"/>
  <c r="Y49" i="57"/>
  <c r="Y170" i="57"/>
  <c r="Y33" i="57"/>
  <c r="Y117" i="57"/>
  <c r="Y102" i="57"/>
  <c r="K102" i="57" s="1"/>
  <c r="Y101" i="57"/>
  <c r="K101" i="57" s="1"/>
  <c r="Y100" i="57"/>
  <c r="K100" i="57" s="1"/>
  <c r="Y99" i="57"/>
  <c r="K99" i="57" s="1"/>
  <c r="Y97" i="57"/>
  <c r="J239" i="49"/>
  <c r="I239" i="49"/>
  <c r="H239" i="49"/>
  <c r="G239" i="49"/>
  <c r="J238" i="49"/>
  <c r="I238" i="49"/>
  <c r="H238" i="49"/>
  <c r="G238" i="49"/>
  <c r="J237" i="49"/>
  <c r="I237" i="49"/>
  <c r="H237" i="49"/>
  <c r="G237" i="49"/>
  <c r="J236" i="49"/>
  <c r="I236" i="49"/>
  <c r="H236" i="49"/>
  <c r="G236" i="49"/>
  <c r="J235" i="49"/>
  <c r="I235" i="49"/>
  <c r="H235" i="49"/>
  <c r="G235" i="49"/>
  <c r="J234" i="49"/>
  <c r="I234" i="49"/>
  <c r="H234" i="49"/>
  <c r="G234" i="49"/>
  <c r="J233" i="49"/>
  <c r="I233" i="49"/>
  <c r="H233" i="49"/>
  <c r="G233" i="49"/>
  <c r="J232" i="49"/>
  <c r="I232" i="49"/>
  <c r="H232" i="49"/>
  <c r="G232" i="49"/>
  <c r="J231" i="49"/>
  <c r="I231" i="49"/>
  <c r="H231" i="49"/>
  <c r="G231" i="49"/>
  <c r="J230" i="49"/>
  <c r="I230" i="49"/>
  <c r="H230" i="49"/>
  <c r="G230" i="49"/>
  <c r="J229" i="49"/>
  <c r="I229" i="49"/>
  <c r="H229" i="49"/>
  <c r="G229" i="49"/>
  <c r="J228" i="49"/>
  <c r="I228" i="49"/>
  <c r="H228" i="49"/>
  <c r="G228" i="49"/>
  <c r="J227" i="49"/>
  <c r="I227" i="49"/>
  <c r="H227" i="49"/>
  <c r="G227" i="49"/>
  <c r="J226" i="49"/>
  <c r="I226" i="49"/>
  <c r="H226" i="49"/>
  <c r="G226" i="49"/>
  <c r="J225" i="49"/>
  <c r="I225" i="49"/>
  <c r="H225" i="49"/>
  <c r="G225" i="49"/>
  <c r="J224" i="49"/>
  <c r="I224" i="49"/>
  <c r="H224" i="49"/>
  <c r="G224" i="49"/>
  <c r="J223" i="49"/>
  <c r="I223" i="49"/>
  <c r="H223" i="49"/>
  <c r="G223" i="49"/>
  <c r="J222" i="49"/>
  <c r="I222" i="49"/>
  <c r="H222" i="49"/>
  <c r="G222" i="49"/>
  <c r="J221" i="49"/>
  <c r="I221" i="49"/>
  <c r="H221" i="49"/>
  <c r="G221" i="49"/>
  <c r="J220" i="49"/>
  <c r="I220" i="49"/>
  <c r="H220" i="49"/>
  <c r="G220" i="49"/>
  <c r="J219" i="49"/>
  <c r="I219" i="49"/>
  <c r="H219" i="49"/>
  <c r="G219" i="49"/>
  <c r="J218" i="49"/>
  <c r="I218" i="49"/>
  <c r="H218" i="49"/>
  <c r="G218" i="49"/>
  <c r="J217" i="49"/>
  <c r="I217" i="49"/>
  <c r="H217" i="49"/>
  <c r="G217" i="49"/>
  <c r="J216" i="49"/>
  <c r="I216" i="49"/>
  <c r="H216" i="49"/>
  <c r="G216" i="49"/>
  <c r="J215" i="49"/>
  <c r="I215" i="49"/>
  <c r="H215" i="49"/>
  <c r="G215" i="49"/>
  <c r="J214" i="49"/>
  <c r="I214" i="49"/>
  <c r="H214" i="49"/>
  <c r="G214" i="49"/>
  <c r="J213" i="49"/>
  <c r="I213" i="49"/>
  <c r="H213" i="49"/>
  <c r="G213" i="49"/>
  <c r="J212" i="49"/>
  <c r="I212" i="49"/>
  <c r="H212" i="49"/>
  <c r="G212" i="49"/>
  <c r="J211" i="49"/>
  <c r="I211" i="49"/>
  <c r="H211" i="49"/>
  <c r="G211" i="49"/>
  <c r="J210" i="49"/>
  <c r="I210" i="49"/>
  <c r="H210" i="49"/>
  <c r="G210" i="49"/>
  <c r="J209" i="49"/>
  <c r="I209" i="49"/>
  <c r="H209" i="49"/>
  <c r="G209" i="49"/>
  <c r="J208" i="49"/>
  <c r="I208" i="49"/>
  <c r="H208" i="49"/>
  <c r="G208" i="49"/>
  <c r="J207" i="49"/>
  <c r="I207" i="49"/>
  <c r="H207" i="49"/>
  <c r="G207" i="49"/>
  <c r="J206" i="49"/>
  <c r="I206" i="49"/>
  <c r="H206" i="49"/>
  <c r="G206" i="49"/>
  <c r="J205" i="49"/>
  <c r="I205" i="49"/>
  <c r="H205" i="49"/>
  <c r="G205" i="49"/>
  <c r="J204" i="49"/>
  <c r="I204" i="49"/>
  <c r="H204" i="49"/>
  <c r="G204" i="49"/>
  <c r="J203" i="49"/>
  <c r="I203" i="49"/>
  <c r="H203" i="49"/>
  <c r="G203" i="49"/>
  <c r="J202" i="49"/>
  <c r="I202" i="49"/>
  <c r="H202" i="49"/>
  <c r="G202" i="49"/>
  <c r="J201" i="49"/>
  <c r="I201" i="49"/>
  <c r="H201" i="49"/>
  <c r="G201" i="49"/>
  <c r="J200" i="49"/>
  <c r="I200" i="49"/>
  <c r="H200" i="49"/>
  <c r="G200" i="49"/>
  <c r="J199" i="49"/>
  <c r="I199" i="49"/>
  <c r="H199" i="49"/>
  <c r="G199" i="49"/>
  <c r="J198" i="49"/>
  <c r="I198" i="49"/>
  <c r="H198" i="49"/>
  <c r="G198" i="49"/>
  <c r="J197" i="49"/>
  <c r="I197" i="49"/>
  <c r="H197" i="49"/>
  <c r="G197" i="49"/>
  <c r="J196" i="49"/>
  <c r="I196" i="49"/>
  <c r="H196" i="49"/>
  <c r="G196" i="49"/>
  <c r="J195" i="49"/>
  <c r="I195" i="49"/>
  <c r="H195" i="49"/>
  <c r="G195" i="49"/>
  <c r="J194" i="49"/>
  <c r="I194" i="49"/>
  <c r="H194" i="49"/>
  <c r="G194" i="49"/>
  <c r="J193" i="49"/>
  <c r="I193" i="49"/>
  <c r="H193" i="49"/>
  <c r="G193" i="49"/>
  <c r="J192" i="49"/>
  <c r="I192" i="49"/>
  <c r="H192" i="49"/>
  <c r="G192" i="49"/>
  <c r="J191" i="49"/>
  <c r="I191" i="49"/>
  <c r="H191" i="49"/>
  <c r="G191" i="49"/>
  <c r="J190" i="49"/>
  <c r="I190" i="49"/>
  <c r="H190" i="49"/>
  <c r="G190" i="49"/>
  <c r="J189" i="49"/>
  <c r="I189" i="49"/>
  <c r="H189" i="49"/>
  <c r="G189" i="49"/>
  <c r="J188" i="49"/>
  <c r="I188" i="49"/>
  <c r="H188" i="49"/>
  <c r="G188" i="49"/>
  <c r="J187" i="49"/>
  <c r="I187" i="49"/>
  <c r="H187" i="49"/>
  <c r="G187" i="49"/>
  <c r="J186" i="49"/>
  <c r="I186" i="49"/>
  <c r="H186" i="49"/>
  <c r="G186" i="49"/>
  <c r="J185" i="49"/>
  <c r="I185" i="49"/>
  <c r="H185" i="49"/>
  <c r="G185" i="49"/>
  <c r="J184" i="49"/>
  <c r="I184" i="49"/>
  <c r="H184" i="49"/>
  <c r="G184" i="49"/>
  <c r="J183" i="49"/>
  <c r="I183" i="49"/>
  <c r="H183" i="49"/>
  <c r="G183" i="49"/>
  <c r="J182" i="49"/>
  <c r="I182" i="49"/>
  <c r="H182" i="49"/>
  <c r="G182" i="49"/>
  <c r="J181" i="49"/>
  <c r="I181" i="49"/>
  <c r="H181" i="49"/>
  <c r="G181" i="49"/>
  <c r="J180" i="49"/>
  <c r="I180" i="49"/>
  <c r="H180" i="49"/>
  <c r="G180" i="49"/>
  <c r="J179" i="49"/>
  <c r="I179" i="49"/>
  <c r="H179" i="49"/>
  <c r="G179" i="49"/>
  <c r="J178" i="49"/>
  <c r="I178" i="49"/>
  <c r="H178" i="49"/>
  <c r="G178" i="49"/>
  <c r="J177" i="49"/>
  <c r="I177" i="49"/>
  <c r="H177" i="49"/>
  <c r="G177" i="49"/>
  <c r="J176" i="49"/>
  <c r="I176" i="49"/>
  <c r="H176" i="49"/>
  <c r="G176" i="49"/>
  <c r="J175" i="49"/>
  <c r="I175" i="49"/>
  <c r="H175" i="49"/>
  <c r="G175" i="49"/>
  <c r="J174" i="49"/>
  <c r="I174" i="49"/>
  <c r="H174" i="49"/>
  <c r="G174" i="49"/>
  <c r="J173" i="49"/>
  <c r="I173" i="49"/>
  <c r="H173" i="49"/>
  <c r="G173" i="49"/>
  <c r="J172" i="49"/>
  <c r="I172" i="49"/>
  <c r="H172" i="49"/>
  <c r="G172" i="49"/>
  <c r="J171" i="49"/>
  <c r="I171" i="49"/>
  <c r="H171" i="49"/>
  <c r="G171" i="49"/>
  <c r="J170" i="49"/>
  <c r="I170" i="49"/>
  <c r="H170" i="49"/>
  <c r="G170" i="49"/>
  <c r="J169" i="49"/>
  <c r="I169" i="49"/>
  <c r="H169" i="49"/>
  <c r="G169" i="49"/>
  <c r="J168" i="49"/>
  <c r="I168" i="49"/>
  <c r="H168" i="49"/>
  <c r="G168" i="49"/>
  <c r="J167" i="49"/>
  <c r="I167" i="49"/>
  <c r="H167" i="49"/>
  <c r="G167" i="49"/>
  <c r="J166" i="49"/>
  <c r="I166" i="49"/>
  <c r="H166" i="49"/>
  <c r="G166" i="49"/>
  <c r="J165" i="49"/>
  <c r="I165" i="49"/>
  <c r="H165" i="49"/>
  <c r="G165" i="49"/>
  <c r="J164" i="49"/>
  <c r="I164" i="49"/>
  <c r="H164" i="49"/>
  <c r="G164" i="49"/>
  <c r="J163" i="49"/>
  <c r="I163" i="49"/>
  <c r="H163" i="49"/>
  <c r="G163" i="49"/>
  <c r="J162" i="49"/>
  <c r="I162" i="49"/>
  <c r="H162" i="49"/>
  <c r="G162" i="49"/>
  <c r="J161" i="49"/>
  <c r="I161" i="49"/>
  <c r="H161" i="49"/>
  <c r="G161" i="49"/>
  <c r="J160" i="49"/>
  <c r="I160" i="49"/>
  <c r="H160" i="49"/>
  <c r="G160" i="49"/>
  <c r="J159" i="49"/>
  <c r="I159" i="49"/>
  <c r="H159" i="49"/>
  <c r="G159" i="49"/>
  <c r="J158" i="49"/>
  <c r="I158" i="49"/>
  <c r="H158" i="49"/>
  <c r="G158" i="49"/>
  <c r="J157" i="49"/>
  <c r="I157" i="49"/>
  <c r="H157" i="49"/>
  <c r="G157" i="49"/>
  <c r="J156" i="49"/>
  <c r="I156" i="49"/>
  <c r="H156" i="49"/>
  <c r="G156" i="49"/>
  <c r="J155" i="49"/>
  <c r="I155" i="49"/>
  <c r="H155" i="49"/>
  <c r="G155" i="49"/>
  <c r="J154" i="49"/>
  <c r="I154" i="49"/>
  <c r="H154" i="49"/>
  <c r="G154" i="49"/>
  <c r="J153" i="49"/>
  <c r="I153" i="49"/>
  <c r="H153" i="49"/>
  <c r="G153" i="49"/>
  <c r="J152" i="49"/>
  <c r="I152" i="49"/>
  <c r="H152" i="49"/>
  <c r="G152" i="49"/>
  <c r="J151" i="49"/>
  <c r="I151" i="49"/>
  <c r="H151" i="49"/>
  <c r="G151" i="49"/>
  <c r="J150" i="49"/>
  <c r="I150" i="49"/>
  <c r="H150" i="49"/>
  <c r="G150" i="49"/>
  <c r="J149" i="49"/>
  <c r="I149" i="49"/>
  <c r="H149" i="49"/>
  <c r="G149" i="49"/>
  <c r="J148" i="49"/>
  <c r="I148" i="49"/>
  <c r="H148" i="49"/>
  <c r="G148" i="49"/>
  <c r="J147" i="49"/>
  <c r="I147" i="49"/>
  <c r="H147" i="49"/>
  <c r="G147" i="49"/>
  <c r="J146" i="49"/>
  <c r="I146" i="49"/>
  <c r="H146" i="49"/>
  <c r="G146" i="49"/>
  <c r="J145" i="49"/>
  <c r="I145" i="49"/>
  <c r="H145" i="49"/>
  <c r="G145" i="49"/>
  <c r="J144" i="49"/>
  <c r="I144" i="49"/>
  <c r="H144" i="49"/>
  <c r="G144" i="49"/>
  <c r="J143" i="49"/>
  <c r="I143" i="49"/>
  <c r="H143" i="49"/>
  <c r="G143" i="49"/>
  <c r="J142" i="49"/>
  <c r="I142" i="49"/>
  <c r="H142" i="49"/>
  <c r="G142" i="49"/>
  <c r="J141" i="49"/>
  <c r="I141" i="49"/>
  <c r="H141" i="49"/>
  <c r="G141" i="49"/>
  <c r="J140" i="49"/>
  <c r="I140" i="49"/>
  <c r="H140" i="49"/>
  <c r="G140" i="49"/>
  <c r="J139" i="49"/>
  <c r="I139" i="49"/>
  <c r="H139" i="49"/>
  <c r="G139" i="49"/>
  <c r="J138" i="49"/>
  <c r="I138" i="49"/>
  <c r="H138" i="49"/>
  <c r="G138" i="49"/>
  <c r="J137" i="49"/>
  <c r="I137" i="49"/>
  <c r="H137" i="49"/>
  <c r="G137" i="49"/>
  <c r="J136" i="49"/>
  <c r="I136" i="49"/>
  <c r="H136" i="49"/>
  <c r="G136" i="49"/>
  <c r="J135" i="49"/>
  <c r="I135" i="49"/>
  <c r="H135" i="49"/>
  <c r="G135" i="49"/>
  <c r="J134" i="49"/>
  <c r="I134" i="49"/>
  <c r="H134" i="49"/>
  <c r="G134" i="49"/>
  <c r="J133" i="49"/>
  <c r="I133" i="49"/>
  <c r="H133" i="49"/>
  <c r="G133" i="49"/>
  <c r="J132" i="49"/>
  <c r="I132" i="49"/>
  <c r="H132" i="49"/>
  <c r="G132" i="49"/>
  <c r="J131" i="49"/>
  <c r="I131" i="49"/>
  <c r="H131" i="49"/>
  <c r="G131" i="49"/>
  <c r="J130" i="49"/>
  <c r="I130" i="49"/>
  <c r="H130" i="49"/>
  <c r="G130" i="49"/>
  <c r="J129" i="49"/>
  <c r="I129" i="49"/>
  <c r="H129" i="49"/>
  <c r="G129" i="49"/>
  <c r="J128" i="49"/>
  <c r="I128" i="49"/>
  <c r="H128" i="49"/>
  <c r="G128" i="49"/>
  <c r="J127" i="49"/>
  <c r="I127" i="49"/>
  <c r="H127" i="49"/>
  <c r="G127" i="49"/>
  <c r="J126" i="49"/>
  <c r="I126" i="49"/>
  <c r="H126" i="49"/>
  <c r="G126" i="49"/>
  <c r="J125" i="49"/>
  <c r="I125" i="49"/>
  <c r="H125" i="49"/>
  <c r="G125" i="49"/>
  <c r="J124" i="49"/>
  <c r="I124" i="49"/>
  <c r="H124" i="49"/>
  <c r="G124" i="49"/>
  <c r="J123" i="49"/>
  <c r="I123" i="49"/>
  <c r="H123" i="49"/>
  <c r="G123" i="49"/>
  <c r="J122" i="49"/>
  <c r="I122" i="49"/>
  <c r="H122" i="49"/>
  <c r="G122" i="49"/>
  <c r="J121" i="49"/>
  <c r="I121" i="49"/>
  <c r="H121" i="49"/>
  <c r="G121" i="49"/>
  <c r="J120" i="49"/>
  <c r="I120" i="49"/>
  <c r="H120" i="49"/>
  <c r="G120" i="49"/>
  <c r="J119" i="49"/>
  <c r="I119" i="49"/>
  <c r="H119" i="49"/>
  <c r="G119" i="49"/>
  <c r="J118" i="49"/>
  <c r="I118" i="49"/>
  <c r="H118" i="49"/>
  <c r="G118" i="49"/>
  <c r="J117" i="49"/>
  <c r="I117" i="49"/>
  <c r="H117" i="49"/>
  <c r="G117" i="49"/>
  <c r="J116" i="49"/>
  <c r="I116" i="49"/>
  <c r="H116" i="49"/>
  <c r="G116" i="49"/>
  <c r="J115" i="49"/>
  <c r="I115" i="49"/>
  <c r="H115" i="49"/>
  <c r="G115" i="49"/>
  <c r="J114" i="49"/>
  <c r="I114" i="49"/>
  <c r="H114" i="49"/>
  <c r="G114" i="49"/>
  <c r="J113" i="49"/>
  <c r="I113" i="49"/>
  <c r="H113" i="49"/>
  <c r="G113" i="49"/>
  <c r="J112" i="49"/>
  <c r="I112" i="49"/>
  <c r="H112" i="49"/>
  <c r="G112" i="49"/>
  <c r="J111" i="49"/>
  <c r="I111" i="49"/>
  <c r="H111" i="49"/>
  <c r="G111" i="49"/>
  <c r="J110" i="49"/>
  <c r="I110" i="49"/>
  <c r="H110" i="49"/>
  <c r="G110" i="49"/>
  <c r="J109" i="49"/>
  <c r="I109" i="49"/>
  <c r="H109" i="49"/>
  <c r="G109" i="49"/>
  <c r="J108" i="49"/>
  <c r="I108" i="49"/>
  <c r="H108" i="49"/>
  <c r="G108" i="49"/>
  <c r="J107" i="49"/>
  <c r="I107" i="49"/>
  <c r="H107" i="49"/>
  <c r="G107" i="49"/>
  <c r="J106" i="49"/>
  <c r="I106" i="49"/>
  <c r="H106" i="49"/>
  <c r="G106" i="49"/>
  <c r="J105" i="49"/>
  <c r="I105" i="49"/>
  <c r="H105" i="49"/>
  <c r="G105" i="49"/>
  <c r="J104" i="49"/>
  <c r="I104" i="49"/>
  <c r="H104" i="49"/>
  <c r="G104" i="49"/>
  <c r="J103" i="49"/>
  <c r="I103" i="49"/>
  <c r="H103" i="49"/>
  <c r="G103" i="49"/>
  <c r="J102" i="49"/>
  <c r="I102" i="49"/>
  <c r="H102" i="49"/>
  <c r="G102" i="49"/>
  <c r="J101" i="49"/>
  <c r="I101" i="49"/>
  <c r="H101" i="49"/>
  <c r="G101" i="49"/>
  <c r="J100" i="49"/>
  <c r="I100" i="49"/>
  <c r="H100" i="49"/>
  <c r="G100" i="49"/>
  <c r="J99" i="49"/>
  <c r="I99" i="49"/>
  <c r="H99" i="49"/>
  <c r="G99" i="49"/>
  <c r="J98" i="49"/>
  <c r="I98" i="49"/>
  <c r="H98" i="49"/>
  <c r="G98" i="49"/>
  <c r="J97" i="49"/>
  <c r="I97" i="49"/>
  <c r="H97" i="49"/>
  <c r="G97" i="49"/>
  <c r="J96" i="49"/>
  <c r="I96" i="49"/>
  <c r="H96" i="49"/>
  <c r="G96" i="49"/>
  <c r="J95" i="49"/>
  <c r="I95" i="49"/>
  <c r="H95" i="49"/>
  <c r="G95" i="49"/>
  <c r="J94" i="49"/>
  <c r="I94" i="49"/>
  <c r="H94" i="49"/>
  <c r="G94" i="49"/>
  <c r="J93" i="49"/>
  <c r="I93" i="49"/>
  <c r="H93" i="49"/>
  <c r="G93" i="49"/>
  <c r="J92" i="49"/>
  <c r="I92" i="49"/>
  <c r="H92" i="49"/>
  <c r="G92" i="49"/>
  <c r="J91" i="49"/>
  <c r="I91" i="49"/>
  <c r="H91" i="49"/>
  <c r="G91" i="49"/>
  <c r="J90" i="49"/>
  <c r="I90" i="49"/>
  <c r="H90" i="49"/>
  <c r="G90" i="49"/>
  <c r="J89" i="49"/>
  <c r="I89" i="49"/>
  <c r="H89" i="49"/>
  <c r="G89" i="49"/>
  <c r="J88" i="49"/>
  <c r="I88" i="49"/>
  <c r="H88" i="49"/>
  <c r="G88" i="49"/>
  <c r="J87" i="49"/>
  <c r="I87" i="49"/>
  <c r="H87" i="49"/>
  <c r="G87" i="49"/>
  <c r="J86" i="49"/>
  <c r="I86" i="49"/>
  <c r="H86" i="49"/>
  <c r="G86" i="49"/>
  <c r="J85" i="49"/>
  <c r="I85" i="49"/>
  <c r="H85" i="49"/>
  <c r="G85" i="49"/>
  <c r="J84" i="49"/>
  <c r="I84" i="49"/>
  <c r="H84" i="49"/>
  <c r="G84" i="49"/>
  <c r="J83" i="49"/>
  <c r="I83" i="49"/>
  <c r="H83" i="49"/>
  <c r="G83" i="49"/>
  <c r="J82" i="49"/>
  <c r="I82" i="49"/>
  <c r="H82" i="49"/>
  <c r="G82" i="49"/>
  <c r="J81" i="49"/>
  <c r="I81" i="49"/>
  <c r="H81" i="49"/>
  <c r="G81" i="49"/>
  <c r="J80" i="49"/>
  <c r="I80" i="49"/>
  <c r="H80" i="49"/>
  <c r="G80" i="49"/>
  <c r="J79" i="49"/>
  <c r="I79" i="49"/>
  <c r="H79" i="49"/>
  <c r="G79" i="49"/>
  <c r="J78" i="49"/>
  <c r="I78" i="49"/>
  <c r="H78" i="49"/>
  <c r="G78" i="49"/>
  <c r="J77" i="49"/>
  <c r="I77" i="49"/>
  <c r="H77" i="49"/>
  <c r="G77" i="49"/>
  <c r="J76" i="49"/>
  <c r="I76" i="49"/>
  <c r="H76" i="49"/>
  <c r="G76" i="49"/>
  <c r="J75" i="49"/>
  <c r="I75" i="49"/>
  <c r="H75" i="49"/>
  <c r="G75" i="49"/>
  <c r="J74" i="49"/>
  <c r="I74" i="49"/>
  <c r="H74" i="49"/>
  <c r="G74" i="49"/>
  <c r="J73" i="49"/>
  <c r="I73" i="49"/>
  <c r="H73" i="49"/>
  <c r="G73" i="49"/>
  <c r="J72" i="49"/>
  <c r="I72" i="49"/>
  <c r="H72" i="49"/>
  <c r="G72" i="49"/>
  <c r="J71" i="49"/>
  <c r="I71" i="49"/>
  <c r="H71" i="49"/>
  <c r="G71" i="49"/>
  <c r="J70" i="49"/>
  <c r="I70" i="49"/>
  <c r="H70" i="49"/>
  <c r="G70" i="49"/>
  <c r="J69" i="49"/>
  <c r="I69" i="49"/>
  <c r="H69" i="49"/>
  <c r="G69" i="49"/>
  <c r="J68" i="49"/>
  <c r="I68" i="49"/>
  <c r="H68" i="49"/>
  <c r="G68" i="49"/>
  <c r="J67" i="49"/>
  <c r="I67" i="49"/>
  <c r="H67" i="49"/>
  <c r="G67" i="49"/>
  <c r="J66" i="49"/>
  <c r="I66" i="49"/>
  <c r="H66" i="49"/>
  <c r="G66" i="49"/>
  <c r="J65" i="49"/>
  <c r="I65" i="49"/>
  <c r="H65" i="49"/>
  <c r="G65" i="49"/>
  <c r="J64" i="49"/>
  <c r="I64" i="49"/>
  <c r="H64" i="49"/>
  <c r="G64" i="49"/>
  <c r="J63" i="49"/>
  <c r="I63" i="49"/>
  <c r="H63" i="49"/>
  <c r="G63" i="49"/>
  <c r="J62" i="49"/>
  <c r="I62" i="49"/>
  <c r="H62" i="49"/>
  <c r="G62" i="49"/>
  <c r="J61" i="49"/>
  <c r="I61" i="49"/>
  <c r="H61" i="49"/>
  <c r="G61" i="49"/>
  <c r="J60" i="49"/>
  <c r="I60" i="49"/>
  <c r="H60" i="49"/>
  <c r="G60" i="49"/>
  <c r="J59" i="49"/>
  <c r="I59" i="49"/>
  <c r="H59" i="49"/>
  <c r="G59" i="49"/>
  <c r="J58" i="49"/>
  <c r="I58" i="49"/>
  <c r="H58" i="49"/>
  <c r="G58" i="49"/>
  <c r="J57" i="49"/>
  <c r="I57" i="49"/>
  <c r="H57" i="49"/>
  <c r="G57" i="49"/>
  <c r="J56" i="49"/>
  <c r="I56" i="49"/>
  <c r="H56" i="49"/>
  <c r="G56" i="49"/>
  <c r="J55" i="49"/>
  <c r="I55" i="49"/>
  <c r="H55" i="49"/>
  <c r="G55" i="49"/>
  <c r="J54" i="49"/>
  <c r="I54" i="49"/>
  <c r="H54" i="49"/>
  <c r="G54" i="49"/>
  <c r="J53" i="49"/>
  <c r="I53" i="49"/>
  <c r="H53" i="49"/>
  <c r="G53" i="49"/>
  <c r="J52" i="49"/>
  <c r="I52" i="49"/>
  <c r="H52" i="49"/>
  <c r="G52" i="49"/>
  <c r="J51" i="49"/>
  <c r="I51" i="49"/>
  <c r="H51" i="49"/>
  <c r="G51" i="49"/>
  <c r="J50" i="49"/>
  <c r="I50" i="49"/>
  <c r="H50" i="49"/>
  <c r="G50" i="49"/>
  <c r="J49" i="49"/>
  <c r="I49" i="49"/>
  <c r="H49" i="49"/>
  <c r="G49" i="49"/>
  <c r="J48" i="49"/>
  <c r="I48" i="49"/>
  <c r="H48" i="49"/>
  <c r="G48" i="49"/>
  <c r="J47" i="49"/>
  <c r="I47" i="49"/>
  <c r="H47" i="49"/>
  <c r="G47" i="49"/>
  <c r="J46" i="49"/>
  <c r="I46" i="49"/>
  <c r="H46" i="49"/>
  <c r="G46" i="49"/>
  <c r="J45" i="49"/>
  <c r="I45" i="49"/>
  <c r="H45" i="49"/>
  <c r="G45" i="49"/>
  <c r="J44" i="49"/>
  <c r="I44" i="49"/>
  <c r="H44" i="49"/>
  <c r="G44" i="49"/>
  <c r="J43" i="49"/>
  <c r="I43" i="49"/>
  <c r="H43" i="49"/>
  <c r="G43" i="49"/>
  <c r="J42" i="49"/>
  <c r="I42" i="49"/>
  <c r="H42" i="49"/>
  <c r="G42" i="49"/>
  <c r="J41" i="49"/>
  <c r="I41" i="49"/>
  <c r="H41" i="49"/>
  <c r="G41" i="49"/>
  <c r="J40" i="49"/>
  <c r="I40" i="49"/>
  <c r="H40" i="49"/>
  <c r="G40" i="49"/>
  <c r="J39" i="49"/>
  <c r="I39" i="49"/>
  <c r="H39" i="49"/>
  <c r="G39" i="49"/>
  <c r="J38" i="49"/>
  <c r="I38" i="49"/>
  <c r="H38" i="49"/>
  <c r="G38" i="49"/>
  <c r="J37" i="49"/>
  <c r="I37" i="49"/>
  <c r="H37" i="49"/>
  <c r="G37" i="49"/>
  <c r="J36" i="49"/>
  <c r="I36" i="49"/>
  <c r="H36" i="49"/>
  <c r="G36" i="49"/>
  <c r="J35" i="49"/>
  <c r="I35" i="49"/>
  <c r="H35" i="49"/>
  <c r="G35" i="49"/>
  <c r="J34" i="49"/>
  <c r="I34" i="49"/>
  <c r="H34" i="49"/>
  <c r="G34" i="49"/>
  <c r="J33" i="49"/>
  <c r="I33" i="49"/>
  <c r="H33" i="49"/>
  <c r="G33" i="49"/>
  <c r="J32" i="49"/>
  <c r="I32" i="49"/>
  <c r="H32" i="49"/>
  <c r="G32" i="49"/>
  <c r="J31" i="49"/>
  <c r="I31" i="49"/>
  <c r="H31" i="49"/>
  <c r="G31" i="49"/>
  <c r="J30" i="49"/>
  <c r="I30" i="49"/>
  <c r="H30" i="49"/>
  <c r="G30" i="49"/>
  <c r="J29" i="49"/>
  <c r="I29" i="49"/>
  <c r="H29" i="49"/>
  <c r="G29" i="49"/>
  <c r="J28" i="49"/>
  <c r="I28" i="49"/>
  <c r="H28" i="49"/>
  <c r="G28" i="49"/>
  <c r="J27" i="49"/>
  <c r="I27" i="49"/>
  <c r="H27" i="49"/>
  <c r="G27" i="49"/>
  <c r="J26" i="49"/>
  <c r="I26" i="49"/>
  <c r="H26" i="49"/>
  <c r="G26" i="49"/>
  <c r="J25" i="49"/>
  <c r="I25" i="49"/>
  <c r="H25" i="49"/>
  <c r="G25" i="49"/>
  <c r="J24" i="49"/>
  <c r="I24" i="49"/>
  <c r="H24" i="49"/>
  <c r="G24" i="49"/>
  <c r="J23" i="49"/>
  <c r="I23" i="49"/>
  <c r="H23" i="49"/>
  <c r="G23" i="49"/>
  <c r="J22" i="49"/>
  <c r="I22" i="49"/>
  <c r="H22" i="49"/>
  <c r="G22" i="49"/>
  <c r="J21" i="49"/>
  <c r="I21" i="49"/>
  <c r="H21" i="49"/>
  <c r="G21" i="49"/>
  <c r="J20" i="49"/>
  <c r="I20" i="49"/>
  <c r="H20" i="49"/>
  <c r="G20" i="49"/>
  <c r="J19" i="49"/>
  <c r="I19" i="49"/>
  <c r="H19" i="49"/>
  <c r="G19" i="49"/>
  <c r="J18" i="49"/>
  <c r="I18" i="49"/>
  <c r="H18" i="49"/>
  <c r="G18" i="49"/>
  <c r="J17" i="49"/>
  <c r="I17" i="49"/>
  <c r="H17" i="49"/>
  <c r="G17" i="49"/>
  <c r="J16" i="49"/>
  <c r="I16" i="49"/>
  <c r="H16" i="49"/>
  <c r="G16" i="49"/>
  <c r="J15" i="49"/>
  <c r="I15" i="49"/>
  <c r="H15" i="49"/>
  <c r="G15" i="49"/>
  <c r="J14" i="49"/>
  <c r="I14" i="49"/>
  <c r="H14" i="49"/>
  <c r="G14" i="49"/>
  <c r="J13" i="49"/>
  <c r="I13" i="49"/>
  <c r="H13" i="49"/>
  <c r="G13" i="49"/>
  <c r="J12" i="49"/>
  <c r="I12" i="49"/>
  <c r="H12" i="49"/>
  <c r="G12" i="49"/>
  <c r="J11" i="49"/>
  <c r="I11" i="49"/>
  <c r="H11" i="49"/>
  <c r="G11" i="49"/>
  <c r="J10" i="49"/>
  <c r="I10" i="49"/>
  <c r="H10" i="49"/>
  <c r="G10" i="49"/>
  <c r="J9" i="49"/>
  <c r="I9" i="49"/>
  <c r="H9" i="49"/>
  <c r="G9" i="49"/>
  <c r="J8" i="49"/>
  <c r="I8" i="49"/>
  <c r="H8" i="49"/>
  <c r="G8" i="49"/>
  <c r="J7" i="49"/>
  <c r="I7" i="49"/>
  <c r="H7" i="49"/>
  <c r="G7" i="49"/>
  <c r="J6" i="49"/>
  <c r="I6" i="49"/>
  <c r="H6" i="49"/>
  <c r="G6" i="49"/>
  <c r="J5" i="49"/>
  <c r="I5" i="49"/>
  <c r="H5" i="49"/>
  <c r="G5" i="49"/>
  <c r="J19" i="32" l="1"/>
  <c r="J16" i="32"/>
  <c r="J15" i="32"/>
  <c r="J20" i="32"/>
  <c r="J17" i="32"/>
  <c r="J18" i="32"/>
  <c r="K15" i="9"/>
  <c r="K41" i="9"/>
  <c r="K16" i="9"/>
  <c r="K7" i="9"/>
  <c r="K32" i="9"/>
  <c r="K31" i="9"/>
  <c r="K8" i="9"/>
  <c r="K33" i="9"/>
  <c r="K25" i="9"/>
  <c r="K14" i="9"/>
  <c r="K38" i="9"/>
  <c r="K24" i="9"/>
  <c r="K39" i="9"/>
  <c r="K23" i="9"/>
  <c r="K10" i="9"/>
  <c r="J42" i="32"/>
  <c r="K40" i="9"/>
  <c r="K30" i="9"/>
  <c r="K9" i="9"/>
  <c r="K26" i="9"/>
  <c r="J58" i="32"/>
  <c r="J54" i="32"/>
  <c r="J53" i="32"/>
  <c r="J52" i="32"/>
  <c r="J51" i="32"/>
  <c r="J47" i="32"/>
  <c r="J46" i="32"/>
  <c r="J41" i="32"/>
  <c r="J40" i="32"/>
  <c r="J39" i="32"/>
  <c r="J38" i="32"/>
  <c r="J37" i="32"/>
  <c r="J36" i="32"/>
  <c r="J35" i="32"/>
  <c r="J34" i="32"/>
  <c r="J30" i="32"/>
  <c r="J29" i="32"/>
  <c r="J28" i="32"/>
  <c r="J27" i="32"/>
  <c r="J14" i="32"/>
  <c r="J13" i="32"/>
  <c r="J12" i="32"/>
  <c r="J11" i="32"/>
  <c r="J10" i="32"/>
  <c r="J8" i="32"/>
  <c r="K54" i="57"/>
  <c r="AM58" i="57"/>
  <c r="K138" i="57"/>
  <c r="K153" i="57" s="1"/>
  <c r="Y153" i="57"/>
  <c r="Y58" i="57"/>
  <c r="K49" i="57"/>
  <c r="K58" i="57" s="1"/>
  <c r="Y172" i="57"/>
  <c r="K170" i="57"/>
  <c r="K172" i="57" s="1"/>
  <c r="Y35" i="57"/>
  <c r="K33" i="57"/>
  <c r="K35" i="57" s="1"/>
  <c r="Y119" i="57"/>
  <c r="K117" i="57"/>
  <c r="K119" i="57" s="1"/>
  <c r="K97" i="57"/>
  <c r="K104" i="57" s="1"/>
  <c r="K112" i="57" s="1"/>
  <c r="Y104" i="57"/>
  <c r="Y112" i="57" s="1"/>
  <c r="J67" i="32" l="1"/>
  <c r="J68" i="32"/>
  <c r="J70" i="32"/>
  <c r="J71" i="32"/>
  <c r="J72" i="32"/>
  <c r="J69" i="32"/>
  <c r="K17" i="9"/>
  <c r="K34" i="9"/>
  <c r="K53" i="9"/>
  <c r="K11" i="9"/>
  <c r="K42" i="9"/>
  <c r="K27" i="9"/>
  <c r="J65" i="32"/>
  <c r="J64" i="32"/>
  <c r="J63" i="32"/>
  <c r="J78" i="32"/>
  <c r="J77" i="32"/>
  <c r="AF138" i="57"/>
  <c r="AF54" i="57"/>
  <c r="AG138" i="57"/>
  <c r="AG153" i="57" s="1"/>
  <c r="AG54" i="57"/>
  <c r="AH138" i="57"/>
  <c r="AH153" i="57" s="1"/>
  <c r="AH54" i="57"/>
  <c r="AI138" i="57"/>
  <c r="AI153" i="57" s="1"/>
  <c r="AI54" i="57"/>
  <c r="AJ138" i="57"/>
  <c r="AJ153" i="57" s="1"/>
  <c r="AJ54" i="57"/>
  <c r="AK138" i="57"/>
  <c r="AK153" i="57" s="1"/>
  <c r="AK54" i="57"/>
  <c r="AL138" i="57"/>
  <c r="AL153" i="57" s="1"/>
  <c r="AL54" i="57"/>
  <c r="K19" i="9" l="1"/>
  <c r="K48" i="9"/>
  <c r="K49" i="9"/>
  <c r="K35" i="9"/>
  <c r="K50" i="9" s="1"/>
  <c r="K44" i="9"/>
  <c r="K46" i="9" s="1"/>
  <c r="AL58" i="57"/>
  <c r="J54" i="57"/>
  <c r="AK58" i="57"/>
  <c r="I54" i="57"/>
  <c r="H54" i="57"/>
  <c r="AJ58" i="57"/>
  <c r="G54" i="57"/>
  <c r="AI58" i="57"/>
  <c r="F54" i="57"/>
  <c r="AH58" i="57"/>
  <c r="E54" i="57"/>
  <c r="AG58" i="57"/>
  <c r="AF58" i="57"/>
  <c r="D54" i="57"/>
  <c r="AE138" i="57"/>
  <c r="AE54" i="57"/>
  <c r="AE58" i="57" s="1"/>
  <c r="K53" i="12"/>
  <c r="S53" i="12" s="1"/>
  <c r="K29" i="12"/>
  <c r="S29" i="12" s="1"/>
  <c r="K13" i="12"/>
  <c r="S13" i="12" s="1"/>
  <c r="K21" i="12"/>
  <c r="S21" i="12" s="1"/>
  <c r="K20" i="12"/>
  <c r="S20" i="12" s="1"/>
  <c r="K12" i="12"/>
  <c r="S12" i="12" s="1"/>
  <c r="K19" i="12"/>
  <c r="S19" i="12" s="1"/>
  <c r="K22" i="12"/>
  <c r="S22" i="12" s="1"/>
  <c r="K24" i="12"/>
  <c r="S24" i="12" s="1"/>
  <c r="K9" i="12"/>
  <c r="S9" i="12" s="1"/>
  <c r="F206" i="33"/>
  <c r="E206" i="33"/>
  <c r="D206" i="33"/>
  <c r="C206" i="33"/>
  <c r="AF106" i="57"/>
  <c r="AF61" i="57"/>
  <c r="AF63" i="57"/>
  <c r="AF67" i="57"/>
  <c r="D67" i="57" s="1"/>
  <c r="AF70" i="57"/>
  <c r="AF71" i="57"/>
  <c r="AF72" i="57"/>
  <c r="AF74" i="57"/>
  <c r="AF75" i="57"/>
  <c r="AF140" i="57"/>
  <c r="AF141" i="57"/>
  <c r="AE207" i="57"/>
  <c r="AE219" i="57" s="1"/>
  <c r="I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8" i="47"/>
  <c r="I49" i="47"/>
  <c r="I50" i="47"/>
  <c r="I51" i="47"/>
  <c r="I52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0" i="47"/>
  <c r="I71" i="47"/>
  <c r="I72" i="47"/>
  <c r="I73" i="47"/>
  <c r="I74" i="47"/>
  <c r="I75" i="47"/>
  <c r="I76" i="47"/>
  <c r="I77" i="47"/>
  <c r="I78" i="47"/>
  <c r="I79" i="47"/>
  <c r="I80" i="47"/>
  <c r="I81" i="47"/>
  <c r="I82" i="47"/>
  <c r="I83" i="47"/>
  <c r="I84" i="47"/>
  <c r="I85" i="47"/>
  <c r="I86" i="47"/>
  <c r="I87" i="47"/>
  <c r="I88" i="47"/>
  <c r="I89" i="47"/>
  <c r="I90" i="47"/>
  <c r="I91" i="47"/>
  <c r="I92" i="47"/>
  <c r="I93" i="47"/>
  <c r="I94" i="47"/>
  <c r="I95" i="47"/>
  <c r="I96" i="47"/>
  <c r="I97" i="47"/>
  <c r="I98" i="47"/>
  <c r="I99" i="47"/>
  <c r="I100" i="47"/>
  <c r="I101" i="47"/>
  <c r="I102" i="47"/>
  <c r="I103" i="47"/>
  <c r="I104" i="47"/>
  <c r="I105" i="47"/>
  <c r="I106" i="47"/>
  <c r="I107" i="47"/>
  <c r="I108" i="47"/>
  <c r="I109" i="47"/>
  <c r="I110" i="47"/>
  <c r="I111" i="47"/>
  <c r="I112" i="47"/>
  <c r="I113" i="47"/>
  <c r="I114" i="47"/>
  <c r="I115" i="47"/>
  <c r="I116" i="47"/>
  <c r="I117" i="47"/>
  <c r="I118" i="47"/>
  <c r="I119" i="47"/>
  <c r="I120" i="47"/>
  <c r="I121" i="47"/>
  <c r="I122" i="47"/>
  <c r="I123" i="47"/>
  <c r="I124" i="47"/>
  <c r="I125" i="47"/>
  <c r="I126" i="47"/>
  <c r="I127" i="47"/>
  <c r="I128" i="47"/>
  <c r="I129" i="47"/>
  <c r="I130" i="47"/>
  <c r="I131" i="47"/>
  <c r="I132" i="47"/>
  <c r="I133" i="47"/>
  <c r="I134" i="47"/>
  <c r="I135" i="47"/>
  <c r="I136" i="47"/>
  <c r="I137" i="47"/>
  <c r="I138" i="47"/>
  <c r="I139" i="47"/>
  <c r="I140" i="47"/>
  <c r="I141" i="47"/>
  <c r="I142" i="47"/>
  <c r="I143" i="47"/>
  <c r="I144" i="47"/>
  <c r="I145" i="47"/>
  <c r="I146" i="47"/>
  <c r="I147" i="47"/>
  <c r="I148" i="47"/>
  <c r="I149" i="47"/>
  <c r="I150" i="47"/>
  <c r="I151" i="47"/>
  <c r="I152" i="47"/>
  <c r="I153" i="47"/>
  <c r="I154" i="47"/>
  <c r="I155" i="47"/>
  <c r="I156" i="47"/>
  <c r="I157" i="47"/>
  <c r="I158" i="47"/>
  <c r="I159" i="47"/>
  <c r="I160" i="47"/>
  <c r="I161" i="47"/>
  <c r="I162" i="47"/>
  <c r="I163" i="47"/>
  <c r="I164" i="47"/>
  <c r="I165" i="47"/>
  <c r="I166" i="47"/>
  <c r="I167" i="47"/>
  <c r="I168" i="47"/>
  <c r="I169" i="47"/>
  <c r="I170" i="47"/>
  <c r="I171" i="47"/>
  <c r="I172" i="47"/>
  <c r="I173" i="47"/>
  <c r="I174" i="47"/>
  <c r="I175" i="47"/>
  <c r="I176" i="47"/>
  <c r="I177" i="47"/>
  <c r="I178" i="47"/>
  <c r="I179" i="47"/>
  <c r="I180" i="47"/>
  <c r="I181" i="47"/>
  <c r="I182" i="47"/>
  <c r="I183" i="47"/>
  <c r="I184" i="47"/>
  <c r="I185" i="47"/>
  <c r="I186" i="47"/>
  <c r="I187" i="47"/>
  <c r="I189" i="47"/>
  <c r="I190" i="47"/>
  <c r="I191" i="47"/>
  <c r="I192" i="47"/>
  <c r="I193" i="47"/>
  <c r="I194" i="47"/>
  <c r="I195" i="47"/>
  <c r="I196" i="47"/>
  <c r="I197" i="47"/>
  <c r="I198" i="47"/>
  <c r="I199" i="47"/>
  <c r="I200" i="47"/>
  <c r="I201" i="47"/>
  <c r="I202" i="47"/>
  <c r="I203" i="47"/>
  <c r="I204" i="47"/>
  <c r="I205" i="47"/>
  <c r="I206" i="47"/>
  <c r="I207" i="47"/>
  <c r="I208" i="47"/>
  <c r="I209" i="47"/>
  <c r="I210" i="47"/>
  <c r="I211" i="47"/>
  <c r="I212" i="47"/>
  <c r="I213" i="47"/>
  <c r="I214" i="47"/>
  <c r="I215" i="47"/>
  <c r="I216" i="47"/>
  <c r="I217" i="47"/>
  <c r="I218" i="47"/>
  <c r="I219" i="47"/>
  <c r="I220" i="47"/>
  <c r="I221" i="47"/>
  <c r="I222" i="47"/>
  <c r="I223" i="47"/>
  <c r="I224" i="47"/>
  <c r="I225" i="47"/>
  <c r="I226" i="47"/>
  <c r="I227" i="47"/>
  <c r="I228" i="47"/>
  <c r="I229" i="47"/>
  <c r="I230" i="47"/>
  <c r="I231" i="47"/>
  <c r="I232" i="47"/>
  <c r="I233" i="47"/>
  <c r="I234" i="47"/>
  <c r="I235" i="47"/>
  <c r="F237" i="47"/>
  <c r="X97" i="57"/>
  <c r="X100" i="57"/>
  <c r="J100" i="57" s="1"/>
  <c r="X101" i="57"/>
  <c r="J101" i="57" s="1"/>
  <c r="X102" i="57"/>
  <c r="J102" i="57" s="1"/>
  <c r="X117" i="57"/>
  <c r="X33" i="57"/>
  <c r="X170" i="57"/>
  <c r="X49" i="57"/>
  <c r="X56" i="57"/>
  <c r="J56" i="57" s="1"/>
  <c r="X138" i="57"/>
  <c r="X146" i="57"/>
  <c r="J146" i="57" s="1"/>
  <c r="X99" i="57"/>
  <c r="J99" i="57" s="1"/>
  <c r="X180" i="57"/>
  <c r="X188" i="57" s="1"/>
  <c r="I5" i="43"/>
  <c r="I6" i="43"/>
  <c r="I7" i="43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74" i="43"/>
  <c r="I75" i="43"/>
  <c r="I7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F229" i="43"/>
  <c r="W97" i="57"/>
  <c r="W100" i="57"/>
  <c r="I100" i="57" s="1"/>
  <c r="W101" i="57"/>
  <c r="I101" i="57" s="1"/>
  <c r="W102" i="57"/>
  <c r="I102" i="57" s="1"/>
  <c r="W117" i="57"/>
  <c r="W33" i="57"/>
  <c r="W170" i="57"/>
  <c r="W49" i="57"/>
  <c r="W56" i="57"/>
  <c r="I56" i="57" s="1"/>
  <c r="W138" i="57"/>
  <c r="W146" i="57"/>
  <c r="I146" i="57" s="1"/>
  <c r="W99" i="57"/>
  <c r="I99" i="57" s="1"/>
  <c r="W180" i="57"/>
  <c r="W188" i="57" s="1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I150" i="38"/>
  <c r="I151" i="38"/>
  <c r="I152" i="38"/>
  <c r="I153" i="38"/>
  <c r="I154" i="38"/>
  <c r="I155" i="38"/>
  <c r="I156" i="38"/>
  <c r="I157" i="38"/>
  <c r="I158" i="38"/>
  <c r="I159" i="38"/>
  <c r="I160" i="38"/>
  <c r="I161" i="38"/>
  <c r="I162" i="38"/>
  <c r="I163" i="38"/>
  <c r="I164" i="38"/>
  <c r="I165" i="38"/>
  <c r="I166" i="38"/>
  <c r="I167" i="38"/>
  <c r="I168" i="38"/>
  <c r="I169" i="38"/>
  <c r="I170" i="38"/>
  <c r="I171" i="38"/>
  <c r="I172" i="38"/>
  <c r="I173" i="38"/>
  <c r="I174" i="38"/>
  <c r="I175" i="38"/>
  <c r="I176" i="38"/>
  <c r="I177" i="38"/>
  <c r="I178" i="38"/>
  <c r="I179" i="38"/>
  <c r="I180" i="38"/>
  <c r="I181" i="38"/>
  <c r="I182" i="38"/>
  <c r="I183" i="38"/>
  <c r="I184" i="38"/>
  <c r="I185" i="38"/>
  <c r="I186" i="38"/>
  <c r="I187" i="38"/>
  <c r="I188" i="38"/>
  <c r="I189" i="38"/>
  <c r="I190" i="38"/>
  <c r="I191" i="38"/>
  <c r="I192" i="38"/>
  <c r="I193" i="38"/>
  <c r="I194" i="38"/>
  <c r="I195" i="38"/>
  <c r="I196" i="38"/>
  <c r="I197" i="38"/>
  <c r="I198" i="38"/>
  <c r="I199" i="38"/>
  <c r="I200" i="38"/>
  <c r="I201" i="38"/>
  <c r="I202" i="38"/>
  <c r="I203" i="38"/>
  <c r="I204" i="38"/>
  <c r="I205" i="38"/>
  <c r="I206" i="38"/>
  <c r="I207" i="38"/>
  <c r="I208" i="38"/>
  <c r="I209" i="38"/>
  <c r="I210" i="38"/>
  <c r="I211" i="38"/>
  <c r="I212" i="38"/>
  <c r="I213" i="38"/>
  <c r="I214" i="38"/>
  <c r="I215" i="38"/>
  <c r="F217" i="38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U97" i="57"/>
  <c r="U100" i="57"/>
  <c r="G100" i="57" s="1"/>
  <c r="U101" i="57"/>
  <c r="G101" i="57" s="1"/>
  <c r="U102" i="57"/>
  <c r="G102" i="57" s="1"/>
  <c r="U117" i="57"/>
  <c r="U33" i="57"/>
  <c r="U170" i="57"/>
  <c r="U49" i="57"/>
  <c r="U56" i="57"/>
  <c r="G56" i="57" s="1"/>
  <c r="U138" i="57"/>
  <c r="U99" i="57"/>
  <c r="G99" i="57" s="1"/>
  <c r="U180" i="57"/>
  <c r="U188" i="57" s="1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F202" i="25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F196" i="29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69" i="28"/>
  <c r="I170" i="28"/>
  <c r="I171" i="28"/>
  <c r="I172" i="28"/>
  <c r="I173" i="28"/>
  <c r="I174" i="28"/>
  <c r="I175" i="28"/>
  <c r="I176" i="28"/>
  <c r="I177" i="28"/>
  <c r="I178" i="28"/>
  <c r="I179" i="28"/>
  <c r="I180" i="28"/>
  <c r="I181" i="28"/>
  <c r="I182" i="28"/>
  <c r="I183" i="28"/>
  <c r="I184" i="28"/>
  <c r="F186" i="28"/>
  <c r="R97" i="57"/>
  <c r="R99" i="57"/>
  <c r="D99" i="57" s="1"/>
  <c r="R100" i="57"/>
  <c r="D100" i="57" s="1"/>
  <c r="R101" i="57"/>
  <c r="D101" i="57" s="1"/>
  <c r="R102" i="57"/>
  <c r="D102" i="57" s="1"/>
  <c r="R117" i="57"/>
  <c r="R33" i="57"/>
  <c r="R170" i="57"/>
  <c r="R49" i="57"/>
  <c r="R75" i="57"/>
  <c r="R76" i="57"/>
  <c r="D76" i="57" s="1"/>
  <c r="R77" i="57"/>
  <c r="D77" i="57" s="1"/>
  <c r="R140" i="57"/>
  <c r="R141" i="57"/>
  <c r="R90" i="57"/>
  <c r="R91" i="57"/>
  <c r="D91" i="57" s="1"/>
  <c r="R92" i="57"/>
  <c r="D92" i="57" s="1"/>
  <c r="R93" i="57"/>
  <c r="D93" i="57" s="1"/>
  <c r="R106" i="57"/>
  <c r="R107" i="57"/>
  <c r="D107" i="57" s="1"/>
  <c r="R108" i="57"/>
  <c r="D108" i="57" s="1"/>
  <c r="R61" i="57"/>
  <c r="R63" i="57"/>
  <c r="R64" i="57"/>
  <c r="D64" i="57" s="1"/>
  <c r="R65" i="57"/>
  <c r="D65" i="57" s="1"/>
  <c r="R66" i="57"/>
  <c r="D66" i="57" s="1"/>
  <c r="R70" i="57"/>
  <c r="R71" i="57"/>
  <c r="R72" i="57"/>
  <c r="R73" i="57"/>
  <c r="D73" i="57" s="1"/>
  <c r="R56" i="57"/>
  <c r="D56" i="57" s="1"/>
  <c r="R138" i="5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0" i="47"/>
  <c r="G71" i="47"/>
  <c r="G72" i="47"/>
  <c r="G73" i="47"/>
  <c r="G74" i="47"/>
  <c r="G75" i="47"/>
  <c r="G76" i="47"/>
  <c r="G77" i="47"/>
  <c r="G78" i="47"/>
  <c r="G79" i="47"/>
  <c r="G80" i="47"/>
  <c r="G81" i="47"/>
  <c r="G82" i="47"/>
  <c r="G83" i="47"/>
  <c r="G84" i="47"/>
  <c r="G85" i="47"/>
  <c r="G86" i="47"/>
  <c r="G87" i="47"/>
  <c r="G88" i="47"/>
  <c r="G89" i="47"/>
  <c r="G90" i="47"/>
  <c r="G91" i="47"/>
  <c r="G92" i="47"/>
  <c r="G93" i="47"/>
  <c r="G94" i="47"/>
  <c r="G95" i="47"/>
  <c r="G96" i="47"/>
  <c r="G97" i="47"/>
  <c r="G98" i="47"/>
  <c r="G99" i="47"/>
  <c r="G100" i="47"/>
  <c r="G101" i="47"/>
  <c r="G102" i="47"/>
  <c r="G103" i="47"/>
  <c r="G104" i="47"/>
  <c r="G105" i="47"/>
  <c r="G106" i="47"/>
  <c r="G107" i="47"/>
  <c r="G108" i="47"/>
  <c r="G109" i="47"/>
  <c r="G110" i="47"/>
  <c r="G111" i="47"/>
  <c r="G112" i="47"/>
  <c r="G113" i="47"/>
  <c r="G114" i="47"/>
  <c r="G115" i="47"/>
  <c r="G116" i="47"/>
  <c r="G117" i="47"/>
  <c r="G118" i="47"/>
  <c r="G119" i="47"/>
  <c r="G120" i="47"/>
  <c r="G121" i="47"/>
  <c r="G122" i="47"/>
  <c r="G123" i="47"/>
  <c r="G124" i="47"/>
  <c r="G125" i="47"/>
  <c r="G126" i="47"/>
  <c r="G127" i="47"/>
  <c r="G128" i="47"/>
  <c r="G129" i="47"/>
  <c r="G130" i="47"/>
  <c r="G131" i="47"/>
  <c r="G132" i="47"/>
  <c r="G133" i="47"/>
  <c r="G134" i="47"/>
  <c r="G135" i="47"/>
  <c r="G136" i="47"/>
  <c r="G137" i="47"/>
  <c r="G138" i="47"/>
  <c r="G139" i="47"/>
  <c r="G140" i="47"/>
  <c r="G141" i="47"/>
  <c r="G142" i="47"/>
  <c r="G143" i="47"/>
  <c r="G144" i="47"/>
  <c r="G145" i="47"/>
  <c r="G146" i="47"/>
  <c r="G147" i="47"/>
  <c r="G148" i="47"/>
  <c r="G149" i="47"/>
  <c r="G150" i="47"/>
  <c r="G151" i="47"/>
  <c r="G152" i="47"/>
  <c r="G153" i="47"/>
  <c r="G154" i="47"/>
  <c r="G155" i="47"/>
  <c r="G156" i="47"/>
  <c r="G157" i="47"/>
  <c r="G158" i="47"/>
  <c r="G159" i="47"/>
  <c r="G160" i="47"/>
  <c r="G161" i="47"/>
  <c r="G162" i="47"/>
  <c r="G163" i="47"/>
  <c r="G164" i="47"/>
  <c r="G165" i="47"/>
  <c r="G166" i="47"/>
  <c r="G167" i="47"/>
  <c r="G168" i="47"/>
  <c r="G169" i="47"/>
  <c r="G170" i="47"/>
  <c r="G171" i="47"/>
  <c r="G172" i="47"/>
  <c r="G173" i="47"/>
  <c r="G174" i="47"/>
  <c r="G175" i="47"/>
  <c r="G176" i="47"/>
  <c r="G177" i="47"/>
  <c r="G178" i="47"/>
  <c r="G179" i="47"/>
  <c r="G180" i="47"/>
  <c r="G181" i="47"/>
  <c r="G182" i="47"/>
  <c r="G183" i="47"/>
  <c r="G184" i="47"/>
  <c r="G185" i="47"/>
  <c r="G186" i="47"/>
  <c r="G187" i="47"/>
  <c r="G188" i="47"/>
  <c r="G189" i="47"/>
  <c r="G190" i="47"/>
  <c r="G191" i="47"/>
  <c r="G192" i="47"/>
  <c r="G193" i="47"/>
  <c r="G194" i="47"/>
  <c r="G195" i="47"/>
  <c r="G196" i="47"/>
  <c r="G197" i="47"/>
  <c r="G198" i="47"/>
  <c r="G199" i="47"/>
  <c r="G200" i="47"/>
  <c r="G201" i="47"/>
  <c r="G202" i="47"/>
  <c r="G203" i="47"/>
  <c r="G204" i="47"/>
  <c r="G205" i="47"/>
  <c r="G206" i="47"/>
  <c r="G207" i="47"/>
  <c r="G208" i="47"/>
  <c r="G209" i="47"/>
  <c r="G210" i="47"/>
  <c r="G211" i="47"/>
  <c r="G212" i="47"/>
  <c r="G213" i="47"/>
  <c r="G214" i="47"/>
  <c r="G215" i="47"/>
  <c r="G216" i="47"/>
  <c r="G217" i="47"/>
  <c r="G218" i="47"/>
  <c r="G219" i="47"/>
  <c r="G220" i="47"/>
  <c r="G221" i="47"/>
  <c r="G222" i="47"/>
  <c r="G223" i="47"/>
  <c r="G224" i="47"/>
  <c r="G225" i="47"/>
  <c r="G226" i="47"/>
  <c r="G227" i="47"/>
  <c r="G228" i="47"/>
  <c r="G229" i="47"/>
  <c r="G230" i="47"/>
  <c r="G231" i="47"/>
  <c r="G232" i="47"/>
  <c r="G233" i="47"/>
  <c r="G234" i="47"/>
  <c r="G235" i="47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G139" i="43"/>
  <c r="G140" i="43"/>
  <c r="G141" i="43"/>
  <c r="G142" i="43"/>
  <c r="G143" i="43"/>
  <c r="G144" i="43"/>
  <c r="G145" i="43"/>
  <c r="G146" i="43"/>
  <c r="G147" i="43"/>
  <c r="G148" i="43"/>
  <c r="G149" i="43"/>
  <c r="G150" i="43"/>
  <c r="G151" i="43"/>
  <c r="G152" i="43"/>
  <c r="G153" i="43"/>
  <c r="G154" i="43"/>
  <c r="G155" i="43"/>
  <c r="G156" i="43"/>
  <c r="G157" i="43"/>
  <c r="G158" i="43"/>
  <c r="G159" i="43"/>
  <c r="G160" i="43"/>
  <c r="G161" i="43"/>
  <c r="G162" i="43"/>
  <c r="G163" i="43"/>
  <c r="G164" i="43"/>
  <c r="G165" i="43"/>
  <c r="G166" i="43"/>
  <c r="G167" i="43"/>
  <c r="G168" i="43"/>
  <c r="G169" i="43"/>
  <c r="G170" i="43"/>
  <c r="G171" i="43"/>
  <c r="G172" i="43"/>
  <c r="G173" i="43"/>
  <c r="G174" i="43"/>
  <c r="G175" i="43"/>
  <c r="G176" i="43"/>
  <c r="G177" i="43"/>
  <c r="G178" i="43"/>
  <c r="G179" i="43"/>
  <c r="G180" i="43"/>
  <c r="G181" i="43"/>
  <c r="G182" i="43"/>
  <c r="G183" i="43"/>
  <c r="G184" i="43"/>
  <c r="G185" i="43"/>
  <c r="G186" i="43"/>
  <c r="G187" i="43"/>
  <c r="G188" i="43"/>
  <c r="G189" i="43"/>
  <c r="G190" i="43"/>
  <c r="G191" i="43"/>
  <c r="G192" i="43"/>
  <c r="G193" i="43"/>
  <c r="G194" i="43"/>
  <c r="G195" i="43"/>
  <c r="G196" i="43"/>
  <c r="G197" i="43"/>
  <c r="G198" i="43"/>
  <c r="G199" i="43"/>
  <c r="G200" i="43"/>
  <c r="G201" i="43"/>
  <c r="G202" i="43"/>
  <c r="G203" i="43"/>
  <c r="G204" i="43"/>
  <c r="G205" i="43"/>
  <c r="G206" i="43"/>
  <c r="G207" i="43"/>
  <c r="G208" i="43"/>
  <c r="G209" i="43"/>
  <c r="G210" i="43"/>
  <c r="G211" i="43"/>
  <c r="G212" i="43"/>
  <c r="G213" i="43"/>
  <c r="G214" i="43"/>
  <c r="G215" i="43"/>
  <c r="G216" i="43"/>
  <c r="G217" i="43"/>
  <c r="G218" i="43"/>
  <c r="G219" i="43"/>
  <c r="G220" i="43"/>
  <c r="G221" i="43"/>
  <c r="G222" i="43"/>
  <c r="G223" i="43"/>
  <c r="G224" i="43"/>
  <c r="G225" i="43"/>
  <c r="G226" i="43"/>
  <c r="G227" i="43"/>
  <c r="E237" i="47"/>
  <c r="D237" i="47"/>
  <c r="C237" i="47"/>
  <c r="J235" i="47"/>
  <c r="H235" i="47"/>
  <c r="J234" i="47"/>
  <c r="H234" i="47"/>
  <c r="J233" i="47"/>
  <c r="H233" i="47"/>
  <c r="J232" i="47"/>
  <c r="H232" i="47"/>
  <c r="J231" i="47"/>
  <c r="H231" i="47"/>
  <c r="J230" i="47"/>
  <c r="H230" i="47"/>
  <c r="J229" i="47"/>
  <c r="H229" i="47"/>
  <c r="J228" i="47"/>
  <c r="H228" i="47"/>
  <c r="J227" i="47"/>
  <c r="H227" i="47"/>
  <c r="J226" i="47"/>
  <c r="H226" i="47"/>
  <c r="J225" i="47"/>
  <c r="H225" i="47"/>
  <c r="J224" i="47"/>
  <c r="H224" i="47"/>
  <c r="J223" i="47"/>
  <c r="H223" i="47"/>
  <c r="J222" i="47"/>
  <c r="H222" i="47"/>
  <c r="J221" i="47"/>
  <c r="H221" i="47"/>
  <c r="J220" i="47"/>
  <c r="H220" i="47"/>
  <c r="J219" i="47"/>
  <c r="H219" i="47"/>
  <c r="J218" i="47"/>
  <c r="H218" i="47"/>
  <c r="J217" i="47"/>
  <c r="H217" i="47"/>
  <c r="J216" i="47"/>
  <c r="H216" i="47"/>
  <c r="J215" i="47"/>
  <c r="H215" i="47"/>
  <c r="J214" i="47"/>
  <c r="H214" i="47"/>
  <c r="J213" i="47"/>
  <c r="H213" i="47"/>
  <c r="J212" i="47"/>
  <c r="H212" i="47"/>
  <c r="J211" i="47"/>
  <c r="H211" i="47"/>
  <c r="J210" i="47"/>
  <c r="H210" i="47"/>
  <c r="J209" i="47"/>
  <c r="H209" i="47"/>
  <c r="J208" i="47"/>
  <c r="H208" i="47"/>
  <c r="J207" i="47"/>
  <c r="H207" i="47"/>
  <c r="J206" i="47"/>
  <c r="H206" i="47"/>
  <c r="J205" i="47"/>
  <c r="H205" i="47"/>
  <c r="J204" i="47"/>
  <c r="H204" i="47"/>
  <c r="J203" i="47"/>
  <c r="H203" i="47"/>
  <c r="J202" i="47"/>
  <c r="H202" i="47"/>
  <c r="J201" i="47"/>
  <c r="H201" i="47"/>
  <c r="J200" i="47"/>
  <c r="H200" i="47"/>
  <c r="J199" i="47"/>
  <c r="H199" i="47"/>
  <c r="J198" i="47"/>
  <c r="H198" i="47"/>
  <c r="J197" i="47"/>
  <c r="H197" i="47"/>
  <c r="J196" i="47"/>
  <c r="H196" i="47"/>
  <c r="J195" i="47"/>
  <c r="H195" i="47"/>
  <c r="J194" i="47"/>
  <c r="H194" i="47"/>
  <c r="J193" i="47"/>
  <c r="H193" i="47"/>
  <c r="J192" i="47"/>
  <c r="H192" i="47"/>
  <c r="J191" i="47"/>
  <c r="H191" i="47"/>
  <c r="J190" i="47"/>
  <c r="H190" i="47"/>
  <c r="J189" i="47"/>
  <c r="H189" i="47"/>
  <c r="J188" i="47"/>
  <c r="H188" i="47"/>
  <c r="J187" i="47"/>
  <c r="H187" i="47"/>
  <c r="J186" i="47"/>
  <c r="H186" i="47"/>
  <c r="J185" i="47"/>
  <c r="H185" i="47"/>
  <c r="J184" i="47"/>
  <c r="H184" i="47"/>
  <c r="J183" i="47"/>
  <c r="H183" i="47"/>
  <c r="J182" i="47"/>
  <c r="H182" i="47"/>
  <c r="J181" i="47"/>
  <c r="H181" i="47"/>
  <c r="J180" i="47"/>
  <c r="H180" i="47"/>
  <c r="J179" i="47"/>
  <c r="H179" i="47"/>
  <c r="J178" i="47"/>
  <c r="H178" i="47"/>
  <c r="J177" i="47"/>
  <c r="H177" i="47"/>
  <c r="J176" i="47"/>
  <c r="H176" i="47"/>
  <c r="J175" i="47"/>
  <c r="H175" i="47"/>
  <c r="J174" i="47"/>
  <c r="H174" i="47"/>
  <c r="J173" i="47"/>
  <c r="H173" i="47"/>
  <c r="J172" i="47"/>
  <c r="H172" i="47"/>
  <c r="J171" i="47"/>
  <c r="H171" i="47"/>
  <c r="J170" i="47"/>
  <c r="H170" i="47"/>
  <c r="J169" i="47"/>
  <c r="H169" i="47"/>
  <c r="J168" i="47"/>
  <c r="H168" i="47"/>
  <c r="J167" i="47"/>
  <c r="H167" i="47"/>
  <c r="J166" i="47"/>
  <c r="H166" i="47"/>
  <c r="J165" i="47"/>
  <c r="H165" i="47"/>
  <c r="J164" i="47"/>
  <c r="H164" i="47"/>
  <c r="J163" i="47"/>
  <c r="H163" i="47"/>
  <c r="J162" i="47"/>
  <c r="H162" i="47"/>
  <c r="J161" i="47"/>
  <c r="H161" i="47"/>
  <c r="J160" i="47"/>
  <c r="H160" i="47"/>
  <c r="J159" i="47"/>
  <c r="H159" i="47"/>
  <c r="J158" i="47"/>
  <c r="H158" i="47"/>
  <c r="J157" i="47"/>
  <c r="H157" i="47"/>
  <c r="J156" i="47"/>
  <c r="H156" i="47"/>
  <c r="J155" i="47"/>
  <c r="H155" i="47"/>
  <c r="J154" i="47"/>
  <c r="H154" i="47"/>
  <c r="J153" i="47"/>
  <c r="H153" i="47"/>
  <c r="J152" i="47"/>
  <c r="H152" i="47"/>
  <c r="J151" i="47"/>
  <c r="H151" i="47"/>
  <c r="J150" i="47"/>
  <c r="H150" i="47"/>
  <c r="J149" i="47"/>
  <c r="H149" i="47"/>
  <c r="J148" i="47"/>
  <c r="H148" i="47"/>
  <c r="J147" i="47"/>
  <c r="H147" i="47"/>
  <c r="J146" i="47"/>
  <c r="H146" i="47"/>
  <c r="J145" i="47"/>
  <c r="H145" i="47"/>
  <c r="J144" i="47"/>
  <c r="H144" i="47"/>
  <c r="J143" i="47"/>
  <c r="H143" i="47"/>
  <c r="J142" i="47"/>
  <c r="H142" i="47"/>
  <c r="J141" i="47"/>
  <c r="H141" i="47"/>
  <c r="J140" i="47"/>
  <c r="H140" i="47"/>
  <c r="J139" i="47"/>
  <c r="H139" i="47"/>
  <c r="J138" i="47"/>
  <c r="H138" i="47"/>
  <c r="J137" i="47"/>
  <c r="H137" i="47"/>
  <c r="J136" i="47"/>
  <c r="H136" i="47"/>
  <c r="J135" i="47"/>
  <c r="H135" i="47"/>
  <c r="J134" i="47"/>
  <c r="H134" i="47"/>
  <c r="J133" i="47"/>
  <c r="H133" i="47"/>
  <c r="J132" i="47"/>
  <c r="H132" i="47"/>
  <c r="J131" i="47"/>
  <c r="H131" i="47"/>
  <c r="J130" i="47"/>
  <c r="H130" i="47"/>
  <c r="J129" i="47"/>
  <c r="H129" i="47"/>
  <c r="J128" i="47"/>
  <c r="H128" i="47"/>
  <c r="J127" i="47"/>
  <c r="H127" i="47"/>
  <c r="J126" i="47"/>
  <c r="H126" i="47"/>
  <c r="J125" i="47"/>
  <c r="H125" i="47"/>
  <c r="J124" i="47"/>
  <c r="H124" i="47"/>
  <c r="J123" i="47"/>
  <c r="H123" i="47"/>
  <c r="J122" i="47"/>
  <c r="H122" i="47"/>
  <c r="J121" i="47"/>
  <c r="H121" i="47"/>
  <c r="J120" i="47"/>
  <c r="H120" i="47"/>
  <c r="J119" i="47"/>
  <c r="H119" i="47"/>
  <c r="J118" i="47"/>
  <c r="H118" i="47"/>
  <c r="J117" i="47"/>
  <c r="H117" i="47"/>
  <c r="J116" i="47"/>
  <c r="H116" i="47"/>
  <c r="J115" i="47"/>
  <c r="H115" i="47"/>
  <c r="J114" i="47"/>
  <c r="H114" i="47"/>
  <c r="J113" i="47"/>
  <c r="H113" i="47"/>
  <c r="J112" i="47"/>
  <c r="H112" i="47"/>
  <c r="J111" i="47"/>
  <c r="H111" i="47"/>
  <c r="J110" i="47"/>
  <c r="H110" i="47"/>
  <c r="J109" i="47"/>
  <c r="H109" i="47"/>
  <c r="J108" i="47"/>
  <c r="H108" i="47"/>
  <c r="J107" i="47"/>
  <c r="H107" i="47"/>
  <c r="J106" i="47"/>
  <c r="H106" i="47"/>
  <c r="J105" i="47"/>
  <c r="H105" i="47"/>
  <c r="J104" i="47"/>
  <c r="H104" i="47"/>
  <c r="J103" i="47"/>
  <c r="H103" i="47"/>
  <c r="J102" i="47"/>
  <c r="H102" i="47"/>
  <c r="J101" i="47"/>
  <c r="H101" i="47"/>
  <c r="J100" i="47"/>
  <c r="H100" i="47"/>
  <c r="J99" i="47"/>
  <c r="H99" i="47"/>
  <c r="J98" i="47"/>
  <c r="H98" i="47"/>
  <c r="J97" i="47"/>
  <c r="H97" i="47"/>
  <c r="J96" i="47"/>
  <c r="H96" i="47"/>
  <c r="J95" i="47"/>
  <c r="H95" i="47"/>
  <c r="J94" i="47"/>
  <c r="H94" i="47"/>
  <c r="J93" i="47"/>
  <c r="H93" i="47"/>
  <c r="J92" i="47"/>
  <c r="H92" i="47"/>
  <c r="J91" i="47"/>
  <c r="H91" i="47"/>
  <c r="J90" i="47"/>
  <c r="H90" i="47"/>
  <c r="J89" i="47"/>
  <c r="H89" i="47"/>
  <c r="J88" i="47"/>
  <c r="H88" i="47"/>
  <c r="J87" i="47"/>
  <c r="H87" i="47"/>
  <c r="J86" i="47"/>
  <c r="H86" i="47"/>
  <c r="J85" i="47"/>
  <c r="H85" i="47"/>
  <c r="J84" i="47"/>
  <c r="H84" i="47"/>
  <c r="J83" i="47"/>
  <c r="H83" i="47"/>
  <c r="J82" i="47"/>
  <c r="H82" i="47"/>
  <c r="J81" i="47"/>
  <c r="H81" i="47"/>
  <c r="J80" i="47"/>
  <c r="H80" i="47"/>
  <c r="J79" i="47"/>
  <c r="H79" i="47"/>
  <c r="J78" i="47"/>
  <c r="H78" i="47"/>
  <c r="J77" i="47"/>
  <c r="H77" i="47"/>
  <c r="J76" i="47"/>
  <c r="H76" i="47"/>
  <c r="J75" i="47"/>
  <c r="H75" i="47"/>
  <c r="J74" i="47"/>
  <c r="H74" i="47"/>
  <c r="J73" i="47"/>
  <c r="H73" i="47"/>
  <c r="J72" i="47"/>
  <c r="H72" i="47"/>
  <c r="J71" i="47"/>
  <c r="H71" i="47"/>
  <c r="J70" i="47"/>
  <c r="H70" i="47"/>
  <c r="J69" i="47"/>
  <c r="H69" i="47"/>
  <c r="J68" i="47"/>
  <c r="H68" i="47"/>
  <c r="J67" i="47"/>
  <c r="H67" i="47"/>
  <c r="J66" i="47"/>
  <c r="H66" i="47"/>
  <c r="J65" i="47"/>
  <c r="H65" i="47"/>
  <c r="J64" i="47"/>
  <c r="H64" i="47"/>
  <c r="J63" i="47"/>
  <c r="H63" i="47"/>
  <c r="J62" i="47"/>
  <c r="H62" i="47"/>
  <c r="J61" i="47"/>
  <c r="H61" i="47"/>
  <c r="J60" i="47"/>
  <c r="H60" i="47"/>
  <c r="J59" i="47"/>
  <c r="H59" i="47"/>
  <c r="J58" i="47"/>
  <c r="H58" i="47"/>
  <c r="J57" i="47"/>
  <c r="H57" i="47"/>
  <c r="J56" i="47"/>
  <c r="H56" i="47"/>
  <c r="J55" i="47"/>
  <c r="H55" i="47"/>
  <c r="J54" i="47"/>
  <c r="H54" i="47"/>
  <c r="J53" i="47"/>
  <c r="H53" i="47"/>
  <c r="J52" i="47"/>
  <c r="H52" i="47"/>
  <c r="J51" i="47"/>
  <c r="H51" i="47"/>
  <c r="J50" i="47"/>
  <c r="H50" i="47"/>
  <c r="J49" i="47"/>
  <c r="H49" i="47"/>
  <c r="J48" i="47"/>
  <c r="H48" i="47"/>
  <c r="J47" i="47"/>
  <c r="H47" i="47"/>
  <c r="J46" i="47"/>
  <c r="H46" i="47"/>
  <c r="J45" i="47"/>
  <c r="H45" i="47"/>
  <c r="J44" i="47"/>
  <c r="H44" i="47"/>
  <c r="J43" i="47"/>
  <c r="H43" i="47"/>
  <c r="J42" i="47"/>
  <c r="H42" i="47"/>
  <c r="J41" i="47"/>
  <c r="H41" i="47"/>
  <c r="J40" i="47"/>
  <c r="H40" i="47"/>
  <c r="J39" i="47"/>
  <c r="H39" i="47"/>
  <c r="J38" i="47"/>
  <c r="H38" i="47"/>
  <c r="J37" i="47"/>
  <c r="H37" i="47"/>
  <c r="J36" i="47"/>
  <c r="H36" i="47"/>
  <c r="J35" i="47"/>
  <c r="H35" i="47"/>
  <c r="J34" i="47"/>
  <c r="H34" i="47"/>
  <c r="J33" i="47"/>
  <c r="H33" i="47"/>
  <c r="J32" i="47"/>
  <c r="H32" i="47"/>
  <c r="J31" i="47"/>
  <c r="H31" i="47"/>
  <c r="J30" i="47"/>
  <c r="H30" i="47"/>
  <c r="J29" i="47"/>
  <c r="H29" i="47"/>
  <c r="J28" i="47"/>
  <c r="H28" i="47"/>
  <c r="J27" i="47"/>
  <c r="H27" i="47"/>
  <c r="J26" i="47"/>
  <c r="H26" i="47"/>
  <c r="J25" i="47"/>
  <c r="H25" i="47"/>
  <c r="J24" i="47"/>
  <c r="H24" i="47"/>
  <c r="J23" i="47"/>
  <c r="H23" i="47"/>
  <c r="J22" i="47"/>
  <c r="H22" i="47"/>
  <c r="J21" i="47"/>
  <c r="H21" i="47"/>
  <c r="J20" i="47"/>
  <c r="H20" i="47"/>
  <c r="J19" i="47"/>
  <c r="H19" i="47"/>
  <c r="J18" i="47"/>
  <c r="H18" i="47"/>
  <c r="J17" i="47"/>
  <c r="H17" i="47"/>
  <c r="J16" i="47"/>
  <c r="H16" i="47"/>
  <c r="J15" i="47"/>
  <c r="H15" i="47"/>
  <c r="J14" i="47"/>
  <c r="H14" i="47"/>
  <c r="J13" i="47"/>
  <c r="H13" i="47"/>
  <c r="J12" i="47"/>
  <c r="H12" i="47"/>
  <c r="J11" i="47"/>
  <c r="H11" i="47"/>
  <c r="J10" i="47"/>
  <c r="H10" i="47"/>
  <c r="J9" i="47"/>
  <c r="H9" i="47"/>
  <c r="J8" i="47"/>
  <c r="H8" i="47"/>
  <c r="J7" i="47"/>
  <c r="H7" i="47"/>
  <c r="J6" i="47"/>
  <c r="H6" i="47"/>
  <c r="J5" i="47"/>
  <c r="H5" i="47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G10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68" i="38"/>
  <c r="G169" i="38"/>
  <c r="G170" i="38"/>
  <c r="G171" i="38"/>
  <c r="G172" i="38"/>
  <c r="G173" i="38"/>
  <c r="G174" i="38"/>
  <c r="G175" i="38"/>
  <c r="G176" i="38"/>
  <c r="G177" i="38"/>
  <c r="G178" i="38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G201" i="38"/>
  <c r="G202" i="38"/>
  <c r="G203" i="38"/>
  <c r="G204" i="38"/>
  <c r="G205" i="38"/>
  <c r="G206" i="38"/>
  <c r="G207" i="38"/>
  <c r="G208" i="38"/>
  <c r="G209" i="38"/>
  <c r="G210" i="38"/>
  <c r="G211" i="38"/>
  <c r="G212" i="38"/>
  <c r="G213" i="38"/>
  <c r="G214" i="38"/>
  <c r="G215" i="38"/>
  <c r="V97" i="57"/>
  <c r="V99" i="57"/>
  <c r="H99" i="57" s="1"/>
  <c r="V100" i="57"/>
  <c r="H100" i="57" s="1"/>
  <c r="V101" i="57"/>
  <c r="H101" i="57" s="1"/>
  <c r="V102" i="57"/>
  <c r="H102" i="57" s="1"/>
  <c r="V117" i="57"/>
  <c r="V33" i="57"/>
  <c r="V170" i="57"/>
  <c r="V49" i="57"/>
  <c r="V56" i="57"/>
  <c r="H56" i="57" s="1"/>
  <c r="V138" i="57"/>
  <c r="N10" i="12"/>
  <c r="B53" i="12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00" i="33"/>
  <c r="G201" i="33"/>
  <c r="G202" i="33"/>
  <c r="G203" i="33"/>
  <c r="G204" i="33"/>
  <c r="E229" i="43"/>
  <c r="D229" i="43"/>
  <c r="C229" i="43"/>
  <c r="J227" i="43"/>
  <c r="H227" i="43"/>
  <c r="J226" i="43"/>
  <c r="H226" i="43"/>
  <c r="J225" i="43"/>
  <c r="H225" i="43"/>
  <c r="J224" i="43"/>
  <c r="H224" i="43"/>
  <c r="J223" i="43"/>
  <c r="H223" i="43"/>
  <c r="J222" i="43"/>
  <c r="H222" i="43"/>
  <c r="J221" i="43"/>
  <c r="H221" i="43"/>
  <c r="J220" i="43"/>
  <c r="H220" i="43"/>
  <c r="J219" i="43"/>
  <c r="H219" i="43"/>
  <c r="J218" i="43"/>
  <c r="H218" i="43"/>
  <c r="J217" i="43"/>
  <c r="H217" i="43"/>
  <c r="J216" i="43"/>
  <c r="H216" i="43"/>
  <c r="J215" i="43"/>
  <c r="H215" i="43"/>
  <c r="J214" i="43"/>
  <c r="H214" i="43"/>
  <c r="J213" i="43"/>
  <c r="H213" i="43"/>
  <c r="J212" i="43"/>
  <c r="H212" i="43"/>
  <c r="J211" i="43"/>
  <c r="H211" i="43"/>
  <c r="J210" i="43"/>
  <c r="H210" i="43"/>
  <c r="J209" i="43"/>
  <c r="H209" i="43"/>
  <c r="J208" i="43"/>
  <c r="H208" i="43"/>
  <c r="J207" i="43"/>
  <c r="H207" i="43"/>
  <c r="J206" i="43"/>
  <c r="H206" i="43"/>
  <c r="J205" i="43"/>
  <c r="H205" i="43"/>
  <c r="J204" i="43"/>
  <c r="H204" i="43"/>
  <c r="J203" i="43"/>
  <c r="H203" i="43"/>
  <c r="J202" i="43"/>
  <c r="H202" i="43"/>
  <c r="J201" i="43"/>
  <c r="H201" i="43"/>
  <c r="J200" i="43"/>
  <c r="H200" i="43"/>
  <c r="J199" i="43"/>
  <c r="H199" i="43"/>
  <c r="J198" i="43"/>
  <c r="H198" i="43"/>
  <c r="J197" i="43"/>
  <c r="H197" i="43"/>
  <c r="J196" i="43"/>
  <c r="H196" i="43"/>
  <c r="J195" i="43"/>
  <c r="H195" i="43"/>
  <c r="J194" i="43"/>
  <c r="H194" i="43"/>
  <c r="J193" i="43"/>
  <c r="H193" i="43"/>
  <c r="J192" i="43"/>
  <c r="H192" i="43"/>
  <c r="J191" i="43"/>
  <c r="H191" i="43"/>
  <c r="J190" i="43"/>
  <c r="H190" i="43"/>
  <c r="J189" i="43"/>
  <c r="H189" i="43"/>
  <c r="J188" i="43"/>
  <c r="H188" i="43"/>
  <c r="J187" i="43"/>
  <c r="H187" i="43"/>
  <c r="J186" i="43"/>
  <c r="H186" i="43"/>
  <c r="J185" i="43"/>
  <c r="H185" i="43"/>
  <c r="J184" i="43"/>
  <c r="H184" i="43"/>
  <c r="J183" i="43"/>
  <c r="H183" i="43"/>
  <c r="J182" i="43"/>
  <c r="H182" i="43"/>
  <c r="J181" i="43"/>
  <c r="H181" i="43"/>
  <c r="J180" i="43"/>
  <c r="H180" i="43"/>
  <c r="J179" i="43"/>
  <c r="H179" i="43"/>
  <c r="J178" i="43"/>
  <c r="H178" i="43"/>
  <c r="J177" i="43"/>
  <c r="H177" i="43"/>
  <c r="J176" i="43"/>
  <c r="H176" i="43"/>
  <c r="J175" i="43"/>
  <c r="H175" i="43"/>
  <c r="J174" i="43"/>
  <c r="H174" i="43"/>
  <c r="J173" i="43"/>
  <c r="H173" i="43"/>
  <c r="J172" i="43"/>
  <c r="H172" i="43"/>
  <c r="J171" i="43"/>
  <c r="H171" i="43"/>
  <c r="J170" i="43"/>
  <c r="H170" i="43"/>
  <c r="J169" i="43"/>
  <c r="H169" i="43"/>
  <c r="J168" i="43"/>
  <c r="H168" i="43"/>
  <c r="J167" i="43"/>
  <c r="H167" i="43"/>
  <c r="J166" i="43"/>
  <c r="H166" i="43"/>
  <c r="J165" i="43"/>
  <c r="H165" i="43"/>
  <c r="J164" i="43"/>
  <c r="H164" i="43"/>
  <c r="J163" i="43"/>
  <c r="H163" i="43"/>
  <c r="J162" i="43"/>
  <c r="H162" i="43"/>
  <c r="J161" i="43"/>
  <c r="H161" i="43"/>
  <c r="J160" i="43"/>
  <c r="H160" i="43"/>
  <c r="J159" i="43"/>
  <c r="H159" i="43"/>
  <c r="J158" i="43"/>
  <c r="H158" i="43"/>
  <c r="J157" i="43"/>
  <c r="H157" i="43"/>
  <c r="J156" i="43"/>
  <c r="H156" i="43"/>
  <c r="J155" i="43"/>
  <c r="H155" i="43"/>
  <c r="J154" i="43"/>
  <c r="H154" i="43"/>
  <c r="J153" i="43"/>
  <c r="H153" i="43"/>
  <c r="J152" i="43"/>
  <c r="H152" i="43"/>
  <c r="J151" i="43"/>
  <c r="H151" i="43"/>
  <c r="J150" i="43"/>
  <c r="H150" i="43"/>
  <c r="J149" i="43"/>
  <c r="H149" i="43"/>
  <c r="J148" i="43"/>
  <c r="H148" i="43"/>
  <c r="J147" i="43"/>
  <c r="H147" i="43"/>
  <c r="J146" i="43"/>
  <c r="H146" i="43"/>
  <c r="J145" i="43"/>
  <c r="H145" i="43"/>
  <c r="J144" i="43"/>
  <c r="H144" i="43"/>
  <c r="J143" i="43"/>
  <c r="H143" i="43"/>
  <c r="J142" i="43"/>
  <c r="H142" i="43"/>
  <c r="J141" i="43"/>
  <c r="H141" i="43"/>
  <c r="J140" i="43"/>
  <c r="H140" i="43"/>
  <c r="J139" i="43"/>
  <c r="H139" i="43"/>
  <c r="J138" i="43"/>
  <c r="H138" i="43"/>
  <c r="J137" i="43"/>
  <c r="H137" i="43"/>
  <c r="J136" i="43"/>
  <c r="H136" i="43"/>
  <c r="J135" i="43"/>
  <c r="H135" i="43"/>
  <c r="J134" i="43"/>
  <c r="H134" i="43"/>
  <c r="J133" i="43"/>
  <c r="H133" i="43"/>
  <c r="J132" i="43"/>
  <c r="H132" i="43"/>
  <c r="J131" i="43"/>
  <c r="H131" i="43"/>
  <c r="J130" i="43"/>
  <c r="H130" i="43"/>
  <c r="J129" i="43"/>
  <c r="H129" i="43"/>
  <c r="J128" i="43"/>
  <c r="H128" i="43"/>
  <c r="J127" i="43"/>
  <c r="H127" i="43"/>
  <c r="J126" i="43"/>
  <c r="H126" i="43"/>
  <c r="J125" i="43"/>
  <c r="H125" i="43"/>
  <c r="J124" i="43"/>
  <c r="H124" i="43"/>
  <c r="J123" i="43"/>
  <c r="H123" i="43"/>
  <c r="J122" i="43"/>
  <c r="H122" i="43"/>
  <c r="J121" i="43"/>
  <c r="H121" i="43"/>
  <c r="J120" i="43"/>
  <c r="H120" i="43"/>
  <c r="J119" i="43"/>
  <c r="H119" i="43"/>
  <c r="J118" i="43"/>
  <c r="H118" i="43"/>
  <c r="J117" i="43"/>
  <c r="H117" i="43"/>
  <c r="J116" i="43"/>
  <c r="H116" i="43"/>
  <c r="J115" i="43"/>
  <c r="H115" i="43"/>
  <c r="J114" i="43"/>
  <c r="H114" i="43"/>
  <c r="J113" i="43"/>
  <c r="H113" i="43"/>
  <c r="J112" i="43"/>
  <c r="H112" i="43"/>
  <c r="J111" i="43"/>
  <c r="H111" i="43"/>
  <c r="J110" i="43"/>
  <c r="H110" i="43"/>
  <c r="J109" i="43"/>
  <c r="H109" i="43"/>
  <c r="J108" i="43"/>
  <c r="H108" i="43"/>
  <c r="J107" i="43"/>
  <c r="H107" i="43"/>
  <c r="J106" i="43"/>
  <c r="H106" i="43"/>
  <c r="J105" i="43"/>
  <c r="H105" i="43"/>
  <c r="J104" i="43"/>
  <c r="H104" i="43"/>
  <c r="J103" i="43"/>
  <c r="H103" i="43"/>
  <c r="J102" i="43"/>
  <c r="H102" i="43"/>
  <c r="J101" i="43"/>
  <c r="H101" i="43"/>
  <c r="J100" i="43"/>
  <c r="H100" i="43"/>
  <c r="J99" i="43"/>
  <c r="H99" i="43"/>
  <c r="J98" i="43"/>
  <c r="H98" i="43"/>
  <c r="J97" i="43"/>
  <c r="H97" i="43"/>
  <c r="J96" i="43"/>
  <c r="H96" i="43"/>
  <c r="J95" i="43"/>
  <c r="H95" i="43"/>
  <c r="J94" i="43"/>
  <c r="H94" i="43"/>
  <c r="J93" i="43"/>
  <c r="H93" i="43"/>
  <c r="J92" i="43"/>
  <c r="H92" i="43"/>
  <c r="J91" i="43"/>
  <c r="H91" i="43"/>
  <c r="J90" i="43"/>
  <c r="H90" i="43"/>
  <c r="J89" i="43"/>
  <c r="H89" i="43"/>
  <c r="J88" i="43"/>
  <c r="H88" i="43"/>
  <c r="J87" i="43"/>
  <c r="H87" i="43"/>
  <c r="J86" i="43"/>
  <c r="H86" i="43"/>
  <c r="J85" i="43"/>
  <c r="H85" i="43"/>
  <c r="J84" i="43"/>
  <c r="H84" i="43"/>
  <c r="J83" i="43"/>
  <c r="H83" i="43"/>
  <c r="J82" i="43"/>
  <c r="H82" i="43"/>
  <c r="J81" i="43"/>
  <c r="H81" i="43"/>
  <c r="J80" i="43"/>
  <c r="H80" i="43"/>
  <c r="J79" i="43"/>
  <c r="H79" i="43"/>
  <c r="J78" i="43"/>
  <c r="H78" i="43"/>
  <c r="J77" i="43"/>
  <c r="H77" i="43"/>
  <c r="J76" i="43"/>
  <c r="H76" i="43"/>
  <c r="J75" i="43"/>
  <c r="H75" i="43"/>
  <c r="J74" i="43"/>
  <c r="H74" i="43"/>
  <c r="J73" i="43"/>
  <c r="H73" i="43"/>
  <c r="J72" i="43"/>
  <c r="H72" i="43"/>
  <c r="J71" i="43"/>
  <c r="H71" i="43"/>
  <c r="J70" i="43"/>
  <c r="H70" i="43"/>
  <c r="J69" i="43"/>
  <c r="H69" i="43"/>
  <c r="J68" i="43"/>
  <c r="H68" i="43"/>
  <c r="J67" i="43"/>
  <c r="H67" i="43"/>
  <c r="J66" i="43"/>
  <c r="H66" i="43"/>
  <c r="J65" i="43"/>
  <c r="H65" i="43"/>
  <c r="J64" i="43"/>
  <c r="H64" i="43"/>
  <c r="J63" i="43"/>
  <c r="H63" i="43"/>
  <c r="J62" i="43"/>
  <c r="H62" i="43"/>
  <c r="J61" i="43"/>
  <c r="H61" i="43"/>
  <c r="J60" i="43"/>
  <c r="H60" i="43"/>
  <c r="J59" i="43"/>
  <c r="H59" i="43"/>
  <c r="J58" i="43"/>
  <c r="H58" i="43"/>
  <c r="J57" i="43"/>
  <c r="H57" i="43"/>
  <c r="J56" i="43"/>
  <c r="H56" i="43"/>
  <c r="J55" i="43"/>
  <c r="H55" i="43"/>
  <c r="J54" i="43"/>
  <c r="H54" i="43"/>
  <c r="J53" i="43"/>
  <c r="H53" i="43"/>
  <c r="J52" i="43"/>
  <c r="H52" i="43"/>
  <c r="J51" i="43"/>
  <c r="H51" i="43"/>
  <c r="J50" i="43"/>
  <c r="H50" i="43"/>
  <c r="J49" i="43"/>
  <c r="H49" i="43"/>
  <c r="J48" i="43"/>
  <c r="H48" i="43"/>
  <c r="J47" i="43"/>
  <c r="H47" i="43"/>
  <c r="J46" i="43"/>
  <c r="H46" i="43"/>
  <c r="J45" i="43"/>
  <c r="H45" i="43"/>
  <c r="J44" i="43"/>
  <c r="H44" i="43"/>
  <c r="J43" i="43"/>
  <c r="H43" i="43"/>
  <c r="J42" i="43"/>
  <c r="H42" i="43"/>
  <c r="J41" i="43"/>
  <c r="H41" i="43"/>
  <c r="J40" i="43"/>
  <c r="H40" i="43"/>
  <c r="J39" i="43"/>
  <c r="H39" i="43"/>
  <c r="J38" i="43"/>
  <c r="H38" i="43"/>
  <c r="J37" i="43"/>
  <c r="H37" i="43"/>
  <c r="J36" i="43"/>
  <c r="H36" i="43"/>
  <c r="J35" i="43"/>
  <c r="H35" i="43"/>
  <c r="J34" i="43"/>
  <c r="H34" i="43"/>
  <c r="J33" i="43"/>
  <c r="H33" i="43"/>
  <c r="J32" i="43"/>
  <c r="H32" i="43"/>
  <c r="J31" i="43"/>
  <c r="H31" i="43"/>
  <c r="J30" i="43"/>
  <c r="H30" i="43"/>
  <c r="J29" i="43"/>
  <c r="H29" i="43"/>
  <c r="J28" i="43"/>
  <c r="H28" i="43"/>
  <c r="J27" i="43"/>
  <c r="H27" i="43"/>
  <c r="J26" i="43"/>
  <c r="H26" i="43"/>
  <c r="J25" i="43"/>
  <c r="H25" i="43"/>
  <c r="J24" i="43"/>
  <c r="H24" i="43"/>
  <c r="J23" i="43"/>
  <c r="H23" i="43"/>
  <c r="J22" i="43"/>
  <c r="H22" i="43"/>
  <c r="J21" i="43"/>
  <c r="H21" i="43"/>
  <c r="J20" i="43"/>
  <c r="H20" i="43"/>
  <c r="J19" i="43"/>
  <c r="H19" i="43"/>
  <c r="J18" i="43"/>
  <c r="H18" i="43"/>
  <c r="J17" i="43"/>
  <c r="H17" i="43"/>
  <c r="J16" i="43"/>
  <c r="H16" i="43"/>
  <c r="J15" i="43"/>
  <c r="H15" i="43"/>
  <c r="J14" i="43"/>
  <c r="H14" i="43"/>
  <c r="J13" i="43"/>
  <c r="H13" i="43"/>
  <c r="J12" i="43"/>
  <c r="H12" i="43"/>
  <c r="J11" i="43"/>
  <c r="H11" i="43"/>
  <c r="J10" i="43"/>
  <c r="H10" i="43"/>
  <c r="J9" i="43"/>
  <c r="H9" i="43"/>
  <c r="J8" i="43"/>
  <c r="H8" i="43"/>
  <c r="J7" i="43"/>
  <c r="H7" i="43"/>
  <c r="J6" i="43"/>
  <c r="H6" i="43"/>
  <c r="J5" i="43"/>
  <c r="H5" i="43"/>
  <c r="R180" i="57"/>
  <c r="R188" i="57" s="1"/>
  <c r="S180" i="57"/>
  <c r="S188" i="57" s="1"/>
  <c r="T180" i="57"/>
  <c r="T188" i="57" s="1"/>
  <c r="V180" i="57"/>
  <c r="V188" i="57" s="1"/>
  <c r="Q99" i="57"/>
  <c r="E217" i="38"/>
  <c r="D217" i="38"/>
  <c r="C217" i="38"/>
  <c r="J215" i="38"/>
  <c r="H215" i="38"/>
  <c r="J214" i="38"/>
  <c r="H214" i="38"/>
  <c r="J213" i="38"/>
  <c r="H213" i="38"/>
  <c r="J212" i="38"/>
  <c r="H212" i="38"/>
  <c r="J211" i="38"/>
  <c r="H211" i="38"/>
  <c r="J210" i="38"/>
  <c r="H210" i="38"/>
  <c r="J209" i="38"/>
  <c r="H209" i="38"/>
  <c r="J208" i="38"/>
  <c r="H208" i="38"/>
  <c r="J207" i="38"/>
  <c r="H207" i="38"/>
  <c r="J206" i="38"/>
  <c r="H206" i="38"/>
  <c r="J205" i="38"/>
  <c r="H205" i="38"/>
  <c r="J204" i="38"/>
  <c r="H204" i="38"/>
  <c r="J203" i="38"/>
  <c r="H203" i="38"/>
  <c r="J202" i="38"/>
  <c r="H202" i="38"/>
  <c r="J201" i="38"/>
  <c r="H201" i="38"/>
  <c r="J200" i="38"/>
  <c r="H200" i="38"/>
  <c r="J199" i="38"/>
  <c r="H199" i="38"/>
  <c r="J198" i="38"/>
  <c r="H198" i="38"/>
  <c r="J197" i="38"/>
  <c r="H197" i="38"/>
  <c r="J196" i="38"/>
  <c r="H196" i="38"/>
  <c r="J195" i="38"/>
  <c r="H195" i="38"/>
  <c r="J194" i="38"/>
  <c r="H194" i="38"/>
  <c r="J193" i="38"/>
  <c r="H193" i="38"/>
  <c r="J192" i="38"/>
  <c r="H192" i="38"/>
  <c r="J191" i="38"/>
  <c r="H191" i="38"/>
  <c r="J190" i="38"/>
  <c r="H190" i="38"/>
  <c r="J189" i="38"/>
  <c r="H189" i="38"/>
  <c r="J188" i="38"/>
  <c r="H188" i="38"/>
  <c r="J187" i="38"/>
  <c r="H187" i="38"/>
  <c r="J186" i="38"/>
  <c r="H186" i="38"/>
  <c r="J185" i="38"/>
  <c r="H185" i="38"/>
  <c r="J184" i="38"/>
  <c r="H184" i="38"/>
  <c r="J183" i="38"/>
  <c r="H183" i="38"/>
  <c r="J182" i="38"/>
  <c r="H182" i="38"/>
  <c r="J181" i="38"/>
  <c r="H181" i="38"/>
  <c r="J180" i="38"/>
  <c r="H180" i="38"/>
  <c r="J179" i="38"/>
  <c r="H179" i="38"/>
  <c r="J178" i="38"/>
  <c r="H178" i="38"/>
  <c r="J177" i="38"/>
  <c r="H177" i="38"/>
  <c r="J176" i="38"/>
  <c r="H176" i="38"/>
  <c r="J175" i="38"/>
  <c r="H175" i="38"/>
  <c r="J174" i="38"/>
  <c r="H174" i="38"/>
  <c r="J173" i="38"/>
  <c r="H173" i="38"/>
  <c r="J172" i="38"/>
  <c r="H172" i="38"/>
  <c r="J171" i="38"/>
  <c r="H171" i="38"/>
  <c r="J170" i="38"/>
  <c r="H170" i="38"/>
  <c r="J169" i="38"/>
  <c r="H169" i="38"/>
  <c r="J168" i="38"/>
  <c r="H168" i="38"/>
  <c r="J167" i="38"/>
  <c r="H167" i="38"/>
  <c r="J166" i="38"/>
  <c r="H166" i="38"/>
  <c r="J165" i="38"/>
  <c r="H165" i="38"/>
  <c r="J164" i="38"/>
  <c r="H164" i="38"/>
  <c r="J163" i="38"/>
  <c r="H163" i="38"/>
  <c r="J162" i="38"/>
  <c r="H162" i="38"/>
  <c r="J161" i="38"/>
  <c r="H161" i="38"/>
  <c r="J160" i="38"/>
  <c r="H160" i="38"/>
  <c r="J159" i="38"/>
  <c r="H159" i="38"/>
  <c r="J158" i="38"/>
  <c r="H158" i="38"/>
  <c r="J157" i="38"/>
  <c r="H157" i="38"/>
  <c r="J156" i="38"/>
  <c r="H156" i="38"/>
  <c r="J155" i="38"/>
  <c r="H155" i="38"/>
  <c r="J154" i="38"/>
  <c r="H154" i="38"/>
  <c r="J153" i="38"/>
  <c r="H153" i="38"/>
  <c r="J152" i="38"/>
  <c r="H152" i="38"/>
  <c r="J151" i="38"/>
  <c r="H151" i="38"/>
  <c r="J150" i="38"/>
  <c r="H150" i="38"/>
  <c r="J149" i="38"/>
  <c r="H149" i="38"/>
  <c r="J148" i="38"/>
  <c r="H148" i="38"/>
  <c r="J147" i="38"/>
  <c r="H147" i="38"/>
  <c r="J146" i="38"/>
  <c r="H146" i="38"/>
  <c r="J145" i="38"/>
  <c r="H145" i="38"/>
  <c r="J144" i="38"/>
  <c r="H144" i="38"/>
  <c r="J143" i="38"/>
  <c r="H143" i="38"/>
  <c r="J142" i="38"/>
  <c r="H142" i="38"/>
  <c r="J141" i="38"/>
  <c r="H141" i="38"/>
  <c r="J140" i="38"/>
  <c r="H140" i="38"/>
  <c r="J139" i="38"/>
  <c r="H139" i="38"/>
  <c r="J138" i="38"/>
  <c r="H138" i="38"/>
  <c r="J137" i="38"/>
  <c r="H137" i="38"/>
  <c r="J136" i="38"/>
  <c r="H136" i="38"/>
  <c r="J135" i="38"/>
  <c r="H135" i="38"/>
  <c r="J134" i="38"/>
  <c r="H134" i="38"/>
  <c r="J133" i="38"/>
  <c r="H133" i="38"/>
  <c r="J132" i="38"/>
  <c r="H132" i="38"/>
  <c r="J131" i="38"/>
  <c r="H131" i="38"/>
  <c r="J130" i="38"/>
  <c r="H130" i="38"/>
  <c r="J129" i="38"/>
  <c r="H129" i="38"/>
  <c r="J128" i="38"/>
  <c r="H128" i="38"/>
  <c r="J127" i="38"/>
  <c r="H127" i="38"/>
  <c r="J126" i="38"/>
  <c r="H126" i="38"/>
  <c r="J125" i="38"/>
  <c r="H125" i="38"/>
  <c r="J124" i="38"/>
  <c r="H124" i="38"/>
  <c r="J123" i="38"/>
  <c r="H123" i="38"/>
  <c r="J122" i="38"/>
  <c r="H122" i="38"/>
  <c r="J121" i="38"/>
  <c r="H121" i="38"/>
  <c r="J120" i="38"/>
  <c r="H120" i="38"/>
  <c r="J119" i="38"/>
  <c r="H119" i="38"/>
  <c r="J118" i="38"/>
  <c r="H118" i="38"/>
  <c r="J117" i="38"/>
  <c r="H117" i="38"/>
  <c r="J116" i="38"/>
  <c r="H116" i="38"/>
  <c r="J115" i="38"/>
  <c r="H115" i="38"/>
  <c r="J114" i="38"/>
  <c r="H114" i="38"/>
  <c r="J113" i="38"/>
  <c r="H113" i="38"/>
  <c r="J112" i="38"/>
  <c r="H112" i="38"/>
  <c r="J111" i="38"/>
  <c r="H111" i="38"/>
  <c r="J110" i="38"/>
  <c r="H110" i="38"/>
  <c r="J109" i="38"/>
  <c r="H109" i="38"/>
  <c r="J108" i="38"/>
  <c r="H108" i="38"/>
  <c r="J107" i="38"/>
  <c r="H107" i="38"/>
  <c r="J106" i="38"/>
  <c r="H106" i="38"/>
  <c r="J105" i="38"/>
  <c r="H105" i="38"/>
  <c r="J104" i="38"/>
  <c r="H104" i="38"/>
  <c r="J103" i="38"/>
  <c r="H103" i="38"/>
  <c r="J102" i="38"/>
  <c r="H102" i="38"/>
  <c r="J101" i="38"/>
  <c r="H101" i="38"/>
  <c r="J100" i="38"/>
  <c r="H100" i="38"/>
  <c r="J99" i="38"/>
  <c r="H99" i="38"/>
  <c r="J98" i="38"/>
  <c r="H98" i="38"/>
  <c r="J97" i="38"/>
  <c r="H97" i="38"/>
  <c r="J96" i="38"/>
  <c r="H96" i="38"/>
  <c r="J95" i="38"/>
  <c r="H95" i="38"/>
  <c r="J94" i="38"/>
  <c r="H94" i="38"/>
  <c r="J93" i="38"/>
  <c r="H93" i="38"/>
  <c r="J92" i="38"/>
  <c r="H92" i="38"/>
  <c r="J91" i="38"/>
  <c r="H91" i="38"/>
  <c r="J90" i="38"/>
  <c r="H90" i="38"/>
  <c r="J89" i="38"/>
  <c r="H89" i="38"/>
  <c r="J88" i="38"/>
  <c r="H88" i="38"/>
  <c r="J87" i="38"/>
  <c r="H87" i="38"/>
  <c r="J86" i="38"/>
  <c r="H86" i="38"/>
  <c r="J85" i="38"/>
  <c r="H85" i="38"/>
  <c r="J84" i="38"/>
  <c r="H84" i="38"/>
  <c r="J83" i="38"/>
  <c r="H83" i="38"/>
  <c r="J82" i="38"/>
  <c r="H82" i="38"/>
  <c r="J81" i="38"/>
  <c r="H81" i="38"/>
  <c r="J80" i="38"/>
  <c r="H80" i="38"/>
  <c r="J79" i="38"/>
  <c r="H79" i="38"/>
  <c r="J78" i="38"/>
  <c r="H78" i="38"/>
  <c r="J77" i="38"/>
  <c r="H77" i="38"/>
  <c r="J76" i="38"/>
  <c r="H76" i="38"/>
  <c r="J75" i="38"/>
  <c r="H75" i="38"/>
  <c r="J74" i="38"/>
  <c r="H74" i="38"/>
  <c r="J73" i="38"/>
  <c r="H73" i="38"/>
  <c r="J72" i="38"/>
  <c r="H72" i="38"/>
  <c r="J71" i="38"/>
  <c r="H71" i="38"/>
  <c r="J70" i="38"/>
  <c r="H70" i="38"/>
  <c r="J69" i="38"/>
  <c r="H69" i="38"/>
  <c r="J68" i="38"/>
  <c r="H68" i="38"/>
  <c r="J67" i="38"/>
  <c r="H67" i="38"/>
  <c r="J66" i="38"/>
  <c r="H66" i="38"/>
  <c r="J65" i="38"/>
  <c r="H65" i="38"/>
  <c r="J64" i="38"/>
  <c r="H64" i="38"/>
  <c r="J63" i="38"/>
  <c r="H63" i="38"/>
  <c r="J62" i="38"/>
  <c r="H62" i="38"/>
  <c r="J61" i="38"/>
  <c r="H61" i="38"/>
  <c r="J60" i="38"/>
  <c r="H60" i="38"/>
  <c r="J59" i="38"/>
  <c r="H59" i="38"/>
  <c r="J58" i="38"/>
  <c r="H58" i="38"/>
  <c r="J57" i="38"/>
  <c r="H57" i="38"/>
  <c r="J56" i="38"/>
  <c r="H56" i="38"/>
  <c r="J55" i="38"/>
  <c r="H55" i="38"/>
  <c r="J54" i="38"/>
  <c r="H54" i="38"/>
  <c r="J53" i="38"/>
  <c r="H53" i="38"/>
  <c r="J52" i="38"/>
  <c r="H52" i="38"/>
  <c r="J51" i="38"/>
  <c r="H51" i="38"/>
  <c r="J50" i="38"/>
  <c r="H50" i="38"/>
  <c r="J49" i="38"/>
  <c r="H49" i="38"/>
  <c r="J48" i="38"/>
  <c r="H48" i="38"/>
  <c r="J47" i="38"/>
  <c r="H47" i="38"/>
  <c r="J46" i="38"/>
  <c r="H46" i="38"/>
  <c r="J45" i="38"/>
  <c r="H45" i="38"/>
  <c r="J44" i="38"/>
  <c r="H44" i="38"/>
  <c r="J43" i="38"/>
  <c r="H43" i="38"/>
  <c r="J42" i="38"/>
  <c r="H42" i="38"/>
  <c r="J41" i="38"/>
  <c r="H41" i="38"/>
  <c r="J40" i="38"/>
  <c r="H40" i="38"/>
  <c r="J39" i="38"/>
  <c r="H39" i="38"/>
  <c r="J38" i="38"/>
  <c r="H38" i="38"/>
  <c r="J37" i="38"/>
  <c r="H37" i="38"/>
  <c r="J36" i="38"/>
  <c r="H36" i="38"/>
  <c r="J35" i="38"/>
  <c r="H35" i="38"/>
  <c r="J34" i="38"/>
  <c r="H34" i="38"/>
  <c r="J33" i="38"/>
  <c r="H33" i="38"/>
  <c r="J32" i="38"/>
  <c r="H32" i="38"/>
  <c r="J31" i="38"/>
  <c r="H31" i="38"/>
  <c r="J30" i="38"/>
  <c r="H30" i="38"/>
  <c r="J29" i="38"/>
  <c r="H29" i="38"/>
  <c r="J28" i="38"/>
  <c r="H28" i="38"/>
  <c r="J27" i="38"/>
  <c r="H27" i="38"/>
  <c r="J26" i="38"/>
  <c r="H26" i="38"/>
  <c r="J25" i="38"/>
  <c r="H25" i="38"/>
  <c r="J24" i="38"/>
  <c r="H24" i="38"/>
  <c r="J23" i="38"/>
  <c r="H23" i="38"/>
  <c r="J22" i="38"/>
  <c r="H22" i="38"/>
  <c r="J21" i="38"/>
  <c r="H21" i="38"/>
  <c r="J20" i="38"/>
  <c r="H20" i="38"/>
  <c r="J19" i="38"/>
  <c r="H19" i="38"/>
  <c r="J18" i="38"/>
  <c r="H18" i="38"/>
  <c r="J17" i="38"/>
  <c r="H17" i="38"/>
  <c r="J16" i="38"/>
  <c r="H16" i="38"/>
  <c r="J15" i="38"/>
  <c r="H15" i="38"/>
  <c r="J14" i="38"/>
  <c r="H14" i="38"/>
  <c r="J13" i="38"/>
  <c r="H13" i="38"/>
  <c r="J12" i="38"/>
  <c r="H12" i="38"/>
  <c r="J11" i="38"/>
  <c r="H11" i="38"/>
  <c r="J10" i="38"/>
  <c r="H10" i="38"/>
  <c r="J9" i="38"/>
  <c r="H9" i="38"/>
  <c r="J8" i="38"/>
  <c r="H8" i="38"/>
  <c r="J7" i="38"/>
  <c r="H7" i="38"/>
  <c r="J6" i="38"/>
  <c r="H6" i="38"/>
  <c r="J5" i="38"/>
  <c r="H5" i="38"/>
  <c r="T138" i="57"/>
  <c r="T56" i="57"/>
  <c r="F56" i="57" s="1"/>
  <c r="S138" i="57"/>
  <c r="S56" i="57"/>
  <c r="E56" i="57" s="1"/>
  <c r="T117" i="57"/>
  <c r="T102" i="57"/>
  <c r="F102" i="57" s="1"/>
  <c r="T101" i="57"/>
  <c r="F101" i="57" s="1"/>
  <c r="T100" i="57"/>
  <c r="F100" i="57" s="1"/>
  <c r="T99" i="57"/>
  <c r="F99" i="57" s="1"/>
  <c r="T97" i="57"/>
  <c r="S117" i="57"/>
  <c r="S102" i="57"/>
  <c r="E102" i="57" s="1"/>
  <c r="S101" i="57"/>
  <c r="E101" i="57" s="1"/>
  <c r="S100" i="57"/>
  <c r="E100" i="57" s="1"/>
  <c r="S99" i="57"/>
  <c r="E99" i="57" s="1"/>
  <c r="S97" i="57"/>
  <c r="Q74" i="57"/>
  <c r="S49" i="57"/>
  <c r="S170" i="57"/>
  <c r="S33" i="57"/>
  <c r="S74" i="57"/>
  <c r="E196" i="29"/>
  <c r="D196" i="29"/>
  <c r="C196" i="29"/>
  <c r="E186" i="28"/>
  <c r="D186" i="28"/>
  <c r="C186" i="28"/>
  <c r="J204" i="33"/>
  <c r="H204" i="33"/>
  <c r="J203" i="33"/>
  <c r="H203" i="33"/>
  <c r="J202" i="33"/>
  <c r="H202" i="33"/>
  <c r="J201" i="33"/>
  <c r="H201" i="33"/>
  <c r="J200" i="33"/>
  <c r="H200" i="33"/>
  <c r="J199" i="33"/>
  <c r="H199" i="33"/>
  <c r="J198" i="33"/>
  <c r="H198" i="33"/>
  <c r="J197" i="33"/>
  <c r="H197" i="33"/>
  <c r="J196" i="33"/>
  <c r="H196" i="33"/>
  <c r="J195" i="33"/>
  <c r="H195" i="33"/>
  <c r="J194" i="33"/>
  <c r="H194" i="33"/>
  <c r="J193" i="33"/>
  <c r="H193" i="33"/>
  <c r="J192" i="33"/>
  <c r="H192" i="33"/>
  <c r="J191" i="33"/>
  <c r="H191" i="33"/>
  <c r="J190" i="33"/>
  <c r="H190" i="33"/>
  <c r="J189" i="33"/>
  <c r="H189" i="33"/>
  <c r="J188" i="33"/>
  <c r="H188" i="33"/>
  <c r="J187" i="33"/>
  <c r="H187" i="33"/>
  <c r="J186" i="33"/>
  <c r="H186" i="33"/>
  <c r="J185" i="33"/>
  <c r="H185" i="33"/>
  <c r="J184" i="33"/>
  <c r="H184" i="33"/>
  <c r="J183" i="33"/>
  <c r="H183" i="33"/>
  <c r="J182" i="33"/>
  <c r="H182" i="33"/>
  <c r="J181" i="33"/>
  <c r="H181" i="33"/>
  <c r="J180" i="33"/>
  <c r="H180" i="33"/>
  <c r="J179" i="33"/>
  <c r="H179" i="33"/>
  <c r="J178" i="33"/>
  <c r="H178" i="33"/>
  <c r="J177" i="33"/>
  <c r="H177" i="33"/>
  <c r="J176" i="33"/>
  <c r="H176" i="33"/>
  <c r="J175" i="33"/>
  <c r="H175" i="33"/>
  <c r="J174" i="33"/>
  <c r="H174" i="33"/>
  <c r="J173" i="33"/>
  <c r="H173" i="33"/>
  <c r="J172" i="33"/>
  <c r="H172" i="33"/>
  <c r="J171" i="33"/>
  <c r="H171" i="33"/>
  <c r="J170" i="33"/>
  <c r="H170" i="33"/>
  <c r="J169" i="33"/>
  <c r="H169" i="33"/>
  <c r="J168" i="33"/>
  <c r="H168" i="33"/>
  <c r="J167" i="33"/>
  <c r="H167" i="33"/>
  <c r="J166" i="33"/>
  <c r="H166" i="33"/>
  <c r="J165" i="33"/>
  <c r="H165" i="33"/>
  <c r="J164" i="33"/>
  <c r="H164" i="33"/>
  <c r="J163" i="33"/>
  <c r="H163" i="33"/>
  <c r="J162" i="33"/>
  <c r="H162" i="33"/>
  <c r="J161" i="33"/>
  <c r="H161" i="33"/>
  <c r="J160" i="33"/>
  <c r="H160" i="33"/>
  <c r="J159" i="33"/>
  <c r="H159" i="33"/>
  <c r="J158" i="33"/>
  <c r="H158" i="33"/>
  <c r="J157" i="33"/>
  <c r="H157" i="33"/>
  <c r="J156" i="33"/>
  <c r="H156" i="33"/>
  <c r="J155" i="33"/>
  <c r="H155" i="33"/>
  <c r="J154" i="33"/>
  <c r="H154" i="33"/>
  <c r="J153" i="33"/>
  <c r="H153" i="33"/>
  <c r="J152" i="33"/>
  <c r="H152" i="33"/>
  <c r="J151" i="33"/>
  <c r="H151" i="33"/>
  <c r="J150" i="33"/>
  <c r="H150" i="33"/>
  <c r="J149" i="33"/>
  <c r="H149" i="33"/>
  <c r="J148" i="33"/>
  <c r="H148" i="33"/>
  <c r="J147" i="33"/>
  <c r="H147" i="33"/>
  <c r="J146" i="33"/>
  <c r="H146" i="33"/>
  <c r="J145" i="33"/>
  <c r="H145" i="33"/>
  <c r="J144" i="33"/>
  <c r="H144" i="33"/>
  <c r="J143" i="33"/>
  <c r="H143" i="33"/>
  <c r="J142" i="33"/>
  <c r="H142" i="33"/>
  <c r="J141" i="33"/>
  <c r="H141" i="33"/>
  <c r="J140" i="33"/>
  <c r="H140" i="33"/>
  <c r="J139" i="33"/>
  <c r="H139" i="33"/>
  <c r="J138" i="33"/>
  <c r="H138" i="33"/>
  <c r="J137" i="33"/>
  <c r="H137" i="33"/>
  <c r="J136" i="33"/>
  <c r="H136" i="33"/>
  <c r="J135" i="33"/>
  <c r="H135" i="33"/>
  <c r="J134" i="33"/>
  <c r="H134" i="33"/>
  <c r="J133" i="33"/>
  <c r="H133" i="33"/>
  <c r="J132" i="33"/>
  <c r="H132" i="33"/>
  <c r="J131" i="33"/>
  <c r="H131" i="33"/>
  <c r="J130" i="33"/>
  <c r="H130" i="33"/>
  <c r="J129" i="33"/>
  <c r="H129" i="33"/>
  <c r="J128" i="33"/>
  <c r="H128" i="33"/>
  <c r="J127" i="33"/>
  <c r="H127" i="33"/>
  <c r="J126" i="33"/>
  <c r="H126" i="33"/>
  <c r="J125" i="33"/>
  <c r="H125" i="33"/>
  <c r="J124" i="33"/>
  <c r="H124" i="33"/>
  <c r="J123" i="33"/>
  <c r="H123" i="33"/>
  <c r="J122" i="33"/>
  <c r="H122" i="33"/>
  <c r="J121" i="33"/>
  <c r="H121" i="33"/>
  <c r="J120" i="33"/>
  <c r="H120" i="33"/>
  <c r="J119" i="33"/>
  <c r="H119" i="33"/>
  <c r="J118" i="33"/>
  <c r="H118" i="33"/>
  <c r="J117" i="33"/>
  <c r="H117" i="33"/>
  <c r="J116" i="33"/>
  <c r="H116" i="33"/>
  <c r="J115" i="33"/>
  <c r="H115" i="33"/>
  <c r="J114" i="33"/>
  <c r="H114" i="33"/>
  <c r="J113" i="33"/>
  <c r="H113" i="33"/>
  <c r="J112" i="33"/>
  <c r="H112" i="33"/>
  <c r="J111" i="33"/>
  <c r="H111" i="33"/>
  <c r="J110" i="33"/>
  <c r="H110" i="33"/>
  <c r="J109" i="33"/>
  <c r="H109" i="33"/>
  <c r="J108" i="33"/>
  <c r="H108" i="33"/>
  <c r="J107" i="33"/>
  <c r="H107" i="33"/>
  <c r="J106" i="33"/>
  <c r="H106" i="33"/>
  <c r="J105" i="33"/>
  <c r="H105" i="33"/>
  <c r="J104" i="33"/>
  <c r="H104" i="33"/>
  <c r="J103" i="33"/>
  <c r="H103" i="33"/>
  <c r="J102" i="33"/>
  <c r="H102" i="33"/>
  <c r="J101" i="33"/>
  <c r="H101" i="33"/>
  <c r="J100" i="33"/>
  <c r="H100" i="33"/>
  <c r="J99" i="33"/>
  <c r="H99" i="33"/>
  <c r="J98" i="33"/>
  <c r="H98" i="33"/>
  <c r="J97" i="33"/>
  <c r="H97" i="33"/>
  <c r="J96" i="33"/>
  <c r="H96" i="33"/>
  <c r="J95" i="33"/>
  <c r="H95" i="33"/>
  <c r="J94" i="33"/>
  <c r="H94" i="33"/>
  <c r="J93" i="33"/>
  <c r="H93" i="33"/>
  <c r="J92" i="33"/>
  <c r="H92" i="33"/>
  <c r="J91" i="33"/>
  <c r="H91" i="33"/>
  <c r="J90" i="33"/>
  <c r="H90" i="33"/>
  <c r="J89" i="33"/>
  <c r="H89" i="33"/>
  <c r="J88" i="33"/>
  <c r="H88" i="33"/>
  <c r="J87" i="33"/>
  <c r="H87" i="33"/>
  <c r="J86" i="33"/>
  <c r="H86" i="33"/>
  <c r="J85" i="33"/>
  <c r="H85" i="33"/>
  <c r="J84" i="33"/>
  <c r="H84" i="33"/>
  <c r="J83" i="33"/>
  <c r="H83" i="33"/>
  <c r="J82" i="33"/>
  <c r="H82" i="33"/>
  <c r="J81" i="33"/>
  <c r="H81" i="33"/>
  <c r="J80" i="33"/>
  <c r="H80" i="33"/>
  <c r="J79" i="33"/>
  <c r="H79" i="33"/>
  <c r="J78" i="33"/>
  <c r="H78" i="33"/>
  <c r="J77" i="33"/>
  <c r="H77" i="33"/>
  <c r="J76" i="33"/>
  <c r="H76" i="33"/>
  <c r="J75" i="33"/>
  <c r="H75" i="33"/>
  <c r="J74" i="33"/>
  <c r="H74" i="33"/>
  <c r="J73" i="33"/>
  <c r="H73" i="33"/>
  <c r="J72" i="33"/>
  <c r="H72" i="33"/>
  <c r="J71" i="33"/>
  <c r="H71" i="33"/>
  <c r="J70" i="33"/>
  <c r="H70" i="33"/>
  <c r="J69" i="33"/>
  <c r="H69" i="33"/>
  <c r="J68" i="33"/>
  <c r="H68" i="33"/>
  <c r="J67" i="33"/>
  <c r="H67" i="33"/>
  <c r="J66" i="33"/>
  <c r="H66" i="33"/>
  <c r="J65" i="33"/>
  <c r="H65" i="33"/>
  <c r="J64" i="33"/>
  <c r="H64" i="33"/>
  <c r="J63" i="33"/>
  <c r="H63" i="33"/>
  <c r="J62" i="33"/>
  <c r="H62" i="33"/>
  <c r="J61" i="33"/>
  <c r="H61" i="33"/>
  <c r="J60" i="33"/>
  <c r="H60" i="33"/>
  <c r="J59" i="33"/>
  <c r="H59" i="33"/>
  <c r="J58" i="33"/>
  <c r="H58" i="33"/>
  <c r="J57" i="33"/>
  <c r="H57" i="33"/>
  <c r="J56" i="33"/>
  <c r="H56" i="33"/>
  <c r="J55" i="33"/>
  <c r="H55" i="33"/>
  <c r="J54" i="33"/>
  <c r="H54" i="33"/>
  <c r="J53" i="33"/>
  <c r="H53" i="33"/>
  <c r="J52" i="33"/>
  <c r="H52" i="33"/>
  <c r="J51" i="33"/>
  <c r="H51" i="33"/>
  <c r="J50" i="33"/>
  <c r="H50" i="33"/>
  <c r="J49" i="33"/>
  <c r="H49" i="33"/>
  <c r="J48" i="33"/>
  <c r="H48" i="33"/>
  <c r="J47" i="33"/>
  <c r="H47" i="33"/>
  <c r="J46" i="33"/>
  <c r="H46" i="33"/>
  <c r="J45" i="33"/>
  <c r="H45" i="33"/>
  <c r="J44" i="33"/>
  <c r="H44" i="33"/>
  <c r="J43" i="33"/>
  <c r="H43" i="33"/>
  <c r="J42" i="33"/>
  <c r="H42" i="33"/>
  <c r="J41" i="33"/>
  <c r="H41" i="33"/>
  <c r="J40" i="33"/>
  <c r="H40" i="33"/>
  <c r="J39" i="33"/>
  <c r="H39" i="33"/>
  <c r="J38" i="33"/>
  <c r="H38" i="33"/>
  <c r="J37" i="33"/>
  <c r="H37" i="33"/>
  <c r="J36" i="33"/>
  <c r="H36" i="33"/>
  <c r="J35" i="33"/>
  <c r="H35" i="33"/>
  <c r="J34" i="33"/>
  <c r="H34" i="33"/>
  <c r="J33" i="33"/>
  <c r="H33" i="33"/>
  <c r="J32" i="33"/>
  <c r="H32" i="33"/>
  <c r="J31" i="33"/>
  <c r="H31" i="33"/>
  <c r="J30" i="33"/>
  <c r="H30" i="33"/>
  <c r="J29" i="33"/>
  <c r="H29" i="33"/>
  <c r="J28" i="33"/>
  <c r="H28" i="33"/>
  <c r="J27" i="33"/>
  <c r="H27" i="33"/>
  <c r="J26" i="33"/>
  <c r="H26" i="33"/>
  <c r="J25" i="33"/>
  <c r="H25" i="33"/>
  <c r="J24" i="33"/>
  <c r="H24" i="33"/>
  <c r="J23" i="33"/>
  <c r="H23" i="33"/>
  <c r="J22" i="33"/>
  <c r="H22" i="33"/>
  <c r="J21" i="33"/>
  <c r="H21" i="33"/>
  <c r="J20" i="33"/>
  <c r="H20" i="33"/>
  <c r="J19" i="33"/>
  <c r="H19" i="33"/>
  <c r="J18" i="33"/>
  <c r="H18" i="33"/>
  <c r="J17" i="33"/>
  <c r="H17" i="33"/>
  <c r="J16" i="33"/>
  <c r="H16" i="33"/>
  <c r="J15" i="33"/>
  <c r="H15" i="33"/>
  <c r="J14" i="33"/>
  <c r="H14" i="33"/>
  <c r="J13" i="33"/>
  <c r="H13" i="33"/>
  <c r="J12" i="33"/>
  <c r="H12" i="33"/>
  <c r="J11" i="33"/>
  <c r="H11" i="33"/>
  <c r="J10" i="33"/>
  <c r="H10" i="33"/>
  <c r="J9" i="33"/>
  <c r="H9" i="33"/>
  <c r="J8" i="33"/>
  <c r="H8" i="33"/>
  <c r="J7" i="33"/>
  <c r="H7" i="33"/>
  <c r="J6" i="33"/>
  <c r="H6" i="33"/>
  <c r="J5" i="33"/>
  <c r="H5" i="33"/>
  <c r="J194" i="29"/>
  <c r="H194" i="29"/>
  <c r="G194" i="29"/>
  <c r="J193" i="29"/>
  <c r="H193" i="29"/>
  <c r="G193" i="29"/>
  <c r="J192" i="29"/>
  <c r="H192" i="29"/>
  <c r="G192" i="29"/>
  <c r="J191" i="29"/>
  <c r="H191" i="29"/>
  <c r="G191" i="29"/>
  <c r="J190" i="29"/>
  <c r="H190" i="29"/>
  <c r="G190" i="29"/>
  <c r="J189" i="29"/>
  <c r="H189" i="29"/>
  <c r="G189" i="29"/>
  <c r="J188" i="29"/>
  <c r="H188" i="29"/>
  <c r="G188" i="29"/>
  <c r="J187" i="29"/>
  <c r="H187" i="29"/>
  <c r="G187" i="29"/>
  <c r="J186" i="29"/>
  <c r="H186" i="29"/>
  <c r="G186" i="29"/>
  <c r="J185" i="29"/>
  <c r="H185" i="29"/>
  <c r="G185" i="29"/>
  <c r="J184" i="29"/>
  <c r="H184" i="29"/>
  <c r="G184" i="29"/>
  <c r="J183" i="29"/>
  <c r="H183" i="29"/>
  <c r="G183" i="29"/>
  <c r="J182" i="29"/>
  <c r="H182" i="29"/>
  <c r="G182" i="29"/>
  <c r="J181" i="29"/>
  <c r="H181" i="29"/>
  <c r="G181" i="29"/>
  <c r="J180" i="29"/>
  <c r="H180" i="29"/>
  <c r="G180" i="29"/>
  <c r="J179" i="29"/>
  <c r="H179" i="29"/>
  <c r="G179" i="29"/>
  <c r="J178" i="29"/>
  <c r="H178" i="29"/>
  <c r="G178" i="29"/>
  <c r="J177" i="29"/>
  <c r="H177" i="29"/>
  <c r="G177" i="29"/>
  <c r="J176" i="29"/>
  <c r="H176" i="29"/>
  <c r="G176" i="29"/>
  <c r="J175" i="29"/>
  <c r="H175" i="29"/>
  <c r="G175" i="29"/>
  <c r="J174" i="29"/>
  <c r="H174" i="29"/>
  <c r="G174" i="29"/>
  <c r="J173" i="29"/>
  <c r="H173" i="29"/>
  <c r="G173" i="29"/>
  <c r="J172" i="29"/>
  <c r="H172" i="29"/>
  <c r="G172" i="29"/>
  <c r="J171" i="29"/>
  <c r="H171" i="29"/>
  <c r="G171" i="29"/>
  <c r="J170" i="29"/>
  <c r="H170" i="29"/>
  <c r="G170" i="29"/>
  <c r="J169" i="29"/>
  <c r="H169" i="29"/>
  <c r="G169" i="29"/>
  <c r="J168" i="29"/>
  <c r="H168" i="29"/>
  <c r="G168" i="29"/>
  <c r="J167" i="29"/>
  <c r="H167" i="29"/>
  <c r="G167" i="29"/>
  <c r="J166" i="29"/>
  <c r="H166" i="29"/>
  <c r="G166" i="29"/>
  <c r="J165" i="29"/>
  <c r="H165" i="29"/>
  <c r="G165" i="29"/>
  <c r="J164" i="29"/>
  <c r="H164" i="29"/>
  <c r="G164" i="29"/>
  <c r="J163" i="29"/>
  <c r="H163" i="29"/>
  <c r="G163" i="29"/>
  <c r="J162" i="29"/>
  <c r="H162" i="29"/>
  <c r="G162" i="29"/>
  <c r="J161" i="29"/>
  <c r="H161" i="29"/>
  <c r="G161" i="29"/>
  <c r="J160" i="29"/>
  <c r="H160" i="29"/>
  <c r="G160" i="29"/>
  <c r="J159" i="29"/>
  <c r="H159" i="29"/>
  <c r="G159" i="29"/>
  <c r="J158" i="29"/>
  <c r="H158" i="29"/>
  <c r="G158" i="29"/>
  <c r="J157" i="29"/>
  <c r="H157" i="29"/>
  <c r="G157" i="29"/>
  <c r="J156" i="29"/>
  <c r="H156" i="29"/>
  <c r="G156" i="29"/>
  <c r="J155" i="29"/>
  <c r="H155" i="29"/>
  <c r="G155" i="29"/>
  <c r="J154" i="29"/>
  <c r="H154" i="29"/>
  <c r="G154" i="29"/>
  <c r="J153" i="29"/>
  <c r="H153" i="29"/>
  <c r="G153" i="29"/>
  <c r="J152" i="29"/>
  <c r="H152" i="29"/>
  <c r="G152" i="29"/>
  <c r="J151" i="29"/>
  <c r="H151" i="29"/>
  <c r="G151" i="29"/>
  <c r="J150" i="29"/>
  <c r="H150" i="29"/>
  <c r="G150" i="29"/>
  <c r="J149" i="29"/>
  <c r="H149" i="29"/>
  <c r="G149" i="29"/>
  <c r="J148" i="29"/>
  <c r="H148" i="29"/>
  <c r="G148" i="29"/>
  <c r="J147" i="29"/>
  <c r="H147" i="29"/>
  <c r="G147" i="29"/>
  <c r="J146" i="29"/>
  <c r="H146" i="29"/>
  <c r="G146" i="29"/>
  <c r="J145" i="29"/>
  <c r="H145" i="29"/>
  <c r="G145" i="29"/>
  <c r="J144" i="29"/>
  <c r="H144" i="29"/>
  <c r="G144" i="29"/>
  <c r="J143" i="29"/>
  <c r="H143" i="29"/>
  <c r="G143" i="29"/>
  <c r="J142" i="29"/>
  <c r="H142" i="29"/>
  <c r="G142" i="29"/>
  <c r="J141" i="29"/>
  <c r="H141" i="29"/>
  <c r="G141" i="29"/>
  <c r="J140" i="29"/>
  <c r="H140" i="29"/>
  <c r="G140" i="29"/>
  <c r="J139" i="29"/>
  <c r="H139" i="29"/>
  <c r="G139" i="29"/>
  <c r="J138" i="29"/>
  <c r="H138" i="29"/>
  <c r="G138" i="29"/>
  <c r="J137" i="29"/>
  <c r="H137" i="29"/>
  <c r="G137" i="29"/>
  <c r="J136" i="29"/>
  <c r="H136" i="29"/>
  <c r="G136" i="29"/>
  <c r="J135" i="29"/>
  <c r="H135" i="29"/>
  <c r="G135" i="29"/>
  <c r="J134" i="29"/>
  <c r="H134" i="29"/>
  <c r="G134" i="29"/>
  <c r="J133" i="29"/>
  <c r="H133" i="29"/>
  <c r="G133" i="29"/>
  <c r="J132" i="29"/>
  <c r="H132" i="29"/>
  <c r="G132" i="29"/>
  <c r="J131" i="29"/>
  <c r="H131" i="29"/>
  <c r="G131" i="29"/>
  <c r="J130" i="29"/>
  <c r="H130" i="29"/>
  <c r="G130" i="29"/>
  <c r="J129" i="29"/>
  <c r="H129" i="29"/>
  <c r="G129" i="29"/>
  <c r="J128" i="29"/>
  <c r="H128" i="29"/>
  <c r="G128" i="29"/>
  <c r="J127" i="29"/>
  <c r="H127" i="29"/>
  <c r="G127" i="29"/>
  <c r="J126" i="29"/>
  <c r="H126" i="29"/>
  <c r="G126" i="29"/>
  <c r="J125" i="29"/>
  <c r="H125" i="29"/>
  <c r="G125" i="29"/>
  <c r="J124" i="29"/>
  <c r="H124" i="29"/>
  <c r="G124" i="29"/>
  <c r="J123" i="29"/>
  <c r="H123" i="29"/>
  <c r="G123" i="29"/>
  <c r="J122" i="29"/>
  <c r="H122" i="29"/>
  <c r="G122" i="29"/>
  <c r="J121" i="29"/>
  <c r="H121" i="29"/>
  <c r="G121" i="29"/>
  <c r="J120" i="29"/>
  <c r="H120" i="29"/>
  <c r="G120" i="29"/>
  <c r="J119" i="29"/>
  <c r="H119" i="29"/>
  <c r="G119" i="29"/>
  <c r="J118" i="29"/>
  <c r="H118" i="29"/>
  <c r="G118" i="29"/>
  <c r="J117" i="29"/>
  <c r="H117" i="29"/>
  <c r="G117" i="29"/>
  <c r="J116" i="29"/>
  <c r="H116" i="29"/>
  <c r="G116" i="29"/>
  <c r="J115" i="29"/>
  <c r="H115" i="29"/>
  <c r="G115" i="29"/>
  <c r="J114" i="29"/>
  <c r="H114" i="29"/>
  <c r="G114" i="29"/>
  <c r="J113" i="29"/>
  <c r="H113" i="29"/>
  <c r="G113" i="29"/>
  <c r="J112" i="29"/>
  <c r="H112" i="29"/>
  <c r="G112" i="29"/>
  <c r="J111" i="29"/>
  <c r="H111" i="29"/>
  <c r="G111" i="29"/>
  <c r="J110" i="29"/>
  <c r="H110" i="29"/>
  <c r="G110" i="29"/>
  <c r="J109" i="29"/>
  <c r="H109" i="29"/>
  <c r="G109" i="29"/>
  <c r="J108" i="29"/>
  <c r="H108" i="29"/>
  <c r="G108" i="29"/>
  <c r="J107" i="29"/>
  <c r="H107" i="29"/>
  <c r="G107" i="29"/>
  <c r="J106" i="29"/>
  <c r="H106" i="29"/>
  <c r="G106" i="29"/>
  <c r="J105" i="29"/>
  <c r="H105" i="29"/>
  <c r="G105" i="29"/>
  <c r="J104" i="29"/>
  <c r="H104" i="29"/>
  <c r="G104" i="29"/>
  <c r="J103" i="29"/>
  <c r="H103" i="29"/>
  <c r="G103" i="29"/>
  <c r="J102" i="29"/>
  <c r="H102" i="29"/>
  <c r="G102" i="29"/>
  <c r="J101" i="29"/>
  <c r="H101" i="29"/>
  <c r="G101" i="29"/>
  <c r="J100" i="29"/>
  <c r="H100" i="29"/>
  <c r="G100" i="29"/>
  <c r="J99" i="29"/>
  <c r="H99" i="29"/>
  <c r="G99" i="29"/>
  <c r="J98" i="29"/>
  <c r="H98" i="29"/>
  <c r="G98" i="29"/>
  <c r="J97" i="29"/>
  <c r="H97" i="29"/>
  <c r="G97" i="29"/>
  <c r="J96" i="29"/>
  <c r="H96" i="29"/>
  <c r="G96" i="29"/>
  <c r="J95" i="29"/>
  <c r="H95" i="29"/>
  <c r="G95" i="29"/>
  <c r="J94" i="29"/>
  <c r="H94" i="29"/>
  <c r="G94" i="29"/>
  <c r="J93" i="29"/>
  <c r="H93" i="29"/>
  <c r="G93" i="29"/>
  <c r="J92" i="29"/>
  <c r="H92" i="29"/>
  <c r="G92" i="29"/>
  <c r="J91" i="29"/>
  <c r="H91" i="29"/>
  <c r="G91" i="29"/>
  <c r="J90" i="29"/>
  <c r="H90" i="29"/>
  <c r="G90" i="29"/>
  <c r="J89" i="29"/>
  <c r="H89" i="29"/>
  <c r="G89" i="29"/>
  <c r="J88" i="29"/>
  <c r="H88" i="29"/>
  <c r="G88" i="29"/>
  <c r="J87" i="29"/>
  <c r="H87" i="29"/>
  <c r="G87" i="29"/>
  <c r="J86" i="29"/>
  <c r="H86" i="29"/>
  <c r="G86" i="29"/>
  <c r="J85" i="29"/>
  <c r="H85" i="29"/>
  <c r="G85" i="29"/>
  <c r="J84" i="29"/>
  <c r="H84" i="29"/>
  <c r="G84" i="29"/>
  <c r="J83" i="29"/>
  <c r="H83" i="29"/>
  <c r="G83" i="29"/>
  <c r="J82" i="29"/>
  <c r="H82" i="29"/>
  <c r="G82" i="29"/>
  <c r="J81" i="29"/>
  <c r="H81" i="29"/>
  <c r="G81" i="29"/>
  <c r="J80" i="29"/>
  <c r="H80" i="29"/>
  <c r="G80" i="29"/>
  <c r="J79" i="29"/>
  <c r="H79" i="29"/>
  <c r="G79" i="29"/>
  <c r="J78" i="29"/>
  <c r="H78" i="29"/>
  <c r="G78" i="29"/>
  <c r="J77" i="29"/>
  <c r="H77" i="29"/>
  <c r="G77" i="29"/>
  <c r="J76" i="29"/>
  <c r="H76" i="29"/>
  <c r="G76" i="29"/>
  <c r="J75" i="29"/>
  <c r="H75" i="29"/>
  <c r="G75" i="29"/>
  <c r="J74" i="29"/>
  <c r="H74" i="29"/>
  <c r="G74" i="29"/>
  <c r="J73" i="29"/>
  <c r="H73" i="29"/>
  <c r="G73" i="29"/>
  <c r="J72" i="29"/>
  <c r="H72" i="29"/>
  <c r="G72" i="29"/>
  <c r="J71" i="29"/>
  <c r="H71" i="29"/>
  <c r="G71" i="29"/>
  <c r="J70" i="29"/>
  <c r="H70" i="29"/>
  <c r="G70" i="29"/>
  <c r="J69" i="29"/>
  <c r="H69" i="29"/>
  <c r="G69" i="29"/>
  <c r="J68" i="29"/>
  <c r="H68" i="29"/>
  <c r="G68" i="29"/>
  <c r="J67" i="29"/>
  <c r="H67" i="29"/>
  <c r="G67" i="29"/>
  <c r="J66" i="29"/>
  <c r="H66" i="29"/>
  <c r="G66" i="29"/>
  <c r="J65" i="29"/>
  <c r="H65" i="29"/>
  <c r="G65" i="29"/>
  <c r="J64" i="29"/>
  <c r="H64" i="29"/>
  <c r="G64" i="29"/>
  <c r="J63" i="29"/>
  <c r="H63" i="29"/>
  <c r="G63" i="29"/>
  <c r="J62" i="29"/>
  <c r="H62" i="29"/>
  <c r="G62" i="29"/>
  <c r="J61" i="29"/>
  <c r="H61" i="29"/>
  <c r="G61" i="29"/>
  <c r="J60" i="29"/>
  <c r="H60" i="29"/>
  <c r="G60" i="29"/>
  <c r="J59" i="29"/>
  <c r="H59" i="29"/>
  <c r="G59" i="29"/>
  <c r="J58" i="29"/>
  <c r="H58" i="29"/>
  <c r="G58" i="29"/>
  <c r="J57" i="29"/>
  <c r="H57" i="29"/>
  <c r="G57" i="29"/>
  <c r="J56" i="29"/>
  <c r="H56" i="29"/>
  <c r="G56" i="29"/>
  <c r="J55" i="29"/>
  <c r="H55" i="29"/>
  <c r="G55" i="29"/>
  <c r="J54" i="29"/>
  <c r="H54" i="29"/>
  <c r="G54" i="29"/>
  <c r="J53" i="29"/>
  <c r="H53" i="29"/>
  <c r="G53" i="29"/>
  <c r="J52" i="29"/>
  <c r="H52" i="29"/>
  <c r="G52" i="29"/>
  <c r="J51" i="29"/>
  <c r="H51" i="29"/>
  <c r="G51" i="29"/>
  <c r="J50" i="29"/>
  <c r="H50" i="29"/>
  <c r="G50" i="29"/>
  <c r="J49" i="29"/>
  <c r="H49" i="29"/>
  <c r="G49" i="29"/>
  <c r="J48" i="29"/>
  <c r="H48" i="29"/>
  <c r="G48" i="29"/>
  <c r="J47" i="29"/>
  <c r="H47" i="29"/>
  <c r="G47" i="29"/>
  <c r="J46" i="29"/>
  <c r="H46" i="29"/>
  <c r="G46" i="29"/>
  <c r="J45" i="29"/>
  <c r="H45" i="29"/>
  <c r="G45" i="29"/>
  <c r="J44" i="29"/>
  <c r="H44" i="29"/>
  <c r="G44" i="29"/>
  <c r="J43" i="29"/>
  <c r="H43" i="29"/>
  <c r="G43" i="29"/>
  <c r="J42" i="29"/>
  <c r="H42" i="29"/>
  <c r="G42" i="29"/>
  <c r="J41" i="29"/>
  <c r="H41" i="29"/>
  <c r="G41" i="29"/>
  <c r="J40" i="29"/>
  <c r="H40" i="29"/>
  <c r="G40" i="29"/>
  <c r="J39" i="29"/>
  <c r="H39" i="29"/>
  <c r="G39" i="29"/>
  <c r="J38" i="29"/>
  <c r="H38" i="29"/>
  <c r="G38" i="29"/>
  <c r="J37" i="29"/>
  <c r="H37" i="29"/>
  <c r="G37" i="29"/>
  <c r="J36" i="29"/>
  <c r="H36" i="29"/>
  <c r="G36" i="29"/>
  <c r="J35" i="29"/>
  <c r="H35" i="29"/>
  <c r="G35" i="29"/>
  <c r="J34" i="29"/>
  <c r="H34" i="29"/>
  <c r="G34" i="29"/>
  <c r="J33" i="29"/>
  <c r="H33" i="29"/>
  <c r="G33" i="29"/>
  <c r="J32" i="29"/>
  <c r="H32" i="29"/>
  <c r="G32" i="29"/>
  <c r="J31" i="29"/>
  <c r="H31" i="29"/>
  <c r="G31" i="29"/>
  <c r="J30" i="29"/>
  <c r="H30" i="29"/>
  <c r="G30" i="29"/>
  <c r="J29" i="29"/>
  <c r="H29" i="29"/>
  <c r="G29" i="29"/>
  <c r="J28" i="29"/>
  <c r="H28" i="29"/>
  <c r="G28" i="29"/>
  <c r="J27" i="29"/>
  <c r="H27" i="29"/>
  <c r="G27" i="29"/>
  <c r="J26" i="29"/>
  <c r="H26" i="29"/>
  <c r="G26" i="29"/>
  <c r="J25" i="29"/>
  <c r="H25" i="29"/>
  <c r="G25" i="29"/>
  <c r="J24" i="29"/>
  <c r="H24" i="29"/>
  <c r="G24" i="29"/>
  <c r="J23" i="29"/>
  <c r="H23" i="29"/>
  <c r="G23" i="29"/>
  <c r="J22" i="29"/>
  <c r="H22" i="29"/>
  <c r="G22" i="29"/>
  <c r="J21" i="29"/>
  <c r="H21" i="29"/>
  <c r="G21" i="29"/>
  <c r="J20" i="29"/>
  <c r="H20" i="29"/>
  <c r="G20" i="29"/>
  <c r="J19" i="29"/>
  <c r="H19" i="29"/>
  <c r="G19" i="29"/>
  <c r="J18" i="29"/>
  <c r="H18" i="29"/>
  <c r="G18" i="29"/>
  <c r="J17" i="29"/>
  <c r="H17" i="29"/>
  <c r="G17" i="29"/>
  <c r="J16" i="29"/>
  <c r="H16" i="29"/>
  <c r="G16" i="29"/>
  <c r="J15" i="29"/>
  <c r="H15" i="29"/>
  <c r="G15" i="29"/>
  <c r="J14" i="29"/>
  <c r="H14" i="29"/>
  <c r="G14" i="29"/>
  <c r="J13" i="29"/>
  <c r="H13" i="29"/>
  <c r="G13" i="29"/>
  <c r="J12" i="29"/>
  <c r="H12" i="29"/>
  <c r="G12" i="29"/>
  <c r="J11" i="29"/>
  <c r="H11" i="29"/>
  <c r="G11" i="29"/>
  <c r="J10" i="29"/>
  <c r="H10" i="29"/>
  <c r="G10" i="29"/>
  <c r="J9" i="29"/>
  <c r="H9" i="29"/>
  <c r="G9" i="29"/>
  <c r="J8" i="29"/>
  <c r="H8" i="29"/>
  <c r="G8" i="29"/>
  <c r="J7" i="29"/>
  <c r="H7" i="29"/>
  <c r="G7" i="29"/>
  <c r="J6" i="29"/>
  <c r="H6" i="29"/>
  <c r="G6" i="29"/>
  <c r="J5" i="29"/>
  <c r="H5" i="29"/>
  <c r="G5" i="29"/>
  <c r="J184" i="28"/>
  <c r="H184" i="28"/>
  <c r="G184" i="28"/>
  <c r="J183" i="28"/>
  <c r="H183" i="28"/>
  <c r="G183" i="28"/>
  <c r="J182" i="28"/>
  <c r="H182" i="28"/>
  <c r="G182" i="28"/>
  <c r="J181" i="28"/>
  <c r="H181" i="28"/>
  <c r="G181" i="28"/>
  <c r="J180" i="28"/>
  <c r="H180" i="28"/>
  <c r="G180" i="28"/>
  <c r="J179" i="28"/>
  <c r="H179" i="28"/>
  <c r="G179" i="28"/>
  <c r="J178" i="28"/>
  <c r="H178" i="28"/>
  <c r="G178" i="28"/>
  <c r="J177" i="28"/>
  <c r="H177" i="28"/>
  <c r="G177" i="28"/>
  <c r="J176" i="28"/>
  <c r="H176" i="28"/>
  <c r="G176" i="28"/>
  <c r="J175" i="28"/>
  <c r="H175" i="28"/>
  <c r="G175" i="28"/>
  <c r="J174" i="28"/>
  <c r="H174" i="28"/>
  <c r="G174" i="28"/>
  <c r="J173" i="28"/>
  <c r="H173" i="28"/>
  <c r="G173" i="28"/>
  <c r="J172" i="28"/>
  <c r="H172" i="28"/>
  <c r="G172" i="28"/>
  <c r="J171" i="28"/>
  <c r="H171" i="28"/>
  <c r="G171" i="28"/>
  <c r="J170" i="28"/>
  <c r="H170" i="28"/>
  <c r="G170" i="28"/>
  <c r="J169" i="28"/>
  <c r="H169" i="28"/>
  <c r="G169" i="28"/>
  <c r="J168" i="28"/>
  <c r="H168" i="28"/>
  <c r="G168" i="28"/>
  <c r="J167" i="28"/>
  <c r="H167" i="28"/>
  <c r="G167" i="28"/>
  <c r="J166" i="28"/>
  <c r="H166" i="28"/>
  <c r="G166" i="28"/>
  <c r="J165" i="28"/>
  <c r="H165" i="28"/>
  <c r="G165" i="28"/>
  <c r="J164" i="28"/>
  <c r="H164" i="28"/>
  <c r="G164" i="28"/>
  <c r="J163" i="28"/>
  <c r="H163" i="28"/>
  <c r="G163" i="28"/>
  <c r="J162" i="28"/>
  <c r="H162" i="28"/>
  <c r="G162" i="28"/>
  <c r="J161" i="28"/>
  <c r="H161" i="28"/>
  <c r="G161" i="28"/>
  <c r="J160" i="28"/>
  <c r="H160" i="28"/>
  <c r="G160" i="28"/>
  <c r="J159" i="28"/>
  <c r="H159" i="28"/>
  <c r="G159" i="28"/>
  <c r="J158" i="28"/>
  <c r="H158" i="28"/>
  <c r="G158" i="28"/>
  <c r="J157" i="28"/>
  <c r="H157" i="28"/>
  <c r="G157" i="28"/>
  <c r="J156" i="28"/>
  <c r="H156" i="28"/>
  <c r="G156" i="28"/>
  <c r="J155" i="28"/>
  <c r="H155" i="28"/>
  <c r="G155" i="28"/>
  <c r="J154" i="28"/>
  <c r="H154" i="28"/>
  <c r="G154" i="28"/>
  <c r="J153" i="28"/>
  <c r="H153" i="28"/>
  <c r="G153" i="28"/>
  <c r="J152" i="28"/>
  <c r="H152" i="28"/>
  <c r="G152" i="28"/>
  <c r="J151" i="28"/>
  <c r="H151" i="28"/>
  <c r="G151" i="28"/>
  <c r="J150" i="28"/>
  <c r="H150" i="28"/>
  <c r="G150" i="28"/>
  <c r="J149" i="28"/>
  <c r="H149" i="28"/>
  <c r="G149" i="28"/>
  <c r="J148" i="28"/>
  <c r="H148" i="28"/>
  <c r="G148" i="28"/>
  <c r="J147" i="28"/>
  <c r="H147" i="28"/>
  <c r="G147" i="28"/>
  <c r="J146" i="28"/>
  <c r="H146" i="28"/>
  <c r="G146" i="28"/>
  <c r="J145" i="28"/>
  <c r="H145" i="28"/>
  <c r="G145" i="28"/>
  <c r="J144" i="28"/>
  <c r="H144" i="28"/>
  <c r="G144" i="28"/>
  <c r="J143" i="28"/>
  <c r="H143" i="28"/>
  <c r="G143" i="28"/>
  <c r="J142" i="28"/>
  <c r="H142" i="28"/>
  <c r="G142" i="28"/>
  <c r="J141" i="28"/>
  <c r="H141" i="28"/>
  <c r="G141" i="28"/>
  <c r="J140" i="28"/>
  <c r="H140" i="28"/>
  <c r="G140" i="28"/>
  <c r="J139" i="28"/>
  <c r="H139" i="28"/>
  <c r="G139" i="28"/>
  <c r="J138" i="28"/>
  <c r="H138" i="28"/>
  <c r="G138" i="28"/>
  <c r="J137" i="28"/>
  <c r="H137" i="28"/>
  <c r="G137" i="28"/>
  <c r="J136" i="28"/>
  <c r="H136" i="28"/>
  <c r="G136" i="28"/>
  <c r="J135" i="28"/>
  <c r="H135" i="28"/>
  <c r="G135" i="28"/>
  <c r="J134" i="28"/>
  <c r="H134" i="28"/>
  <c r="G134" i="28"/>
  <c r="J133" i="28"/>
  <c r="H133" i="28"/>
  <c r="G133" i="28"/>
  <c r="J132" i="28"/>
  <c r="H132" i="28"/>
  <c r="G132" i="28"/>
  <c r="J131" i="28"/>
  <c r="H131" i="28"/>
  <c r="G131" i="28"/>
  <c r="J130" i="28"/>
  <c r="H130" i="28"/>
  <c r="G130" i="28"/>
  <c r="J129" i="28"/>
  <c r="H129" i="28"/>
  <c r="G129" i="28"/>
  <c r="J128" i="28"/>
  <c r="H128" i="28"/>
  <c r="G128" i="28"/>
  <c r="J127" i="28"/>
  <c r="H127" i="28"/>
  <c r="G127" i="28"/>
  <c r="J126" i="28"/>
  <c r="H126" i="28"/>
  <c r="G126" i="28"/>
  <c r="J125" i="28"/>
  <c r="H125" i="28"/>
  <c r="G125" i="28"/>
  <c r="J124" i="28"/>
  <c r="H124" i="28"/>
  <c r="G124" i="28"/>
  <c r="J123" i="28"/>
  <c r="H123" i="28"/>
  <c r="G123" i="28"/>
  <c r="J122" i="28"/>
  <c r="H122" i="28"/>
  <c r="G122" i="28"/>
  <c r="J121" i="28"/>
  <c r="H121" i="28"/>
  <c r="G121" i="28"/>
  <c r="J120" i="28"/>
  <c r="H120" i="28"/>
  <c r="G120" i="28"/>
  <c r="J119" i="28"/>
  <c r="H119" i="28"/>
  <c r="G119" i="28"/>
  <c r="J118" i="28"/>
  <c r="H118" i="28"/>
  <c r="G118" i="28"/>
  <c r="J117" i="28"/>
  <c r="H117" i="28"/>
  <c r="G117" i="28"/>
  <c r="J116" i="28"/>
  <c r="H116" i="28"/>
  <c r="G116" i="28"/>
  <c r="J115" i="28"/>
  <c r="H115" i="28"/>
  <c r="G115" i="28"/>
  <c r="J114" i="28"/>
  <c r="H114" i="28"/>
  <c r="G114" i="28"/>
  <c r="J113" i="28"/>
  <c r="H113" i="28"/>
  <c r="G113" i="28"/>
  <c r="J112" i="28"/>
  <c r="H112" i="28"/>
  <c r="G112" i="28"/>
  <c r="J111" i="28"/>
  <c r="H111" i="28"/>
  <c r="G111" i="28"/>
  <c r="J110" i="28"/>
  <c r="H110" i="28"/>
  <c r="G110" i="28"/>
  <c r="J109" i="28"/>
  <c r="H109" i="28"/>
  <c r="G109" i="28"/>
  <c r="J108" i="28"/>
  <c r="H108" i="28"/>
  <c r="G108" i="28"/>
  <c r="J107" i="28"/>
  <c r="H107" i="28"/>
  <c r="G107" i="28"/>
  <c r="J106" i="28"/>
  <c r="H106" i="28"/>
  <c r="G106" i="28"/>
  <c r="J105" i="28"/>
  <c r="H105" i="28"/>
  <c r="G105" i="28"/>
  <c r="J104" i="28"/>
  <c r="H104" i="28"/>
  <c r="G104" i="28"/>
  <c r="J103" i="28"/>
  <c r="H103" i="28"/>
  <c r="G103" i="28"/>
  <c r="J102" i="28"/>
  <c r="H102" i="28"/>
  <c r="G102" i="28"/>
  <c r="J101" i="28"/>
  <c r="H101" i="28"/>
  <c r="G101" i="28"/>
  <c r="J100" i="28"/>
  <c r="H100" i="28"/>
  <c r="G100" i="28"/>
  <c r="J99" i="28"/>
  <c r="H99" i="28"/>
  <c r="G99" i="28"/>
  <c r="J98" i="28"/>
  <c r="H98" i="28"/>
  <c r="G98" i="28"/>
  <c r="J97" i="28"/>
  <c r="H97" i="28"/>
  <c r="G97" i="28"/>
  <c r="J96" i="28"/>
  <c r="H96" i="28"/>
  <c r="G96" i="28"/>
  <c r="J95" i="28"/>
  <c r="H95" i="28"/>
  <c r="G95" i="28"/>
  <c r="J94" i="28"/>
  <c r="H94" i="28"/>
  <c r="G94" i="28"/>
  <c r="J93" i="28"/>
  <c r="H93" i="28"/>
  <c r="G93" i="28"/>
  <c r="J92" i="28"/>
  <c r="H92" i="28"/>
  <c r="G92" i="28"/>
  <c r="J91" i="28"/>
  <c r="H91" i="28"/>
  <c r="G91" i="28"/>
  <c r="J90" i="28"/>
  <c r="H90" i="28"/>
  <c r="G90" i="28"/>
  <c r="J89" i="28"/>
  <c r="H89" i="28"/>
  <c r="G89" i="28"/>
  <c r="J88" i="28"/>
  <c r="H88" i="28"/>
  <c r="G88" i="28"/>
  <c r="J87" i="28"/>
  <c r="H87" i="28"/>
  <c r="G87" i="28"/>
  <c r="J86" i="28"/>
  <c r="H86" i="28"/>
  <c r="G86" i="28"/>
  <c r="J85" i="28"/>
  <c r="H85" i="28"/>
  <c r="G85" i="28"/>
  <c r="J84" i="28"/>
  <c r="H84" i="28"/>
  <c r="G84" i="28"/>
  <c r="J83" i="28"/>
  <c r="H83" i="28"/>
  <c r="G83" i="28"/>
  <c r="J82" i="28"/>
  <c r="H82" i="28"/>
  <c r="G82" i="28"/>
  <c r="J81" i="28"/>
  <c r="H81" i="28"/>
  <c r="G81" i="28"/>
  <c r="J80" i="28"/>
  <c r="H80" i="28"/>
  <c r="G80" i="28"/>
  <c r="J79" i="28"/>
  <c r="H79" i="28"/>
  <c r="G79" i="28"/>
  <c r="J78" i="28"/>
  <c r="H78" i="28"/>
  <c r="G78" i="28"/>
  <c r="J77" i="28"/>
  <c r="H77" i="28"/>
  <c r="G77" i="28"/>
  <c r="J76" i="28"/>
  <c r="H76" i="28"/>
  <c r="G76" i="28"/>
  <c r="J75" i="28"/>
  <c r="H75" i="28"/>
  <c r="G75" i="28"/>
  <c r="J74" i="28"/>
  <c r="H74" i="28"/>
  <c r="G74" i="28"/>
  <c r="J73" i="28"/>
  <c r="H73" i="28"/>
  <c r="G73" i="28"/>
  <c r="J72" i="28"/>
  <c r="H72" i="28"/>
  <c r="G72" i="28"/>
  <c r="J71" i="28"/>
  <c r="H71" i="28"/>
  <c r="G71" i="28"/>
  <c r="J70" i="28"/>
  <c r="H70" i="28"/>
  <c r="G70" i="28"/>
  <c r="J69" i="28"/>
  <c r="H69" i="28"/>
  <c r="G69" i="28"/>
  <c r="J68" i="28"/>
  <c r="H68" i="28"/>
  <c r="G68" i="28"/>
  <c r="J67" i="28"/>
  <c r="H67" i="28"/>
  <c r="G67" i="28"/>
  <c r="J66" i="28"/>
  <c r="H66" i="28"/>
  <c r="G66" i="28"/>
  <c r="J65" i="28"/>
  <c r="H65" i="28"/>
  <c r="G65" i="28"/>
  <c r="J64" i="28"/>
  <c r="H64" i="28"/>
  <c r="G64" i="28"/>
  <c r="J63" i="28"/>
  <c r="H63" i="28"/>
  <c r="G63" i="28"/>
  <c r="J62" i="28"/>
  <c r="H62" i="28"/>
  <c r="G62" i="28"/>
  <c r="J61" i="28"/>
  <c r="H61" i="28"/>
  <c r="G61" i="28"/>
  <c r="J60" i="28"/>
  <c r="H60" i="28"/>
  <c r="G60" i="28"/>
  <c r="J59" i="28"/>
  <c r="H59" i="28"/>
  <c r="G59" i="28"/>
  <c r="J58" i="28"/>
  <c r="H58" i="28"/>
  <c r="G58" i="28"/>
  <c r="J57" i="28"/>
  <c r="H57" i="28"/>
  <c r="G57" i="28"/>
  <c r="J56" i="28"/>
  <c r="H56" i="28"/>
  <c r="G56" i="28"/>
  <c r="J55" i="28"/>
  <c r="H55" i="28"/>
  <c r="G55" i="28"/>
  <c r="J54" i="28"/>
  <c r="H54" i="28"/>
  <c r="G54" i="28"/>
  <c r="J53" i="28"/>
  <c r="H53" i="28"/>
  <c r="G53" i="28"/>
  <c r="J52" i="28"/>
  <c r="H52" i="28"/>
  <c r="G52" i="28"/>
  <c r="J51" i="28"/>
  <c r="H51" i="28"/>
  <c r="G51" i="28"/>
  <c r="J50" i="28"/>
  <c r="H50" i="28"/>
  <c r="G50" i="28"/>
  <c r="J49" i="28"/>
  <c r="H49" i="28"/>
  <c r="G49" i="28"/>
  <c r="J48" i="28"/>
  <c r="H48" i="28"/>
  <c r="G48" i="28"/>
  <c r="J47" i="28"/>
  <c r="H47" i="28"/>
  <c r="G47" i="28"/>
  <c r="J46" i="28"/>
  <c r="H46" i="28"/>
  <c r="G46" i="28"/>
  <c r="J45" i="28"/>
  <c r="H45" i="28"/>
  <c r="G45" i="28"/>
  <c r="J44" i="28"/>
  <c r="H44" i="28"/>
  <c r="G44" i="28"/>
  <c r="J43" i="28"/>
  <c r="H43" i="28"/>
  <c r="G43" i="28"/>
  <c r="J42" i="28"/>
  <c r="H42" i="28"/>
  <c r="G42" i="28"/>
  <c r="J41" i="28"/>
  <c r="H41" i="28"/>
  <c r="G41" i="28"/>
  <c r="J40" i="28"/>
  <c r="H40" i="28"/>
  <c r="G40" i="28"/>
  <c r="J39" i="28"/>
  <c r="H39" i="28"/>
  <c r="G39" i="28"/>
  <c r="J38" i="28"/>
  <c r="H38" i="28"/>
  <c r="G38" i="28"/>
  <c r="J37" i="28"/>
  <c r="H37" i="28"/>
  <c r="G37" i="28"/>
  <c r="J36" i="28"/>
  <c r="H36" i="28"/>
  <c r="G36" i="28"/>
  <c r="J35" i="28"/>
  <c r="H35" i="28"/>
  <c r="G35" i="28"/>
  <c r="J34" i="28"/>
  <c r="H34" i="28"/>
  <c r="G34" i="28"/>
  <c r="J33" i="28"/>
  <c r="H33" i="28"/>
  <c r="G33" i="28"/>
  <c r="J32" i="28"/>
  <c r="H32" i="28"/>
  <c r="G32" i="28"/>
  <c r="J31" i="28"/>
  <c r="H31" i="28"/>
  <c r="G31" i="28"/>
  <c r="J30" i="28"/>
  <c r="H30" i="28"/>
  <c r="G30" i="28"/>
  <c r="J29" i="28"/>
  <c r="H29" i="28"/>
  <c r="G29" i="28"/>
  <c r="J28" i="28"/>
  <c r="H28" i="28"/>
  <c r="G28" i="28"/>
  <c r="J27" i="28"/>
  <c r="H27" i="28"/>
  <c r="G27" i="28"/>
  <c r="J26" i="28"/>
  <c r="H26" i="28"/>
  <c r="G26" i="28"/>
  <c r="J25" i="28"/>
  <c r="H25" i="28"/>
  <c r="G25" i="28"/>
  <c r="J24" i="28"/>
  <c r="H24" i="28"/>
  <c r="G24" i="28"/>
  <c r="J23" i="28"/>
  <c r="H23" i="28"/>
  <c r="G23" i="28"/>
  <c r="J22" i="28"/>
  <c r="H22" i="28"/>
  <c r="G22" i="28"/>
  <c r="J21" i="28"/>
  <c r="H21" i="28"/>
  <c r="G21" i="28"/>
  <c r="J20" i="28"/>
  <c r="H20" i="28"/>
  <c r="G20" i="28"/>
  <c r="J19" i="28"/>
  <c r="H19" i="28"/>
  <c r="G19" i="28"/>
  <c r="J18" i="28"/>
  <c r="H18" i="28"/>
  <c r="G18" i="28"/>
  <c r="J17" i="28"/>
  <c r="H17" i="28"/>
  <c r="G17" i="28"/>
  <c r="J16" i="28"/>
  <c r="H16" i="28"/>
  <c r="G16" i="28"/>
  <c r="J15" i="28"/>
  <c r="H15" i="28"/>
  <c r="G15" i="28"/>
  <c r="J14" i="28"/>
  <c r="H14" i="28"/>
  <c r="G14" i="28"/>
  <c r="J13" i="28"/>
  <c r="H13" i="28"/>
  <c r="G13" i="28"/>
  <c r="J12" i="28"/>
  <c r="H12" i="28"/>
  <c r="G12" i="28"/>
  <c r="J11" i="28"/>
  <c r="H11" i="28"/>
  <c r="G11" i="28"/>
  <c r="J10" i="28"/>
  <c r="H10" i="28"/>
  <c r="G10" i="28"/>
  <c r="J9" i="28"/>
  <c r="H9" i="28"/>
  <c r="G9" i="28"/>
  <c r="J8" i="28"/>
  <c r="H8" i="28"/>
  <c r="G8" i="28"/>
  <c r="J7" i="28"/>
  <c r="H7" i="28"/>
  <c r="G7" i="28"/>
  <c r="J6" i="28"/>
  <c r="H6" i="28"/>
  <c r="G6" i="28"/>
  <c r="J5" i="28"/>
  <c r="H5" i="28"/>
  <c r="G5" i="28"/>
  <c r="AG33" i="10"/>
  <c r="AF33" i="10"/>
  <c r="U33" i="10"/>
  <c r="Y33" i="10" s="1"/>
  <c r="AC33" i="10" s="1"/>
  <c r="T33" i="10"/>
  <c r="AG32" i="10"/>
  <c r="AF32" i="10"/>
  <c r="U32" i="10"/>
  <c r="Y32" i="10" s="1"/>
  <c r="AC32" i="10" s="1"/>
  <c r="T32" i="10"/>
  <c r="AG31" i="10"/>
  <c r="AF31" i="10"/>
  <c r="U31" i="10"/>
  <c r="Y31" i="10" s="1"/>
  <c r="AC31" i="10" s="1"/>
  <c r="T31" i="10"/>
  <c r="AG30" i="10"/>
  <c r="AF30" i="10"/>
  <c r="U30" i="10"/>
  <c r="Y30" i="10" s="1"/>
  <c r="AC30" i="10" s="1"/>
  <c r="T30" i="10"/>
  <c r="AG29" i="10"/>
  <c r="AF29" i="10"/>
  <c r="U29" i="10"/>
  <c r="Y29" i="10" s="1"/>
  <c r="AC29" i="10" s="1"/>
  <c r="T29" i="10"/>
  <c r="AG28" i="10"/>
  <c r="AF28" i="10"/>
  <c r="U28" i="10"/>
  <c r="Y28" i="10" s="1"/>
  <c r="AC28" i="10" s="1"/>
  <c r="T28" i="10"/>
  <c r="X28" i="10" s="1"/>
  <c r="W28" i="10" s="1"/>
  <c r="S28" i="10"/>
  <c r="AG27" i="10"/>
  <c r="AF27" i="10"/>
  <c r="AE27" i="10" s="1"/>
  <c r="U27" i="10"/>
  <c r="Y27" i="10"/>
  <c r="AC27" i="10" s="1"/>
  <c r="T27" i="10"/>
  <c r="S27" i="10" s="1"/>
  <c r="X27" i="10"/>
  <c r="W27" i="10" s="1"/>
  <c r="AG26" i="10"/>
  <c r="AF26" i="10"/>
  <c r="AE26" i="10" s="1"/>
  <c r="U26" i="10"/>
  <c r="Y26" i="10" s="1"/>
  <c r="AC26" i="10" s="1"/>
  <c r="AC35" i="10" s="1"/>
  <c r="U35" i="10"/>
  <c r="T26" i="10"/>
  <c r="T35" i="10"/>
  <c r="AG22" i="10"/>
  <c r="AF22" i="10"/>
  <c r="U22" i="10"/>
  <c r="Y22" i="10"/>
  <c r="AC22" i="10" s="1"/>
  <c r="T22" i="10"/>
  <c r="AG21" i="10"/>
  <c r="AF21" i="10"/>
  <c r="U21" i="10"/>
  <c r="Y21" i="10" s="1"/>
  <c r="AC21" i="10" s="1"/>
  <c r="T21" i="10"/>
  <c r="AG20" i="10"/>
  <c r="AF20" i="10"/>
  <c r="U20" i="10"/>
  <c r="Y20" i="10" s="1"/>
  <c r="AC20" i="10" s="1"/>
  <c r="T20" i="10"/>
  <c r="AG19" i="10"/>
  <c r="AF19" i="10"/>
  <c r="U19" i="10"/>
  <c r="Y19" i="10"/>
  <c r="AC19" i="10" s="1"/>
  <c r="T19" i="10"/>
  <c r="AG18" i="10"/>
  <c r="AF18" i="10"/>
  <c r="U18" i="10"/>
  <c r="Y18" i="10" s="1"/>
  <c r="AC18" i="10" s="1"/>
  <c r="T18" i="10"/>
  <c r="AG17" i="10"/>
  <c r="AG24" i="10" s="1"/>
  <c r="AF17" i="10"/>
  <c r="U17" i="10"/>
  <c r="Y17" i="10"/>
  <c r="Y24" i="10" s="1"/>
  <c r="T17" i="10"/>
  <c r="AG10" i="10"/>
  <c r="AF10" i="10"/>
  <c r="U10" i="10"/>
  <c r="Y10" i="10"/>
  <c r="AC10" i="10" s="1"/>
  <c r="T10" i="10"/>
  <c r="AG9" i="10"/>
  <c r="AF9" i="10"/>
  <c r="U9" i="10"/>
  <c r="Y9" i="10"/>
  <c r="T9" i="10"/>
  <c r="AG8" i="10"/>
  <c r="AF8" i="10"/>
  <c r="U8" i="10"/>
  <c r="Y8" i="10"/>
  <c r="AC8" i="10" s="1"/>
  <c r="AC12" i="10" s="1"/>
  <c r="T8" i="10"/>
  <c r="T49" i="57"/>
  <c r="U24" i="10"/>
  <c r="X17" i="10"/>
  <c r="AB17" i="10" s="1"/>
  <c r="AA17" i="10" s="1"/>
  <c r="AA24" i="10" s="1"/>
  <c r="T24" i="10"/>
  <c r="S17" i="10"/>
  <c r="S9" i="10"/>
  <c r="X9" i="10"/>
  <c r="W9" i="10" s="1"/>
  <c r="X10" i="10"/>
  <c r="W10" i="10" s="1"/>
  <c r="S10" i="10"/>
  <c r="T12" i="10"/>
  <c r="X8" i="10"/>
  <c r="AB8" i="10" s="1"/>
  <c r="S8" i="10"/>
  <c r="AC9" i="10"/>
  <c r="U12" i="10"/>
  <c r="AC17" i="10"/>
  <c r="T170" i="57"/>
  <c r="T33" i="57"/>
  <c r="AB9" i="10"/>
  <c r="AA9" i="10" s="1"/>
  <c r="S12" i="10"/>
  <c r="X24" i="10"/>
  <c r="AC24" i="10"/>
  <c r="AB10" i="10"/>
  <c r="AA10" i="10" s="1"/>
  <c r="S24" i="10"/>
  <c r="E202" i="25"/>
  <c r="D202" i="25"/>
  <c r="C202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J200" i="25"/>
  <c r="H200" i="25"/>
  <c r="J199" i="25"/>
  <c r="H199" i="25"/>
  <c r="J198" i="25"/>
  <c r="H198" i="25"/>
  <c r="J197" i="25"/>
  <c r="H197" i="25"/>
  <c r="J196" i="25"/>
  <c r="H196" i="25"/>
  <c r="J195" i="25"/>
  <c r="H195" i="25"/>
  <c r="J194" i="25"/>
  <c r="H194" i="25"/>
  <c r="J193" i="25"/>
  <c r="H193" i="25"/>
  <c r="J192" i="25"/>
  <c r="H192" i="25"/>
  <c r="J191" i="25"/>
  <c r="H191" i="25"/>
  <c r="J190" i="25"/>
  <c r="H190" i="25"/>
  <c r="J189" i="25"/>
  <c r="H189" i="25"/>
  <c r="J188" i="25"/>
  <c r="H188" i="25"/>
  <c r="J187" i="25"/>
  <c r="H187" i="25"/>
  <c r="J186" i="25"/>
  <c r="H186" i="25"/>
  <c r="J185" i="25"/>
  <c r="H185" i="25"/>
  <c r="J184" i="25"/>
  <c r="H184" i="25"/>
  <c r="J183" i="25"/>
  <c r="H183" i="25"/>
  <c r="J182" i="25"/>
  <c r="H182" i="25"/>
  <c r="J181" i="25"/>
  <c r="H181" i="25"/>
  <c r="J180" i="25"/>
  <c r="H180" i="25"/>
  <c r="J179" i="25"/>
  <c r="H179" i="25"/>
  <c r="J178" i="25"/>
  <c r="H178" i="25"/>
  <c r="J177" i="25"/>
  <c r="H177" i="25"/>
  <c r="J176" i="25"/>
  <c r="H176" i="25"/>
  <c r="J175" i="25"/>
  <c r="H175" i="25"/>
  <c r="J174" i="25"/>
  <c r="H174" i="25"/>
  <c r="J173" i="25"/>
  <c r="H173" i="25"/>
  <c r="J172" i="25"/>
  <c r="H172" i="25"/>
  <c r="J171" i="25"/>
  <c r="H171" i="25"/>
  <c r="J170" i="25"/>
  <c r="H170" i="25"/>
  <c r="J169" i="25"/>
  <c r="H169" i="25"/>
  <c r="J168" i="25"/>
  <c r="H168" i="25"/>
  <c r="J167" i="25"/>
  <c r="H167" i="25"/>
  <c r="J166" i="25"/>
  <c r="H166" i="25"/>
  <c r="J165" i="25"/>
  <c r="H165" i="25"/>
  <c r="J164" i="25"/>
  <c r="H164" i="25"/>
  <c r="J163" i="25"/>
  <c r="H163" i="25"/>
  <c r="J162" i="25"/>
  <c r="H162" i="25"/>
  <c r="J161" i="25"/>
  <c r="H161" i="25"/>
  <c r="J160" i="25"/>
  <c r="H160" i="25"/>
  <c r="J159" i="25"/>
  <c r="H159" i="25"/>
  <c r="J158" i="25"/>
  <c r="H158" i="25"/>
  <c r="J157" i="25"/>
  <c r="H157" i="25"/>
  <c r="J156" i="25"/>
  <c r="H156" i="25"/>
  <c r="J155" i="25"/>
  <c r="H155" i="25"/>
  <c r="J154" i="25"/>
  <c r="H154" i="25"/>
  <c r="J153" i="25"/>
  <c r="H153" i="25"/>
  <c r="J152" i="25"/>
  <c r="H152" i="25"/>
  <c r="J151" i="25"/>
  <c r="H151" i="25"/>
  <c r="J150" i="25"/>
  <c r="H150" i="25"/>
  <c r="J149" i="25"/>
  <c r="H149" i="25"/>
  <c r="J148" i="25"/>
  <c r="H148" i="25"/>
  <c r="J147" i="25"/>
  <c r="H147" i="25"/>
  <c r="J146" i="25"/>
  <c r="H146" i="25"/>
  <c r="J145" i="25"/>
  <c r="H145" i="25"/>
  <c r="J144" i="25"/>
  <c r="H144" i="25"/>
  <c r="J143" i="25"/>
  <c r="H143" i="25"/>
  <c r="J142" i="25"/>
  <c r="H142" i="25"/>
  <c r="J141" i="25"/>
  <c r="H141" i="25"/>
  <c r="J140" i="25"/>
  <c r="H140" i="25"/>
  <c r="J139" i="25"/>
  <c r="H139" i="25"/>
  <c r="J138" i="25"/>
  <c r="H138" i="25"/>
  <c r="J137" i="25"/>
  <c r="H137" i="25"/>
  <c r="J136" i="25"/>
  <c r="H136" i="25"/>
  <c r="J135" i="25"/>
  <c r="H135" i="25"/>
  <c r="J134" i="25"/>
  <c r="H134" i="25"/>
  <c r="J133" i="25"/>
  <c r="H133" i="25"/>
  <c r="J132" i="25"/>
  <c r="H132" i="25"/>
  <c r="J131" i="25"/>
  <c r="H131" i="25"/>
  <c r="J130" i="25"/>
  <c r="H130" i="25"/>
  <c r="J129" i="25"/>
  <c r="H129" i="25"/>
  <c r="J128" i="25"/>
  <c r="H128" i="25"/>
  <c r="J127" i="25"/>
  <c r="H127" i="25"/>
  <c r="J126" i="25"/>
  <c r="H126" i="25"/>
  <c r="J125" i="25"/>
  <c r="H125" i="25"/>
  <c r="J124" i="25"/>
  <c r="H124" i="25"/>
  <c r="J123" i="25"/>
  <c r="H123" i="25"/>
  <c r="J122" i="25"/>
  <c r="H122" i="25"/>
  <c r="J121" i="25"/>
  <c r="H121" i="25"/>
  <c r="J120" i="25"/>
  <c r="H120" i="25"/>
  <c r="J119" i="25"/>
  <c r="H119" i="25"/>
  <c r="J118" i="25"/>
  <c r="H118" i="25"/>
  <c r="J117" i="25"/>
  <c r="H117" i="25"/>
  <c r="J116" i="25"/>
  <c r="H116" i="25"/>
  <c r="J115" i="25"/>
  <c r="H115" i="25"/>
  <c r="J114" i="25"/>
  <c r="H114" i="25"/>
  <c r="J113" i="25"/>
  <c r="H113" i="25"/>
  <c r="J112" i="25"/>
  <c r="H112" i="25"/>
  <c r="J111" i="25"/>
  <c r="H111" i="25"/>
  <c r="J110" i="25"/>
  <c r="H110" i="25"/>
  <c r="J109" i="25"/>
  <c r="H109" i="25"/>
  <c r="J108" i="25"/>
  <c r="H108" i="25"/>
  <c r="J107" i="25"/>
  <c r="H107" i="25"/>
  <c r="J106" i="25"/>
  <c r="H106" i="25"/>
  <c r="J105" i="25"/>
  <c r="H105" i="25"/>
  <c r="J104" i="25"/>
  <c r="H104" i="25"/>
  <c r="J103" i="25"/>
  <c r="H103" i="25"/>
  <c r="J102" i="25"/>
  <c r="H102" i="25"/>
  <c r="J101" i="25"/>
  <c r="H101" i="25"/>
  <c r="J100" i="25"/>
  <c r="H100" i="25"/>
  <c r="J99" i="25"/>
  <c r="H99" i="25"/>
  <c r="J98" i="25"/>
  <c r="H98" i="25"/>
  <c r="J97" i="25"/>
  <c r="H97" i="25"/>
  <c r="J96" i="25"/>
  <c r="H96" i="25"/>
  <c r="J95" i="25"/>
  <c r="H95" i="25"/>
  <c r="J94" i="25"/>
  <c r="H94" i="25"/>
  <c r="J93" i="25"/>
  <c r="H93" i="25"/>
  <c r="J92" i="25"/>
  <c r="H92" i="25"/>
  <c r="J91" i="25"/>
  <c r="H91" i="25"/>
  <c r="J90" i="25"/>
  <c r="H90" i="25"/>
  <c r="J89" i="25"/>
  <c r="H89" i="25"/>
  <c r="J88" i="25"/>
  <c r="H88" i="25"/>
  <c r="J87" i="25"/>
  <c r="H87" i="25"/>
  <c r="J86" i="25"/>
  <c r="H86" i="25"/>
  <c r="J85" i="25"/>
  <c r="H85" i="25"/>
  <c r="J84" i="25"/>
  <c r="H84" i="25"/>
  <c r="J83" i="25"/>
  <c r="H83" i="25"/>
  <c r="J82" i="25"/>
  <c r="H82" i="25"/>
  <c r="J81" i="25"/>
  <c r="H81" i="25"/>
  <c r="J80" i="25"/>
  <c r="H80" i="25"/>
  <c r="J79" i="25"/>
  <c r="H79" i="25"/>
  <c r="J78" i="25"/>
  <c r="H78" i="25"/>
  <c r="J77" i="25"/>
  <c r="H77" i="25"/>
  <c r="J76" i="25"/>
  <c r="H76" i="25"/>
  <c r="J75" i="25"/>
  <c r="H75" i="25"/>
  <c r="J74" i="25"/>
  <c r="H74" i="25"/>
  <c r="J73" i="25"/>
  <c r="H73" i="25"/>
  <c r="J72" i="25"/>
  <c r="H72" i="25"/>
  <c r="J71" i="25"/>
  <c r="H71" i="25"/>
  <c r="J70" i="25"/>
  <c r="H70" i="25"/>
  <c r="J69" i="25"/>
  <c r="H69" i="25"/>
  <c r="J68" i="25"/>
  <c r="H68" i="25"/>
  <c r="J67" i="25"/>
  <c r="H67" i="25"/>
  <c r="J66" i="25"/>
  <c r="H66" i="25"/>
  <c r="J65" i="25"/>
  <c r="H65" i="25"/>
  <c r="J64" i="25"/>
  <c r="H64" i="25"/>
  <c r="J63" i="25"/>
  <c r="H63" i="25"/>
  <c r="J62" i="25"/>
  <c r="H62" i="25"/>
  <c r="J61" i="25"/>
  <c r="H61" i="25"/>
  <c r="J60" i="25"/>
  <c r="H60" i="25"/>
  <c r="J59" i="25"/>
  <c r="H59" i="25"/>
  <c r="J58" i="25"/>
  <c r="H58" i="25"/>
  <c r="J57" i="25"/>
  <c r="H57" i="25"/>
  <c r="J56" i="25"/>
  <c r="H56" i="25"/>
  <c r="J55" i="25"/>
  <c r="H55" i="25"/>
  <c r="J54" i="25"/>
  <c r="H54" i="25"/>
  <c r="J53" i="25"/>
  <c r="H53" i="25"/>
  <c r="J52" i="25"/>
  <c r="H52" i="25"/>
  <c r="J51" i="25"/>
  <c r="H51" i="25"/>
  <c r="J50" i="25"/>
  <c r="H50" i="25"/>
  <c r="J49" i="25"/>
  <c r="H49" i="25"/>
  <c r="J48" i="25"/>
  <c r="H48" i="25"/>
  <c r="J47" i="25"/>
  <c r="H47" i="25"/>
  <c r="J46" i="25"/>
  <c r="H46" i="25"/>
  <c r="J45" i="25"/>
  <c r="H45" i="25"/>
  <c r="J44" i="25"/>
  <c r="H44" i="25"/>
  <c r="J43" i="25"/>
  <c r="H43" i="25"/>
  <c r="J42" i="25"/>
  <c r="H42" i="25"/>
  <c r="J41" i="25"/>
  <c r="H41" i="25"/>
  <c r="J40" i="25"/>
  <c r="H40" i="25"/>
  <c r="J39" i="25"/>
  <c r="H39" i="25"/>
  <c r="J38" i="25"/>
  <c r="H38" i="25"/>
  <c r="J37" i="25"/>
  <c r="H37" i="25"/>
  <c r="J36" i="25"/>
  <c r="H36" i="25"/>
  <c r="J35" i="25"/>
  <c r="H35" i="25"/>
  <c r="J34" i="25"/>
  <c r="H34" i="25"/>
  <c r="J33" i="25"/>
  <c r="H33" i="25"/>
  <c r="J32" i="25"/>
  <c r="H32" i="25"/>
  <c r="J31" i="25"/>
  <c r="H31" i="25"/>
  <c r="J30" i="25"/>
  <c r="H30" i="25"/>
  <c r="J29" i="25"/>
  <c r="H29" i="25"/>
  <c r="J28" i="25"/>
  <c r="H28" i="25"/>
  <c r="J27" i="25"/>
  <c r="H27" i="25"/>
  <c r="J26" i="25"/>
  <c r="H26" i="25"/>
  <c r="J25" i="25"/>
  <c r="H25" i="25"/>
  <c r="J24" i="25"/>
  <c r="H24" i="25"/>
  <c r="J23" i="25"/>
  <c r="H23" i="25"/>
  <c r="J22" i="25"/>
  <c r="H22" i="25"/>
  <c r="J21" i="25"/>
  <c r="H21" i="25"/>
  <c r="J20" i="25"/>
  <c r="H20" i="25"/>
  <c r="J19" i="25"/>
  <c r="H19" i="25"/>
  <c r="J18" i="25"/>
  <c r="H18" i="25"/>
  <c r="J17" i="25"/>
  <c r="H17" i="25"/>
  <c r="J16" i="25"/>
  <c r="H16" i="25"/>
  <c r="J15" i="25"/>
  <c r="H15" i="25"/>
  <c r="J14" i="25"/>
  <c r="H14" i="25"/>
  <c r="J13" i="25"/>
  <c r="H13" i="25"/>
  <c r="J12" i="25"/>
  <c r="H12" i="25"/>
  <c r="J11" i="25"/>
  <c r="H11" i="25"/>
  <c r="J10" i="25"/>
  <c r="H10" i="25"/>
  <c r="J9" i="25"/>
  <c r="H9" i="25"/>
  <c r="J8" i="25"/>
  <c r="H8" i="25"/>
  <c r="J7" i="25"/>
  <c r="H7" i="25"/>
  <c r="J6" i="25"/>
  <c r="H6" i="25"/>
  <c r="J5" i="25"/>
  <c r="H5" i="25"/>
  <c r="A3" i="12"/>
  <c r="A3" i="10"/>
  <c r="D22" i="10"/>
  <c r="E20" i="10"/>
  <c r="D18" i="10"/>
  <c r="D20" i="10"/>
  <c r="E33" i="10"/>
  <c r="E18" i="10"/>
  <c r="E22" i="10"/>
  <c r="D33" i="10"/>
  <c r="E9" i="10"/>
  <c r="E8" i="10"/>
  <c r="D8" i="10"/>
  <c r="D9" i="10"/>
  <c r="E28" i="10"/>
  <c r="D28" i="10"/>
  <c r="E32" i="10"/>
  <c r="D32" i="10"/>
  <c r="E38" i="10"/>
  <c r="D38" i="10"/>
  <c r="E6" i="10"/>
  <c r="D6" i="10"/>
  <c r="E26" i="10"/>
  <c r="D37" i="10"/>
  <c r="D43" i="10"/>
  <c r="D42" i="10"/>
  <c r="E37" i="10"/>
  <c r="D26" i="10"/>
  <c r="D27" i="10"/>
  <c r="E43" i="10"/>
  <c r="E27" i="10"/>
  <c r="E42" i="10"/>
  <c r="D10" i="10"/>
  <c r="D17" i="10"/>
  <c r="D29" i="10"/>
  <c r="E17" i="10"/>
  <c r="E29" i="10"/>
  <c r="D21" i="10"/>
  <c r="D30" i="10"/>
  <c r="D44" i="10"/>
  <c r="E21" i="10"/>
  <c r="E30" i="10"/>
  <c r="E44" i="10"/>
  <c r="E10" i="10"/>
  <c r="D19" i="10"/>
  <c r="D31" i="10"/>
  <c r="E19" i="10"/>
  <c r="E31" i="10"/>
  <c r="E61" i="10"/>
  <c r="E60" i="10"/>
  <c r="D60" i="10"/>
  <c r="D61" i="10"/>
  <c r="E50" i="10"/>
  <c r="D50" i="10"/>
  <c r="C20" i="10"/>
  <c r="C18" i="10"/>
  <c r="C33" i="10"/>
  <c r="C22" i="10"/>
  <c r="C44" i="10"/>
  <c r="C37" i="10"/>
  <c r="C38" i="10"/>
  <c r="C28" i="10"/>
  <c r="C9" i="10"/>
  <c r="C26" i="10"/>
  <c r="C10" i="10"/>
  <c r="C8" i="10"/>
  <c r="C43" i="10"/>
  <c r="C32" i="10"/>
  <c r="C31" i="10"/>
  <c r="C19" i="10"/>
  <c r="C27" i="10"/>
  <c r="C42" i="10"/>
  <c r="C30" i="10"/>
  <c r="C21" i="10"/>
  <c r="C29" i="10"/>
  <c r="C17" i="10"/>
  <c r="C6" i="10"/>
  <c r="D35" i="10"/>
  <c r="D12" i="10"/>
  <c r="D56" i="10"/>
  <c r="D24" i="10"/>
  <c r="C61" i="10"/>
  <c r="D58" i="10"/>
  <c r="C60" i="10"/>
  <c r="D59" i="10"/>
  <c r="C50" i="10"/>
  <c r="D14" i="10"/>
  <c r="D57" i="10"/>
  <c r="C12" i="10"/>
  <c r="C56" i="10"/>
  <c r="C35" i="10"/>
  <c r="C24" i="10"/>
  <c r="C58" i="10"/>
  <c r="C59" i="10"/>
  <c r="D40" i="10"/>
  <c r="D46" i="10" s="1"/>
  <c r="D51" i="10"/>
  <c r="D15" i="10"/>
  <c r="C14" i="10"/>
  <c r="C57" i="10" s="1"/>
  <c r="D53" i="10"/>
  <c r="C40" i="10"/>
  <c r="C51" i="10"/>
  <c r="C15" i="10"/>
  <c r="E12" i="10"/>
  <c r="E56" i="10" s="1"/>
  <c r="E24" i="10"/>
  <c r="E58" i="10" s="1"/>
  <c r="E35" i="10"/>
  <c r="E59" i="10"/>
  <c r="E14" i="10"/>
  <c r="E57" i="10"/>
  <c r="E40" i="10"/>
  <c r="E51" i="10"/>
  <c r="E15" i="10"/>
  <c r="E53" i="10"/>
  <c r="E46" i="10"/>
  <c r="X32" i="10" l="1"/>
  <c r="S32" i="10"/>
  <c r="X33" i="10"/>
  <c r="S33" i="10"/>
  <c r="S31" i="10"/>
  <c r="X31" i="10"/>
  <c r="S30" i="10"/>
  <c r="X30" i="10"/>
  <c r="X29" i="10"/>
  <c r="S29" i="10"/>
  <c r="X26" i="10"/>
  <c r="S26" i="10"/>
  <c r="S35" i="10" s="1"/>
  <c r="X22" i="10"/>
  <c r="S22" i="10"/>
  <c r="S21" i="10"/>
  <c r="X21" i="10"/>
  <c r="X20" i="10"/>
  <c r="S20" i="10"/>
  <c r="S19" i="10"/>
  <c r="X19" i="10"/>
  <c r="S18" i="10"/>
  <c r="X18" i="10"/>
  <c r="D47" i="10"/>
  <c r="D52" i="10"/>
  <c r="C53" i="10"/>
  <c r="C46" i="10"/>
  <c r="E47" i="10"/>
  <c r="E52" i="10"/>
  <c r="H16" i="32"/>
  <c r="H19" i="32"/>
  <c r="G19" i="32"/>
  <c r="G16" i="32"/>
  <c r="D19" i="32"/>
  <c r="D16" i="32"/>
  <c r="C16" i="32"/>
  <c r="C19" i="32"/>
  <c r="E19" i="32"/>
  <c r="E16" i="32"/>
  <c r="F19" i="32"/>
  <c r="F16" i="32"/>
  <c r="I19" i="32"/>
  <c r="I16" i="32"/>
  <c r="I15" i="32"/>
  <c r="C15" i="32"/>
  <c r="G15" i="32"/>
  <c r="F15" i="32"/>
  <c r="D15" i="32"/>
  <c r="H15" i="32"/>
  <c r="E15" i="32"/>
  <c r="I20" i="32"/>
  <c r="I17" i="32"/>
  <c r="H20" i="32"/>
  <c r="H17" i="32"/>
  <c r="G20" i="32"/>
  <c r="G17" i="32"/>
  <c r="F20" i="32"/>
  <c r="F17" i="32"/>
  <c r="E20" i="32"/>
  <c r="E17" i="32"/>
  <c r="D20" i="32"/>
  <c r="D17" i="32"/>
  <c r="C20" i="32"/>
  <c r="C17" i="32"/>
  <c r="I18" i="32"/>
  <c r="D18" i="32"/>
  <c r="H18" i="32"/>
  <c r="E18" i="32"/>
  <c r="G18" i="32"/>
  <c r="F18" i="32"/>
  <c r="C18" i="32"/>
  <c r="I41" i="9"/>
  <c r="I40" i="9"/>
  <c r="I39" i="9"/>
  <c r="I38" i="9"/>
  <c r="I33" i="9"/>
  <c r="I32" i="9"/>
  <c r="I31" i="9"/>
  <c r="I30" i="9"/>
  <c r="I25" i="9"/>
  <c r="I24" i="9"/>
  <c r="I23" i="9"/>
  <c r="I16" i="9"/>
  <c r="I15" i="9"/>
  <c r="I14" i="9"/>
  <c r="I10" i="9"/>
  <c r="I9" i="9"/>
  <c r="I8" i="9"/>
  <c r="I7" i="9"/>
  <c r="H42" i="32"/>
  <c r="I26" i="9"/>
  <c r="J41" i="9"/>
  <c r="J40" i="9"/>
  <c r="J39" i="9"/>
  <c r="J38" i="9"/>
  <c r="J33" i="9"/>
  <c r="J32" i="9"/>
  <c r="J31" i="9"/>
  <c r="J30" i="9"/>
  <c r="J25" i="9"/>
  <c r="J24" i="9"/>
  <c r="J23" i="9"/>
  <c r="J16" i="9"/>
  <c r="J15" i="9"/>
  <c r="J14" i="9"/>
  <c r="J10" i="9"/>
  <c r="J9" i="9"/>
  <c r="J8" i="9"/>
  <c r="J7" i="9"/>
  <c r="I42" i="32"/>
  <c r="J26" i="9"/>
  <c r="H41" i="9"/>
  <c r="H40" i="9"/>
  <c r="H39" i="9"/>
  <c r="H38" i="9"/>
  <c r="H33" i="9"/>
  <c r="H32" i="9"/>
  <c r="H31" i="9"/>
  <c r="H30" i="9"/>
  <c r="H25" i="9"/>
  <c r="H24" i="9"/>
  <c r="H23" i="9"/>
  <c r="H16" i="9"/>
  <c r="H15" i="9"/>
  <c r="H14" i="9"/>
  <c r="H10" i="9"/>
  <c r="H9" i="9"/>
  <c r="H8" i="9"/>
  <c r="H7" i="9"/>
  <c r="G42" i="32"/>
  <c r="H26" i="9"/>
  <c r="G41" i="9"/>
  <c r="G40" i="9"/>
  <c r="G39" i="9"/>
  <c r="G38" i="9"/>
  <c r="G33" i="9"/>
  <c r="G32" i="9"/>
  <c r="G31" i="9"/>
  <c r="G30" i="9"/>
  <c r="G25" i="9"/>
  <c r="G24" i="9"/>
  <c r="G23" i="9"/>
  <c r="G16" i="9"/>
  <c r="G15" i="9"/>
  <c r="G14" i="9"/>
  <c r="G10" i="9"/>
  <c r="G9" i="9"/>
  <c r="G8" i="9"/>
  <c r="G7" i="9"/>
  <c r="F42" i="32"/>
  <c r="G26" i="9"/>
  <c r="F41" i="9"/>
  <c r="F40" i="9"/>
  <c r="F39" i="9"/>
  <c r="F38" i="9"/>
  <c r="F33" i="9"/>
  <c r="F32" i="9"/>
  <c r="F31" i="9"/>
  <c r="F30" i="9"/>
  <c r="F25" i="9"/>
  <c r="F24" i="9"/>
  <c r="F23" i="9"/>
  <c r="F16" i="9"/>
  <c r="F15" i="9"/>
  <c r="F14" i="9"/>
  <c r="F10" i="9"/>
  <c r="F9" i="9"/>
  <c r="F8" i="9"/>
  <c r="F7" i="9"/>
  <c r="E42" i="32"/>
  <c r="F26" i="9"/>
  <c r="E40" i="9"/>
  <c r="E41" i="9"/>
  <c r="E39" i="9"/>
  <c r="E38" i="9"/>
  <c r="E33" i="9"/>
  <c r="E32" i="9"/>
  <c r="E31" i="9"/>
  <c r="E30" i="9"/>
  <c r="E25" i="9"/>
  <c r="E24" i="9"/>
  <c r="E23" i="9"/>
  <c r="E16" i="9"/>
  <c r="E15" i="9"/>
  <c r="E14" i="9"/>
  <c r="E10" i="9"/>
  <c r="E9" i="9"/>
  <c r="E8" i="9"/>
  <c r="E7" i="9"/>
  <c r="D42" i="32"/>
  <c r="E26" i="9"/>
  <c r="E27" i="9" s="1"/>
  <c r="D40" i="9"/>
  <c r="D41" i="9"/>
  <c r="D39" i="9"/>
  <c r="D38" i="9"/>
  <c r="D33" i="9"/>
  <c r="D32" i="9"/>
  <c r="D31" i="9"/>
  <c r="D30" i="9"/>
  <c r="D26" i="9"/>
  <c r="D25" i="9"/>
  <c r="D24" i="9"/>
  <c r="D23" i="9"/>
  <c r="D16" i="9"/>
  <c r="D15" i="9"/>
  <c r="D14" i="9"/>
  <c r="D10" i="9"/>
  <c r="D9" i="9"/>
  <c r="D8" i="9"/>
  <c r="D7" i="9"/>
  <c r="C42" i="32"/>
  <c r="H12" i="32"/>
  <c r="H13" i="32"/>
  <c r="H14" i="32"/>
  <c r="H27" i="32"/>
  <c r="H28" i="32"/>
  <c r="H34" i="32"/>
  <c r="H38" i="32"/>
  <c r="H46" i="32"/>
  <c r="H53" i="32"/>
  <c r="H8" i="32"/>
  <c r="H41" i="32"/>
  <c r="H10" i="32"/>
  <c r="H37" i="32"/>
  <c r="H30" i="32"/>
  <c r="H36" i="32"/>
  <c r="H40" i="32"/>
  <c r="H47" i="32"/>
  <c r="H58" i="32"/>
  <c r="H52" i="32"/>
  <c r="H78" i="32" s="1"/>
  <c r="H54" i="32"/>
  <c r="H51" i="32"/>
  <c r="H77" i="32" s="1"/>
  <c r="H39" i="32"/>
  <c r="H35" i="32"/>
  <c r="H29" i="32"/>
  <c r="H11" i="32"/>
  <c r="G10" i="32"/>
  <c r="G52" i="32"/>
  <c r="G41" i="32"/>
  <c r="G38" i="32"/>
  <c r="G27" i="32"/>
  <c r="G11" i="32"/>
  <c r="G54" i="32"/>
  <c r="G47" i="32"/>
  <c r="G39" i="32"/>
  <c r="G34" i="32"/>
  <c r="G29" i="32"/>
  <c r="G14" i="32"/>
  <c r="G35" i="32"/>
  <c r="G53" i="32"/>
  <c r="G46" i="32"/>
  <c r="G37" i="32"/>
  <c r="G30" i="32"/>
  <c r="G12" i="32"/>
  <c r="G58" i="32"/>
  <c r="G51" i="32"/>
  <c r="G40" i="32"/>
  <c r="G36" i="32"/>
  <c r="G28" i="32"/>
  <c r="G13" i="32"/>
  <c r="G8" i="32"/>
  <c r="D8" i="32"/>
  <c r="D36" i="32"/>
  <c r="D46" i="32"/>
  <c r="D38" i="32"/>
  <c r="D34" i="32"/>
  <c r="D58" i="32"/>
  <c r="D54" i="32"/>
  <c r="D47" i="32"/>
  <c r="D39" i="32"/>
  <c r="D35" i="32"/>
  <c r="D28" i="32"/>
  <c r="D12" i="32"/>
  <c r="D29" i="32"/>
  <c r="D51" i="32"/>
  <c r="D77" i="32" s="1"/>
  <c r="D40" i="32"/>
  <c r="D14" i="32"/>
  <c r="D67" i="32" s="1"/>
  <c r="D10" i="32"/>
  <c r="D27" i="32"/>
  <c r="D30" i="32"/>
  <c r="D52" i="32"/>
  <c r="D37" i="32"/>
  <c r="D41" i="32"/>
  <c r="D53" i="32"/>
  <c r="D13" i="32"/>
  <c r="D11" i="32"/>
  <c r="C47" i="32"/>
  <c r="C41" i="32"/>
  <c r="C37" i="32"/>
  <c r="C30" i="32"/>
  <c r="C12" i="32"/>
  <c r="C34" i="32"/>
  <c r="C38" i="32"/>
  <c r="C46" i="32"/>
  <c r="C51" i="32"/>
  <c r="C52" i="32"/>
  <c r="C39" i="32"/>
  <c r="C35" i="32"/>
  <c r="C28" i="32"/>
  <c r="C13" i="32"/>
  <c r="C11" i="32"/>
  <c r="C58" i="32"/>
  <c r="C54" i="32"/>
  <c r="C8" i="32"/>
  <c r="C14" i="32"/>
  <c r="C29" i="32"/>
  <c r="C36" i="32"/>
  <c r="C40" i="32"/>
  <c r="C53" i="32"/>
  <c r="C27" i="32"/>
  <c r="C10" i="32"/>
  <c r="E53" i="32"/>
  <c r="E52" i="32"/>
  <c r="E46" i="32"/>
  <c r="E39" i="32"/>
  <c r="E36" i="32"/>
  <c r="E29" i="32"/>
  <c r="E12" i="32"/>
  <c r="E8" i="32"/>
  <c r="E58" i="32"/>
  <c r="E51" i="32"/>
  <c r="E41" i="32"/>
  <c r="E38" i="32"/>
  <c r="E35" i="32"/>
  <c r="E30" i="32"/>
  <c r="E27" i="32"/>
  <c r="E13" i="32"/>
  <c r="E10" i="32"/>
  <c r="E54" i="32"/>
  <c r="E47" i="32"/>
  <c r="E40" i="32"/>
  <c r="E37" i="32"/>
  <c r="E34" i="32"/>
  <c r="E28" i="32"/>
  <c r="E14" i="32"/>
  <c r="E11" i="32"/>
  <c r="F58" i="32"/>
  <c r="F54" i="32"/>
  <c r="F53" i="32"/>
  <c r="F52" i="32"/>
  <c r="F51" i="32"/>
  <c r="F47" i="32"/>
  <c r="F46" i="32"/>
  <c r="F41" i="32"/>
  <c r="F40" i="32"/>
  <c r="F39" i="32"/>
  <c r="F38" i="32"/>
  <c r="F37" i="32"/>
  <c r="F36" i="32"/>
  <c r="F35" i="32"/>
  <c r="F34" i="32"/>
  <c r="F30" i="32"/>
  <c r="F29" i="32"/>
  <c r="F28" i="32"/>
  <c r="F27" i="32"/>
  <c r="F14" i="32"/>
  <c r="F13" i="32"/>
  <c r="F12" i="32"/>
  <c r="F11" i="32"/>
  <c r="F10" i="32"/>
  <c r="F8" i="32"/>
  <c r="AE32" i="10"/>
  <c r="AE29" i="10"/>
  <c r="K219" i="53"/>
  <c r="K216" i="53"/>
  <c r="K210" i="53"/>
  <c r="K202" i="53"/>
  <c r="K196" i="53"/>
  <c r="K191" i="53"/>
  <c r="K184" i="53"/>
  <c r="K147" i="53"/>
  <c r="K239" i="53"/>
  <c r="K214" i="53"/>
  <c r="K204" i="53"/>
  <c r="K198" i="53"/>
  <c r="K193" i="53"/>
  <c r="K186" i="53"/>
  <c r="K180" i="53"/>
  <c r="K208" i="53"/>
  <c r="K207" i="53"/>
  <c r="K206" i="53"/>
  <c r="K201" i="53"/>
  <c r="K195" i="53"/>
  <c r="K190" i="53"/>
  <c r="K185" i="53"/>
  <c r="K179" i="53"/>
  <c r="K223" i="53"/>
  <c r="K217" i="53"/>
  <c r="K211" i="53"/>
  <c r="K203" i="53"/>
  <c r="K197" i="53"/>
  <c r="K189" i="53"/>
  <c r="K183" i="53"/>
  <c r="K236" i="53"/>
  <c r="K212" i="53"/>
  <c r="K209" i="53"/>
  <c r="K200" i="53"/>
  <c r="K194" i="53"/>
  <c r="K188" i="53"/>
  <c r="K182" i="53"/>
  <c r="K178" i="53"/>
  <c r="K220" i="53"/>
  <c r="K218" i="53"/>
  <c r="K205" i="53"/>
  <c r="K199" i="53"/>
  <c r="K187" i="53"/>
  <c r="K181" i="53"/>
  <c r="K177" i="53"/>
  <c r="D63" i="57"/>
  <c r="D71" i="57"/>
  <c r="D72" i="57"/>
  <c r="D75" i="57"/>
  <c r="D141" i="57"/>
  <c r="D70" i="57"/>
  <c r="I58" i="32"/>
  <c r="I53" i="32"/>
  <c r="I51" i="32"/>
  <c r="I47" i="32"/>
  <c r="I41" i="32"/>
  <c r="I39" i="32"/>
  <c r="I36" i="32"/>
  <c r="I34" i="32"/>
  <c r="I29" i="32"/>
  <c r="I27" i="32"/>
  <c r="I14" i="32"/>
  <c r="I12" i="32"/>
  <c r="I10" i="32"/>
  <c r="I54" i="32"/>
  <c r="I52" i="32"/>
  <c r="I46" i="32"/>
  <c r="I40" i="32"/>
  <c r="I38" i="32"/>
  <c r="I37" i="32"/>
  <c r="I35" i="32"/>
  <c r="I30" i="32"/>
  <c r="I28" i="32"/>
  <c r="I13" i="32"/>
  <c r="I11" i="32"/>
  <c r="I8" i="32"/>
  <c r="AE18" i="10"/>
  <c r="AE20" i="10"/>
  <c r="AE22" i="10"/>
  <c r="AE21" i="10"/>
  <c r="AE10" i="10"/>
  <c r="AF110" i="57"/>
  <c r="AF112" i="57" s="1"/>
  <c r="D140" i="57"/>
  <c r="AF153" i="57"/>
  <c r="AF81" i="57"/>
  <c r="J97" i="57"/>
  <c r="J104" i="57" s="1"/>
  <c r="J112" i="57" s="1"/>
  <c r="X104" i="57"/>
  <c r="X112" i="57" s="1"/>
  <c r="X119" i="57"/>
  <c r="J117" i="57"/>
  <c r="J119" i="57" s="1"/>
  <c r="X35" i="57"/>
  <c r="J33" i="57"/>
  <c r="J35" i="57" s="1"/>
  <c r="J170" i="57"/>
  <c r="J172" i="57" s="1"/>
  <c r="X172" i="57"/>
  <c r="X58" i="57"/>
  <c r="J49" i="57"/>
  <c r="J58" i="57" s="1"/>
  <c r="J138" i="57"/>
  <c r="J153" i="57" s="1"/>
  <c r="X153" i="57"/>
  <c r="W104" i="57"/>
  <c r="W112" i="57" s="1"/>
  <c r="I97" i="57"/>
  <c r="I104" i="57" s="1"/>
  <c r="I112" i="57" s="1"/>
  <c r="W119" i="57"/>
  <c r="I117" i="57"/>
  <c r="I119" i="57" s="1"/>
  <c r="W35" i="57"/>
  <c r="I33" i="57"/>
  <c r="I35" i="57" s="1"/>
  <c r="W172" i="57"/>
  <c r="I170" i="57"/>
  <c r="I172" i="57" s="1"/>
  <c r="W58" i="57"/>
  <c r="I49" i="57"/>
  <c r="I58" i="57" s="1"/>
  <c r="I138" i="57"/>
  <c r="I153" i="57" s="1"/>
  <c r="W153" i="57"/>
  <c r="H97" i="57"/>
  <c r="H104" i="57" s="1"/>
  <c r="H112" i="57" s="1"/>
  <c r="V104" i="57"/>
  <c r="V112" i="57" s="1"/>
  <c r="V119" i="57"/>
  <c r="H117" i="57"/>
  <c r="H119" i="57" s="1"/>
  <c r="V35" i="57"/>
  <c r="H33" i="57"/>
  <c r="H35" i="57" s="1"/>
  <c r="V172" i="57"/>
  <c r="H170" i="57"/>
  <c r="H172" i="57" s="1"/>
  <c r="V58" i="57"/>
  <c r="H49" i="57"/>
  <c r="H58" i="57" s="1"/>
  <c r="H138" i="57"/>
  <c r="V146" i="57"/>
  <c r="G97" i="57"/>
  <c r="G104" i="57" s="1"/>
  <c r="G112" i="57" s="1"/>
  <c r="U104" i="57"/>
  <c r="U112" i="57" s="1"/>
  <c r="U119" i="57"/>
  <c r="G117" i="57"/>
  <c r="G119" i="57" s="1"/>
  <c r="U35" i="57"/>
  <c r="G33" i="57"/>
  <c r="G35" i="57" s="1"/>
  <c r="U172" i="57"/>
  <c r="G170" i="57"/>
  <c r="G172" i="57" s="1"/>
  <c r="U58" i="57"/>
  <c r="G49" i="57"/>
  <c r="G58" i="57" s="1"/>
  <c r="G138" i="57"/>
  <c r="G153" i="57" s="1"/>
  <c r="U153" i="57"/>
  <c r="F138" i="57"/>
  <c r="F153" i="57" s="1"/>
  <c r="T153" i="57"/>
  <c r="T119" i="57"/>
  <c r="F117" i="57"/>
  <c r="F119" i="57" s="1"/>
  <c r="F97" i="57"/>
  <c r="F104" i="57" s="1"/>
  <c r="F112" i="57" s="1"/>
  <c r="T104" i="57"/>
  <c r="T112" i="57" s="1"/>
  <c r="T58" i="57"/>
  <c r="F49" i="57"/>
  <c r="F58" i="57" s="1"/>
  <c r="T172" i="57"/>
  <c r="F170" i="57"/>
  <c r="F172" i="57" s="1"/>
  <c r="T35" i="57"/>
  <c r="F33" i="57"/>
  <c r="F35" i="57" s="1"/>
  <c r="E138" i="57"/>
  <c r="E153" i="57" s="1"/>
  <c r="S153" i="57"/>
  <c r="S119" i="57"/>
  <c r="E117" i="57"/>
  <c r="E119" i="57" s="1"/>
  <c r="E97" i="57"/>
  <c r="E104" i="57" s="1"/>
  <c r="E112" i="57" s="1"/>
  <c r="S104" i="57"/>
  <c r="S112" i="57" s="1"/>
  <c r="E49" i="57"/>
  <c r="E58" i="57" s="1"/>
  <c r="S58" i="57"/>
  <c r="S172" i="57"/>
  <c r="E170" i="57"/>
  <c r="E172" i="57" s="1"/>
  <c r="S35" i="57"/>
  <c r="E33" i="57"/>
  <c r="E35" i="57" s="1"/>
  <c r="S81" i="57"/>
  <c r="E74" i="57"/>
  <c r="E81" i="57" s="1"/>
  <c r="D97" i="57"/>
  <c r="D104" i="57" s="1"/>
  <c r="R104" i="57"/>
  <c r="R119" i="57"/>
  <c r="D117" i="57"/>
  <c r="D119" i="57" s="1"/>
  <c r="R35" i="57"/>
  <c r="D33" i="57"/>
  <c r="D35" i="57" s="1"/>
  <c r="R172" i="57"/>
  <c r="D170" i="57"/>
  <c r="D172" i="57" s="1"/>
  <c r="R58" i="57"/>
  <c r="D49" i="57"/>
  <c r="D58" i="57" s="1"/>
  <c r="R95" i="57"/>
  <c r="D90" i="57"/>
  <c r="D95" i="57" s="1"/>
  <c r="D106" i="57"/>
  <c r="D110" i="57" s="1"/>
  <c r="R110" i="57"/>
  <c r="D61" i="57"/>
  <c r="R153" i="57"/>
  <c r="D138" i="57"/>
  <c r="AE192" i="57"/>
  <c r="AE193" i="57"/>
  <c r="AE106" i="57"/>
  <c r="AE61" i="57"/>
  <c r="AE63" i="57"/>
  <c r="AE67" i="57"/>
  <c r="C67" i="57" s="1"/>
  <c r="AE70" i="57"/>
  <c r="AE71" i="57"/>
  <c r="AE72" i="57"/>
  <c r="AE74" i="57"/>
  <c r="C74" i="57" s="1"/>
  <c r="AE75" i="57"/>
  <c r="AE140" i="57"/>
  <c r="AE141" i="57"/>
  <c r="Q104" i="57"/>
  <c r="C99" i="57"/>
  <c r="C104" i="57" s="1"/>
  <c r="Q138" i="57"/>
  <c r="Q56" i="57"/>
  <c r="C56" i="57" s="1"/>
  <c r="Q73" i="57"/>
  <c r="C73" i="57" s="1"/>
  <c r="Q72" i="57"/>
  <c r="C72" i="57" s="1"/>
  <c r="Q71" i="57"/>
  <c r="Q70" i="57"/>
  <c r="Q66" i="57"/>
  <c r="C66" i="57" s="1"/>
  <c r="Q65" i="57"/>
  <c r="C65" i="57" s="1"/>
  <c r="Q64" i="57"/>
  <c r="C64" i="57" s="1"/>
  <c r="Q63" i="57"/>
  <c r="Q61" i="57"/>
  <c r="Q108" i="57"/>
  <c r="C108" i="57" s="1"/>
  <c r="Q107" i="57"/>
  <c r="C107" i="57" s="1"/>
  <c r="Q106" i="57"/>
  <c r="Q93" i="57"/>
  <c r="C93" i="57" s="1"/>
  <c r="Q92" i="57"/>
  <c r="C92" i="57" s="1"/>
  <c r="Q91" i="57"/>
  <c r="C91" i="57" s="1"/>
  <c r="Q90" i="57"/>
  <c r="Q141" i="57"/>
  <c r="Q140" i="57"/>
  <c r="Q77" i="57"/>
  <c r="C77" i="57" s="1"/>
  <c r="Q76" i="57"/>
  <c r="C76" i="57" s="1"/>
  <c r="Q75" i="57"/>
  <c r="Q170" i="57"/>
  <c r="AE33" i="10"/>
  <c r="AE30" i="10"/>
  <c r="AE28" i="10"/>
  <c r="W17" i="10"/>
  <c r="W24" i="10" s="1"/>
  <c r="X12" i="10"/>
  <c r="W8" i="10"/>
  <c r="W12" i="10" s="1"/>
  <c r="AB27" i="10"/>
  <c r="AA27" i="10" s="1"/>
  <c r="Q180" i="57"/>
  <c r="Q206" i="57"/>
  <c r="Q217" i="57"/>
  <c r="Q214" i="57"/>
  <c r="Q49" i="57"/>
  <c r="C49" i="57" s="1"/>
  <c r="Q54" i="57"/>
  <c r="C54" i="57" s="1"/>
  <c r="Q33" i="57"/>
  <c r="C33" i="57" s="1"/>
  <c r="C35" i="57" s="1"/>
  <c r="Q205" i="57"/>
  <c r="Q208" i="57"/>
  <c r="Q213" i="57"/>
  <c r="Q191" i="57"/>
  <c r="Q192" i="57"/>
  <c r="Q193" i="57"/>
  <c r="AB12" i="10"/>
  <c r="AA8" i="10"/>
  <c r="AA12" i="10" s="1"/>
  <c r="AB24" i="10"/>
  <c r="AF24" i="10"/>
  <c r="AF12" i="10"/>
  <c r="AE8" i="10"/>
  <c r="AE19" i="10"/>
  <c r="AB28" i="10"/>
  <c r="AA28" i="10" s="1"/>
  <c r="AF35" i="10"/>
  <c r="AE9" i="10"/>
  <c r="Y12" i="10"/>
  <c r="Y35" i="10"/>
  <c r="AE17" i="10"/>
  <c r="AG35" i="10"/>
  <c r="K44" i="12"/>
  <c r="S44" i="12" s="1"/>
  <c r="K37" i="12"/>
  <c r="S37" i="12" s="1"/>
  <c r="N53" i="12"/>
  <c r="P53" i="12"/>
  <c r="T53" i="12" s="1"/>
  <c r="Q18" i="10"/>
  <c r="Q10" i="10"/>
  <c r="Q21" i="10"/>
  <c r="Q19" i="10"/>
  <c r="Q33" i="10"/>
  <c r="I33" i="10"/>
  <c r="M33" i="10" s="1"/>
  <c r="I38" i="10"/>
  <c r="M38" i="10" s="1"/>
  <c r="I22" i="10"/>
  <c r="M22" i="10" s="1"/>
  <c r="I44" i="10"/>
  <c r="M44" i="10" s="1"/>
  <c r="I28" i="10"/>
  <c r="M28" i="10" s="1"/>
  <c r="I31" i="10"/>
  <c r="M31" i="10" s="1"/>
  <c r="I21" i="10"/>
  <c r="M21" i="10" s="1"/>
  <c r="I19" i="10"/>
  <c r="M19" i="10" s="1"/>
  <c r="I17" i="10"/>
  <c r="M17" i="10" s="1"/>
  <c r="M24" i="10" s="1"/>
  <c r="I9" i="10"/>
  <c r="M9" i="10" s="1"/>
  <c r="I6" i="10"/>
  <c r="M6" i="10" s="1"/>
  <c r="M50" i="10" s="1"/>
  <c r="I26" i="10"/>
  <c r="M26" i="10" s="1"/>
  <c r="M35" i="10" s="1"/>
  <c r="I30" i="10"/>
  <c r="M30" i="10" s="1"/>
  <c r="I27" i="10"/>
  <c r="M27" i="10" s="1"/>
  <c r="I42" i="10"/>
  <c r="M42" i="10" s="1"/>
  <c r="I10" i="10"/>
  <c r="M10" i="10" s="1"/>
  <c r="I29" i="10"/>
  <c r="M29" i="10" s="1"/>
  <c r="I20" i="10"/>
  <c r="M20" i="10" s="1"/>
  <c r="I32" i="10"/>
  <c r="M32" i="10" s="1"/>
  <c r="I8" i="10"/>
  <c r="I12" i="10" s="1"/>
  <c r="I37" i="10"/>
  <c r="M37" i="10" s="1"/>
  <c r="I18" i="10"/>
  <c r="M18" i="10" s="1"/>
  <c r="Q27" i="10"/>
  <c r="Q17" i="10"/>
  <c r="Q20" i="10"/>
  <c r="Q28" i="10"/>
  <c r="Q42" i="10"/>
  <c r="T42" i="10" s="1"/>
  <c r="S42" i="10" s="1"/>
  <c r="Q8" i="10"/>
  <c r="Q31" i="10"/>
  <c r="Q26" i="10"/>
  <c r="Q32" i="10"/>
  <c r="Q6" i="10"/>
  <c r="AG6" i="10" s="1"/>
  <c r="AG50" i="10" s="1"/>
  <c r="Q38" i="10"/>
  <c r="AG38" i="10" s="1"/>
  <c r="Q9" i="10"/>
  <c r="Q30" i="10"/>
  <c r="Q44" i="10"/>
  <c r="U44" i="10" s="1"/>
  <c r="Q29" i="10"/>
  <c r="Q22" i="10"/>
  <c r="U74" i="57"/>
  <c r="Q37" i="10"/>
  <c r="AF37" i="10" s="1"/>
  <c r="I43" i="10"/>
  <c r="M43" i="10" s="1"/>
  <c r="Q43" i="10"/>
  <c r="AF43" i="10" s="1"/>
  <c r="P18" i="10"/>
  <c r="P6" i="10"/>
  <c r="P50" i="10" s="1"/>
  <c r="P42" i="10"/>
  <c r="AG12" i="10"/>
  <c r="AE31" i="10"/>
  <c r="H33" i="10"/>
  <c r="L33" i="10" s="1"/>
  <c r="K33" i="10" s="1"/>
  <c r="H9" i="10"/>
  <c r="H6" i="10"/>
  <c r="H29" i="10"/>
  <c r="H32" i="10"/>
  <c r="G32" i="10" s="1"/>
  <c r="H21" i="10"/>
  <c r="L21" i="10" s="1"/>
  <c r="K21" i="10" s="1"/>
  <c r="H37" i="10"/>
  <c r="G37" i="10" s="1"/>
  <c r="H8" i="10"/>
  <c r="H43" i="10"/>
  <c r="H18" i="10"/>
  <c r="H26" i="10"/>
  <c r="H22" i="10"/>
  <c r="H44" i="10"/>
  <c r="H27" i="10"/>
  <c r="H19" i="10"/>
  <c r="H20" i="10"/>
  <c r="H31" i="10"/>
  <c r="H30" i="10"/>
  <c r="H42" i="10"/>
  <c r="H28" i="10"/>
  <c r="H38" i="10"/>
  <c r="H10" i="10"/>
  <c r="H17" i="10"/>
  <c r="P9" i="10"/>
  <c r="P10" i="10"/>
  <c r="P38" i="10"/>
  <c r="P22" i="10"/>
  <c r="P8" i="10"/>
  <c r="P27" i="10"/>
  <c r="P37" i="10"/>
  <c r="P31" i="10"/>
  <c r="P29" i="10"/>
  <c r="P19" i="10"/>
  <c r="P44" i="10"/>
  <c r="P20" i="10"/>
  <c r="P17" i="10"/>
  <c r="P30" i="10"/>
  <c r="P28" i="10"/>
  <c r="P21" i="10"/>
  <c r="P32" i="10"/>
  <c r="P33" i="10"/>
  <c r="P43" i="10"/>
  <c r="P26" i="10"/>
  <c r="AB32" i="10" l="1"/>
  <c r="AA32" i="10" s="1"/>
  <c r="W32" i="10"/>
  <c r="I53" i="9"/>
  <c r="F67" i="32"/>
  <c r="C67" i="32"/>
  <c r="H27" i="9"/>
  <c r="C140" i="57"/>
  <c r="C71" i="57"/>
  <c r="C70" i="57"/>
  <c r="C63" i="57"/>
  <c r="G67" i="32"/>
  <c r="E67" i="32"/>
  <c r="I67" i="32"/>
  <c r="H67" i="32"/>
  <c r="J17" i="9"/>
  <c r="W33" i="10"/>
  <c r="AB33" i="10"/>
  <c r="AA33" i="10" s="1"/>
  <c r="W31" i="10"/>
  <c r="AB31" i="10"/>
  <c r="AA31" i="10" s="1"/>
  <c r="W30" i="10"/>
  <c r="AB30" i="10"/>
  <c r="AA30" i="10" s="1"/>
  <c r="W29" i="10"/>
  <c r="AB29" i="10"/>
  <c r="AA29" i="10" s="1"/>
  <c r="AB26" i="10"/>
  <c r="X35" i="10"/>
  <c r="W26" i="10"/>
  <c r="W35" i="10" s="1"/>
  <c r="W22" i="10"/>
  <c r="AB22" i="10"/>
  <c r="AA22" i="10" s="1"/>
  <c r="W21" i="10"/>
  <c r="AB21" i="10"/>
  <c r="AA21" i="10" s="1"/>
  <c r="W19" i="10"/>
  <c r="AB19" i="10"/>
  <c r="AA19" i="10" s="1"/>
  <c r="AB18" i="10"/>
  <c r="AA18" i="10" s="1"/>
  <c r="W18" i="10"/>
  <c r="W20" i="10"/>
  <c r="AB20" i="10"/>
  <c r="AA20" i="10" s="1"/>
  <c r="C52" i="10"/>
  <c r="C47" i="10"/>
  <c r="D78" i="32"/>
  <c r="J53" i="9"/>
  <c r="D68" i="32"/>
  <c r="H70" i="32"/>
  <c r="D71" i="32"/>
  <c r="C71" i="32"/>
  <c r="C68" i="32"/>
  <c r="H68" i="32"/>
  <c r="C70" i="32"/>
  <c r="G70" i="32"/>
  <c r="G71" i="32"/>
  <c r="G68" i="32"/>
  <c r="D70" i="32"/>
  <c r="H71" i="32"/>
  <c r="H69" i="32"/>
  <c r="H72" i="32"/>
  <c r="G72" i="32"/>
  <c r="G69" i="32"/>
  <c r="D72" i="32"/>
  <c r="D69" i="32"/>
  <c r="C69" i="32"/>
  <c r="C72" i="32"/>
  <c r="E68" i="32"/>
  <c r="E70" i="32"/>
  <c r="E71" i="32"/>
  <c r="E72" i="32"/>
  <c r="E69" i="32"/>
  <c r="F70" i="32"/>
  <c r="F71" i="32"/>
  <c r="F68" i="32"/>
  <c r="F69" i="32"/>
  <c r="F72" i="32"/>
  <c r="I70" i="32"/>
  <c r="I68" i="32"/>
  <c r="I71" i="32"/>
  <c r="I69" i="32"/>
  <c r="I72" i="32"/>
  <c r="H64" i="32"/>
  <c r="D65" i="32"/>
  <c r="D63" i="32"/>
  <c r="D64" i="32"/>
  <c r="C63" i="32"/>
  <c r="J34" i="9"/>
  <c r="J11" i="9"/>
  <c r="E17" i="9"/>
  <c r="H11" i="9"/>
  <c r="H53" i="9"/>
  <c r="G53" i="9"/>
  <c r="F42" i="9"/>
  <c r="D54" i="10" s="1"/>
  <c r="I34" i="9"/>
  <c r="G34" i="9"/>
  <c r="E11" i="9"/>
  <c r="E19" i="9" s="1"/>
  <c r="E34" i="9"/>
  <c r="E35" i="9" s="1"/>
  <c r="I11" i="9"/>
  <c r="I27" i="9"/>
  <c r="I17" i="9"/>
  <c r="I42" i="9"/>
  <c r="J42" i="9"/>
  <c r="J27" i="9"/>
  <c r="H34" i="9"/>
  <c r="H17" i="9"/>
  <c r="H42" i="9"/>
  <c r="G11" i="9"/>
  <c r="G17" i="9"/>
  <c r="G42" i="9"/>
  <c r="G27" i="9"/>
  <c r="F11" i="9"/>
  <c r="F34" i="9"/>
  <c r="F17" i="9"/>
  <c r="F53" i="9"/>
  <c r="F27" i="9"/>
  <c r="E53" i="9"/>
  <c r="E42" i="9"/>
  <c r="D42" i="9"/>
  <c r="C6" i="32"/>
  <c r="D53" i="9"/>
  <c r="H63" i="32"/>
  <c r="E77" i="32"/>
  <c r="E64" i="32"/>
  <c r="E63" i="32"/>
  <c r="H65" i="32"/>
  <c r="G63" i="32"/>
  <c r="G78" i="32"/>
  <c r="G64" i="32"/>
  <c r="C65" i="32"/>
  <c r="C78" i="32"/>
  <c r="G77" i="32"/>
  <c r="G65" i="32"/>
  <c r="C77" i="32"/>
  <c r="C64" i="32"/>
  <c r="E78" i="32"/>
  <c r="E65" i="32"/>
  <c r="F78" i="32"/>
  <c r="F63" i="32"/>
  <c r="F64" i="32"/>
  <c r="F77" i="32"/>
  <c r="F65" i="32"/>
  <c r="I64" i="32"/>
  <c r="I63" i="32"/>
  <c r="I65" i="32"/>
  <c r="I77" i="32"/>
  <c r="I78" i="32"/>
  <c r="C75" i="57"/>
  <c r="D153" i="57"/>
  <c r="X74" i="57"/>
  <c r="W74" i="57"/>
  <c r="H146" i="57"/>
  <c r="H153" i="57" s="1"/>
  <c r="V153" i="57"/>
  <c r="V74" i="57"/>
  <c r="U81" i="57"/>
  <c r="G74" i="57"/>
  <c r="G81" i="57" s="1"/>
  <c r="T74" i="57"/>
  <c r="R112" i="57"/>
  <c r="D112" i="57"/>
  <c r="R74" i="57"/>
  <c r="AE110" i="57"/>
  <c r="AE112" i="57" s="1"/>
  <c r="AE81" i="57"/>
  <c r="AE153" i="57"/>
  <c r="C141" i="57"/>
  <c r="AE191" i="57"/>
  <c r="AE195" i="57" s="1"/>
  <c r="C138" i="57"/>
  <c r="C153" i="57" s="1"/>
  <c r="Q153" i="57"/>
  <c r="Q81" i="57"/>
  <c r="C61" i="57"/>
  <c r="C81" i="57" s="1"/>
  <c r="C106" i="57"/>
  <c r="C110" i="57" s="1"/>
  <c r="Q110" i="57"/>
  <c r="Q95" i="57"/>
  <c r="Q112" i="57" s="1"/>
  <c r="C90" i="57"/>
  <c r="C95" i="57" s="1"/>
  <c r="C112" i="57" s="1"/>
  <c r="Q172" i="57"/>
  <c r="C170" i="57"/>
  <c r="C172" i="57" s="1"/>
  <c r="AE24" i="10"/>
  <c r="C58" i="57"/>
  <c r="AE35" i="10"/>
  <c r="AE12" i="10"/>
  <c r="F180" i="57"/>
  <c r="F188" i="57" s="1"/>
  <c r="G180" i="57"/>
  <c r="G188" i="57" s="1"/>
  <c r="J180" i="57"/>
  <c r="J188" i="57" s="1"/>
  <c r="Q188" i="57"/>
  <c r="C180" i="57"/>
  <c r="H180" i="57"/>
  <c r="H188" i="57" s="1"/>
  <c r="E180" i="57"/>
  <c r="E188" i="57" s="1"/>
  <c r="N180" i="57"/>
  <c r="N188" i="57" s="1"/>
  <c r="D180" i="57"/>
  <c r="D188" i="57" s="1"/>
  <c r="M180" i="57"/>
  <c r="M188" i="57" s="1"/>
  <c r="L180" i="57"/>
  <c r="L188" i="57" s="1"/>
  <c r="K180" i="57"/>
  <c r="K188" i="57" s="1"/>
  <c r="I180" i="57"/>
  <c r="I188" i="57" s="1"/>
  <c r="Q58" i="57"/>
  <c r="Q219" i="57"/>
  <c r="Q35" i="57"/>
  <c r="Q202" i="57"/>
  <c r="O33" i="10"/>
  <c r="Q195" i="57"/>
  <c r="I35" i="10"/>
  <c r="I59" i="10" s="1"/>
  <c r="O8" i="10"/>
  <c r="O27" i="10"/>
  <c r="O10" i="10"/>
  <c r="AG14" i="10"/>
  <c r="AG51" i="10" s="1"/>
  <c r="O18" i="10"/>
  <c r="Q50" i="10"/>
  <c r="T6" i="10"/>
  <c r="T60" i="10" s="1"/>
  <c r="O19" i="10"/>
  <c r="AF6" i="10"/>
  <c r="AE6" i="10" s="1"/>
  <c r="O29" i="10"/>
  <c r="I56" i="10"/>
  <c r="U6" i="10"/>
  <c r="U50" i="10" s="1"/>
  <c r="M60" i="10"/>
  <c r="O43" i="10"/>
  <c r="O42" i="10"/>
  <c r="AG42" i="10"/>
  <c r="AF42" i="10"/>
  <c r="X42" i="10"/>
  <c r="AB42" i="10" s="1"/>
  <c r="AA42" i="10" s="1"/>
  <c r="U42" i="10"/>
  <c r="Y42" i="10" s="1"/>
  <c r="AC42" i="10" s="1"/>
  <c r="I60" i="10"/>
  <c r="I50" i="10"/>
  <c r="M8" i="10"/>
  <c r="M12" i="10" s="1"/>
  <c r="M56" i="10" s="1"/>
  <c r="I14" i="10"/>
  <c r="I51" i="10" s="1"/>
  <c r="O30" i="10"/>
  <c r="O20" i="10"/>
  <c r="O21" i="10"/>
  <c r="O44" i="10"/>
  <c r="AF44" i="10"/>
  <c r="AG37" i="10"/>
  <c r="AE37" i="10" s="1"/>
  <c r="O31" i="10"/>
  <c r="AG44" i="10"/>
  <c r="U37" i="10"/>
  <c r="Y37" i="10" s="1"/>
  <c r="AC37" i="10" s="1"/>
  <c r="O37" i="10"/>
  <c r="Y44" i="10"/>
  <c r="AC44" i="10" s="1"/>
  <c r="T44" i="10"/>
  <c r="S44" i="10" s="1"/>
  <c r="O38" i="10"/>
  <c r="Q12" i="10"/>
  <c r="Q14" i="10" s="1"/>
  <c r="Q15" i="10" s="1"/>
  <c r="O22" i="10"/>
  <c r="O32" i="10"/>
  <c r="O9" i="10"/>
  <c r="M58" i="10"/>
  <c r="Q35" i="10"/>
  <c r="Q24" i="10"/>
  <c r="M61" i="10"/>
  <c r="M59" i="10"/>
  <c r="I24" i="10"/>
  <c r="I58" i="10" s="1"/>
  <c r="I61" i="10"/>
  <c r="D53" i="12"/>
  <c r="O28" i="10"/>
  <c r="AF38" i="10"/>
  <c r="AE38" i="10" s="1"/>
  <c r="U38" i="10"/>
  <c r="Y38" i="10" s="1"/>
  <c r="AC38" i="10" s="1"/>
  <c r="T38" i="10"/>
  <c r="O6" i="10"/>
  <c r="O50" i="10" s="1"/>
  <c r="T43" i="10"/>
  <c r="S43" i="10" s="1"/>
  <c r="T37" i="10"/>
  <c r="S37" i="10" s="1"/>
  <c r="U43" i="10"/>
  <c r="Y43" i="10" s="1"/>
  <c r="AC43" i="10" s="1"/>
  <c r="AG43" i="10"/>
  <c r="AE43" i="10" s="1"/>
  <c r="J22" i="12"/>
  <c r="J29" i="12"/>
  <c r="J19" i="12"/>
  <c r="J13" i="12"/>
  <c r="J9" i="12"/>
  <c r="G21" i="10"/>
  <c r="G33" i="10"/>
  <c r="L37" i="10"/>
  <c r="K37" i="10" s="1"/>
  <c r="J24" i="12"/>
  <c r="J21" i="12"/>
  <c r="J12" i="12"/>
  <c r="G29" i="10"/>
  <c r="L29" i="10"/>
  <c r="K29" i="10" s="1"/>
  <c r="H50" i="10"/>
  <c r="G6" i="10"/>
  <c r="G50" i="10" s="1"/>
  <c r="L6" i="10"/>
  <c r="L32" i="10"/>
  <c r="K32" i="10" s="1"/>
  <c r="G9" i="10"/>
  <c r="L9" i="10"/>
  <c r="K9" i="10" s="1"/>
  <c r="G22" i="10"/>
  <c r="L22" i="10"/>
  <c r="K22" i="10" s="1"/>
  <c r="L30" i="10"/>
  <c r="K30" i="10" s="1"/>
  <c r="G30" i="10"/>
  <c r="G18" i="10"/>
  <c r="L18" i="10"/>
  <c r="K18" i="10" s="1"/>
  <c r="L10" i="10"/>
  <c r="K10" i="10" s="1"/>
  <c r="G10" i="10"/>
  <c r="G28" i="10"/>
  <c r="L28" i="10"/>
  <c r="K28" i="10" s="1"/>
  <c r="L20" i="10"/>
  <c r="K20" i="10" s="1"/>
  <c r="G20" i="10"/>
  <c r="G44" i="10"/>
  <c r="L44" i="10"/>
  <c r="K44" i="10" s="1"/>
  <c r="G42" i="10"/>
  <c r="H60" i="10"/>
  <c r="L42" i="10"/>
  <c r="G26" i="10"/>
  <c r="G35" i="10" s="1"/>
  <c r="H35" i="10"/>
  <c r="H59" i="10" s="1"/>
  <c r="L26" i="10"/>
  <c r="G31" i="10"/>
  <c r="L31" i="10"/>
  <c r="K31" i="10" s="1"/>
  <c r="G19" i="10"/>
  <c r="L19" i="10"/>
  <c r="K19" i="10" s="1"/>
  <c r="L43" i="10"/>
  <c r="G43" i="10"/>
  <c r="H61" i="10"/>
  <c r="G27" i="10"/>
  <c r="L27" i="10"/>
  <c r="K27" i="10" s="1"/>
  <c r="G8" i="10"/>
  <c r="G12" i="10" s="1"/>
  <c r="H12" i="10"/>
  <c r="L8" i="10"/>
  <c r="L38" i="10"/>
  <c r="K38" i="10" s="1"/>
  <c r="G38" i="10"/>
  <c r="G17" i="10"/>
  <c r="G24" i="10" s="1"/>
  <c r="L17" i="10"/>
  <c r="H24" i="10"/>
  <c r="H58" i="10" s="1"/>
  <c r="O17" i="10"/>
  <c r="P24" i="10"/>
  <c r="P12" i="10"/>
  <c r="P14" i="10" s="1"/>
  <c r="P51" i="10" s="1"/>
  <c r="P35" i="10"/>
  <c r="O26" i="10"/>
  <c r="J20" i="12"/>
  <c r="H35" i="9" l="1"/>
  <c r="H50" i="9" s="1"/>
  <c r="H19" i="9"/>
  <c r="H44" i="9"/>
  <c r="H46" i="9" s="1"/>
  <c r="H49" i="9"/>
  <c r="H48" i="9"/>
  <c r="J19" i="9"/>
  <c r="AB35" i="10"/>
  <c r="AA26" i="10"/>
  <c r="AA35" i="10" s="1"/>
  <c r="I19" i="9"/>
  <c r="E44" i="9"/>
  <c r="E46" i="9" s="1"/>
  <c r="G19" i="9"/>
  <c r="F19" i="9"/>
  <c r="I35" i="9"/>
  <c r="I50" i="9" s="1"/>
  <c r="I44" i="9"/>
  <c r="I49" i="9"/>
  <c r="I48" i="9"/>
  <c r="J35" i="9"/>
  <c r="J50" i="9" s="1"/>
  <c r="J44" i="9"/>
  <c r="J49" i="9"/>
  <c r="J48" i="9"/>
  <c r="G35" i="9"/>
  <c r="G50" i="9" s="1"/>
  <c r="G44" i="9"/>
  <c r="G48" i="9"/>
  <c r="G49" i="9"/>
  <c r="F35" i="9"/>
  <c r="F50" i="9" s="1"/>
  <c r="F44" i="9"/>
  <c r="F49" i="9"/>
  <c r="F48" i="9"/>
  <c r="B29" i="12"/>
  <c r="B21" i="12"/>
  <c r="B13" i="12"/>
  <c r="B12" i="12"/>
  <c r="B22" i="12"/>
  <c r="D34" i="9"/>
  <c r="B19" i="12"/>
  <c r="D17" i="9"/>
  <c r="D27" i="9"/>
  <c r="X81" i="57"/>
  <c r="J74" i="57"/>
  <c r="J81" i="57" s="1"/>
  <c r="W81" i="57"/>
  <c r="I74" i="57"/>
  <c r="I81" i="57" s="1"/>
  <c r="V81" i="57"/>
  <c r="H74" i="57"/>
  <c r="H81" i="57" s="1"/>
  <c r="F74" i="57"/>
  <c r="F81" i="57" s="1"/>
  <c r="T81" i="57"/>
  <c r="R81" i="57"/>
  <c r="D74" i="57"/>
  <c r="D81" i="57" s="1"/>
  <c r="D22" i="12"/>
  <c r="AE14" i="10"/>
  <c r="E22" i="12"/>
  <c r="D29" i="12"/>
  <c r="C188" i="57"/>
  <c r="S6" i="10"/>
  <c r="S60" i="10" s="1"/>
  <c r="C53" i="12"/>
  <c r="AG15" i="10"/>
  <c r="C12" i="12"/>
  <c r="U56" i="10"/>
  <c r="H19" i="12"/>
  <c r="U59" i="10"/>
  <c r="E9" i="12"/>
  <c r="Y6" i="10"/>
  <c r="AC6" i="10" s="1"/>
  <c r="AC61" i="10" s="1"/>
  <c r="AF50" i="10"/>
  <c r="G19" i="12"/>
  <c r="D9" i="12"/>
  <c r="D37" i="12" s="1"/>
  <c r="C29" i="12"/>
  <c r="C24" i="12"/>
  <c r="C21" i="12"/>
  <c r="AF14" i="10"/>
  <c r="AF51" i="10" s="1"/>
  <c r="X6" i="10"/>
  <c r="X60" i="10" s="1"/>
  <c r="AE50" i="10"/>
  <c r="T14" i="10"/>
  <c r="T56" i="10"/>
  <c r="T50" i="10"/>
  <c r="T59" i="10"/>
  <c r="T58" i="10"/>
  <c r="U58" i="10"/>
  <c r="U14" i="10"/>
  <c r="U57" i="10" s="1"/>
  <c r="O12" i="10"/>
  <c r="O14" i="10" s="1"/>
  <c r="O51" i="10" s="1"/>
  <c r="AE44" i="10"/>
  <c r="H13" i="12"/>
  <c r="G13" i="12"/>
  <c r="G12" i="12"/>
  <c r="I57" i="10"/>
  <c r="I15" i="10"/>
  <c r="D19" i="12"/>
  <c r="X44" i="10"/>
  <c r="W44" i="10" s="1"/>
  <c r="AE42" i="10"/>
  <c r="W42" i="10"/>
  <c r="U60" i="10"/>
  <c r="AG40" i="10"/>
  <c r="AG53" i="10" s="1"/>
  <c r="H12" i="12"/>
  <c r="E53" i="12"/>
  <c r="Q53" i="12" s="1"/>
  <c r="C13" i="12"/>
  <c r="E54" i="10"/>
  <c r="B24" i="12"/>
  <c r="D24" i="12"/>
  <c r="E20" i="12"/>
  <c r="G24" i="12"/>
  <c r="F29" i="12"/>
  <c r="G21" i="12"/>
  <c r="F19" i="12"/>
  <c r="F24" i="12"/>
  <c r="M14" i="10"/>
  <c r="M15" i="10" s="1"/>
  <c r="O24" i="10"/>
  <c r="X37" i="10"/>
  <c r="W37" i="10" s="1"/>
  <c r="T61" i="10"/>
  <c r="O35" i="10"/>
  <c r="C19" i="12"/>
  <c r="X43" i="10"/>
  <c r="AB43" i="10" s="1"/>
  <c r="AA43" i="10" s="1"/>
  <c r="G9" i="12"/>
  <c r="G37" i="12" s="1"/>
  <c r="H24" i="12"/>
  <c r="H21" i="12"/>
  <c r="F21" i="12"/>
  <c r="F12" i="12"/>
  <c r="F13" i="12"/>
  <c r="E24" i="12"/>
  <c r="E19" i="12"/>
  <c r="E29" i="12"/>
  <c r="C22" i="12"/>
  <c r="H9" i="12"/>
  <c r="H37" i="12" s="1"/>
  <c r="I40" i="10"/>
  <c r="I46" i="10" s="1"/>
  <c r="Q51" i="10"/>
  <c r="F22" i="12"/>
  <c r="F9" i="12"/>
  <c r="E21" i="12"/>
  <c r="C9" i="12"/>
  <c r="H22" i="12"/>
  <c r="E12" i="12"/>
  <c r="G29" i="12"/>
  <c r="D12" i="12"/>
  <c r="Q40" i="10"/>
  <c r="Q53" i="10" s="1"/>
  <c r="H29" i="12"/>
  <c r="C54" i="10"/>
  <c r="G22" i="12"/>
  <c r="D13" i="12"/>
  <c r="E13" i="12"/>
  <c r="B11" i="12"/>
  <c r="B18" i="12" s="1"/>
  <c r="J37" i="12"/>
  <c r="S38" i="10"/>
  <c r="X38" i="10"/>
  <c r="W38" i="10" s="1"/>
  <c r="U61" i="10"/>
  <c r="J53" i="12"/>
  <c r="J44" i="12"/>
  <c r="C11" i="12"/>
  <c r="I19" i="12"/>
  <c r="I9" i="12"/>
  <c r="I12" i="12"/>
  <c r="I29" i="12"/>
  <c r="I13" i="12"/>
  <c r="I22" i="12"/>
  <c r="C32" i="32"/>
  <c r="C75" i="32" s="1"/>
  <c r="I21" i="12"/>
  <c r="I24" i="12"/>
  <c r="I53" i="12"/>
  <c r="H20" i="12"/>
  <c r="H53" i="12"/>
  <c r="R53" i="12" s="1"/>
  <c r="G20" i="12"/>
  <c r="G53" i="12"/>
  <c r="G60" i="10"/>
  <c r="L50" i="10"/>
  <c r="K6" i="10"/>
  <c r="K50" i="10" s="1"/>
  <c r="G58" i="10"/>
  <c r="G61" i="10"/>
  <c r="G59" i="10"/>
  <c r="F53" i="12"/>
  <c r="L12" i="10"/>
  <c r="K8" i="10"/>
  <c r="K12" i="10" s="1"/>
  <c r="L24" i="10"/>
  <c r="L58" i="10" s="1"/>
  <c r="K17" i="10"/>
  <c r="K24" i="10" s="1"/>
  <c r="H56" i="10"/>
  <c r="H14" i="10"/>
  <c r="K42" i="10"/>
  <c r="L60" i="10"/>
  <c r="G56" i="10"/>
  <c r="G14" i="10"/>
  <c r="L35" i="10"/>
  <c r="L59" i="10" s="1"/>
  <c r="K26" i="10"/>
  <c r="K35" i="10" s="1"/>
  <c r="F20" i="12"/>
  <c r="L61" i="10"/>
  <c r="K43" i="10"/>
  <c r="D21" i="12"/>
  <c r="D20" i="12"/>
  <c r="P15" i="10"/>
  <c r="P40" i="10"/>
  <c r="P46" i="10" s="1"/>
  <c r="C22" i="32"/>
  <c r="B14" i="12"/>
  <c r="C20" i="12"/>
  <c r="B20" i="12"/>
  <c r="B44" i="12"/>
  <c r="B9" i="12"/>
  <c r="C44" i="32"/>
  <c r="B8" i="12"/>
  <c r="I20" i="12"/>
  <c r="I46" i="9" l="1"/>
  <c r="J46" i="9"/>
  <c r="G46" i="9"/>
  <c r="F46" i="9"/>
  <c r="C62" i="32"/>
  <c r="D55" i="9"/>
  <c r="D54" i="9"/>
  <c r="D44" i="9"/>
  <c r="D11" i="9"/>
  <c r="D35" i="9"/>
  <c r="D50" i="9" s="1"/>
  <c r="C76" i="32"/>
  <c r="C82" i="32"/>
  <c r="C18" i="12"/>
  <c r="P29" i="12"/>
  <c r="P22" i="12"/>
  <c r="AE40" i="10"/>
  <c r="AE51" i="10"/>
  <c r="AE15" i="10"/>
  <c r="T57" i="10"/>
  <c r="T15" i="10"/>
  <c r="S14" i="10"/>
  <c r="S50" i="10"/>
  <c r="S58" i="10"/>
  <c r="G44" i="12"/>
  <c r="S59" i="10"/>
  <c r="S56" i="10"/>
  <c r="S61" i="10"/>
  <c r="H44" i="12"/>
  <c r="AC56" i="10"/>
  <c r="AC58" i="10"/>
  <c r="Y58" i="10"/>
  <c r="AC60" i="10"/>
  <c r="Y59" i="10"/>
  <c r="Y56" i="10"/>
  <c r="Y14" i="10"/>
  <c r="AC50" i="10"/>
  <c r="Y50" i="10"/>
  <c r="AC14" i="10"/>
  <c r="Y60" i="10"/>
  <c r="AC59" i="10"/>
  <c r="Y61" i="10"/>
  <c r="U51" i="10"/>
  <c r="X58" i="10"/>
  <c r="U15" i="10"/>
  <c r="U40" i="10"/>
  <c r="U53" i="10" s="1"/>
  <c r="T40" i="10"/>
  <c r="T53" i="10" s="1"/>
  <c r="P12" i="12"/>
  <c r="T51" i="10"/>
  <c r="M51" i="10"/>
  <c r="D44" i="12"/>
  <c r="AF15" i="10"/>
  <c r="AF40" i="10"/>
  <c r="AF46" i="10" s="1"/>
  <c r="M40" i="10"/>
  <c r="M46" i="10" s="1"/>
  <c r="M57" i="10"/>
  <c r="X56" i="10"/>
  <c r="X14" i="10"/>
  <c r="AB6" i="10"/>
  <c r="AB14" i="10" s="1"/>
  <c r="AB57" i="10" s="1"/>
  <c r="X50" i="10"/>
  <c r="W6" i="10"/>
  <c r="W60" i="10" s="1"/>
  <c r="X59" i="10"/>
  <c r="P21" i="12"/>
  <c r="P19" i="12"/>
  <c r="C44" i="12"/>
  <c r="AB44" i="10"/>
  <c r="AA44" i="10" s="1"/>
  <c r="AG46" i="10"/>
  <c r="AG54" i="10" s="1"/>
  <c r="O15" i="10"/>
  <c r="I53" i="10"/>
  <c r="AB37" i="10"/>
  <c r="AA37" i="10" s="1"/>
  <c r="X61" i="10"/>
  <c r="Q46" i="10"/>
  <c r="Q54" i="10" s="1"/>
  <c r="P24" i="12"/>
  <c r="P13" i="12"/>
  <c r="Q19" i="12"/>
  <c r="N24" i="12"/>
  <c r="Q21" i="12"/>
  <c r="Q12" i="12"/>
  <c r="Q24" i="12"/>
  <c r="N19" i="12"/>
  <c r="E44" i="12"/>
  <c r="W43" i="10"/>
  <c r="R21" i="12"/>
  <c r="N29" i="12"/>
  <c r="R9" i="12"/>
  <c r="N22" i="12"/>
  <c r="Q13" i="12"/>
  <c r="F44" i="12"/>
  <c r="Q29" i="12"/>
  <c r="F37" i="12"/>
  <c r="Q22" i="12"/>
  <c r="N12" i="12"/>
  <c r="O40" i="10"/>
  <c r="O53" i="10" s="1"/>
  <c r="N13" i="12"/>
  <c r="P20" i="12"/>
  <c r="Q20" i="12"/>
  <c r="R20" i="12"/>
  <c r="R19" i="12"/>
  <c r="R22" i="12"/>
  <c r="R24" i="12"/>
  <c r="R29" i="12"/>
  <c r="R12" i="12"/>
  <c r="E37" i="12"/>
  <c r="Q9" i="12"/>
  <c r="B37" i="12"/>
  <c r="P9" i="12"/>
  <c r="B36" i="12"/>
  <c r="R13" i="12"/>
  <c r="AB38" i="10"/>
  <c r="AA38" i="10" s="1"/>
  <c r="D7" i="32"/>
  <c r="P53" i="10"/>
  <c r="K60" i="10"/>
  <c r="D11" i="12"/>
  <c r="D18" i="12" s="1"/>
  <c r="I37" i="12"/>
  <c r="R37" i="12" s="1"/>
  <c r="I44" i="12"/>
  <c r="D32" i="32"/>
  <c r="D75" i="32" s="1"/>
  <c r="C24" i="32"/>
  <c r="C74" i="32" s="1"/>
  <c r="C83" i="32"/>
  <c r="C84" i="32" s="1"/>
  <c r="C85" i="32" s="1"/>
  <c r="B47" i="12"/>
  <c r="N21" i="12"/>
  <c r="I54" i="10"/>
  <c r="I52" i="10"/>
  <c r="I47" i="10"/>
  <c r="K59" i="10"/>
  <c r="K61" i="10"/>
  <c r="K58" i="10"/>
  <c r="N9" i="12"/>
  <c r="K56" i="10"/>
  <c r="K14" i="10"/>
  <c r="H51" i="10"/>
  <c r="H15" i="10"/>
  <c r="H40" i="10"/>
  <c r="H57" i="10"/>
  <c r="G40" i="10"/>
  <c r="G15" i="10"/>
  <c r="G51" i="10"/>
  <c r="G57" i="10"/>
  <c r="L56" i="10"/>
  <c r="L14" i="10"/>
  <c r="D44" i="32"/>
  <c r="D76" i="32" s="1"/>
  <c r="N20" i="12"/>
  <c r="C37" i="12"/>
  <c r="C14" i="12"/>
  <c r="C47" i="12" s="1"/>
  <c r="C8" i="12"/>
  <c r="C36" i="12" s="1"/>
  <c r="D22" i="32"/>
  <c r="E50" i="9"/>
  <c r="E49" i="9"/>
  <c r="P54" i="10"/>
  <c r="P52" i="10"/>
  <c r="E48" i="9"/>
  <c r="E54" i="9" l="1"/>
  <c r="E55" i="9"/>
  <c r="D56" i="9"/>
  <c r="D19" i="9"/>
  <c r="D46" i="9" s="1"/>
  <c r="D48" i="9"/>
  <c r="D49" i="9"/>
  <c r="C86" i="32"/>
  <c r="C87" i="32" s="1"/>
  <c r="D83" i="32"/>
  <c r="D84" i="32" s="1"/>
  <c r="D85" i="32" s="1"/>
  <c r="D62" i="32"/>
  <c r="AE53" i="10"/>
  <c r="AE46" i="10"/>
  <c r="S51" i="10"/>
  <c r="S40" i="10"/>
  <c r="S15" i="10"/>
  <c r="S57" i="10"/>
  <c r="Y57" i="10"/>
  <c r="Y40" i="10"/>
  <c r="Y51" i="10"/>
  <c r="Y15" i="10"/>
  <c r="AC40" i="10"/>
  <c r="AC57" i="10"/>
  <c r="AC51" i="10"/>
  <c r="X40" i="10"/>
  <c r="X51" i="10"/>
  <c r="AC15" i="10"/>
  <c r="U46" i="10"/>
  <c r="AF53" i="10"/>
  <c r="T46" i="10"/>
  <c r="T52" i="10" s="1"/>
  <c r="AB61" i="10"/>
  <c r="AB51" i="10"/>
  <c r="AB15" i="10"/>
  <c r="AA6" i="10"/>
  <c r="AB56" i="10"/>
  <c r="AB50" i="10"/>
  <c r="AB59" i="10"/>
  <c r="W56" i="10"/>
  <c r="M53" i="10"/>
  <c r="W58" i="10"/>
  <c r="W14" i="10"/>
  <c r="W15" i="10" s="1"/>
  <c r="W50" i="10"/>
  <c r="W61" i="10"/>
  <c r="W59" i="10"/>
  <c r="C49" i="12"/>
  <c r="AB60" i="10"/>
  <c r="X15" i="10"/>
  <c r="AB58" i="10"/>
  <c r="P44" i="12"/>
  <c r="X57" i="10"/>
  <c r="O46" i="10"/>
  <c r="O47" i="10" s="1"/>
  <c r="P18" i="12"/>
  <c r="Q52" i="10"/>
  <c r="AG52" i="10"/>
  <c r="T19" i="12"/>
  <c r="T24" i="12"/>
  <c r="Q44" i="12"/>
  <c r="T22" i="12"/>
  <c r="T12" i="12"/>
  <c r="T21" i="12"/>
  <c r="Q37" i="12"/>
  <c r="T13" i="12"/>
  <c r="N44" i="12"/>
  <c r="T29" i="12"/>
  <c r="E11" i="12"/>
  <c r="AB40" i="10"/>
  <c r="AB53" i="10" s="1"/>
  <c r="B40" i="12"/>
  <c r="T20" i="12"/>
  <c r="R44" i="12"/>
  <c r="T9" i="12"/>
  <c r="P11" i="12"/>
  <c r="B49" i="12"/>
  <c r="P37" i="12"/>
  <c r="E7" i="32"/>
  <c r="N37" i="12"/>
  <c r="C25" i="32"/>
  <c r="D82" i="32"/>
  <c r="AF54" i="10"/>
  <c r="AF52" i="10"/>
  <c r="C40" i="12"/>
  <c r="M52" i="10"/>
  <c r="M47" i="10"/>
  <c r="M54" i="10"/>
  <c r="E32" i="32"/>
  <c r="E75" i="32" s="1"/>
  <c r="C49" i="32"/>
  <c r="H53" i="10"/>
  <c r="H46" i="10"/>
  <c r="K40" i="10"/>
  <c r="K57" i="10"/>
  <c r="K15" i="10"/>
  <c r="K51" i="10"/>
  <c r="E44" i="32"/>
  <c r="E76" i="32" s="1"/>
  <c r="L15" i="10"/>
  <c r="L51" i="10"/>
  <c r="L40" i="10"/>
  <c r="L57" i="10"/>
  <c r="G46" i="10"/>
  <c r="G53" i="10"/>
  <c r="D8" i="12"/>
  <c r="D36" i="12" s="1"/>
  <c r="P36" i="12" s="1"/>
  <c r="D24" i="32"/>
  <c r="D74" i="32" s="1"/>
  <c r="E22" i="32"/>
  <c r="D14" i="12"/>
  <c r="P14" i="12" s="1"/>
  <c r="F54" i="9" l="1"/>
  <c r="F55" i="9"/>
  <c r="E56" i="9"/>
  <c r="D86" i="32"/>
  <c r="D87" i="32" s="1"/>
  <c r="C56" i="32"/>
  <c r="C79" i="32"/>
  <c r="E83" i="32"/>
  <c r="E84" i="32" s="1"/>
  <c r="E85" i="32" s="1"/>
  <c r="E62" i="32"/>
  <c r="AE47" i="10"/>
  <c r="AE54" i="10"/>
  <c r="AE52" i="10"/>
  <c r="AC53" i="10"/>
  <c r="AC46" i="10"/>
  <c r="X46" i="10"/>
  <c r="X53" i="10"/>
  <c r="S53" i="10"/>
  <c r="S46" i="10"/>
  <c r="Y53" i="10"/>
  <c r="Y46" i="10"/>
  <c r="U47" i="10"/>
  <c r="U52" i="10"/>
  <c r="U54" i="10"/>
  <c r="AA14" i="10"/>
  <c r="AA50" i="10"/>
  <c r="AA59" i="10"/>
  <c r="AA58" i="10"/>
  <c r="AA61" i="10"/>
  <c r="AA60" i="10"/>
  <c r="AA56" i="10"/>
  <c r="T47" i="10"/>
  <c r="T54" i="10"/>
  <c r="W57" i="10"/>
  <c r="W51" i="10"/>
  <c r="W40" i="10"/>
  <c r="W53" i="10" s="1"/>
  <c r="O52" i="10"/>
  <c r="O54" i="10"/>
  <c r="AB46" i="10"/>
  <c r="T44" i="12"/>
  <c r="F14" i="12"/>
  <c r="F47" i="12" s="1"/>
  <c r="F49" i="12" s="1"/>
  <c r="T37" i="12"/>
  <c r="F7" i="32"/>
  <c r="P40" i="12"/>
  <c r="P8" i="12"/>
  <c r="E18" i="12"/>
  <c r="E82" i="32"/>
  <c r="F32" i="32"/>
  <c r="F75" i="32" s="1"/>
  <c r="F44" i="32"/>
  <c r="F76" i="32" s="1"/>
  <c r="G54" i="10"/>
  <c r="G47" i="10"/>
  <c r="G52" i="10"/>
  <c r="H54" i="10"/>
  <c r="H52" i="10"/>
  <c r="H47" i="10"/>
  <c r="K53" i="10"/>
  <c r="K46" i="10"/>
  <c r="L53" i="10"/>
  <c r="L46" i="10"/>
  <c r="B6" i="12"/>
  <c r="N6" i="12" s="1"/>
  <c r="D25" i="32"/>
  <c r="F22" i="32"/>
  <c r="D40" i="12"/>
  <c r="E8" i="12"/>
  <c r="D47" i="12"/>
  <c r="P47" i="12" s="1"/>
  <c r="P49" i="12" s="1"/>
  <c r="E24" i="32"/>
  <c r="E74" i="32" s="1"/>
  <c r="E14" i="12"/>
  <c r="G54" i="9" l="1"/>
  <c r="G55" i="9"/>
  <c r="F56" i="9"/>
  <c r="C80" i="32"/>
  <c r="C59" i="32"/>
  <c r="F83" i="32"/>
  <c r="F84" i="32" s="1"/>
  <c r="F85" i="32" s="1"/>
  <c r="F62" i="32"/>
  <c r="G7" i="32"/>
  <c r="AB47" i="10"/>
  <c r="AC54" i="10"/>
  <c r="AC52" i="10"/>
  <c r="X54" i="10"/>
  <c r="X52" i="10"/>
  <c r="X47" i="10"/>
  <c r="AA15" i="10"/>
  <c r="AA57" i="10"/>
  <c r="AA51" i="10"/>
  <c r="AA40" i="10"/>
  <c r="S54" i="10"/>
  <c r="S47" i="10"/>
  <c r="S52" i="10"/>
  <c r="Y47" i="10"/>
  <c r="Y52" i="10"/>
  <c r="Y54" i="10"/>
  <c r="AC47" i="10"/>
  <c r="W46" i="10"/>
  <c r="AB54" i="10"/>
  <c r="AB52" i="10"/>
  <c r="C6" i="12"/>
  <c r="C16" i="12" s="1"/>
  <c r="C26" i="12" s="1"/>
  <c r="C33" i="12" s="1"/>
  <c r="C51" i="12" s="1"/>
  <c r="C56" i="12" s="1"/>
  <c r="C57" i="12" s="1"/>
  <c r="G22" i="32"/>
  <c r="B16" i="12"/>
  <c r="B26" i="12" s="1"/>
  <c r="B33" i="12" s="1"/>
  <c r="B51" i="12" s="1"/>
  <c r="B56" i="12" s="1"/>
  <c r="B57" i="12" s="1"/>
  <c r="E47" i="12"/>
  <c r="E36" i="12"/>
  <c r="G32" i="32"/>
  <c r="G75" i="32" s="1"/>
  <c r="E86" i="32"/>
  <c r="E87" i="32" s="1"/>
  <c r="F82" i="32"/>
  <c r="D49" i="32"/>
  <c r="G44" i="32"/>
  <c r="G76" i="32" s="1"/>
  <c r="L54" i="10"/>
  <c r="L47" i="10"/>
  <c r="L52" i="10"/>
  <c r="K47" i="10"/>
  <c r="K54" i="10"/>
  <c r="K52" i="10"/>
  <c r="E25" i="32"/>
  <c r="D49" i="12"/>
  <c r="F11" i="12"/>
  <c r="F24" i="32"/>
  <c r="F74" i="32" s="1"/>
  <c r="F8" i="12"/>
  <c r="F36" i="12" s="1"/>
  <c r="G11" i="12"/>
  <c r="G18" i="12" s="1"/>
  <c r="H54" i="9" l="1"/>
  <c r="H55" i="9"/>
  <c r="G56" i="9"/>
  <c r="D56" i="32"/>
  <c r="D79" i="32"/>
  <c r="G83" i="32"/>
  <c r="G84" i="32" s="1"/>
  <c r="G85" i="32" s="1"/>
  <c r="G62" i="32"/>
  <c r="H14" i="12"/>
  <c r="H47" i="12" s="1"/>
  <c r="H49" i="12" s="1"/>
  <c r="G14" i="12"/>
  <c r="H7" i="32"/>
  <c r="AA46" i="10"/>
  <c r="AA53" i="10"/>
  <c r="W54" i="10"/>
  <c r="W52" i="10"/>
  <c r="W47" i="10"/>
  <c r="G24" i="32"/>
  <c r="G74" i="32" s="1"/>
  <c r="H32" i="32"/>
  <c r="H75" i="32" s="1"/>
  <c r="E40" i="12"/>
  <c r="E49" i="12"/>
  <c r="F18" i="12"/>
  <c r="Q18" i="12" s="1"/>
  <c r="Q11" i="12"/>
  <c r="H8" i="12"/>
  <c r="H36" i="12" s="1"/>
  <c r="H40" i="12" s="1"/>
  <c r="H22" i="32"/>
  <c r="F86" i="32"/>
  <c r="F87" i="32" s="1"/>
  <c r="G82" i="32"/>
  <c r="E49" i="32"/>
  <c r="H44" i="32"/>
  <c r="H76" i="32" s="1"/>
  <c r="F25" i="32"/>
  <c r="G8" i="12"/>
  <c r="G36" i="12" s="1"/>
  <c r="G40" i="12" s="1"/>
  <c r="F40" i="12"/>
  <c r="H11" i="12"/>
  <c r="H18" i="12" s="1"/>
  <c r="I54" i="9" l="1"/>
  <c r="I55" i="9"/>
  <c r="H56" i="9"/>
  <c r="D59" i="32"/>
  <c r="D80" i="32"/>
  <c r="E56" i="32"/>
  <c r="E79" i="32"/>
  <c r="G86" i="32"/>
  <c r="G87" i="32" s="1"/>
  <c r="H83" i="32"/>
  <c r="H84" i="32" s="1"/>
  <c r="H85" i="32" s="1"/>
  <c r="H62" i="32"/>
  <c r="I7" i="32"/>
  <c r="I14" i="12"/>
  <c r="I47" i="12" s="1"/>
  <c r="I49" i="12" s="1"/>
  <c r="G47" i="12"/>
  <c r="Q14" i="12"/>
  <c r="I8" i="12"/>
  <c r="AA52" i="10"/>
  <c r="AA54" i="10"/>
  <c r="AA47" i="10"/>
  <c r="G25" i="32"/>
  <c r="Q8" i="12"/>
  <c r="Q36" i="12"/>
  <c r="Q40" i="12" s="1"/>
  <c r="H24" i="32"/>
  <c r="H74" i="32" s="1"/>
  <c r="I22" i="32"/>
  <c r="D6" i="12"/>
  <c r="I11" i="12"/>
  <c r="I18" i="12" s="1"/>
  <c r="I32" i="32"/>
  <c r="I75" i="32" s="1"/>
  <c r="G49" i="32"/>
  <c r="F49" i="32"/>
  <c r="F79" i="32" s="1"/>
  <c r="H82" i="32"/>
  <c r="I44" i="32"/>
  <c r="I76" i="32" s="1"/>
  <c r="E6" i="12"/>
  <c r="I56" i="9" l="1"/>
  <c r="J54" i="9"/>
  <c r="J55" i="9"/>
  <c r="E59" i="32"/>
  <c r="E80" i="32"/>
  <c r="H86" i="32"/>
  <c r="H87" i="32" s="1"/>
  <c r="G56" i="32"/>
  <c r="G79" i="32"/>
  <c r="I83" i="32"/>
  <c r="I84" i="32" s="1"/>
  <c r="I85" i="32" s="1"/>
  <c r="I62" i="32"/>
  <c r="J7" i="32"/>
  <c r="G49" i="12"/>
  <c r="Q47" i="12"/>
  <c r="Q49" i="12" s="1"/>
  <c r="F56" i="32"/>
  <c r="G6" i="12"/>
  <c r="G16" i="12" s="1"/>
  <c r="G26" i="12" s="1"/>
  <c r="G33" i="12" s="1"/>
  <c r="J11" i="12"/>
  <c r="J32" i="32"/>
  <c r="J75" i="32" s="1"/>
  <c r="J22" i="32"/>
  <c r="E16" i="12"/>
  <c r="E26" i="12" s="1"/>
  <c r="E33" i="12" s="1"/>
  <c r="E51" i="12" s="1"/>
  <c r="E56" i="12" s="1"/>
  <c r="E57" i="12" s="1"/>
  <c r="D16" i="12"/>
  <c r="D26" i="12" s="1"/>
  <c r="D33" i="12" s="1"/>
  <c r="D51" i="12" s="1"/>
  <c r="D56" i="12" s="1"/>
  <c r="P6" i="12"/>
  <c r="P16" i="12" s="1"/>
  <c r="P26" i="12" s="1"/>
  <c r="P33" i="12" s="1"/>
  <c r="P51" i="12" s="1"/>
  <c r="P56" i="12" s="1"/>
  <c r="H25" i="32"/>
  <c r="H49" i="32"/>
  <c r="H79" i="32" s="1"/>
  <c r="I24" i="32"/>
  <c r="I74" i="32" s="1"/>
  <c r="J44" i="32"/>
  <c r="J76" i="32" s="1"/>
  <c r="I82" i="32"/>
  <c r="I36" i="12"/>
  <c r="J62" i="32" l="1"/>
  <c r="K54" i="9"/>
  <c r="K55" i="9"/>
  <c r="J56" i="9"/>
  <c r="I86" i="32"/>
  <c r="I87" i="32" s="1"/>
  <c r="G59" i="32"/>
  <c r="G80" i="32"/>
  <c r="F59" i="32"/>
  <c r="F80" i="32"/>
  <c r="K7" i="32"/>
  <c r="K14" i="12"/>
  <c r="K47" i="12" s="1"/>
  <c r="K49" i="12" s="1"/>
  <c r="K8" i="12"/>
  <c r="J83" i="32"/>
  <c r="J84" i="32" s="1"/>
  <c r="J85" i="32" s="1"/>
  <c r="J14" i="12"/>
  <c r="G51" i="12"/>
  <c r="G56" i="12" s="1"/>
  <c r="G57" i="12" s="1"/>
  <c r="J8" i="12"/>
  <c r="H56" i="32"/>
  <c r="F6" i="12"/>
  <c r="Q6" i="12" s="1"/>
  <c r="Q16" i="12" s="1"/>
  <c r="Q26" i="12" s="1"/>
  <c r="Q33" i="12" s="1"/>
  <c r="Q51" i="12" s="1"/>
  <c r="Q56" i="12" s="1"/>
  <c r="J18" i="12"/>
  <c r="K22" i="32"/>
  <c r="K32" i="32"/>
  <c r="K75" i="32" s="1"/>
  <c r="J24" i="32"/>
  <c r="J74" i="32" s="1"/>
  <c r="K44" i="32"/>
  <c r="K76" i="32" s="1"/>
  <c r="D57" i="12"/>
  <c r="P57" i="12"/>
  <c r="R11" i="12"/>
  <c r="I25" i="32"/>
  <c r="I49" i="32"/>
  <c r="J82" i="32"/>
  <c r="I40" i="12"/>
  <c r="K62" i="32" l="1"/>
  <c r="L54" i="9"/>
  <c r="L55" i="9"/>
  <c r="K56" i="9"/>
  <c r="I56" i="32"/>
  <c r="I79" i="32"/>
  <c r="H59" i="32"/>
  <c r="H80" i="32"/>
  <c r="L7" i="32"/>
  <c r="J86" i="32"/>
  <c r="J87" i="32" s="1"/>
  <c r="K24" i="32"/>
  <c r="K74" i="32" s="1"/>
  <c r="Q57" i="12"/>
  <c r="R14" i="12"/>
  <c r="J47" i="12"/>
  <c r="L8" i="12"/>
  <c r="J36" i="12"/>
  <c r="R8" i="12"/>
  <c r="K11" i="12"/>
  <c r="K18" i="12" s="1"/>
  <c r="F16" i="12"/>
  <c r="F26" i="12" s="1"/>
  <c r="F33" i="12" s="1"/>
  <c r="F51" i="12" s="1"/>
  <c r="F56" i="12" s="1"/>
  <c r="F57" i="12" s="1"/>
  <c r="K36" i="12"/>
  <c r="K40" i="12" s="1"/>
  <c r="L22" i="32"/>
  <c r="K83" i="32"/>
  <c r="K84" i="32" s="1"/>
  <c r="K85" i="32" s="1"/>
  <c r="L32" i="32"/>
  <c r="L75" i="32" s="1"/>
  <c r="L44" i="32"/>
  <c r="L76" i="32" s="1"/>
  <c r="J49" i="32"/>
  <c r="J79" i="32" s="1"/>
  <c r="J25" i="32"/>
  <c r="K82" i="32"/>
  <c r="R18" i="12"/>
  <c r="L62" i="32" l="1"/>
  <c r="M54" i="9"/>
  <c r="M55" i="9"/>
  <c r="L56" i="9"/>
  <c r="I59" i="32"/>
  <c r="I80" i="32"/>
  <c r="M7" i="32"/>
  <c r="L14" i="12"/>
  <c r="K25" i="32"/>
  <c r="K49" i="32"/>
  <c r="K79" i="32" s="1"/>
  <c r="J49" i="12"/>
  <c r="R47" i="12"/>
  <c r="R49" i="12" s="1"/>
  <c r="N8" i="12"/>
  <c r="L36" i="12"/>
  <c r="L40" i="12" s="1"/>
  <c r="S8" i="12"/>
  <c r="T8" i="12" s="1"/>
  <c r="L11" i="12"/>
  <c r="J40" i="12"/>
  <c r="R36" i="12"/>
  <c r="R40" i="12" s="1"/>
  <c r="J56" i="32"/>
  <c r="L24" i="32"/>
  <c r="L74" i="32" s="1"/>
  <c r="L83" i="32"/>
  <c r="L84" i="32" s="1"/>
  <c r="L85" i="32" s="1"/>
  <c r="K86" i="32"/>
  <c r="K87" i="32" s="1"/>
  <c r="M83" i="32"/>
  <c r="M84" i="32" s="1"/>
  <c r="M85" i="32" s="1"/>
  <c r="L82" i="32"/>
  <c r="H6" i="12"/>
  <c r="H16" i="12" s="1"/>
  <c r="H26" i="12" s="1"/>
  <c r="H33" i="12" s="1"/>
  <c r="H51" i="12" s="1"/>
  <c r="H56" i="12" s="1"/>
  <c r="H57" i="12" s="1"/>
  <c r="M56" i="9" l="1"/>
  <c r="J59" i="32"/>
  <c r="J80" i="32"/>
  <c r="N14" i="12"/>
  <c r="L47" i="12"/>
  <c r="N47" i="12" s="1"/>
  <c r="N49" i="12" s="1"/>
  <c r="S14" i="12"/>
  <c r="T14" i="12" s="1"/>
  <c r="K56" i="32"/>
  <c r="L25" i="32"/>
  <c r="S11" i="12"/>
  <c r="T11" i="12" s="1"/>
  <c r="N11" i="12"/>
  <c r="L18" i="12"/>
  <c r="S36" i="12"/>
  <c r="N36" i="12"/>
  <c r="N40" i="12" s="1"/>
  <c r="I6" i="12"/>
  <c r="I16" i="12" s="1"/>
  <c r="I26" i="12" s="1"/>
  <c r="I33" i="12" s="1"/>
  <c r="I51" i="12" s="1"/>
  <c r="I56" i="12" s="1"/>
  <c r="I57" i="12" s="1"/>
  <c r="K6" i="12"/>
  <c r="L49" i="32"/>
  <c r="L79" i="32" s="1"/>
  <c r="L86" i="32"/>
  <c r="L87" i="32" s="1"/>
  <c r="M25" i="32"/>
  <c r="M49" i="32"/>
  <c r="M82" i="32"/>
  <c r="M86" i="32" s="1"/>
  <c r="M87" i="32" s="1"/>
  <c r="J6" i="12"/>
  <c r="M56" i="32" l="1"/>
  <c r="M79" i="32"/>
  <c r="K59" i="32"/>
  <c r="K80" i="32"/>
  <c r="L49" i="12"/>
  <c r="S47" i="12"/>
  <c r="L56" i="32"/>
  <c r="S18" i="12"/>
  <c r="T18" i="12" s="1"/>
  <c r="N18" i="12"/>
  <c r="S40" i="12"/>
  <c r="T36" i="12"/>
  <c r="T40" i="12" s="1"/>
  <c r="K16" i="12"/>
  <c r="K26" i="12" s="1"/>
  <c r="K33" i="12" s="1"/>
  <c r="K51" i="12" s="1"/>
  <c r="K56" i="12" s="1"/>
  <c r="K57" i="12" s="1"/>
  <c r="J16" i="12"/>
  <c r="J26" i="12" s="1"/>
  <c r="J33" i="12" s="1"/>
  <c r="J51" i="12" s="1"/>
  <c r="J56" i="12" s="1"/>
  <c r="J57" i="12" s="1"/>
  <c r="R6" i="12"/>
  <c r="M59" i="32" l="1"/>
  <c r="M80" i="32"/>
  <c r="L59" i="32"/>
  <c r="L80" i="32"/>
  <c r="S49" i="12"/>
  <c r="T47" i="12"/>
  <c r="T49" i="12" s="1"/>
  <c r="L6" i="12"/>
  <c r="N16" i="12" s="1"/>
  <c r="N26" i="12" s="1"/>
  <c r="N33" i="12" s="1"/>
  <c r="N51" i="12" s="1"/>
  <c r="N56" i="12" s="1"/>
  <c r="N57" i="12" s="1"/>
  <c r="R16" i="12"/>
  <c r="R26" i="12" s="1"/>
  <c r="R33" i="12" s="1"/>
  <c r="R51" i="12" s="1"/>
  <c r="R56" i="12" s="1"/>
  <c r="R57" i="12" s="1"/>
  <c r="L16" i="12" l="1"/>
  <c r="L26" i="12" s="1"/>
  <c r="L33" i="12" s="1"/>
  <c r="L51" i="12" s="1"/>
  <c r="L56" i="12" s="1"/>
  <c r="L57" i="12" s="1"/>
  <c r="S6" i="12"/>
  <c r="S16" i="12" l="1"/>
  <c r="S26" i="12" s="1"/>
  <c r="S33" i="12" s="1"/>
  <c r="S51" i="12" s="1"/>
  <c r="S56" i="12" s="1"/>
  <c r="S57" i="12" s="1"/>
  <c r="T6" i="12"/>
  <c r="T16" i="12" s="1"/>
  <c r="T26" i="12" s="1"/>
  <c r="T33" i="12" s="1"/>
  <c r="T51" i="12" s="1"/>
  <c r="T56" i="12" s="1"/>
  <c r="T57" i="12" s="1"/>
</calcChain>
</file>

<file path=xl/sharedStrings.xml><?xml version="1.0" encoding="utf-8"?>
<sst xmlns="http://schemas.openxmlformats.org/spreadsheetml/2006/main" count="6451" uniqueCount="748">
  <si>
    <t>LAND</t>
  </si>
  <si>
    <t>BUILDINGS</t>
  </si>
  <si>
    <t>DECORS AND INSTALLATIONS</t>
  </si>
  <si>
    <t>MACHINERY AND EQUIPMENTS</t>
  </si>
  <si>
    <t>VEHICLES</t>
  </si>
  <si>
    <t>OFFICE EQUIPMENTS&amp; COMPUTR PROGRAMS  INSTALLATIONS</t>
  </si>
  <si>
    <t>FURNITURE AND FITTINGS</t>
  </si>
  <si>
    <t>RIGHT OF USE ASSETS</t>
  </si>
  <si>
    <t>INSTALLATION IN PROGRESS</t>
  </si>
  <si>
    <t>INSTALLATION IN PROGRESS  JEDDAH PROJECT</t>
  </si>
  <si>
    <t>Fixed Assets Clearing Accounts</t>
  </si>
  <si>
    <t>ACCUM DEPR BUILDINGS</t>
  </si>
  <si>
    <t>ACCUM DEPR DECORS</t>
  </si>
  <si>
    <t>ACCUM DEPR M AND E</t>
  </si>
  <si>
    <t>ACCUM DEPR VEHICLES</t>
  </si>
  <si>
    <t>ACCUM DEPR OE</t>
  </si>
  <si>
    <t>ACCUM DEPR F AND F</t>
  </si>
  <si>
    <t>ACCUMULATED DEPRECIATION  OF RIGHT OF USE ASSETS</t>
  </si>
  <si>
    <t>PRE OPERATING EXPS</t>
  </si>
  <si>
    <t>AMORTIZATION OF PRE OPERATING EXPS</t>
  </si>
  <si>
    <t>ALBILAD BANK A</t>
  </si>
  <si>
    <t>ALBILAD BANK B</t>
  </si>
  <si>
    <t>ALBILAD BANK C</t>
  </si>
  <si>
    <t>AL RAJHI BANK FAC</t>
  </si>
  <si>
    <t>AL-RAJHI BANK IND</t>
  </si>
  <si>
    <t>SAUDI BRITISH BANK</t>
  </si>
  <si>
    <t>NATIONAL COMMERCIAL BANK (NCB)</t>
  </si>
  <si>
    <t>ARAB NATIONAL BANK</t>
  </si>
  <si>
    <t>AL INMA BANK SAUDI  ARABIA</t>
  </si>
  <si>
    <t>AL INMA BANK (68502524190000)</t>
  </si>
  <si>
    <t>ALIF ALRAED FACTORY  FOR PRODUCTS (INMA USD )</t>
  </si>
  <si>
    <t>BR. ALSUBEAEI INDUSTRIAL CO. LTD</t>
  </si>
  <si>
    <t>BANK  ALJAZIRA</t>
  </si>
  <si>
    <t>BANK ALBILAD SA6115000612140452040005</t>
  </si>
  <si>
    <t>Bank Transfer Control</t>
  </si>
  <si>
    <t xml:space="preserve"> TRADE DEBTORS</t>
  </si>
  <si>
    <t xml:space="preserve"> SUNDRY DEBTORS</t>
  </si>
  <si>
    <t xml:space="preserve"> EMPLOYEES LOANS</t>
  </si>
  <si>
    <t xml:space="preserve"> EMPLOYEES LOANS AGAINST END OF SERVICE</t>
  </si>
  <si>
    <t xml:space="preserve"> PETTY CASH</t>
  </si>
  <si>
    <t xml:space="preserve"> PREPAID FIN CHARGES AL RIYADH BANK</t>
  </si>
  <si>
    <t>PREPAID FIN CHARGES ALINMA BANK</t>
  </si>
  <si>
    <t xml:space="preserve"> PREPAID FIN CHARGES ARAB NATIONAL BANK</t>
  </si>
  <si>
    <t xml:space="preserve"> PREPAID FIN CHARGES NCB</t>
  </si>
  <si>
    <t xml:space="preserve"> L/C MARGINAL DEPOSITS BILAD</t>
  </si>
  <si>
    <t xml:space="preserve"> L/C MARGINAL DEPOSITS AL RIYADH BANK</t>
  </si>
  <si>
    <t xml:space="preserve"> L/C MARGINAL DEPOSITS NCB</t>
  </si>
  <si>
    <t xml:space="preserve"> L/C MARGINAL DEPOSITS ALINMA</t>
  </si>
  <si>
    <t xml:space="preserve"> PREPAID RENT</t>
  </si>
  <si>
    <t xml:space="preserve"> PREPAID HOUSING ALLOWANCE</t>
  </si>
  <si>
    <t xml:space="preserve"> PREPAID TICKETS&amp;VISA ALLOWANCE</t>
  </si>
  <si>
    <t xml:space="preserve"> PREPAID FURNITURE ALLOWANCE</t>
  </si>
  <si>
    <t xml:space="preserve"> PREPAID INSURANCE RENT</t>
  </si>
  <si>
    <t xml:space="preserve"> PREPAID INSURANCE</t>
  </si>
  <si>
    <t xml:space="preserve"> PREPAID SALARIES</t>
  </si>
  <si>
    <t>PAYMENTS DUES UNDER COLLECTIONS</t>
  </si>
  <si>
    <t>PREPAID FAMILY ALLOWANCE</t>
  </si>
  <si>
    <t>PREPAID COMPUTER NET WORK EXP</t>
  </si>
  <si>
    <t>PREPAID PROFESSIONAL EXP</t>
  </si>
  <si>
    <t>INSURANCE OF INTERNATIONAL RISK FORE SALES</t>
  </si>
  <si>
    <t xml:space="preserve"> CONSUMABLES</t>
  </si>
  <si>
    <t>INDIRECT MATERIAL</t>
  </si>
  <si>
    <t>SPARE PARTS</t>
  </si>
  <si>
    <t xml:space="preserve"> RAW MAT  MAT LOW CARBON</t>
  </si>
  <si>
    <t xml:space="preserve"> RAW MAT  HIGH CARBON</t>
  </si>
  <si>
    <t xml:space="preserve"> RAW MAT  GI COILS</t>
  </si>
  <si>
    <t xml:space="preserve"> RAW MAT  COPPER</t>
  </si>
  <si>
    <t xml:space="preserve"> RAW MAT  FLAT STEEL</t>
  </si>
  <si>
    <t>RAW MATERIAL</t>
  </si>
  <si>
    <t>PACKAGING</t>
  </si>
  <si>
    <t>FINISHED GOODS</t>
  </si>
  <si>
    <t>SEMI FINISHED GOODS</t>
  </si>
  <si>
    <t>TRADING ITEM</t>
  </si>
  <si>
    <t>WIP</t>
  </si>
  <si>
    <t>Plant Stock Transfer</t>
  </si>
  <si>
    <t>DMR</t>
  </si>
  <si>
    <t>MATERIAL UNDER INSPECTION</t>
  </si>
  <si>
    <t xml:space="preserve"> GOODS IN TRANSIT</t>
  </si>
  <si>
    <t xml:space="preserve"> TRADE CREDITORS FOREIGN</t>
  </si>
  <si>
    <t xml:space="preserve"> TRADE CREDITORS LOCAL</t>
  </si>
  <si>
    <t xml:space="preserve"> NOTES PAYABLE BILAD</t>
  </si>
  <si>
    <t xml:space="preserve"> NOTES PAYABLE NCB</t>
  </si>
  <si>
    <t xml:space="preserve"> NOTES PAYABLE SABB</t>
  </si>
  <si>
    <t xml:space="preserve"> NOTES PAYABLE RIYAD</t>
  </si>
  <si>
    <t>NOTES PAYABLE ARAB NATIONAL BANK</t>
  </si>
  <si>
    <t>NOTES PAYABLE ALINMA BANK</t>
  </si>
  <si>
    <t>AP Cleance Account</t>
  </si>
  <si>
    <t xml:space="preserve"> LANDED COSTS OVERHEAD</t>
  </si>
  <si>
    <t xml:space="preserve"> LANDED COSTS - CUSTOM DUTY</t>
  </si>
  <si>
    <t xml:space="preserve"> LEASE OBLIGATION</t>
  </si>
  <si>
    <t xml:space="preserve"> ACCRUED SALARIES</t>
  </si>
  <si>
    <t xml:space="preserve"> ACCRUED ELECTRICITY</t>
  </si>
  <si>
    <t xml:space="preserve"> ACCRUED  ZAKAT</t>
  </si>
  <si>
    <t xml:space="preserve"> ACCRUED  BONUS</t>
  </si>
  <si>
    <t xml:space="preserve"> ACCRUED  EXP</t>
  </si>
  <si>
    <t>ACCRUED  LEAVE</t>
  </si>
  <si>
    <t xml:space="preserve"> PROVISION FOR STATUTARY</t>
  </si>
  <si>
    <t xml:space="preserve"> PROVISION FOR END OF SERVICE  BEN</t>
  </si>
  <si>
    <t xml:space="preserve"> PROVISION FOR DOUBTFUL DEBTS</t>
  </si>
  <si>
    <t>PROVISION FOR DAMAGED &amp; EXPIRED MATERIAL</t>
  </si>
  <si>
    <t>PROVISION FOR EVACUATE SPACE</t>
  </si>
  <si>
    <t>AIMS HOLDING  CURRENT ACC</t>
  </si>
  <si>
    <t>Sales VAT</t>
  </si>
  <si>
    <t>Purchase VAT</t>
  </si>
  <si>
    <t>VAT Manual Adjustments</t>
  </si>
  <si>
    <t>VISION HORZON INDESTRIAL COMPANY</t>
  </si>
  <si>
    <t>RETAINED EARNINGS</t>
  </si>
  <si>
    <t>A S A S INTEGRATED</t>
  </si>
  <si>
    <t xml:space="preserve"> ABDULLAH I BRAHIM AL SUBEAEI HOLDING CO</t>
  </si>
  <si>
    <t>ABDULLAH  I BRAHIM AL SUBEAEI  ADDITIONAL CAPITAL</t>
  </si>
  <si>
    <t xml:space="preserve"> SALES REVENUE</t>
  </si>
  <si>
    <t xml:space="preserve"> SALES RETURNS</t>
  </si>
  <si>
    <t xml:space="preserve"> SALES DISCOUNTS</t>
  </si>
  <si>
    <t xml:space="preserve"> SALES REVENUE  SCRAP</t>
  </si>
  <si>
    <t xml:space="preserve"> OTHER INCOME</t>
  </si>
  <si>
    <t xml:space="preserve"> GAIN/LOSS ON CURRENCY EXCHANGE</t>
  </si>
  <si>
    <t>COGS MATERIAL</t>
  </si>
  <si>
    <t xml:space="preserve"> COGS DIRECT LABOR</t>
  </si>
  <si>
    <t xml:space="preserve"> COGS INDIRECT MATERIAL</t>
  </si>
  <si>
    <t xml:space="preserve"> COGS OVERHEAD</t>
  </si>
  <si>
    <t xml:space="preserve"> COGS  VARIANCE</t>
  </si>
  <si>
    <t>DIRECT EXP-Wages and Salaries</t>
  </si>
  <si>
    <t>DIRECT EXP-Overtime</t>
  </si>
  <si>
    <t>DIRECT EXP-Transportation Allowance</t>
  </si>
  <si>
    <t>DIRECT EXP-Food Allowance</t>
  </si>
  <si>
    <t>DIRECT EXP-Leave Pay</t>
  </si>
  <si>
    <t>DIRECT EXP-medical insurance</t>
  </si>
  <si>
    <t>DIRECT EXP-Wages Salaries of saudi employees</t>
  </si>
  <si>
    <t>DIRECT EXP-Housing Allowance</t>
  </si>
  <si>
    <t>DIRECT EXP-Medical Expense</t>
  </si>
  <si>
    <t>DIRECT EXP-IQAMA Renewal</t>
  </si>
  <si>
    <t>DIRECT EXP-Consumables</t>
  </si>
  <si>
    <t>DIRECT EXP-Rounding Off</t>
  </si>
  <si>
    <t>DIRECT EXP-MATERIAL PURCHASING VARIANCE</t>
  </si>
  <si>
    <t>Applied Material OH</t>
  </si>
  <si>
    <t>Applied OH</t>
  </si>
  <si>
    <t>Inventory Adjustment</t>
  </si>
  <si>
    <t xml:space="preserve"> WAGES AND SALARIES</t>
  </si>
  <si>
    <t xml:space="preserve">  OVER TIME</t>
  </si>
  <si>
    <t xml:space="preserve">  FOOD ALLOWANCE</t>
  </si>
  <si>
    <t xml:space="preserve">  MEDICAL INSURANCE</t>
  </si>
  <si>
    <t xml:space="preserve">  GOV FEES</t>
  </si>
  <si>
    <t xml:space="preserve">  HOUSING AND RENT</t>
  </si>
  <si>
    <t xml:space="preserve">  TRANSPORTATION</t>
  </si>
  <si>
    <t xml:space="preserve">  AIR TICKETS</t>
  </si>
  <si>
    <t xml:space="preserve">  LEAVE PAY</t>
  </si>
  <si>
    <t xml:space="preserve">  END OF SERVICE</t>
  </si>
  <si>
    <t xml:space="preserve"> TICKETS  AND VISA ALLOWANCE</t>
  </si>
  <si>
    <t xml:space="preserve"> EDUCATION ALLOWANCE</t>
  </si>
  <si>
    <t xml:space="preserve"> TELEPHONE ALLOWANCE</t>
  </si>
  <si>
    <t xml:space="preserve"> INDIRECT MATERIAL</t>
  </si>
  <si>
    <t xml:space="preserve"> TOOLS &amp; SPARE PARTS EXPENSE</t>
  </si>
  <si>
    <t xml:space="preserve"> ELECTRICITY</t>
  </si>
  <si>
    <t xml:space="preserve"> WATER</t>
  </si>
  <si>
    <t xml:space="preserve"> FUEL AND OIL</t>
  </si>
  <si>
    <t xml:space="preserve"> M/C AND EQUIP MAINT</t>
  </si>
  <si>
    <t xml:space="preserve"> VEHICLE MAINTENANCE</t>
  </si>
  <si>
    <t xml:space="preserve"> BUILDING MAINTENANCE</t>
  </si>
  <si>
    <t xml:space="preserve"> OFFICE EQUIPMENT MAINTENANCE</t>
  </si>
  <si>
    <t xml:space="preserve"> PUMP RENTAL EXPENSES</t>
  </si>
  <si>
    <t xml:space="preserve"> BUILDING INSURANCE</t>
  </si>
  <si>
    <t xml:space="preserve"> M/C AND EQUIP INSURANCE</t>
  </si>
  <si>
    <t xml:space="preserve"> PRODUCTION HALL RENT</t>
  </si>
  <si>
    <t xml:space="preserve"> STAFF FURNITURE</t>
  </si>
  <si>
    <t xml:space="preserve"> M/C AND EQUIP DEPR</t>
  </si>
  <si>
    <t>Furniture &amp; Fittings Depr</t>
  </si>
  <si>
    <t>Decors and Inst Depr</t>
  </si>
  <si>
    <t>BUILDING DEPRECIATION</t>
  </si>
  <si>
    <t>DEPRECIATION  OF RIGHT OF USE ASSETS</t>
  </si>
  <si>
    <t>EMPLOYEES RESTRUCTURE COST</t>
  </si>
  <si>
    <t>HADAF PROGRAMM FOR REFUND SALARY</t>
  </si>
  <si>
    <t>WAGES AND SALARIES EXP.</t>
  </si>
  <si>
    <t>OVER TIME EXP.</t>
  </si>
  <si>
    <t>FOOD ALLOWANCE</t>
  </si>
  <si>
    <t>MEDICAL INSURANCE EXP.</t>
  </si>
  <si>
    <t>GOV. FEES EXP.</t>
  </si>
  <si>
    <t>HOUSING AND RENT ALLOWANCE</t>
  </si>
  <si>
    <t>TRANSPORTATION ALLOWANCE</t>
  </si>
  <si>
    <t>AIR TICKET EXP.</t>
  </si>
  <si>
    <t>LEAVE PAYMENT EXP.</t>
  </si>
  <si>
    <t>END OF SERVICE EXP.</t>
  </si>
  <si>
    <t>TICKETS &amp; VISA ALLOWANCE</t>
  </si>
  <si>
    <t>EDUCATION ALLOWANCE</t>
  </si>
  <si>
    <t>TELEPHONE ALLOWANCE</t>
  </si>
  <si>
    <t>FURNITURE  ALLOWANCE</t>
  </si>
  <si>
    <t>TRANSPORTATION EXP</t>
  </si>
  <si>
    <t>FOOD EXP</t>
  </si>
  <si>
    <t>STAFF ACCOM. EXP.</t>
  </si>
  <si>
    <t>MEDICAL EXP.</t>
  </si>
  <si>
    <t>INCENTIVES EXP.</t>
  </si>
  <si>
    <t>ELECTRICITY EXP.</t>
  </si>
  <si>
    <t>WATER EXP.</t>
  </si>
  <si>
    <t>TELEPHONE AND FAX EXP.</t>
  </si>
  <si>
    <t>POSTAGE EXP.</t>
  </si>
  <si>
    <t>COMPUTER NETWORK EXP.</t>
  </si>
  <si>
    <t>PROFESSIONAL FEES EXP.</t>
  </si>
  <si>
    <t>MAGAZINES &amp; NEWS PAPERS EXP.</t>
  </si>
  <si>
    <t>TRAINING &amp; SEMINARS EXP.</t>
  </si>
  <si>
    <t>STATIONERY EXP.</t>
  </si>
  <si>
    <t>PRINTINGS EXP.</t>
  </si>
  <si>
    <t>BUILDING MAINTENANCE EXP.</t>
  </si>
  <si>
    <t>OFFICE EQUIP. MAINT. EXP.</t>
  </si>
  <si>
    <t>VEHICLE MAINT. EXP.</t>
  </si>
  <si>
    <t>FUEL AND OIL EXP.</t>
  </si>
  <si>
    <t>CONSUMABLES EXP.</t>
  </si>
  <si>
    <t>ACTUARIAL GAINS AND LOSSES</t>
  </si>
  <si>
    <t>VEHICLES INSURANCE EXP.</t>
  </si>
  <si>
    <t>LEASE INTEREST EXP</t>
  </si>
  <si>
    <t>BUSINESS TRIPS EXP.</t>
  </si>
  <si>
    <t>BUFFET EXP.</t>
  </si>
  <si>
    <t>CLEANING EXP.</t>
  </si>
  <si>
    <t>RECRUITMENT EXP.</t>
  </si>
  <si>
    <t>DAMAGED &amp; EXPIRED MATERIAL &amp; BANK CHARGE GAIN</t>
  </si>
  <si>
    <t>LICENSE FEES EXP.</t>
  </si>
  <si>
    <t>CHAMBER OF COMMERCE EXP.</t>
  </si>
  <si>
    <t>BANK CHARGES EXP.</t>
  </si>
  <si>
    <t>ZAKAT EXP.</t>
  </si>
  <si>
    <t>SADAGAT EXP.</t>
  </si>
  <si>
    <t>BUILDING DEP.</t>
  </si>
  <si>
    <t>M/C AND EQUIP. DEP.</t>
  </si>
  <si>
    <t>TOOLS AND INST. DEP.</t>
  </si>
  <si>
    <t>VEHICLE DEP.</t>
  </si>
  <si>
    <t>OFFICE EQUIP DEP.</t>
  </si>
  <si>
    <t>FURNITURE AND FITTINGS DEP.</t>
  </si>
  <si>
    <t>WAREHOUSE RENT EXP.</t>
  </si>
  <si>
    <t>ADVERTISING AND PROMO. EXP.</t>
  </si>
  <si>
    <t>EXHIBITIONS EXP.</t>
  </si>
  <si>
    <t>FREIGHT-OUT EXP.</t>
  </si>
  <si>
    <t>SALES COMMISSION EXP.</t>
  </si>
  <si>
    <t>BAD DEBTS EXP.</t>
  </si>
  <si>
    <t>SOCIAL INSURANCE</t>
  </si>
  <si>
    <t>AMORTIZATION</t>
  </si>
  <si>
    <t>OFFICE RENT EXP.</t>
  </si>
  <si>
    <t>EVACUATE SPACE EXP</t>
  </si>
  <si>
    <t>FREIGHT-OUT EXPORT</t>
  </si>
  <si>
    <t>AIMS HOLDING EXP OF  CURRENT ACC</t>
  </si>
  <si>
    <t>AIMS HOLDING EXP OF CURRENT ACC</t>
  </si>
  <si>
    <t>CLEARING ACC</t>
  </si>
  <si>
    <t>Advances from customers</t>
  </si>
  <si>
    <t>ALIF LEADING INDUSTRIAL FACTORY</t>
  </si>
  <si>
    <t>DIRECT EXP-Air Tickets</t>
  </si>
  <si>
    <t>DIRECT EXP-Food Expense</t>
  </si>
  <si>
    <t>DIRECT EXP-Staff Accom</t>
  </si>
  <si>
    <t>DECORS AND INST. DEP.</t>
  </si>
  <si>
    <t xml:space="preserve"> PREPAID FIN CHARGES JAZIRA</t>
  </si>
  <si>
    <t>LEASE INTEREST  EXP.</t>
  </si>
  <si>
    <t>INTEGRATED TRAINING COMPANY</t>
  </si>
  <si>
    <t>RIYAD BANK SIC SR 9940</t>
  </si>
  <si>
    <t>ALBILAD ALIF 0006</t>
  </si>
  <si>
    <t>NOTES PAYABLE ALJAZIRA BANK</t>
  </si>
  <si>
    <t>PROVISION FOR  LEAVE</t>
  </si>
  <si>
    <t xml:space="preserve"> GAIN/LOSS ON SALE OF FA</t>
  </si>
  <si>
    <t>SALARY OF CASUAL LABOUR</t>
  </si>
  <si>
    <t>MATERIAL INSPECTION COST</t>
  </si>
  <si>
    <t>OTHER  EXPORT FRIGHT</t>
  </si>
  <si>
    <t>DIRECT EXP-Medical insurance</t>
  </si>
  <si>
    <t>txtFiscalPerCB</t>
  </si>
  <si>
    <t>txtCredit1</t>
  </si>
  <si>
    <t>txtDebit1</t>
  </si>
  <si>
    <t>txtFiscalYearOB</t>
  </si>
  <si>
    <t>txtGLAcctDesc1</t>
  </si>
  <si>
    <t>txtGLAcctDisp1</t>
  </si>
  <si>
    <t>ALIF</t>
  </si>
  <si>
    <t>Account ID</t>
  </si>
  <si>
    <t>Account Description</t>
  </si>
  <si>
    <t>FS Group</t>
  </si>
  <si>
    <t>FS SubGroup</t>
  </si>
  <si>
    <t>FS Line</t>
  </si>
  <si>
    <t>Notes</t>
  </si>
  <si>
    <t>BS</t>
  </si>
  <si>
    <t>Non-Current Assets</t>
  </si>
  <si>
    <t>Property, plant and equipment</t>
  </si>
  <si>
    <t>Cash and cash equivalents</t>
  </si>
  <si>
    <t>Leases - right of use assets</t>
  </si>
  <si>
    <t>Property, plant and equipment - Accumulated depreciation</t>
  </si>
  <si>
    <t>Depreciation/amortization of rights of use assets</t>
  </si>
  <si>
    <t>Current Assets</t>
  </si>
  <si>
    <t>Prepaid expenses</t>
  </si>
  <si>
    <t>Pre Operating Exps</t>
  </si>
  <si>
    <t>Amortization Of Pre Operating Exps</t>
  </si>
  <si>
    <t>Trade receivables</t>
  </si>
  <si>
    <t>Clearing account</t>
  </si>
  <si>
    <t>Bank balances</t>
  </si>
  <si>
    <t>A7</t>
  </si>
  <si>
    <t>Trade receivables - current</t>
  </si>
  <si>
    <t>Advances - current</t>
  </si>
  <si>
    <t>Non-Current Liabilities</t>
  </si>
  <si>
    <t xml:space="preserve">End-of-service indemnities </t>
  </si>
  <si>
    <t>Petty cash</t>
  </si>
  <si>
    <t>Current Liabilities</t>
  </si>
  <si>
    <t>Short-term Murabaha loans</t>
  </si>
  <si>
    <t>Prepayments - current</t>
  </si>
  <si>
    <t>Deposits - current</t>
  </si>
  <si>
    <t>Rent</t>
  </si>
  <si>
    <t>Housing allowance</t>
  </si>
  <si>
    <t>Air tickets</t>
  </si>
  <si>
    <t>Furniture allowance</t>
  </si>
  <si>
    <t>Insurance</t>
  </si>
  <si>
    <t>Salaries and wages</t>
  </si>
  <si>
    <t>Other receivables - current</t>
  </si>
  <si>
    <t>Family allowance</t>
  </si>
  <si>
    <t>Inventories</t>
  </si>
  <si>
    <t>Raw materials - Inventory</t>
  </si>
  <si>
    <t>Spare parts - Inventory</t>
  </si>
  <si>
    <t>Packaging materials - Inventory</t>
  </si>
  <si>
    <t>Finished goods - Inventory</t>
  </si>
  <si>
    <t>Work in progress - Inventory</t>
  </si>
  <si>
    <t>Goods in transit - Inventory</t>
  </si>
  <si>
    <t>Tade payables and Accuals &amp; other credit balances</t>
  </si>
  <si>
    <t>Trade payables - Foreign</t>
  </si>
  <si>
    <t>Trade payables - Local</t>
  </si>
  <si>
    <t>Other loans - current</t>
  </si>
  <si>
    <t>Overhead</t>
  </si>
  <si>
    <t>Landed Cost - Customs</t>
  </si>
  <si>
    <t xml:space="preserve">Lease liabilities non-current </t>
  </si>
  <si>
    <t xml:space="preserve"> Lease Obligation</t>
  </si>
  <si>
    <t>Accrued salaries and wages</t>
  </si>
  <si>
    <t>Accrued utilities</t>
  </si>
  <si>
    <t>Zakat provision</t>
  </si>
  <si>
    <t>Accrued bonus</t>
  </si>
  <si>
    <t>Accrued expenses</t>
  </si>
  <si>
    <t>Accrued leave</t>
  </si>
  <si>
    <t>Stockholder's equity</t>
  </si>
  <si>
    <t>Statutory reserve</t>
  </si>
  <si>
    <t>Provisions</t>
  </si>
  <si>
    <t>Allowance for slow moving/obsolete inventories - Inventory</t>
  </si>
  <si>
    <t>Provision for evacuation</t>
  </si>
  <si>
    <t xml:space="preserve">Due to related parties </t>
  </si>
  <si>
    <t>Aims Holding  Current Acc</t>
  </si>
  <si>
    <t>VAT payables</t>
  </si>
  <si>
    <t>Vision Horzon Indestrial Company</t>
  </si>
  <si>
    <t>Integrated Training Company</t>
  </si>
  <si>
    <t>Retained earnings</t>
  </si>
  <si>
    <t>Share capital</t>
  </si>
  <si>
    <t>Additional contribution from shareholders</t>
  </si>
  <si>
    <t>Alif Leading Industrial Factory</t>
  </si>
  <si>
    <t>IS</t>
  </si>
  <si>
    <t>Sales</t>
  </si>
  <si>
    <t>Trading revenue</t>
  </si>
  <si>
    <t>Scrap sales</t>
  </si>
  <si>
    <t>Other income</t>
  </si>
  <si>
    <t xml:space="preserve"> Gain/Loss On Sale Of FA</t>
  </si>
  <si>
    <t>Cost of sales</t>
  </si>
  <si>
    <t>Raw materials</t>
  </si>
  <si>
    <t>Direct Labor</t>
  </si>
  <si>
    <t>General and Admin</t>
  </si>
  <si>
    <t>Other expenses</t>
  </si>
  <si>
    <t>Consumables</t>
  </si>
  <si>
    <t>Overtime pay</t>
  </si>
  <si>
    <t>Medical insurance</t>
  </si>
  <si>
    <t>Government fees</t>
  </si>
  <si>
    <t>Vacation pay</t>
  </si>
  <si>
    <t>EOS expenses</t>
  </si>
  <si>
    <t>Telephone allowance</t>
  </si>
  <si>
    <t>Tools</t>
  </si>
  <si>
    <t>Electricity expenses</t>
  </si>
  <si>
    <t>Water expenses</t>
  </si>
  <si>
    <t>Fuel and oil</t>
  </si>
  <si>
    <t>Machine and equipment</t>
  </si>
  <si>
    <t>Depreciation expenses</t>
  </si>
  <si>
    <t>Depreciation of property, plant and equipment</t>
  </si>
  <si>
    <t>Labor rental</t>
  </si>
  <si>
    <t>Inspection expenses</t>
  </si>
  <si>
    <t>Hadaf program</t>
  </si>
  <si>
    <t>Other general and administrative expenses</t>
  </si>
  <si>
    <t>Transportation expenses</t>
  </si>
  <si>
    <t>Food expenses</t>
  </si>
  <si>
    <t>Accommodation expenses</t>
  </si>
  <si>
    <t>IT expenses</t>
  </si>
  <si>
    <t>Magazines &amp; News Papers Exp.</t>
  </si>
  <si>
    <t>Stationery expenses</t>
  </si>
  <si>
    <t>Actuarial gains and losses</t>
  </si>
  <si>
    <t>Finance cost</t>
  </si>
  <si>
    <t>Lease interest</t>
  </si>
  <si>
    <t>Bussiness trip expenses</t>
  </si>
  <si>
    <t>Buffet expenses</t>
  </si>
  <si>
    <t>Licenses and fees</t>
  </si>
  <si>
    <t>Bank charges</t>
  </si>
  <si>
    <t>Zakat</t>
  </si>
  <si>
    <t>Zakat expenses</t>
  </si>
  <si>
    <t>Selling and Marketing</t>
  </si>
  <si>
    <t>Advertising and promotion expenses</t>
  </si>
  <si>
    <t>Exhibitions</t>
  </si>
  <si>
    <t>Freight expenses</t>
  </si>
  <si>
    <t>Commission expenses</t>
  </si>
  <si>
    <t>Bad debts expense</t>
  </si>
  <si>
    <t>Balance Sheet</t>
  </si>
  <si>
    <t>Current assets</t>
  </si>
  <si>
    <t>Due from RP</t>
  </si>
  <si>
    <t>Total current assets</t>
  </si>
  <si>
    <t>Non-current assets</t>
  </si>
  <si>
    <t>Right of use</t>
  </si>
  <si>
    <t>Total non-current assets</t>
  </si>
  <si>
    <t>TOTAL ASSETS</t>
  </si>
  <si>
    <t>LIABILITIES AND SHAREHOLDERS' EQUITY</t>
  </si>
  <si>
    <t>Current liabilities</t>
  </si>
  <si>
    <t>Lease liability - current portion</t>
  </si>
  <si>
    <t>Total current liabilities</t>
  </si>
  <si>
    <t>Non-current liabilities</t>
  </si>
  <si>
    <t>Total non-current liabilities</t>
  </si>
  <si>
    <t>Shareholders' equity</t>
  </si>
  <si>
    <t>Total shareholders’ equity</t>
  </si>
  <si>
    <t>TOTAL LIABILITIES AND EQUITY</t>
  </si>
  <si>
    <t>Cost of Sales</t>
  </si>
  <si>
    <t>GROSS PROFIT</t>
  </si>
  <si>
    <t>Selling and Distribution</t>
  </si>
  <si>
    <t>OPERATING INCOME</t>
  </si>
  <si>
    <t>NET INCOME</t>
  </si>
  <si>
    <t>TOTAL LIABILITES</t>
  </si>
  <si>
    <t>Vision</t>
  </si>
  <si>
    <t>AA</t>
  </si>
  <si>
    <t>Consolidated</t>
  </si>
  <si>
    <t>Profit &amp; Loss</t>
  </si>
  <si>
    <t>Revised provision on Bad Debts</t>
  </si>
  <si>
    <t>Business travel</t>
  </si>
  <si>
    <t>OPERATING ACTIVITIES</t>
  </si>
  <si>
    <t>Profit for the year before zakat</t>
  </si>
  <si>
    <t>Adjustments for:</t>
  </si>
  <si>
    <t xml:space="preserve">Depreciation </t>
  </si>
  <si>
    <t xml:space="preserve">Amortization of the right of use the asset </t>
  </si>
  <si>
    <t>Provision of Expected credit loss</t>
  </si>
  <si>
    <t>End of service indemnities</t>
  </si>
  <si>
    <t>provision for evacuation</t>
  </si>
  <si>
    <t>Finance charge</t>
  </si>
  <si>
    <t>Working capital changes:</t>
  </si>
  <si>
    <t>(Increase)/decrease current assets</t>
  </si>
  <si>
    <t>Inventory</t>
  </si>
  <si>
    <t xml:space="preserve">Prepayments and other receivables </t>
  </si>
  <si>
    <t>Due to RP</t>
  </si>
  <si>
    <t xml:space="preserve">Provision for evacuation </t>
  </si>
  <si>
    <t>Account payable, and other credit balances</t>
  </si>
  <si>
    <t>Cash from operations</t>
  </si>
  <si>
    <t>Finance charge paid</t>
  </si>
  <si>
    <t>Zakat paid</t>
  </si>
  <si>
    <t>Zakat diff</t>
  </si>
  <si>
    <t>Employees’ end of service benefits paid</t>
  </si>
  <si>
    <t>Net cash from operating activities</t>
  </si>
  <si>
    <t>INVESTING ACTIVITIES</t>
  </si>
  <si>
    <t>Additions of property, plant and equipment</t>
  </si>
  <si>
    <t>Dissposals</t>
  </si>
  <si>
    <t>Net cash from (used in) investing activities</t>
  </si>
  <si>
    <t>FINANCING ACTIVITIES</t>
  </si>
  <si>
    <t>Financial Lease - Paid</t>
  </si>
  <si>
    <t>cash and cash eq</t>
  </si>
  <si>
    <t xml:space="preserve">Bank Facilities </t>
  </si>
  <si>
    <t>Net cash used in financing activities</t>
  </si>
  <si>
    <t>NET change IN CASH AND CASH EQUIVALENTS</t>
  </si>
  <si>
    <t xml:space="preserve">Cash of Mada acqistion </t>
  </si>
  <si>
    <t>Lease liability</t>
  </si>
  <si>
    <t>Increase is share capital</t>
  </si>
  <si>
    <t>Provision for inventory write-off</t>
  </si>
  <si>
    <t>Cash Flow</t>
  </si>
  <si>
    <t>CUSTOMS DUTY EXPORT</t>
  </si>
  <si>
    <t>CUSTOMS CLEARANCE (IOR)</t>
  </si>
  <si>
    <t>Salary – Outside</t>
  </si>
  <si>
    <t>Customs duties</t>
  </si>
  <si>
    <t>Customs clearance</t>
  </si>
  <si>
    <t>Inventory Adjustment Expense</t>
  </si>
  <si>
    <t>Machine and equipment insurance</t>
  </si>
  <si>
    <t>Building insurance</t>
  </si>
  <si>
    <t xml:space="preserve">Cleaning Expenses </t>
  </si>
  <si>
    <t xml:space="preserve">Employee Medical Emergency Expenses </t>
  </si>
  <si>
    <t xml:space="preserve">Back office Support </t>
  </si>
  <si>
    <t>Vehicle insurance</t>
  </si>
  <si>
    <t>Govt license and fees (including modon)</t>
  </si>
  <si>
    <t>Warehouse Rent ( Khamis, Rioyadh, Dammam)</t>
  </si>
  <si>
    <t>3rd Industrial Area Lease Provision</t>
  </si>
  <si>
    <t xml:space="preserve">Sales Office Rent (Dammam) </t>
  </si>
  <si>
    <t>Customs duties and clearances</t>
  </si>
  <si>
    <t>Rental labor</t>
  </si>
  <si>
    <t>Training</t>
  </si>
  <si>
    <t xml:space="preserve">Postage &amp; Printing </t>
  </si>
  <si>
    <t>Vehicle maintenance</t>
  </si>
  <si>
    <t>Building maintenance</t>
  </si>
  <si>
    <t>Office equipment maintenance</t>
  </si>
  <si>
    <t>Recruitment</t>
  </si>
  <si>
    <t>Utilities</t>
  </si>
  <si>
    <t>Food and housing</t>
  </si>
  <si>
    <t xml:space="preserve">Incentives </t>
  </si>
  <si>
    <t xml:space="preserve">Food &amp; Housing </t>
  </si>
  <si>
    <t>Transportation allowance</t>
  </si>
  <si>
    <t>Leave pay</t>
  </si>
  <si>
    <t>Iqama renewal</t>
  </si>
  <si>
    <t xml:space="preserve">Education &amp; Furniture Allowances </t>
  </si>
  <si>
    <t>Indemnities</t>
  </si>
  <si>
    <t>GOSI</t>
  </si>
  <si>
    <t>Pump rental expenses</t>
  </si>
  <si>
    <t>Production hall rental</t>
  </si>
  <si>
    <t>Sadagat expense</t>
  </si>
  <si>
    <t>Amortization</t>
  </si>
  <si>
    <t>Direct Exp Mobile allowance</t>
  </si>
  <si>
    <t>txtFiscalPerOB</t>
  </si>
  <si>
    <t>Applied Labor</t>
  </si>
  <si>
    <t>DIRECT SALARY-OUTSIDE LABORS</t>
  </si>
  <si>
    <t>Conso</t>
  </si>
  <si>
    <t>Gros profit</t>
  </si>
  <si>
    <t>Net profit</t>
  </si>
  <si>
    <t>EBITDA</t>
  </si>
  <si>
    <t>Return on Equity</t>
  </si>
  <si>
    <t>VH</t>
  </si>
  <si>
    <t>Current ratio</t>
  </si>
  <si>
    <t>Leverage ratio</t>
  </si>
  <si>
    <t>Working capital</t>
  </si>
  <si>
    <t>Days Sales Outstanding</t>
  </si>
  <si>
    <t>Days Inventory Outstanding</t>
  </si>
  <si>
    <t>Days Payable Outstanding</t>
  </si>
  <si>
    <t>Working Capital Cycle</t>
  </si>
  <si>
    <t>Selling</t>
  </si>
  <si>
    <t>G&amp;A</t>
  </si>
  <si>
    <t>COGS</t>
  </si>
  <si>
    <t>GP</t>
  </si>
  <si>
    <t>Finance Cost</t>
  </si>
  <si>
    <t>Depreciation</t>
  </si>
  <si>
    <t>DIRECT EXP-Electricity</t>
  </si>
  <si>
    <t>ALIF_Apr</t>
  </si>
  <si>
    <t>MAY 2025</t>
  </si>
  <si>
    <t>YTD MAY 2025</t>
  </si>
  <si>
    <t>MAY 2024</t>
  </si>
  <si>
    <t>MAY 2023</t>
  </si>
  <si>
    <t>MAY 2022</t>
  </si>
  <si>
    <t>YTD MAY 2024</t>
  </si>
  <si>
    <t>YTD MAY 2023</t>
  </si>
  <si>
    <t>YTD MAY 2022</t>
  </si>
  <si>
    <t>Jan</t>
  </si>
  <si>
    <t>Feb</t>
  </si>
  <si>
    <t>CASH AND CASH EQUIVALENTS</t>
  </si>
  <si>
    <t>Cash and cash equivalents - Beginning balance</t>
  </si>
  <si>
    <t>Mar</t>
  </si>
  <si>
    <t>Apr</t>
  </si>
  <si>
    <t>May</t>
  </si>
  <si>
    <t>Ytd</t>
  </si>
  <si>
    <t>MANUAL ENTRIES:</t>
  </si>
  <si>
    <t>Jun</t>
  </si>
  <si>
    <t>Tons</t>
  </si>
  <si>
    <t>Price</t>
  </si>
  <si>
    <t>PREPAID EXPENSES</t>
  </si>
  <si>
    <t>Fixed Cost</t>
  </si>
  <si>
    <t>Contribution margin</t>
  </si>
  <si>
    <t>Variable Cost</t>
  </si>
  <si>
    <t>Breakeven sales</t>
  </si>
  <si>
    <t>Contribution margin %</t>
  </si>
  <si>
    <t>Prepaid expense</t>
  </si>
  <si>
    <t>Jul</t>
  </si>
  <si>
    <t>Breakeven Tons</t>
  </si>
  <si>
    <t>Aug</t>
  </si>
  <si>
    <t>Subscriptions &amp; Membership Fees</t>
  </si>
  <si>
    <t>Sep</t>
  </si>
  <si>
    <t>AIMS INDUSTRIAL</t>
  </si>
  <si>
    <t>Entertainment expense</t>
  </si>
  <si>
    <t>Q1</t>
  </si>
  <si>
    <t>Q2</t>
  </si>
  <si>
    <t>Q3</t>
  </si>
  <si>
    <t>YTD</t>
  </si>
  <si>
    <t>OPERATING INCOME (EBITDA)</t>
  </si>
  <si>
    <t>Oct</t>
  </si>
  <si>
    <t>Bank Al Bilad USD</t>
  </si>
  <si>
    <t>Nov</t>
  </si>
  <si>
    <t>Dec</t>
  </si>
  <si>
    <t>Other Income</t>
  </si>
  <si>
    <t>Depreciation - Machines</t>
  </si>
  <si>
    <t>NOTES</t>
  </si>
  <si>
    <t>REVENUE</t>
  </si>
  <si>
    <t>CONSOLIDATED</t>
  </si>
  <si>
    <t>COST OF SALES</t>
  </si>
  <si>
    <t>FINANCE COST</t>
  </si>
  <si>
    <t>DEPRECIATION</t>
  </si>
  <si>
    <t>OTHER INCOME</t>
  </si>
  <si>
    <t>TRADE RECEIVABLES</t>
  </si>
  <si>
    <t>INVENTORIES</t>
  </si>
  <si>
    <t>Freight Expenses (Drayage)</t>
  </si>
  <si>
    <t>DUE FROM RP</t>
  </si>
  <si>
    <t>PROPERTY, PLANT AND EQUIPMENT</t>
  </si>
  <si>
    <t>RIGHT OF USE</t>
  </si>
  <si>
    <t>SHORT-TERM MURABAHA LOANS</t>
  </si>
  <si>
    <t>TADE PAYABLES AND ACCUALS &amp; OTHER CREDIT BALANCES</t>
  </si>
  <si>
    <t xml:space="preserve">LEASE LIABILITIES NON-CURRENT </t>
  </si>
  <si>
    <t xml:space="preserve">DUE TO RELATED PARTIES </t>
  </si>
  <si>
    <t xml:space="preserve">END-OF-SERVICE INDEMNITIES </t>
  </si>
  <si>
    <t>PROVISION FOR EVACUATION</t>
  </si>
  <si>
    <t>PROPERTY, PLANT AND EQUIPMENT NET</t>
  </si>
  <si>
    <t>31 December 2025</t>
  </si>
  <si>
    <t>Y2024</t>
  </si>
  <si>
    <t>OTHER COMRPREHENSIVE INCOME</t>
  </si>
  <si>
    <t>Y2023</t>
  </si>
  <si>
    <t>Y2022</t>
  </si>
  <si>
    <t>Y2021</t>
  </si>
  <si>
    <t>Y2020</t>
  </si>
  <si>
    <t>Y2019</t>
  </si>
  <si>
    <t>Y2018</t>
  </si>
  <si>
    <t>Y2017</t>
  </si>
  <si>
    <t>Y2016</t>
  </si>
  <si>
    <t>Y2015</t>
  </si>
  <si>
    <t>Y2014</t>
  </si>
  <si>
    <t>Y2025</t>
  </si>
  <si>
    <t>Y2014 - Y2025</t>
  </si>
  <si>
    <t>Percent:</t>
  </si>
  <si>
    <t>Net income (loss)</t>
  </si>
  <si>
    <t>Acnt Group</t>
  </si>
  <si>
    <t>Expense Group</t>
  </si>
  <si>
    <t>Pre-operating expenses</t>
  </si>
  <si>
    <t>HADAF PROGRAMM FOR REFUND SALARY-PRD</t>
  </si>
  <si>
    <t>EMPLOYEES RESTRUCTURE COST-PRD</t>
  </si>
  <si>
    <t>DEPRECIATION  OF RIGHT OF USE ASSETS-PRD</t>
  </si>
  <si>
    <t>BUILDING DEPRECIATION-PRD</t>
  </si>
  <si>
    <t>Furniture &amp; Fittings Depr-PRD</t>
  </si>
  <si>
    <t xml:space="preserve"> M/C AND EQUIP DEPR-PRD</t>
  </si>
  <si>
    <t xml:space="preserve"> BUILDING MAINTENANCE-PRD</t>
  </si>
  <si>
    <t xml:space="preserve"> VEHICLE MAINTENANCE-PRD</t>
  </si>
  <si>
    <t xml:space="preserve"> M/C AND EQUIP MAINT-PRD</t>
  </si>
  <si>
    <t xml:space="preserve"> FUEL AND OIL-PRD</t>
  </si>
  <si>
    <t xml:space="preserve"> WATER-PRD</t>
  </si>
  <si>
    <t xml:space="preserve"> WATER-DMM</t>
  </si>
  <si>
    <t xml:space="preserve"> WATER---C/F</t>
  </si>
  <si>
    <t xml:space="preserve"> ELECTRICITY-PRD</t>
  </si>
  <si>
    <t xml:space="preserve"> TOOLS &amp; SPARE PARTS EXPENSE-PRD</t>
  </si>
  <si>
    <t xml:space="preserve"> CONSUMABLES-PRD</t>
  </si>
  <si>
    <t xml:space="preserve"> TICKETS  AND VISA ALLOWANCE-PRD</t>
  </si>
  <si>
    <t xml:space="preserve">  END OF SERVICE-PRD</t>
  </si>
  <si>
    <t xml:space="preserve">  LEAVE PAY-PRD</t>
  </si>
  <si>
    <t xml:space="preserve">  AIR TICKETS-PRD</t>
  </si>
  <si>
    <t xml:space="preserve">  HOUSING AND RENT-PRD</t>
  </si>
  <si>
    <t xml:space="preserve">  GOV FEES-PRD</t>
  </si>
  <si>
    <t xml:space="preserve">  GOV FEES-JED-ADM</t>
  </si>
  <si>
    <t xml:space="preserve">  MEDICAL INSURANCE-PRD</t>
  </si>
  <si>
    <t xml:space="preserve">  FOOD ALLOWANCE-PRD</t>
  </si>
  <si>
    <t xml:space="preserve">  OVER TIME-PRD</t>
  </si>
  <si>
    <t xml:space="preserve"> WAGES AND SALARIES-PRD--WN</t>
  </si>
  <si>
    <t xml:space="preserve"> WAGES AND SALARIES-PRD</t>
  </si>
  <si>
    <t>ALLOCATION OF OVER HEADS</t>
  </si>
  <si>
    <t>DIRECT EXP-MATERIAL PURCHASING VARIANCE---WN</t>
  </si>
  <si>
    <t>DIRECT EXP-MATERIAL PURCHASING VARIANCE---WD</t>
  </si>
  <si>
    <t>DIRECT EXP-MATERIAL PURCHASING VARIANCE---SP</t>
  </si>
  <si>
    <t>DIRECT EXP-MATERIAL PURCHASING VARIANCE---PN</t>
  </si>
  <si>
    <t>DIRECT EXP-Medical Expense-PRD</t>
  </si>
  <si>
    <t>DIRECT EXP-Housing Allowance-PRD--WN</t>
  </si>
  <si>
    <t>DIRECT EXP-Housing Allowance-PRD--WM</t>
  </si>
  <si>
    <t>DIRECT EXP-Housing Allowance-PRD--SW</t>
  </si>
  <si>
    <t>DIRECT EXP-Housing Allowance-PRD--CP</t>
  </si>
  <si>
    <t>DIRECT EXP-medical insurance-PRD--WN</t>
  </si>
  <si>
    <t>DIRECT EXP-medical insurance-PRD--WM</t>
  </si>
  <si>
    <t>DIRECT EXP-medical insurance-PRD--SW</t>
  </si>
  <si>
    <t>DIRECT EXP-medical insurance-PRD--LS</t>
  </si>
  <si>
    <t>DIRECT EXP-medical insurance-PRD--CP</t>
  </si>
  <si>
    <t>DIRECT EXP-medical insurance-PRD--AB</t>
  </si>
  <si>
    <t>DIRECT EXP-Leave Pay-PRD--WN</t>
  </si>
  <si>
    <t>DIRECT EXP-Leave Pay-PRD--WM</t>
  </si>
  <si>
    <t>DIRECT EXP-Leave Pay-PRD--SW</t>
  </si>
  <si>
    <t>DIRECT EXP-Leave Pay-PRD--CP</t>
  </si>
  <si>
    <t>DIRECT EXP-Transportation Allowance-PRD--WN</t>
  </si>
  <si>
    <t>DIRECT EXP-Transportation Allowance-PRD--WM</t>
  </si>
  <si>
    <t>DIRECT EXP-Transportation Allowance-PRD--SW</t>
  </si>
  <si>
    <t>DIRECT EXP-Transportation Allowance-PRD--CP</t>
  </si>
  <si>
    <t>DIRECT EXP-Transportation Allowance-PRD</t>
  </si>
  <si>
    <t>DIRECT EXP-Wages and Salaries-PRD--WN</t>
  </si>
  <si>
    <t>DIRECT EXP-Wages and Salaries-PRD--WM</t>
  </si>
  <si>
    <t>DIRECT EXP-Wages and Salaries-PRD--SW</t>
  </si>
  <si>
    <t>DIRECT EXP-Wages and Salaries-PRD--CP</t>
  </si>
  <si>
    <t xml:space="preserve"> COGS OVERHEAD---WN</t>
  </si>
  <si>
    <t xml:space="preserve"> COGS OVERHEAD---WM</t>
  </si>
  <si>
    <t xml:space="preserve"> COGS OVERHEAD---TH</t>
  </si>
  <si>
    <t xml:space="preserve"> COGS OVERHEAD---SW</t>
  </si>
  <si>
    <t xml:space="preserve"> COGS OVERHEAD---PN</t>
  </si>
  <si>
    <t xml:space="preserve"> COGS OVERHEAD---DP</t>
  </si>
  <si>
    <t xml:space="preserve"> COGS OVERHEAD---CW</t>
  </si>
  <si>
    <t xml:space="preserve"> COGS OVERHEAD---CP</t>
  </si>
  <si>
    <t xml:space="preserve"> COGS OVERHEAD---BB</t>
  </si>
  <si>
    <t xml:space="preserve"> COGS OVERHEAD---AB</t>
  </si>
  <si>
    <t xml:space="preserve"> COGS INDIRECT MATERIAL-PRD</t>
  </si>
  <si>
    <t xml:space="preserve"> COGS INDIRECT MATERIAL---WN</t>
  </si>
  <si>
    <t xml:space="preserve"> COGS INDIRECT MATERIAL---WM</t>
  </si>
  <si>
    <t xml:space="preserve"> COGS INDIRECT MATERIAL---TW</t>
  </si>
  <si>
    <t xml:space="preserve"> COGS INDIRECT MATERIAL---TRSR</t>
  </si>
  <si>
    <t xml:space="preserve"> COGS INDIRECT MATERIAL---TH</t>
  </si>
  <si>
    <t xml:space="preserve"> COGS INDIRECT MATERIAL---TCN</t>
  </si>
  <si>
    <t xml:space="preserve"> COGS INDIRECT MATERIAL---SW</t>
  </si>
  <si>
    <t xml:space="preserve"> COGS INDIRECT MATERIAL---SP</t>
  </si>
  <si>
    <t xml:space="preserve"> COGS INDIRECT MATERIAL---PN</t>
  </si>
  <si>
    <t xml:space="preserve"> COGS INDIRECT MATERIAL---DP</t>
  </si>
  <si>
    <t xml:space="preserve"> COGS INDIRECT MATERIAL---CW</t>
  </si>
  <si>
    <t xml:space="preserve"> COGS INDIRECT MATERIAL---CP</t>
  </si>
  <si>
    <t xml:space="preserve"> COGS INDIRECT MATERIAL---BB</t>
  </si>
  <si>
    <t xml:space="preserve"> COGS INDIRECT MATERIAL---AB</t>
  </si>
  <si>
    <t xml:space="preserve"> COGS DIRECT LABOR---WN</t>
  </si>
  <si>
    <t xml:space="preserve"> COGS DIRECT LABOR---DP</t>
  </si>
  <si>
    <t xml:space="preserve"> COGS DIRECT LABOR---CP</t>
  </si>
  <si>
    <t xml:space="preserve"> COGS DIRECT LABOR---BB</t>
  </si>
  <si>
    <t>COGS MATERIAL-PRD--WN</t>
  </si>
  <si>
    <t>COGS MATERIAL---WN</t>
  </si>
  <si>
    <t>COGS MATERIAL---WM</t>
  </si>
  <si>
    <t>COGS MATERIAL---TW</t>
  </si>
  <si>
    <t>COGS MATERIAL---TRSR</t>
  </si>
  <si>
    <t>COGS MATERIAL---TIW</t>
  </si>
  <si>
    <t>COGS MATERIAL---TH</t>
  </si>
  <si>
    <t>COGS MATERIAL---TFE</t>
  </si>
  <si>
    <t>COGS MATERIAL---TCN</t>
  </si>
  <si>
    <t>COGS MATERIAL---SW</t>
  </si>
  <si>
    <t>COGS MATERIAL---SP</t>
  </si>
  <si>
    <t>COGS MATERIAL---PN</t>
  </si>
  <si>
    <t>COGS MATERIAL---DP</t>
  </si>
  <si>
    <t>COGS MATERIAL---CW</t>
  </si>
  <si>
    <t>COGS MATERIAL---CP</t>
  </si>
  <si>
    <t>COGS MATERIAL---BB</t>
  </si>
  <si>
    <t>COGS MATERIAL---AB</t>
  </si>
  <si>
    <t>Decors and Inst Depr-PRD</t>
  </si>
  <si>
    <t xml:space="preserve"> TOOLS &amp; SPARE PARTS EXPENSE-KHD</t>
  </si>
  <si>
    <t xml:space="preserve">  TRANSPORTATION-PRD</t>
  </si>
  <si>
    <t>DIRECT EXP-MATERIAL PURCHASING VARIANCE---FL</t>
  </si>
  <si>
    <t>DIRECT EXP-MATERIAL PURCHASING VARIANCE---AB</t>
  </si>
  <si>
    <t>DIRECT EXP-Overtime-PRD--WN</t>
  </si>
  <si>
    <t>DIRECT EXP-Overtime-PRD--WM</t>
  </si>
  <si>
    <t>DIRECT EXP-Overtime-PRD--SW</t>
  </si>
  <si>
    <t>DIRECT EXP-Overtime-PRD--CP</t>
  </si>
  <si>
    <t>DIRECT EXP-Overtime-PRD--BB</t>
  </si>
  <si>
    <t>DIRECT EXP-Wages and Salaries-PRD--BB</t>
  </si>
  <si>
    <t xml:space="preserve"> COGS  VARIANCE---WN</t>
  </si>
  <si>
    <t xml:space="preserve"> COGS OVERHEAD---TIW</t>
  </si>
  <si>
    <t xml:space="preserve"> COGS OVERHEAD---SP</t>
  </si>
  <si>
    <t xml:space="preserve"> COGS INDIRECT MATERIAL---TIW</t>
  </si>
  <si>
    <t xml:space="preserve"> COGS DIRECT LABOR---TIW</t>
  </si>
  <si>
    <t xml:space="preserve"> COGS DIRECT LABOR---PN</t>
  </si>
  <si>
    <t>COGS MATERIAL-PRD--CP</t>
  </si>
  <si>
    <t>ALOCATION OF OVERHEADS</t>
  </si>
  <si>
    <t>OVER HEADS ALLOCTATION</t>
  </si>
  <si>
    <t>allocation of overheads</t>
  </si>
  <si>
    <t>ALLOCATION FOR JAN TO FEB</t>
  </si>
  <si>
    <t>ALLOCATION OF MARCH</t>
  </si>
  <si>
    <t>ALLOCATION</t>
  </si>
  <si>
    <t>ALLOCATION - JUN</t>
  </si>
  <si>
    <t>ALLOCATION - JULY</t>
  </si>
  <si>
    <t>ALLOCATION OVER HEADS</t>
  </si>
  <si>
    <t>ALLOCATION OVER HEADS - AUG</t>
  </si>
  <si>
    <t>ALLOCATION OVER HEAD FOR OCTOBER</t>
  </si>
  <si>
    <t>OVER HEAD</t>
  </si>
  <si>
    <t>O H ALLOCATION</t>
  </si>
  <si>
    <t>GLAcctDesc</t>
  </si>
  <si>
    <t>GLAcctDisp</t>
  </si>
  <si>
    <t>AIMS expenses</t>
  </si>
  <si>
    <t xml:space="preserve"> SALES REVENUE - BUSBAR</t>
  </si>
  <si>
    <t>COGS MATERIAL - BUSBAR</t>
  </si>
  <si>
    <t>Overhead - R&amp;M</t>
  </si>
  <si>
    <t>Overhead - Utility</t>
  </si>
  <si>
    <t>Overhead - Rent Labor</t>
  </si>
  <si>
    <t>Overhead - Consumables &amp; SP</t>
  </si>
  <si>
    <t>Overhead - Insurance</t>
  </si>
  <si>
    <t>Overhead - Rent</t>
  </si>
  <si>
    <t>Overhead - Labor Cost</t>
  </si>
  <si>
    <t xml:space="preserve"> SALES REVENUE - TARIFF</t>
  </si>
  <si>
    <t>Periodice 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</si>
</sst>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_);[Red]\(#,##0.0\)"/>
    <numFmt numFmtId="166" formatCode="0.0%"/>
    <numFmt numFmtId="167" formatCode="#,##0.0_);\(#,##0.0\)"/>
  </numFmts>
  <fonts count="5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75669"/>
        <bgColor indexed="8"/>
      </patternFill>
    </fill>
    <fill>
      <patternFill patternType="solid">
        <fgColor rgb="FF07566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43" fontId="33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0" fontId="36" fillId="0" borderId="0"/>
    <xf numFmtId="43" fontId="3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0" fontId="6" fillId="0" borderId="0"/>
    <xf numFmtId="0" fontId="36" fillId="0" borderId="0"/>
  </cellStyleXfs>
  <cellXfs count="184">
    <xf numFmtId="0" fontId="32" fillId="0" borderId="0" xfId="0" applyFont="1"/>
    <xf numFmtId="0" fontId="31" fillId="0" borderId="0" xfId="2"/>
    <xf numFmtId="43" fontId="0" fillId="0" borderId="0" xfId="3" applyFont="1"/>
    <xf numFmtId="43" fontId="31" fillId="0" borderId="0" xfId="1" applyFont="1"/>
    <xf numFmtId="43" fontId="0" fillId="0" borderId="0" xfId="1" applyFont="1"/>
    <xf numFmtId="0" fontId="34" fillId="0" borderId="0" xfId="2" applyFont="1"/>
    <xf numFmtId="43" fontId="31" fillId="2" borderId="0" xfId="1" applyFont="1" applyFill="1"/>
    <xf numFmtId="0" fontId="34" fillId="0" borderId="0" xfId="4" applyFont="1" applyAlignment="1">
      <alignment horizontal="center"/>
    </xf>
    <xf numFmtId="0" fontId="34" fillId="0" borderId="0" xfId="4" applyFont="1"/>
    <xf numFmtId="0" fontId="30" fillId="0" borderId="0" xfId="4"/>
    <xf numFmtId="0" fontId="30" fillId="0" borderId="0" xfId="4" applyAlignment="1">
      <alignment horizontal="center"/>
    </xf>
    <xf numFmtId="164" fontId="0" fillId="0" borderId="0" xfId="7" applyNumberFormat="1" applyFont="1"/>
    <xf numFmtId="165" fontId="0" fillId="0" borderId="0" xfId="7" applyNumberFormat="1" applyFont="1" applyAlignment="1">
      <alignment horizontal="center"/>
    </xf>
    <xf numFmtId="164" fontId="34" fillId="0" borderId="0" xfId="7" applyNumberFormat="1" applyFont="1" applyAlignment="1">
      <alignment horizontal="center"/>
    </xf>
    <xf numFmtId="164" fontId="30" fillId="0" borderId="0" xfId="7" applyNumberFormat="1" applyFont="1" applyAlignment="1">
      <alignment horizontal="center"/>
    </xf>
    <xf numFmtId="164" fontId="34" fillId="0" borderId="4" xfId="7" applyNumberFormat="1" applyFont="1" applyBorder="1" applyAlignment="1">
      <alignment horizontal="center"/>
    </xf>
    <xf numFmtId="164" fontId="0" fillId="0" borderId="4" xfId="7" applyNumberFormat="1" applyFont="1" applyBorder="1"/>
    <xf numFmtId="164" fontId="34" fillId="0" borderId="0" xfId="7" applyNumberFormat="1" applyFont="1"/>
    <xf numFmtId="164" fontId="34" fillId="0" borderId="4" xfId="7" applyNumberFormat="1" applyFont="1" applyBorder="1"/>
    <xf numFmtId="0" fontId="34" fillId="0" borderId="0" xfId="4" applyFont="1" applyAlignment="1">
      <alignment vertical="center"/>
    </xf>
    <xf numFmtId="0" fontId="30" fillId="0" borderId="0" xfId="4" applyAlignment="1">
      <alignment vertical="center"/>
    </xf>
    <xf numFmtId="164" fontId="34" fillId="0" borderId="5" xfId="7" applyNumberFormat="1" applyFont="1" applyBorder="1" applyAlignment="1">
      <alignment vertical="center"/>
    </xf>
    <xf numFmtId="0" fontId="37" fillId="3" borderId="0" xfId="5" applyFont="1" applyFill="1"/>
    <xf numFmtId="0" fontId="37" fillId="3" borderId="1" xfId="5" applyFont="1" applyFill="1" applyBorder="1" applyAlignment="1">
      <alignment vertical="center"/>
    </xf>
    <xf numFmtId="0" fontId="38" fillId="0" borderId="0" xfId="5" applyFont="1" applyAlignment="1">
      <alignment horizontal="right" vertical="center"/>
    </xf>
    <xf numFmtId="0" fontId="37" fillId="3" borderId="0" xfId="5" applyFont="1" applyFill="1" applyAlignment="1">
      <alignment vertical="center"/>
    </xf>
    <xf numFmtId="0" fontId="38" fillId="3" borderId="0" xfId="5" applyFont="1" applyFill="1" applyAlignment="1">
      <alignment vertical="center"/>
    </xf>
    <xf numFmtId="0" fontId="38" fillId="0" borderId="0" xfId="5" applyFont="1"/>
    <xf numFmtId="0" fontId="37" fillId="0" borderId="0" xfId="5" applyFont="1"/>
    <xf numFmtId="0" fontId="37" fillId="3" borderId="0" xfId="5" quotePrefix="1" applyFont="1" applyFill="1"/>
    <xf numFmtId="0" fontId="38" fillId="0" borderId="0" xfId="5" applyFont="1" applyAlignment="1">
      <alignment vertical="center"/>
    </xf>
    <xf numFmtId="3" fontId="37" fillId="0" borderId="0" xfId="5" applyNumberFormat="1" applyFont="1" applyAlignment="1">
      <alignment horizontal="right" vertical="center"/>
    </xf>
    <xf numFmtId="164" fontId="39" fillId="3" borderId="0" xfId="6" applyNumberFormat="1" applyFont="1" applyFill="1" applyBorder="1" applyAlignment="1">
      <alignment horizontal="right" vertical="center"/>
    </xf>
    <xf numFmtId="164" fontId="40" fillId="3" borderId="2" xfId="6" applyNumberFormat="1" applyFont="1" applyFill="1" applyBorder="1" applyAlignment="1">
      <alignment horizontal="right" vertical="center"/>
    </xf>
    <xf numFmtId="164" fontId="40" fillId="3" borderId="0" xfId="6" applyNumberFormat="1" applyFont="1" applyFill="1" applyBorder="1" applyAlignment="1">
      <alignment horizontal="right" vertical="center"/>
    </xf>
    <xf numFmtId="164" fontId="39" fillId="3" borderId="0" xfId="6" applyNumberFormat="1" applyFont="1" applyFill="1" applyBorder="1" applyAlignment="1">
      <alignment vertical="center"/>
    </xf>
    <xf numFmtId="164" fontId="40" fillId="3" borderId="0" xfId="6" applyNumberFormat="1" applyFont="1" applyFill="1" applyBorder="1" applyAlignment="1">
      <alignment vertical="center"/>
    </xf>
    <xf numFmtId="164" fontId="40" fillId="3" borderId="0" xfId="6" applyNumberFormat="1" applyFont="1" applyFill="1" applyBorder="1" applyAlignment="1"/>
    <xf numFmtId="164" fontId="39" fillId="3" borderId="0" xfId="6" applyNumberFormat="1" applyFont="1" applyFill="1" applyBorder="1" applyAlignment="1"/>
    <xf numFmtId="0" fontId="29" fillId="0" borderId="0" xfId="4" applyFont="1"/>
    <xf numFmtId="0" fontId="31" fillId="2" borderId="0" xfId="2" applyFill="1"/>
    <xf numFmtId="43" fontId="31" fillId="5" borderId="0" xfId="1" applyFont="1" applyFill="1"/>
    <xf numFmtId="43" fontId="31" fillId="4" borderId="0" xfId="1" applyFont="1" applyFill="1"/>
    <xf numFmtId="43" fontId="31" fillId="0" borderId="0" xfId="1" applyFont="1" applyFill="1"/>
    <xf numFmtId="0" fontId="28" fillId="0" borderId="0" xfId="4" applyFont="1"/>
    <xf numFmtId="0" fontId="27" fillId="0" borderId="0" xfId="4" applyFont="1"/>
    <xf numFmtId="0" fontId="41" fillId="3" borderId="0" xfId="5" applyFont="1" applyFill="1"/>
    <xf numFmtId="0" fontId="26" fillId="0" borderId="0" xfId="4" applyFont="1"/>
    <xf numFmtId="0" fontId="32" fillId="0" borderId="0" xfId="8" applyFont="1"/>
    <xf numFmtId="0" fontId="42" fillId="0" borderId="0" xfId="8" applyFont="1" applyAlignment="1">
      <alignment horizontal="justify" vertical="top" wrapText="1"/>
    </xf>
    <xf numFmtId="164" fontId="42" fillId="0" borderId="0" xfId="6" applyNumberFormat="1" applyFont="1" applyFill="1" applyBorder="1" applyAlignment="1"/>
    <xf numFmtId="0" fontId="43" fillId="0" borderId="0" xfId="8" applyFont="1" applyAlignment="1">
      <alignment horizontal="left" vertical="top" wrapText="1" indent="1"/>
    </xf>
    <xf numFmtId="0" fontId="43" fillId="0" borderId="0" xfId="8" applyFont="1" applyAlignment="1">
      <alignment horizontal="left" vertical="top"/>
    </xf>
    <xf numFmtId="164" fontId="43" fillId="0" borderId="4" xfId="6" applyNumberFormat="1" applyFont="1" applyFill="1" applyBorder="1" applyAlignment="1"/>
    <xf numFmtId="164" fontId="42" fillId="2" borderId="0" xfId="6" applyNumberFormat="1" applyFont="1" applyFill="1" applyBorder="1" applyAlignment="1"/>
    <xf numFmtId="0" fontId="43" fillId="0" borderId="0" xfId="8" applyFont="1" applyAlignment="1">
      <alignment horizontal="justify" vertical="top" wrapText="1"/>
    </xf>
    <xf numFmtId="164" fontId="38" fillId="0" borderId="0" xfId="6" applyNumberFormat="1" applyFont="1" applyFill="1" applyBorder="1"/>
    <xf numFmtId="0" fontId="42" fillId="0" borderId="0" xfId="8" applyFont="1" applyAlignment="1">
      <alignment vertical="top" wrapText="1"/>
    </xf>
    <xf numFmtId="164" fontId="42" fillId="0" borderId="5" xfId="6" applyNumberFormat="1" applyFont="1" applyFill="1" applyBorder="1" applyAlignment="1"/>
    <xf numFmtId="164" fontId="42" fillId="0" borderId="4" xfId="6" applyNumberFormat="1" applyFont="1" applyFill="1" applyBorder="1" applyAlignment="1"/>
    <xf numFmtId="164" fontId="43" fillId="0" borderId="0" xfId="6" applyNumberFormat="1" applyFont="1" applyFill="1" applyBorder="1" applyAlignment="1"/>
    <xf numFmtId="164" fontId="37" fillId="0" borderId="0" xfId="6" applyNumberFormat="1" applyFont="1" applyFill="1" applyBorder="1"/>
    <xf numFmtId="164" fontId="26" fillId="0" borderId="0" xfId="7" applyNumberFormat="1" applyFont="1"/>
    <xf numFmtId="0" fontId="25" fillId="0" borderId="0" xfId="2" applyFont="1"/>
    <xf numFmtId="0" fontId="38" fillId="3" borderId="0" xfId="5" applyFont="1" applyFill="1"/>
    <xf numFmtId="0" fontId="38" fillId="3" borderId="0" xfId="5" quotePrefix="1" applyFont="1" applyFill="1"/>
    <xf numFmtId="0" fontId="37" fillId="3" borderId="4" xfId="5" applyFont="1" applyFill="1" applyBorder="1" applyAlignment="1">
      <alignment horizontal="centerContinuous"/>
    </xf>
    <xf numFmtId="0" fontId="24" fillId="0" borderId="0" xfId="4" applyFont="1"/>
    <xf numFmtId="164" fontId="24" fillId="0" borderId="0" xfId="7" applyNumberFormat="1" applyFont="1"/>
    <xf numFmtId="164" fontId="33" fillId="0" borderId="0" xfId="7" applyNumberFormat="1" applyFont="1"/>
    <xf numFmtId="0" fontId="23" fillId="0" borderId="0" xfId="4" applyFont="1"/>
    <xf numFmtId="0" fontId="31" fillId="0" borderId="0" xfId="2" applyAlignment="1">
      <alignment horizontal="center"/>
    </xf>
    <xf numFmtId="43" fontId="31" fillId="0" borderId="0" xfId="1" applyFont="1" applyBorder="1"/>
    <xf numFmtId="43" fontId="31" fillId="0" borderId="0" xfId="1" applyFont="1" applyFill="1" applyBorder="1"/>
    <xf numFmtId="0" fontId="34" fillId="0" borderId="4" xfId="4" applyFont="1" applyBorder="1" applyAlignment="1">
      <alignment horizontal="centerContinuous"/>
    </xf>
    <xf numFmtId="0" fontId="22" fillId="0" borderId="0" xfId="4" applyFont="1"/>
    <xf numFmtId="0" fontId="21" fillId="0" borderId="0" xfId="4" applyFont="1"/>
    <xf numFmtId="164" fontId="20" fillId="0" borderId="0" xfId="7" applyNumberFormat="1" applyFont="1"/>
    <xf numFmtId="0" fontId="20" fillId="0" borderId="0" xfId="4" applyFont="1"/>
    <xf numFmtId="0" fontId="44" fillId="0" borderId="0" xfId="4" applyFont="1"/>
    <xf numFmtId="166" fontId="44" fillId="0" borderId="0" xfId="9" applyNumberFormat="1" applyFont="1" applyAlignment="1">
      <alignment horizontal="center"/>
    </xf>
    <xf numFmtId="164" fontId="39" fillId="0" borderId="0" xfId="6" applyNumberFormat="1" applyFont="1" applyFill="1" applyBorder="1" applyAlignment="1">
      <alignment horizontal="right" vertical="center"/>
    </xf>
    <xf numFmtId="0" fontId="19" fillId="0" borderId="0" xfId="4" applyFont="1"/>
    <xf numFmtId="164" fontId="35" fillId="0" borderId="0" xfId="7" applyNumberFormat="1" applyFont="1" applyAlignment="1">
      <alignment horizontal="center"/>
    </xf>
    <xf numFmtId="43" fontId="39" fillId="3" borderId="0" xfId="1" applyFont="1" applyFill="1" applyBorder="1" applyAlignment="1"/>
    <xf numFmtId="43" fontId="37" fillId="0" borderId="0" xfId="1" applyFont="1"/>
    <xf numFmtId="164" fontId="37" fillId="0" borderId="0" xfId="1" applyNumberFormat="1" applyFont="1"/>
    <xf numFmtId="0" fontId="16" fillId="0" borderId="0" xfId="4" applyFont="1"/>
    <xf numFmtId="9" fontId="0" fillId="0" borderId="0" xfId="9" applyFont="1"/>
    <xf numFmtId="0" fontId="15" fillId="0" borderId="0" xfId="4" applyFont="1"/>
    <xf numFmtId="0" fontId="14" fillId="0" borderId="0" xfId="16"/>
    <xf numFmtId="43" fontId="0" fillId="0" borderId="0" xfId="17" applyFont="1"/>
    <xf numFmtId="43" fontId="34" fillId="0" borderId="0" xfId="1" applyFont="1"/>
    <xf numFmtId="43" fontId="35" fillId="0" borderId="0" xfId="17" applyFont="1"/>
    <xf numFmtId="0" fontId="14" fillId="0" borderId="0" xfId="4" applyFont="1"/>
    <xf numFmtId="0" fontId="38" fillId="0" borderId="4" xfId="5" quotePrefix="1" applyFont="1" applyBorder="1" applyAlignment="1">
      <alignment horizontal="centerContinuous"/>
    </xf>
    <xf numFmtId="0" fontId="34" fillId="0" borderId="4" xfId="4" quotePrefix="1" applyFont="1" applyBorder="1" applyAlignment="1">
      <alignment horizontal="centerContinuous"/>
    </xf>
    <xf numFmtId="0" fontId="34" fillId="0" borderId="0" xfId="2" quotePrefix="1" applyFont="1"/>
    <xf numFmtId="164" fontId="32" fillId="0" borderId="0" xfId="1" applyNumberFormat="1" applyFont="1"/>
    <xf numFmtId="0" fontId="46" fillId="0" borderId="0" xfId="0" applyFont="1"/>
    <xf numFmtId="0" fontId="4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64" fontId="46" fillId="0" borderId="0" xfId="1" applyNumberFormat="1" applyFont="1"/>
    <xf numFmtId="0" fontId="48" fillId="6" borderId="6" xfId="5" applyFont="1" applyFill="1" applyBorder="1" applyAlignment="1">
      <alignment horizontal="center" vertical="center" wrapText="1"/>
    </xf>
    <xf numFmtId="0" fontId="13" fillId="0" borderId="0" xfId="4" applyFont="1"/>
    <xf numFmtId="164" fontId="13" fillId="0" borderId="0" xfId="7" applyNumberFormat="1" applyFont="1" applyAlignment="1">
      <alignment horizontal="center"/>
    </xf>
    <xf numFmtId="0" fontId="12" fillId="0" borderId="0" xfId="4" applyFont="1"/>
    <xf numFmtId="164" fontId="44" fillId="0" borderId="0" xfId="7" applyNumberFormat="1" applyFont="1" applyAlignment="1">
      <alignment horizontal="center"/>
    </xf>
    <xf numFmtId="164" fontId="0" fillId="0" borderId="0" xfId="1" applyNumberFormat="1" applyFont="1"/>
    <xf numFmtId="164" fontId="35" fillId="0" borderId="0" xfId="7" applyNumberFormat="1" applyFont="1"/>
    <xf numFmtId="0" fontId="10" fillId="0" borderId="0" xfId="4" applyFont="1"/>
    <xf numFmtId="166" fontId="0" fillId="0" borderId="0" xfId="9" applyNumberFormat="1" applyFont="1"/>
    <xf numFmtId="0" fontId="9" fillId="0" borderId="0" xfId="4" applyFont="1"/>
    <xf numFmtId="9" fontId="34" fillId="0" borderId="0" xfId="9" applyFont="1" applyAlignment="1">
      <alignment horizontal="center"/>
    </xf>
    <xf numFmtId="9" fontId="30" fillId="0" borderId="0" xfId="9" applyFont="1" applyAlignment="1">
      <alignment horizontal="center"/>
    </xf>
    <xf numFmtId="0" fontId="38" fillId="0" borderId="0" xfId="5" quotePrefix="1" applyFont="1"/>
    <xf numFmtId="164" fontId="32" fillId="0" borderId="0" xfId="1" applyNumberFormat="1" applyFont="1" applyFill="1"/>
    <xf numFmtId="164" fontId="38" fillId="0" borderId="6" xfId="1" applyNumberFormat="1" applyFont="1" applyFill="1" applyBorder="1" applyAlignment="1">
      <alignment horizontal="center" vertical="center" wrapText="1"/>
    </xf>
    <xf numFmtId="164" fontId="46" fillId="0" borderId="0" xfId="1" applyNumberFormat="1" applyFont="1" applyFill="1"/>
    <xf numFmtId="164" fontId="46" fillId="0" borderId="0" xfId="1" applyNumberFormat="1" applyFont="1" applyFill="1" applyAlignment="1">
      <alignment horizontal="centerContinuous"/>
    </xf>
    <xf numFmtId="0" fontId="8" fillId="0" borderId="0" xfId="4" applyFont="1"/>
    <xf numFmtId="0" fontId="30" fillId="2" borderId="0" xfId="4" applyFill="1" applyAlignment="1">
      <alignment horizontal="center"/>
    </xf>
    <xf numFmtId="0" fontId="30" fillId="2" borderId="0" xfId="4" applyFill="1"/>
    <xf numFmtId="0" fontId="29" fillId="2" borderId="0" xfId="4" applyFont="1" applyFill="1"/>
    <xf numFmtId="0" fontId="8" fillId="2" borderId="0" xfId="4" applyFont="1" applyFill="1"/>
    <xf numFmtId="0" fontId="49" fillId="0" borderId="4" xfId="4" applyFont="1" applyBorder="1" applyAlignment="1">
      <alignment horizontal="centerContinuous"/>
    </xf>
    <xf numFmtId="0" fontId="30" fillId="0" borderId="4" xfId="4" applyBorder="1"/>
    <xf numFmtId="164" fontId="26" fillId="0" borderId="4" xfId="7" applyNumberFormat="1" applyFont="1" applyBorder="1"/>
    <xf numFmtId="0" fontId="7" fillId="0" borderId="0" xfId="4" applyFont="1"/>
    <xf numFmtId="0" fontId="7" fillId="2" borderId="0" xfId="4" applyFont="1" applyFill="1"/>
    <xf numFmtId="0" fontId="5" fillId="0" borderId="0" xfId="4" applyFont="1"/>
    <xf numFmtId="164" fontId="32" fillId="0" borderId="4" xfId="1" applyNumberFormat="1" applyFont="1" applyFill="1" applyBorder="1"/>
    <xf numFmtId="164" fontId="46" fillId="0" borderId="4" xfId="1" applyNumberFormat="1" applyFont="1" applyFill="1" applyBorder="1"/>
    <xf numFmtId="0" fontId="32" fillId="0" borderId="4" xfId="8" applyFont="1" applyBorder="1"/>
    <xf numFmtId="164" fontId="51" fillId="6" borderId="0" xfId="6" applyNumberFormat="1" applyFont="1" applyFill="1" applyBorder="1" applyAlignment="1"/>
    <xf numFmtId="0" fontId="52" fillId="7" borderId="0" xfId="20" applyFont="1" applyFill="1" applyAlignment="1">
      <alignment horizontal="center" vertical="center"/>
    </xf>
    <xf numFmtId="164" fontId="51" fillId="8" borderId="0" xfId="6" applyNumberFormat="1" applyFont="1" applyFill="1" applyBorder="1" applyAlignment="1"/>
    <xf numFmtId="164" fontId="42" fillId="9" borderId="0" xfId="6" applyNumberFormat="1" applyFont="1" applyFill="1" applyBorder="1" applyAlignment="1"/>
    <xf numFmtId="0" fontId="38" fillId="9" borderId="6" xfId="5" applyFont="1" applyFill="1" applyBorder="1" applyAlignment="1">
      <alignment horizontal="center" vertical="center" wrapText="1"/>
    </xf>
    <xf numFmtId="164" fontId="51" fillId="8" borderId="5" xfId="6" applyNumberFormat="1" applyFont="1" applyFill="1" applyBorder="1" applyAlignment="1"/>
    <xf numFmtId="164" fontId="48" fillId="8" borderId="3" xfId="6" applyNumberFormat="1" applyFont="1" applyFill="1" applyBorder="1" applyAlignment="1">
      <alignment horizontal="right" vertical="center"/>
    </xf>
    <xf numFmtId="0" fontId="38" fillId="0" borderId="0" xfId="5" applyFont="1" applyAlignment="1">
      <alignment horizontal="center"/>
    </xf>
    <xf numFmtId="0" fontId="37" fillId="0" borderId="0" xfId="5" applyFont="1" applyAlignment="1">
      <alignment horizontal="center"/>
    </xf>
    <xf numFmtId="0" fontId="41" fillId="3" borderId="0" xfId="5" applyFont="1" applyFill="1" applyAlignment="1">
      <alignment horizontal="center"/>
    </xf>
    <xf numFmtId="0" fontId="41" fillId="0" borderId="0" xfId="5" applyFont="1" applyAlignment="1">
      <alignment horizontal="center"/>
    </xf>
    <xf numFmtId="164" fontId="50" fillId="0" borderId="0" xfId="7" applyNumberFormat="1" applyFont="1" applyAlignment="1">
      <alignment horizontal="center"/>
    </xf>
    <xf numFmtId="0" fontId="50" fillId="0" borderId="0" xfId="4" applyFont="1" applyAlignment="1">
      <alignment horizontal="center"/>
    </xf>
    <xf numFmtId="43" fontId="35" fillId="0" borderId="0" xfId="3" applyFont="1"/>
    <xf numFmtId="0" fontId="4" fillId="0" borderId="0" xfId="4" applyFont="1"/>
    <xf numFmtId="164" fontId="4" fillId="0" borderId="0" xfId="7" applyNumberFormat="1" applyFont="1" applyAlignment="1">
      <alignment horizontal="center"/>
    </xf>
    <xf numFmtId="0" fontId="3" fillId="0" borderId="0" xfId="16" applyFont="1"/>
    <xf numFmtId="43" fontId="33" fillId="0" borderId="0" xfId="17" applyFont="1"/>
    <xf numFmtId="0" fontId="3" fillId="0" borderId="0" xfId="2" applyFont="1"/>
    <xf numFmtId="164" fontId="4" fillId="0" borderId="4" xfId="7" applyNumberFormat="1" applyFont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0" fontId="3" fillId="0" borderId="0" xfId="4" applyFont="1"/>
    <xf numFmtId="0" fontId="16" fillId="10" borderId="0" xfId="4" applyFont="1" applyFill="1" applyAlignment="1">
      <alignment horizontal="left" indent="1"/>
    </xf>
    <xf numFmtId="167" fontId="0" fillId="10" borderId="0" xfId="1" applyNumberFormat="1" applyFont="1" applyFill="1" applyAlignment="1">
      <alignment horizontal="center"/>
    </xf>
    <xf numFmtId="164" fontId="47" fillId="8" borderId="2" xfId="7" applyNumberFormat="1" applyFont="1" applyFill="1" applyBorder="1" applyAlignment="1">
      <alignment horizontal="center" vertical="center"/>
    </xf>
    <xf numFmtId="43" fontId="0" fillId="2" borderId="0" xfId="17" applyFont="1" applyFill="1"/>
    <xf numFmtId="164" fontId="38" fillId="0" borderId="0" xfId="1" applyNumberFormat="1" applyFont="1"/>
    <xf numFmtId="3" fontId="31" fillId="0" borderId="0" xfId="2" applyNumberFormat="1"/>
    <xf numFmtId="4" fontId="31" fillId="0" borderId="0" xfId="2" applyNumberFormat="1"/>
    <xf numFmtId="0" fontId="2" fillId="0" borderId="0" xfId="2" applyFont="1"/>
    <xf numFmtId="164" fontId="31" fillId="0" borderId="0" xfId="1" applyNumberFormat="1" applyFont="1"/>
    <xf numFmtId="167" fontId="53" fillId="10" borderId="0" xfId="1" applyNumberFormat="1" applyFont="1" applyFill="1" applyAlignment="1">
      <alignment horizontal="center"/>
    </xf>
    <xf numFmtId="38" fontId="34" fillId="0" borderId="0" xfId="4" applyNumberFormat="1" applyFont="1"/>
    <xf numFmtId="38" fontId="30" fillId="0" borderId="0" xfId="4" applyNumberFormat="1"/>
    <xf numFmtId="38" fontId="34" fillId="0" borderId="0" xfId="7" applyNumberFormat="1" applyFont="1"/>
    <xf numFmtId="38" fontId="34" fillId="0" borderId="0" xfId="4" applyNumberFormat="1" applyFont="1" applyAlignment="1">
      <alignment vertical="center"/>
    </xf>
    <xf numFmtId="38" fontId="30" fillId="0" borderId="0" xfId="4" applyNumberFormat="1" applyAlignment="1">
      <alignment vertical="center"/>
    </xf>
    <xf numFmtId="38" fontId="49" fillId="0" borderId="5" xfId="7" applyNumberFormat="1" applyFont="1" applyFill="1" applyBorder="1" applyAlignment="1">
      <alignment vertical="center"/>
    </xf>
    <xf numFmtId="164" fontId="35" fillId="0" borderId="2" xfId="7" applyNumberFormat="1" applyFont="1" applyBorder="1" applyAlignment="1">
      <alignment vertical="center"/>
    </xf>
    <xf numFmtId="165" fontId="34" fillId="0" borderId="0" xfId="4" applyNumberFormat="1" applyFont="1"/>
    <xf numFmtId="165" fontId="35" fillId="0" borderId="0" xfId="1" applyNumberFormat="1" applyFont="1" applyAlignment="1">
      <alignment horizontal="center"/>
    </xf>
    <xf numFmtId="165" fontId="16" fillId="0" borderId="0" xfId="4" applyNumberFormat="1" applyFont="1"/>
    <xf numFmtId="165" fontId="0" fillId="0" borderId="0" xfId="1" applyNumberFormat="1" applyFont="1" applyAlignment="1">
      <alignment horizontal="center"/>
    </xf>
    <xf numFmtId="165" fontId="53" fillId="0" borderId="0" xfId="1" applyNumberFormat="1" applyFont="1" applyAlignment="1">
      <alignment horizontal="center"/>
    </xf>
    <xf numFmtId="165" fontId="30" fillId="0" borderId="0" xfId="4" applyNumberFormat="1"/>
    <xf numFmtId="40" fontId="0" fillId="0" borderId="0" xfId="1" applyNumberFormat="1" applyFont="1" applyAlignment="1">
      <alignment horizontal="center"/>
    </xf>
    <xf numFmtId="40" fontId="30" fillId="0" borderId="0" xfId="4" applyNumberFormat="1" applyAlignment="1">
      <alignment horizontal="center"/>
    </xf>
    <xf numFmtId="40" fontId="12" fillId="0" borderId="0" xfId="4" applyNumberFormat="1" applyFont="1"/>
    <xf numFmtId="164" fontId="53" fillId="0" borderId="0" xfId="7" applyNumberFormat="1" applyFont="1"/>
    <xf numFmtId="0" fontId="1" fillId="0" borderId="0" xfId="16" applyFont="1"/>
  </cellXfs>
  <cellStyles count="21">
    <cellStyle name="Comma" xfId="1" builtinId="3"/>
    <cellStyle name="Comma 2" xfId="3" xr:uid="{C3A6FE36-FA99-4D3D-B167-07B930167ED6}"/>
    <cellStyle name="Comma 3" xfId="7" xr:uid="{9B959526-791F-4355-82DB-8D9905C70CEC}"/>
    <cellStyle name="Comma 4" xfId="6" xr:uid="{A3DF979A-105F-4451-9531-7FF77CB22341}"/>
    <cellStyle name="Comma 5" xfId="11" xr:uid="{A0861252-2160-4162-8B45-83F0F40A4FE5}"/>
    <cellStyle name="Comma 6" xfId="15" xr:uid="{53C1801B-CAA9-4C8F-BD2F-74365623C913}"/>
    <cellStyle name="Comma 7" xfId="17" xr:uid="{2454A526-9001-403A-9B64-0183E898CC59}"/>
    <cellStyle name="Normal" xfId="0" builtinId="0"/>
    <cellStyle name="Normal 10" xfId="18" xr:uid="{AFDEAB76-F3A9-4A2D-86C8-9A60495A9DE2}"/>
    <cellStyle name="Normal 11" xfId="19" xr:uid="{9BFE7016-48A4-4248-B545-812E2A90726B}"/>
    <cellStyle name="Normal 2" xfId="2" xr:uid="{27F51A97-F8D2-474B-ACE8-60DC2AF741F8}"/>
    <cellStyle name="Normal 2 2" xfId="8" xr:uid="{0118E9C9-720A-4D7F-B918-07E3B8455020}"/>
    <cellStyle name="Normal 3" xfId="4" xr:uid="{DE23A30A-67AE-455E-A6E7-1FCB135F81D7}"/>
    <cellStyle name="Normal 4" xfId="5" xr:uid="{23774B85-9035-4172-B586-DC98A0A445DF}"/>
    <cellStyle name="Normal 5" xfId="10" xr:uid="{02E8DA30-74E5-49DD-B681-0C216ED50B17}"/>
    <cellStyle name="Normal 6" xfId="12" xr:uid="{54D5E608-6159-4EBE-9091-E97878A4E8C7}"/>
    <cellStyle name="Normal 7" xfId="13" xr:uid="{9B36F146-15DB-4B21-BBEE-F4E3C14E4149}"/>
    <cellStyle name="Normal 8" xfId="14" xr:uid="{18D32C8F-8AD6-4959-83AD-31A1AF805E49}"/>
    <cellStyle name="Normal 9" xfId="16" xr:uid="{32709462-A33F-4DCC-91B1-E7D87D5F3C7A}"/>
    <cellStyle name="Normal_AGING 2000" xfId="20" xr:uid="{4AC3409C-623F-4CA7-8CD5-43E26B9E890D}"/>
    <cellStyle name="Percent" xfId="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756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Finance Cost</a:t>
            </a:r>
            <a:r>
              <a:rPr lang="en-US" baseline="0"/>
              <a:t> and Depreciation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Short Term Loan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BS!$D$5:$O$5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BS!$D$23:$O$23</c:f>
              <c:numCache>
                <c:formatCode>_(* #,##0_);_(* \(#,##0\);_(* "-"??_);_(@_)</c:formatCode>
                <c:ptCount val="12"/>
                <c:pt idx="0">
                  <c:v>24897662.395</c:v>
                </c:pt>
                <c:pt idx="1">
                  <c:v>11975998.512</c:v>
                </c:pt>
                <c:pt idx="2">
                  <c:v>26152571.23</c:v>
                </c:pt>
                <c:pt idx="3">
                  <c:v>0</c:v>
                </c:pt>
                <c:pt idx="4">
                  <c:v>60835098.295000002</c:v>
                </c:pt>
                <c:pt idx="5">
                  <c:v>67558356.840000004</c:v>
                </c:pt>
                <c:pt idx="6">
                  <c:v>87069638.245000005</c:v>
                </c:pt>
                <c:pt idx="7">
                  <c:v>93444858.009000003</c:v>
                </c:pt>
                <c:pt idx="8">
                  <c:v>129181162.92999998</c:v>
                </c:pt>
                <c:pt idx="9">
                  <c:v>83699243.261999995</c:v>
                </c:pt>
                <c:pt idx="10">
                  <c:v>111392465.919</c:v>
                </c:pt>
                <c:pt idx="11">
                  <c:v>193396818.67900002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E-4CCD-997C-65FCFFB93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Accounts</a:t>
            </a:r>
            <a:r>
              <a:rPr lang="en-US" baseline="0"/>
              <a:t> Receivable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Accounts Receivable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BS!$D$5:$O$5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BS!$D$8:$O$8</c:f>
              <c:numCache>
                <c:formatCode>_(* #,##0_);_(* \(#,##0\);_(* "-"??_);_(@_)</c:formatCode>
                <c:ptCount val="12"/>
                <c:pt idx="0">
                  <c:v>34778327.274999999</c:v>
                </c:pt>
                <c:pt idx="1">
                  <c:v>35513977.460000001</c:v>
                </c:pt>
                <c:pt idx="2">
                  <c:v>36110502.079999998</c:v>
                </c:pt>
                <c:pt idx="3">
                  <c:v>35801104.203000002</c:v>
                </c:pt>
                <c:pt idx="4">
                  <c:v>34900865.947999999</c:v>
                </c:pt>
                <c:pt idx="5">
                  <c:v>40286632.229000002</c:v>
                </c:pt>
                <c:pt idx="6">
                  <c:v>35451876.857000001</c:v>
                </c:pt>
                <c:pt idx="7">
                  <c:v>59814194.835000001</c:v>
                </c:pt>
                <c:pt idx="8">
                  <c:v>69444422.419</c:v>
                </c:pt>
                <c:pt idx="9">
                  <c:v>32974816.363000002</c:v>
                </c:pt>
                <c:pt idx="10">
                  <c:v>45208932.280000001</c:v>
                </c:pt>
                <c:pt idx="11">
                  <c:v>34614827.501000002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F-463E-9439-B95871356E4C}"/>
            </c:ext>
          </c:extLst>
        </c:ser>
        <c:ser>
          <c:idx val="0"/>
          <c:order val="1"/>
          <c:tx>
            <c:v>Inventory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BS!$D$5:$O$5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BS!$D$10:$O$10</c:f>
              <c:numCache>
                <c:formatCode>_(* #,##0_);_(* \(#,##0\);_(* "-"??_);_(@_)</c:formatCode>
                <c:ptCount val="12"/>
                <c:pt idx="0">
                  <c:v>34065376.359000005</c:v>
                </c:pt>
                <c:pt idx="1">
                  <c:v>28412734</c:v>
                </c:pt>
                <c:pt idx="2">
                  <c:v>31557770.992000006</c:v>
                </c:pt>
                <c:pt idx="3">
                  <c:v>25847130.508000001</c:v>
                </c:pt>
                <c:pt idx="4">
                  <c:v>65632733.660999998</c:v>
                </c:pt>
                <c:pt idx="5">
                  <c:v>63336467.600999996</c:v>
                </c:pt>
                <c:pt idx="6">
                  <c:v>45810720.601000004</c:v>
                </c:pt>
                <c:pt idx="7">
                  <c:v>60639675.158</c:v>
                </c:pt>
                <c:pt idx="8">
                  <c:v>93415465.147000015</c:v>
                </c:pt>
                <c:pt idx="9">
                  <c:v>45411604.563999996</c:v>
                </c:pt>
                <c:pt idx="10">
                  <c:v>59932684.778999999</c:v>
                </c:pt>
                <c:pt idx="11">
                  <c:v>118029748.70999999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F-463E-9439-B95871356E4C}"/>
            </c:ext>
          </c:extLst>
        </c:ser>
        <c:ser>
          <c:idx val="2"/>
          <c:order val="2"/>
          <c:tx>
            <c:v>PPE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BS!$D$5:$O$5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BS!$D$17:$O$17</c:f>
              <c:numCache>
                <c:formatCode>_(* #,##0_);_(* \(#,##0\);_(* "-"??_);_(@_)</c:formatCode>
                <c:ptCount val="12"/>
                <c:pt idx="0">
                  <c:v>19388806.166000009</c:v>
                </c:pt>
                <c:pt idx="1">
                  <c:v>27222645.847000003</c:v>
                </c:pt>
                <c:pt idx="2">
                  <c:v>113167188.12099999</c:v>
                </c:pt>
                <c:pt idx="3">
                  <c:v>116002902.86300002</c:v>
                </c:pt>
                <c:pt idx="4">
                  <c:v>140385357.215</c:v>
                </c:pt>
                <c:pt idx="5">
                  <c:v>144784019.16799995</c:v>
                </c:pt>
                <c:pt idx="6">
                  <c:v>140727143.89499998</c:v>
                </c:pt>
                <c:pt idx="7">
                  <c:v>137326046.09900001</c:v>
                </c:pt>
                <c:pt idx="8">
                  <c:v>139800421.52200001</c:v>
                </c:pt>
                <c:pt idx="9">
                  <c:v>132661204.67599997</c:v>
                </c:pt>
                <c:pt idx="10">
                  <c:v>139866170.14399999</c:v>
                </c:pt>
                <c:pt idx="11">
                  <c:v>160685390.67200002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CF-463E-9439-B95871356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824880"/>
        <c:axId val="494825360"/>
      </c:line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Short Term 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Short Term Loan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BS!$D$5:$O$5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BS!$D$23:$O$23</c:f>
              <c:numCache>
                <c:formatCode>_(* #,##0_);_(* \(#,##0\);_(* "-"??_);_(@_)</c:formatCode>
                <c:ptCount val="12"/>
                <c:pt idx="0">
                  <c:v>24897662.395</c:v>
                </c:pt>
                <c:pt idx="1">
                  <c:v>11975998.512</c:v>
                </c:pt>
                <c:pt idx="2">
                  <c:v>26152571.23</c:v>
                </c:pt>
                <c:pt idx="3">
                  <c:v>0</c:v>
                </c:pt>
                <c:pt idx="4">
                  <c:v>60835098.295000002</c:v>
                </c:pt>
                <c:pt idx="5">
                  <c:v>67558356.840000004</c:v>
                </c:pt>
                <c:pt idx="6">
                  <c:v>87069638.245000005</c:v>
                </c:pt>
                <c:pt idx="7">
                  <c:v>93444858.009000003</c:v>
                </c:pt>
                <c:pt idx="8">
                  <c:v>129181162.92999998</c:v>
                </c:pt>
                <c:pt idx="9">
                  <c:v>83699243.261999995</c:v>
                </c:pt>
                <c:pt idx="10">
                  <c:v>111392465.919</c:v>
                </c:pt>
                <c:pt idx="11">
                  <c:v>193396818.67900002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9-4478-BBBC-67EFD15EB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COGS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'P&amp;L_2014-2025'!$C$8:$N$8</c:f>
              <c:numCache>
                <c:formatCode>_(* #,##0_);_(* \(#,##0\);_(* "-"??_);_(@_)</c:formatCode>
                <c:ptCount val="12"/>
                <c:pt idx="0">
                  <c:v>133975423.855868</c:v>
                </c:pt>
                <c:pt idx="1">
                  <c:v>109444157.5853669</c:v>
                </c:pt>
                <c:pt idx="2">
                  <c:v>87767642.650328979</c:v>
                </c:pt>
                <c:pt idx="3">
                  <c:v>93078605.225867987</c:v>
                </c:pt>
                <c:pt idx="4">
                  <c:v>107410025.54439001</c:v>
                </c:pt>
                <c:pt idx="5">
                  <c:v>146081750.18741196</c:v>
                </c:pt>
                <c:pt idx="6">
                  <c:v>126602833.996544</c:v>
                </c:pt>
                <c:pt idx="7">
                  <c:v>182618747.327999</c:v>
                </c:pt>
                <c:pt idx="8">
                  <c:v>221964755.030417</c:v>
                </c:pt>
                <c:pt idx="9">
                  <c:v>104200512.36582999</c:v>
                </c:pt>
                <c:pt idx="10">
                  <c:v>135210869.3633</c:v>
                </c:pt>
                <c:pt idx="11">
                  <c:v>154893156.88716942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0-4B29-AFB3-CA006929A2D1}"/>
            </c:ext>
          </c:extLst>
        </c:ser>
        <c:ser>
          <c:idx val="1"/>
          <c:order val="1"/>
          <c:tx>
            <c:v>COGS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'P&amp;L_2014-2025'!$C$22:$N$22</c:f>
              <c:numCache>
                <c:formatCode>_(* #,##0_);_(* \(#,##0\);_(* "-"??_);_(@_)</c:formatCode>
                <c:ptCount val="12"/>
                <c:pt idx="0">
                  <c:v>106736092.84560665</c:v>
                </c:pt>
                <c:pt idx="1">
                  <c:v>86796878.739534765</c:v>
                </c:pt>
                <c:pt idx="2">
                  <c:v>73067680.557852671</c:v>
                </c:pt>
                <c:pt idx="3">
                  <c:v>79323832.441613629</c:v>
                </c:pt>
                <c:pt idx="4">
                  <c:v>89043859.261986285</c:v>
                </c:pt>
                <c:pt idx="5">
                  <c:v>124564453.81517428</c:v>
                </c:pt>
                <c:pt idx="6">
                  <c:v>123185255.15856266</c:v>
                </c:pt>
                <c:pt idx="7">
                  <c:v>158637051.28045201</c:v>
                </c:pt>
                <c:pt idx="8">
                  <c:v>194736751.39978179</c:v>
                </c:pt>
                <c:pt idx="9">
                  <c:v>109984435.69447294</c:v>
                </c:pt>
                <c:pt idx="10">
                  <c:v>132539076.12713106</c:v>
                </c:pt>
                <c:pt idx="11">
                  <c:v>156829132.271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0-4B29-AFB3-CA006929A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Raw Matl COGS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'P&amp;L_2014-2025'!$C$8:$N$8</c:f>
              <c:numCache>
                <c:formatCode>_(* #,##0_);_(* \(#,##0\);_(* "-"??_);_(@_)</c:formatCode>
                <c:ptCount val="12"/>
                <c:pt idx="0">
                  <c:v>133975423.855868</c:v>
                </c:pt>
                <c:pt idx="1">
                  <c:v>109444157.5853669</c:v>
                </c:pt>
                <c:pt idx="2">
                  <c:v>87767642.650328979</c:v>
                </c:pt>
                <c:pt idx="3">
                  <c:v>93078605.225867987</c:v>
                </c:pt>
                <c:pt idx="4">
                  <c:v>107410025.54439001</c:v>
                </c:pt>
                <c:pt idx="5">
                  <c:v>146081750.18741196</c:v>
                </c:pt>
                <c:pt idx="6">
                  <c:v>126602833.996544</c:v>
                </c:pt>
                <c:pt idx="7">
                  <c:v>182618747.327999</c:v>
                </c:pt>
                <c:pt idx="8">
                  <c:v>221964755.030417</c:v>
                </c:pt>
                <c:pt idx="9">
                  <c:v>104200512.36582999</c:v>
                </c:pt>
                <c:pt idx="10">
                  <c:v>135210869.3633</c:v>
                </c:pt>
                <c:pt idx="11">
                  <c:v>154893156.88716942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3-4C80-8654-CA8F140F34E4}"/>
            </c:ext>
          </c:extLst>
        </c:ser>
        <c:ser>
          <c:idx val="1"/>
          <c:order val="1"/>
          <c:tx>
            <c:v>COGS - RM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'P&amp;L_2014-2025'!$C$10:$N$10</c:f>
              <c:numCache>
                <c:formatCode>_(* #,##0_);_(* \(#,##0\);_(* "-"??_);_(@_)</c:formatCode>
                <c:ptCount val="12"/>
                <c:pt idx="0">
                  <c:v>81941048.596606642</c:v>
                </c:pt>
                <c:pt idx="1">
                  <c:v>65904067.777534761</c:v>
                </c:pt>
                <c:pt idx="2">
                  <c:v>55179705.656852663</c:v>
                </c:pt>
                <c:pt idx="3">
                  <c:v>58214236.076613627</c:v>
                </c:pt>
                <c:pt idx="4">
                  <c:v>75159713.02398628</c:v>
                </c:pt>
                <c:pt idx="5">
                  <c:v>101800151.00217427</c:v>
                </c:pt>
                <c:pt idx="6">
                  <c:v>100988459.92556266</c:v>
                </c:pt>
                <c:pt idx="7">
                  <c:v>128457153.22845203</c:v>
                </c:pt>
                <c:pt idx="8">
                  <c:v>158993620.62478179</c:v>
                </c:pt>
                <c:pt idx="9">
                  <c:v>86519533.614472955</c:v>
                </c:pt>
                <c:pt idx="10">
                  <c:v>106465714.16813104</c:v>
                </c:pt>
                <c:pt idx="11">
                  <c:v>114262456.88799998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03-4C80-8654-CA8F140F3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Selling</a:t>
            </a:r>
            <a:r>
              <a:rPr lang="en-US" baseline="0"/>
              <a:t> and G&amp;A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S&amp;M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'P&amp;L_2014-2025'!$C$32:$N$32</c:f>
              <c:numCache>
                <c:formatCode>_(* #,##0_);_(* \(#,##0\);_(* "-"??_);_(@_)</c:formatCode>
                <c:ptCount val="12"/>
                <c:pt idx="0">
                  <c:v>256053.86</c:v>
                </c:pt>
                <c:pt idx="1">
                  <c:v>328452.23</c:v>
                </c:pt>
                <c:pt idx="2">
                  <c:v>199171</c:v>
                </c:pt>
                <c:pt idx="3">
                  <c:v>287232.88800000004</c:v>
                </c:pt>
                <c:pt idx="4">
                  <c:v>306068.40600000002</c:v>
                </c:pt>
                <c:pt idx="5">
                  <c:v>340309.91699999996</c:v>
                </c:pt>
                <c:pt idx="6">
                  <c:v>303880.96999999997</c:v>
                </c:pt>
                <c:pt idx="7">
                  <c:v>379011.81700000004</c:v>
                </c:pt>
                <c:pt idx="8">
                  <c:v>500759.15900000004</c:v>
                </c:pt>
                <c:pt idx="9">
                  <c:v>241398.34</c:v>
                </c:pt>
                <c:pt idx="10">
                  <c:v>980013.16600000008</c:v>
                </c:pt>
                <c:pt idx="11">
                  <c:v>1613703.3190000001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A-46BA-B9CD-D3293B1C1926}"/>
            </c:ext>
          </c:extLst>
        </c:ser>
        <c:ser>
          <c:idx val="1"/>
          <c:order val="1"/>
          <c:tx>
            <c:v>G&amp;A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'P&amp;L_2014-2025'!$C$44:$N$44</c:f>
              <c:numCache>
                <c:formatCode>_(* #,##0_);_(* \(#,##0\);_(* "-"??_);_(@_)</c:formatCode>
                <c:ptCount val="12"/>
                <c:pt idx="0">
                  <c:v>7702424.1299999999</c:v>
                </c:pt>
                <c:pt idx="1">
                  <c:v>7094796.693</c:v>
                </c:pt>
                <c:pt idx="2">
                  <c:v>7350629.294999999</c:v>
                </c:pt>
                <c:pt idx="3">
                  <c:v>9356300.0989999995</c:v>
                </c:pt>
                <c:pt idx="4">
                  <c:v>9930132.0759999994</c:v>
                </c:pt>
                <c:pt idx="5">
                  <c:v>10394148.647999998</c:v>
                </c:pt>
                <c:pt idx="6">
                  <c:v>16562491.829000002</c:v>
                </c:pt>
                <c:pt idx="7">
                  <c:v>13964300.544000002</c:v>
                </c:pt>
                <c:pt idx="8">
                  <c:v>14345089.629000003</c:v>
                </c:pt>
                <c:pt idx="9">
                  <c:v>13036995.181</c:v>
                </c:pt>
                <c:pt idx="10">
                  <c:v>14261829.189000001</c:v>
                </c:pt>
                <c:pt idx="11">
                  <c:v>26917588.152000003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A-46BA-B9CD-D3293B1C1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Finance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'P&amp;L_2014-2025'!$C$51:$N$51</c:f>
              <c:numCache>
                <c:formatCode>_(* #,##0_);_(* \(#,##0\);_(* "-"??_);_(@_)</c:formatCode>
                <c:ptCount val="12"/>
                <c:pt idx="0">
                  <c:v>1986535.067</c:v>
                </c:pt>
                <c:pt idx="1">
                  <c:v>1159554.7420000001</c:v>
                </c:pt>
                <c:pt idx="2">
                  <c:v>1539704.35</c:v>
                </c:pt>
                <c:pt idx="3">
                  <c:v>1568335.0009999999</c:v>
                </c:pt>
                <c:pt idx="4">
                  <c:v>2338864.71</c:v>
                </c:pt>
                <c:pt idx="5">
                  <c:v>3369252.03</c:v>
                </c:pt>
                <c:pt idx="6">
                  <c:v>3139563.568</c:v>
                </c:pt>
                <c:pt idx="7">
                  <c:v>4025597.2740000002</c:v>
                </c:pt>
                <c:pt idx="8">
                  <c:v>4641310.1399999997</c:v>
                </c:pt>
                <c:pt idx="9">
                  <c:v>5894124.551</c:v>
                </c:pt>
                <c:pt idx="10">
                  <c:v>7716907.142</c:v>
                </c:pt>
                <c:pt idx="11">
                  <c:v>11618933.344000001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3-4A89-B286-9DB3DCDB4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Depreciation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Depreciation G&amp;A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'P&amp;L_2014-2025'!$C$52:$N$52</c:f>
              <c:numCache>
                <c:formatCode>_(* #,##0_);_(* \(#,##0\);_(* "-"??_);_(@_)</c:formatCode>
                <c:ptCount val="12"/>
                <c:pt idx="0">
                  <c:v>410748.17</c:v>
                </c:pt>
                <c:pt idx="1">
                  <c:v>447124.53</c:v>
                </c:pt>
                <c:pt idx="2">
                  <c:v>295860.39099999989</c:v>
                </c:pt>
                <c:pt idx="3">
                  <c:v>378246.45800000004</c:v>
                </c:pt>
                <c:pt idx="4">
                  <c:v>903739.72699999996</c:v>
                </c:pt>
                <c:pt idx="5">
                  <c:v>718507.80799999996</c:v>
                </c:pt>
                <c:pt idx="6">
                  <c:v>1984412.7469999997</c:v>
                </c:pt>
                <c:pt idx="7">
                  <c:v>2123910.122</c:v>
                </c:pt>
                <c:pt idx="8">
                  <c:v>2249190.7760000001</c:v>
                </c:pt>
                <c:pt idx="9">
                  <c:v>2301784.9879999999</c:v>
                </c:pt>
                <c:pt idx="10">
                  <c:v>2249499.9190000002</c:v>
                </c:pt>
                <c:pt idx="11">
                  <c:v>2603825.5560000003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2-466A-9550-6AE93AF6BBAD}"/>
            </c:ext>
          </c:extLst>
        </c:ser>
        <c:ser>
          <c:idx val="0"/>
          <c:order val="1"/>
          <c:tx>
            <c:v>Depreciation Machines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'P&amp;L_2014-2025'!$C$14:$N$14</c:f>
              <c:numCache>
                <c:formatCode>_(* #,##0_);_(* \(#,##0\);_(* "-"??_);_(@_)</c:formatCode>
                <c:ptCount val="12"/>
                <c:pt idx="0">
                  <c:v>2954190.4589999998</c:v>
                </c:pt>
                <c:pt idx="1">
                  <c:v>3165403.4010000001</c:v>
                </c:pt>
                <c:pt idx="2">
                  <c:v>3435007.7499999995</c:v>
                </c:pt>
                <c:pt idx="3">
                  <c:v>3533037.389</c:v>
                </c:pt>
                <c:pt idx="4">
                  <c:v>2198098.9980000001</c:v>
                </c:pt>
                <c:pt idx="5">
                  <c:v>3638104.1009999998</c:v>
                </c:pt>
                <c:pt idx="6">
                  <c:v>3256640.844</c:v>
                </c:pt>
                <c:pt idx="7">
                  <c:v>3446969.5830000001</c:v>
                </c:pt>
                <c:pt idx="8">
                  <c:v>3787622.0819999999</c:v>
                </c:pt>
                <c:pt idx="9">
                  <c:v>3892923.0929999999</c:v>
                </c:pt>
                <c:pt idx="10">
                  <c:v>4522894.6119999997</c:v>
                </c:pt>
                <c:pt idx="11">
                  <c:v>7355690.534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2-466A-9550-6AE93AF6B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Finance Cost</a:t>
            </a:r>
            <a:r>
              <a:rPr lang="en-US" baseline="0"/>
              <a:t> and Depreciation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Depreciation G&amp;A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'P&amp;L_2014-2025'!$C$52:$N$52</c:f>
              <c:numCache>
                <c:formatCode>_(* #,##0_);_(* \(#,##0\);_(* "-"??_);_(@_)</c:formatCode>
                <c:ptCount val="12"/>
                <c:pt idx="0">
                  <c:v>410748.17</c:v>
                </c:pt>
                <c:pt idx="1">
                  <c:v>447124.53</c:v>
                </c:pt>
                <c:pt idx="2">
                  <c:v>295860.39099999989</c:v>
                </c:pt>
                <c:pt idx="3">
                  <c:v>378246.45800000004</c:v>
                </c:pt>
                <c:pt idx="4">
                  <c:v>903739.72699999996</c:v>
                </c:pt>
                <c:pt idx="5">
                  <c:v>718507.80799999996</c:v>
                </c:pt>
                <c:pt idx="6">
                  <c:v>1984412.7469999997</c:v>
                </c:pt>
                <c:pt idx="7">
                  <c:v>2123910.122</c:v>
                </c:pt>
                <c:pt idx="8">
                  <c:v>2249190.7760000001</c:v>
                </c:pt>
                <c:pt idx="9">
                  <c:v>2301784.9879999999</c:v>
                </c:pt>
                <c:pt idx="10">
                  <c:v>2249499.9190000002</c:v>
                </c:pt>
                <c:pt idx="11">
                  <c:v>2603825.5560000003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A-43DC-A0A9-1FDF3206D870}"/>
            </c:ext>
          </c:extLst>
        </c:ser>
        <c:ser>
          <c:idx val="0"/>
          <c:order val="1"/>
          <c:tx>
            <c:v>Depreciation Machines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'P&amp;L_2014-2025'!$C$5:$N$5</c:f>
              <c:strCache>
                <c:ptCount val="12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</c:strCache>
            </c:strRef>
          </c:cat>
          <c:val>
            <c:numRef>
              <c:f>'P&amp;L_2014-2025'!$C$14:$N$14</c:f>
              <c:numCache>
                <c:formatCode>_(* #,##0_);_(* \(#,##0\);_(* "-"??_);_(@_)</c:formatCode>
                <c:ptCount val="12"/>
                <c:pt idx="0">
                  <c:v>2954190.4589999998</c:v>
                </c:pt>
                <c:pt idx="1">
                  <c:v>3165403.4010000001</c:v>
                </c:pt>
                <c:pt idx="2">
                  <c:v>3435007.7499999995</c:v>
                </c:pt>
                <c:pt idx="3">
                  <c:v>3533037.389</c:v>
                </c:pt>
                <c:pt idx="4">
                  <c:v>2198098.9980000001</c:v>
                </c:pt>
                <c:pt idx="5">
                  <c:v>3638104.1009999998</c:v>
                </c:pt>
                <c:pt idx="6">
                  <c:v>3256640.844</c:v>
                </c:pt>
                <c:pt idx="7">
                  <c:v>3446969.5830000001</c:v>
                </c:pt>
                <c:pt idx="8">
                  <c:v>3787622.0819999999</c:v>
                </c:pt>
                <c:pt idx="9">
                  <c:v>3892923.0929999999</c:v>
                </c:pt>
                <c:pt idx="10">
                  <c:v>4522894.6119999997</c:v>
                </c:pt>
                <c:pt idx="11">
                  <c:v>7355690.534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A-43DC-A0A9-1FDF3206D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24880"/>
        <c:axId val="494825360"/>
      </c:barChart>
      <c:catAx>
        <c:axId val="4948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5360"/>
        <c:crosses val="autoZero"/>
        <c:auto val="1"/>
        <c:lblAlgn val="ctr"/>
        <c:lblOffset val="100"/>
        <c:noMultiLvlLbl val="0"/>
      </c:catAx>
      <c:valAx>
        <c:axId val="4948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0</xdr:rowOff>
    </xdr:from>
    <xdr:to>
      <xdr:col>26</xdr:col>
      <xdr:colOff>237067</xdr:colOff>
      <xdr:row>37</xdr:row>
      <xdr:rowOff>16935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DAFEC9-9504-4903-8B9C-C7432917C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60961</xdr:rowOff>
    </xdr:from>
    <xdr:to>
      <xdr:col>20</xdr:col>
      <xdr:colOff>579120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2A76D-B5ED-4D0A-9101-DDC1E42BB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22</xdr:row>
      <xdr:rowOff>38101</xdr:rowOff>
    </xdr:from>
    <xdr:to>
      <xdr:col>20</xdr:col>
      <xdr:colOff>601980</xdr:colOff>
      <xdr:row>43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78E3DD-00D1-4F7F-B133-EA8C405ED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91441</xdr:rowOff>
    </xdr:from>
    <xdr:to>
      <xdr:col>11</xdr:col>
      <xdr:colOff>251460</xdr:colOff>
      <xdr:row>20</xdr:row>
      <xdr:rowOff>167641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2B375-4B46-42A3-86E7-BF3C1587A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434340</xdr:colOff>
      <xdr:row>0</xdr:row>
      <xdr:rowOff>99061</xdr:rowOff>
    </xdr:from>
    <xdr:to>
      <xdr:col>22</xdr:col>
      <xdr:colOff>556260</xdr:colOff>
      <xdr:row>20</xdr:row>
      <xdr:rowOff>175261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FC24B8-934D-43B2-9D70-3B4427B99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21</xdr:row>
      <xdr:rowOff>76201</xdr:rowOff>
    </xdr:from>
    <xdr:to>
      <xdr:col>11</xdr:col>
      <xdr:colOff>266700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5DD0D1-B619-4744-9769-6C8D24D07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441960</xdr:colOff>
      <xdr:row>21</xdr:row>
      <xdr:rowOff>83820</xdr:rowOff>
    </xdr:from>
    <xdr:to>
      <xdr:col>22</xdr:col>
      <xdr:colOff>579120</xdr:colOff>
      <xdr:row>43</xdr:row>
      <xdr:rowOff>31327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49B643-ED9C-4E31-BEBC-BBE5C4D38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11</xdr:col>
      <xdr:colOff>50800</xdr:colOff>
      <xdr:row>65</xdr:row>
      <xdr:rowOff>130387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296C34-90EE-45AE-80C2-FC5576840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321733</xdr:colOff>
      <xdr:row>7</xdr:row>
      <xdr:rowOff>126999</xdr:rowOff>
    </xdr:from>
    <xdr:to>
      <xdr:col>27</xdr:col>
      <xdr:colOff>372533</xdr:colOff>
      <xdr:row>34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3617B1-124C-4D64-A600-65C794030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167B-4F37-4902-92DE-5F13A99CF0A3}">
  <dimension ref="A3:P271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176" sqref="N176"/>
    </sheetView>
  </sheetViews>
  <sheetFormatPr defaultRowHeight="15" x14ac:dyDescent="0.25"/>
  <cols>
    <col min="1" max="1" width="10.7109375" style="101" customWidth="1"/>
    <col min="2" max="2" width="27" customWidth="1"/>
    <col min="3" max="14" width="13.85546875" bestFit="1" customWidth="1"/>
    <col min="15" max="15" width="18.5703125" customWidth="1"/>
    <col min="16" max="16" width="15.85546875" customWidth="1"/>
  </cols>
  <sheetData>
    <row r="3" spans="1:16" s="99" customFormat="1" x14ac:dyDescent="0.25">
      <c r="A3" s="100" t="s">
        <v>735</v>
      </c>
      <c r="B3" s="99" t="s">
        <v>734</v>
      </c>
      <c r="C3" s="100" t="s">
        <v>592</v>
      </c>
      <c r="D3" s="100" t="s">
        <v>591</v>
      </c>
      <c r="E3" s="100" t="s">
        <v>590</v>
      </c>
      <c r="F3" s="100" t="s">
        <v>589</v>
      </c>
      <c r="G3" s="100" t="s">
        <v>588</v>
      </c>
      <c r="H3" s="100" t="s">
        <v>587</v>
      </c>
      <c r="I3" s="100" t="s">
        <v>586</v>
      </c>
      <c r="J3" s="100" t="s">
        <v>585</v>
      </c>
      <c r="K3" s="100" t="s">
        <v>584</v>
      </c>
      <c r="L3" s="100" t="s">
        <v>583</v>
      </c>
      <c r="M3" s="100" t="s">
        <v>581</v>
      </c>
      <c r="N3" s="100" t="s">
        <v>593</v>
      </c>
      <c r="O3" s="99" t="s">
        <v>597</v>
      </c>
      <c r="P3" s="99" t="s">
        <v>598</v>
      </c>
    </row>
    <row r="4" spans="1:16" x14ac:dyDescent="0.25">
      <c r="A4" s="101">
        <v>110001</v>
      </c>
      <c r="B4" t="s">
        <v>0</v>
      </c>
      <c r="C4" s="98">
        <f>SUMIF(ALIF_Y2014!$A:$A,$A4,ALIF_Y2014!$F:$F)</f>
        <v>0</v>
      </c>
      <c r="D4" s="98">
        <f>SUMIF(ALIF_Y2015!$A:$A,$A4,ALIF_Y2015!$F:$F)</f>
        <v>0</v>
      </c>
      <c r="E4" s="98">
        <f>SUMIF(ALIF_Y2016!$A:$A,$A4,ALIF_Y2016!$F:$F)</f>
        <v>0</v>
      </c>
      <c r="F4" s="98">
        <f>SUMIF(ALIF_Y2017!$A:$A,$A4,ALIF_Y2017!$F:$F)</f>
        <v>0</v>
      </c>
      <c r="G4" s="98">
        <f>SUMIF(ALIF_Y2018!$A:$A,$A4,ALIF_Y2018!$F:$F)</f>
        <v>0</v>
      </c>
      <c r="H4" s="98">
        <f>SUMIF(ALIF_Y2019!$A:$A,$A4,ALIF_Y2019!$F:$F)</f>
        <v>0</v>
      </c>
      <c r="I4" s="98">
        <f>SUMIF(ALIF_Y2020!$A:$A,$A4,ALIF_Y2020!$F:$F)</f>
        <v>0</v>
      </c>
      <c r="J4" s="98">
        <f>SUMIF(ALIF_Y2021!$A:$A,$A4,ALIF_Y2021!$F:$F)</f>
        <v>0</v>
      </c>
      <c r="K4" s="98">
        <f>SUMIF(ALIF_Y2022!$A:$A,$A4,ALIF_Y2022!$F:$F)</f>
        <v>0</v>
      </c>
      <c r="L4" s="98">
        <f>SUMIF(ALIF_Y2023!$A:$A,$A4,ALIF_Y2023!$F:$F)</f>
        <v>0</v>
      </c>
      <c r="M4" s="98">
        <f>SUMIF(ALIF_Y2024!$A:$A,$A4,ALIF_Y2024!$F:$F)</f>
        <v>0</v>
      </c>
      <c r="N4" s="98">
        <f>SUMIF(ALIF_Y2025!$A:$A,$A4,ALIF_Y2025!$F:$F)</f>
        <v>0</v>
      </c>
      <c r="O4" t="str">
        <f>_xlfn.XLOOKUP(A4,Map!A:A,Map!E:E)</f>
        <v>Property, plant and equipment</v>
      </c>
      <c r="P4" t="str">
        <f>_xlfn.XLOOKUP(A4,Map!A:A,Map!D:D)</f>
        <v>Non-Current Assets</v>
      </c>
    </row>
    <row r="5" spans="1:16" x14ac:dyDescent="0.25">
      <c r="A5" s="101">
        <v>110002</v>
      </c>
      <c r="B5" t="s">
        <v>1</v>
      </c>
      <c r="C5" s="98">
        <f>SUMIF(ALIF_Y2014!$A:$A,$A5,ALIF_Y2014!$F:$F)</f>
        <v>249682</v>
      </c>
      <c r="D5" s="98">
        <f>SUMIF(ALIF_Y2015!$A:$A,$A5,ALIF_Y2015!$F:$F)</f>
        <v>249682</v>
      </c>
      <c r="E5" s="98">
        <f>SUMIF(ALIF_Y2016!$A:$A,$A5,ALIF_Y2016!$F:$F)</f>
        <v>249682</v>
      </c>
      <c r="F5" s="98">
        <f>SUMIF(ALIF_Y2017!$A:$A,$A5,ALIF_Y2017!$F:$F)</f>
        <v>249682</v>
      </c>
      <c r="G5" s="98">
        <f>SUMIF(ALIF_Y2018!$A:$A,$A5,ALIF_Y2018!$F:$F)</f>
        <v>106504996.56999999</v>
      </c>
      <c r="H5" s="98">
        <f>SUMIF(ALIF_Y2019!$A:$A,$A5,ALIF_Y2019!$F:$F)</f>
        <v>106504996.56999999</v>
      </c>
      <c r="I5" s="98">
        <f>SUMIF(ALIF_Y2020!$A:$A,$A5,ALIF_Y2020!$F:$F)</f>
        <v>106504996.56999999</v>
      </c>
      <c r="J5" s="98">
        <f>SUMIF(ALIF_Y2021!$A:$A,$A5,ALIF_Y2021!$F:$F)</f>
        <v>106504996.56999999</v>
      </c>
      <c r="K5" s="98">
        <f>SUMIF(ALIF_Y2022!$A:$A,$A5,ALIF_Y2022!$F:$F)</f>
        <v>106504996.56999999</v>
      </c>
      <c r="L5" s="98">
        <f>SUMIF(ALIF_Y2023!$A:$A,$A5,ALIF_Y2023!$F:$F)</f>
        <v>106504996.56999999</v>
      </c>
      <c r="M5" s="98">
        <f>SUMIF(ALIF_Y2024!$A:$A,$A5,ALIF_Y2024!$F:$F)</f>
        <v>107296196.56999999</v>
      </c>
      <c r="N5" s="98">
        <f>SUMIF(ALIF_Y2025!$A:$A,$A5,ALIF_Y2025!$F:$F)</f>
        <v>107296196.56999999</v>
      </c>
      <c r="O5" t="str">
        <f>_xlfn.XLOOKUP(A5,Map!A:A,Map!E:E)</f>
        <v>Property, plant and equipment</v>
      </c>
      <c r="P5" t="str">
        <f>_xlfn.XLOOKUP(A5,Map!A:A,Map!D:D)</f>
        <v>Non-Current Assets</v>
      </c>
    </row>
    <row r="6" spans="1:16" x14ac:dyDescent="0.25">
      <c r="A6" s="101">
        <v>110003</v>
      </c>
      <c r="B6" t="s">
        <v>2</v>
      </c>
      <c r="C6" s="98">
        <f>SUMIF(ALIF_Y2014!$A:$A,$A6,ALIF_Y2014!$F:$F)</f>
        <v>1765393.75</v>
      </c>
      <c r="D6" s="98">
        <f>SUMIF(ALIF_Y2015!$A:$A,$A6,ALIF_Y2015!$F:$F)</f>
        <v>1773233.75</v>
      </c>
      <c r="E6" s="98">
        <f>SUMIF(ALIF_Y2016!$A:$A,$A6,ALIF_Y2016!$F:$F)</f>
        <v>1773233.75</v>
      </c>
      <c r="F6" s="98">
        <f>SUMIF(ALIF_Y2017!$A:$A,$A6,ALIF_Y2017!$F:$F)</f>
        <v>1773233.75</v>
      </c>
      <c r="G6" s="98">
        <f>SUMIF(ALIF_Y2018!$A:$A,$A6,ALIF_Y2018!$F:$F)</f>
        <v>1824603.75</v>
      </c>
      <c r="H6" s="98">
        <f>SUMIF(ALIF_Y2019!$A:$A,$A6,ALIF_Y2019!$F:$F)</f>
        <v>1920201.75</v>
      </c>
      <c r="I6" s="98">
        <f>SUMIF(ALIF_Y2020!$A:$A,$A6,ALIF_Y2020!$F:$F)</f>
        <v>1765393.75</v>
      </c>
      <c r="J6" s="98">
        <f>SUMIF(ALIF_Y2021!$A:$A,$A6,ALIF_Y2021!$F:$F)</f>
        <v>1765393.75</v>
      </c>
      <c r="K6" s="98">
        <f>SUMIF(ALIF_Y2022!$A:$A,$A6,ALIF_Y2022!$F:$F)</f>
        <v>1765393.75</v>
      </c>
      <c r="L6" s="98">
        <f>SUMIF(ALIF_Y2023!$A:$A,$A6,ALIF_Y2023!$F:$F)</f>
        <v>1765393.75</v>
      </c>
      <c r="M6" s="98">
        <f>SUMIF(ALIF_Y2024!$A:$A,$A6,ALIF_Y2024!$F:$F)</f>
        <v>1765393.75</v>
      </c>
      <c r="N6" s="98">
        <f>SUMIF(ALIF_Y2025!$A:$A,$A6,ALIF_Y2025!$F:$F)</f>
        <v>2296737.9700000002</v>
      </c>
      <c r="O6" t="str">
        <f>_xlfn.XLOOKUP(A6,Map!A:A,Map!E:E)</f>
        <v>Property, plant and equipment</v>
      </c>
      <c r="P6" t="str">
        <f>_xlfn.XLOOKUP(A6,Map!A:A,Map!D:D)</f>
        <v>Non-Current Assets</v>
      </c>
    </row>
    <row r="7" spans="1:16" x14ac:dyDescent="0.25">
      <c r="A7" s="101">
        <v>110004</v>
      </c>
      <c r="B7" t="s">
        <v>3</v>
      </c>
      <c r="C7" s="98">
        <f>SUMIF(ALIF_Y2014!$A:$A,$A7,ALIF_Y2014!$F:$F)</f>
        <v>38561940.795000002</v>
      </c>
      <c r="D7" s="98">
        <f>SUMIF(ALIF_Y2015!$A:$A,$A7,ALIF_Y2015!$F:$F)</f>
        <v>39518810.888999999</v>
      </c>
      <c r="E7" s="98">
        <f>SUMIF(ALIF_Y2016!$A:$A,$A7,ALIF_Y2016!$F:$F)</f>
        <v>39914308.471000001</v>
      </c>
      <c r="F7" s="98">
        <f>SUMIF(ALIF_Y2017!$A:$A,$A7,ALIF_Y2017!$F:$F)</f>
        <v>43898751.101000004</v>
      </c>
      <c r="G7" s="98">
        <f>SUMIF(ALIF_Y2018!$A:$A,$A7,ALIF_Y2018!$F:$F)</f>
        <v>62879992.733999997</v>
      </c>
      <c r="H7" s="98">
        <f>SUMIF(ALIF_Y2019!$A:$A,$A7,ALIF_Y2019!$F:$F)</f>
        <v>66375893.005999997</v>
      </c>
      <c r="I7" s="98">
        <f>SUMIF(ALIF_Y2020!$A:$A,$A7,ALIF_Y2020!$F:$F)</f>
        <v>71133085.783000007</v>
      </c>
      <c r="J7" s="98">
        <f>SUMIF(ALIF_Y2021!$A:$A,$A7,ALIF_Y2021!$F:$F)</f>
        <v>72216302.398000002</v>
      </c>
      <c r="K7" s="98">
        <f>SUMIF(ALIF_Y2022!$A:$A,$A7,ALIF_Y2022!$F:$F)</f>
        <v>80282872.049999997</v>
      </c>
      <c r="L7" s="98">
        <f>SUMIF(ALIF_Y2023!$A:$A,$A7,ALIF_Y2023!$F:$F)</f>
        <v>72478281.030000001</v>
      </c>
      <c r="M7" s="98">
        <f>SUMIF(ALIF_Y2024!$A:$A,$A7,ALIF_Y2024!$F:$F)</f>
        <v>81812315.747999996</v>
      </c>
      <c r="N7" s="98">
        <f>SUMIF(ALIF_Y2025!$A:$A,$A7,ALIF_Y2025!$F:$F)</f>
        <v>93774591.357999995</v>
      </c>
      <c r="O7" t="str">
        <f>_xlfn.XLOOKUP(A7,Map!A:A,Map!E:E)</f>
        <v>Property, plant and equipment</v>
      </c>
      <c r="P7" t="str">
        <f>_xlfn.XLOOKUP(A7,Map!A:A,Map!D:D)</f>
        <v>Non-Current Assets</v>
      </c>
    </row>
    <row r="8" spans="1:16" x14ac:dyDescent="0.25">
      <c r="A8" s="101">
        <v>110006</v>
      </c>
      <c r="B8" t="s">
        <v>4</v>
      </c>
      <c r="C8" s="98">
        <f>SUMIF(ALIF_Y2014!$A:$A,$A8,ALIF_Y2014!$F:$F)</f>
        <v>1446052.15</v>
      </c>
      <c r="D8" s="98">
        <f>SUMIF(ALIF_Y2015!$A:$A,$A8,ALIF_Y2015!$F:$F)</f>
        <v>1446052.15</v>
      </c>
      <c r="E8" s="98">
        <f>SUMIF(ALIF_Y2016!$A:$A,$A8,ALIF_Y2016!$F:$F)</f>
        <v>1548852.15</v>
      </c>
      <c r="F8" s="98">
        <f>SUMIF(ALIF_Y2017!$A:$A,$A8,ALIF_Y2017!$F:$F)</f>
        <v>1891752.15</v>
      </c>
      <c r="G8" s="98">
        <f>SUMIF(ALIF_Y2018!$A:$A,$A8,ALIF_Y2018!$F:$F)</f>
        <v>2495208.4550000001</v>
      </c>
      <c r="H8" s="98">
        <f>SUMIF(ALIF_Y2019!$A:$A,$A8,ALIF_Y2019!$F:$F)</f>
        <v>2791352.0630000001</v>
      </c>
      <c r="I8" s="98">
        <f>SUMIF(ALIF_Y2020!$A:$A,$A8,ALIF_Y2020!$F:$F)</f>
        <v>2602761.003</v>
      </c>
      <c r="J8" s="98">
        <f>SUMIF(ALIF_Y2021!$A:$A,$A8,ALIF_Y2021!$F:$F)</f>
        <v>2675451.003</v>
      </c>
      <c r="K8" s="98">
        <f>SUMIF(ALIF_Y2022!$A:$A,$A8,ALIF_Y2022!$F:$F)</f>
        <v>3033459.699</v>
      </c>
      <c r="L8" s="98">
        <f>SUMIF(ALIF_Y2023!$A:$A,$A8,ALIF_Y2023!$F:$F)</f>
        <v>3090755.699</v>
      </c>
      <c r="M8" s="98">
        <f>SUMIF(ALIF_Y2024!$A:$A,$A8,ALIF_Y2024!$F:$F)</f>
        <v>3327255.699</v>
      </c>
      <c r="N8" s="98">
        <f>SUMIF(ALIF_Y2025!$A:$A,$A8,ALIF_Y2025!$F:$F)</f>
        <v>3650255.219</v>
      </c>
      <c r="O8" t="str">
        <f>_xlfn.XLOOKUP(A8,Map!A:A,Map!E:E)</f>
        <v>Property, plant and equipment</v>
      </c>
      <c r="P8" t="str">
        <f>_xlfn.XLOOKUP(A8,Map!A:A,Map!D:D)</f>
        <v>Non-Current Assets</v>
      </c>
    </row>
    <row r="9" spans="1:16" x14ac:dyDescent="0.25">
      <c r="A9" s="101">
        <v>110007</v>
      </c>
      <c r="B9" t="s">
        <v>5</v>
      </c>
      <c r="C9" s="98">
        <f>SUMIF(ALIF_Y2014!$A:$A,$A9,ALIF_Y2014!$F:$F)</f>
        <v>798523.45</v>
      </c>
      <c r="D9" s="98">
        <f>SUMIF(ALIF_Y2015!$A:$A,$A9,ALIF_Y2015!$F:$F)</f>
        <v>798523.45</v>
      </c>
      <c r="E9" s="98">
        <f>SUMIF(ALIF_Y2016!$A:$A,$A9,ALIF_Y2016!$F:$F)</f>
        <v>798523.45</v>
      </c>
      <c r="F9" s="98">
        <f>SUMIF(ALIF_Y2017!$A:$A,$A9,ALIF_Y2017!$F:$F)</f>
        <v>798523.45</v>
      </c>
      <c r="G9" s="98">
        <f>SUMIF(ALIF_Y2018!$A:$A,$A9,ALIF_Y2018!$F:$F)</f>
        <v>876515.95</v>
      </c>
      <c r="H9" s="98">
        <f>SUMIF(ALIF_Y2019!$A:$A,$A9,ALIF_Y2019!$F:$F)</f>
        <v>876515.95</v>
      </c>
      <c r="I9" s="98">
        <f>SUMIF(ALIF_Y2020!$A:$A,$A9,ALIF_Y2020!$F:$F)</f>
        <v>1191638.95</v>
      </c>
      <c r="J9" s="98">
        <f>SUMIF(ALIF_Y2021!$A:$A,$A9,ALIF_Y2021!$F:$F)</f>
        <v>2056841.15</v>
      </c>
      <c r="K9" s="98">
        <f>SUMIF(ALIF_Y2022!$A:$A,$A9,ALIF_Y2022!$F:$F)</f>
        <v>2100287.898</v>
      </c>
      <c r="L9" s="98">
        <f>SUMIF(ALIF_Y2023!$A:$A,$A9,ALIF_Y2023!$F:$F)</f>
        <v>2100287.898</v>
      </c>
      <c r="M9" s="98">
        <f>SUMIF(ALIF_Y2024!$A:$A,$A9,ALIF_Y2024!$F:$F)</f>
        <v>2269918.378</v>
      </c>
      <c r="N9" s="98">
        <f>SUMIF(ALIF_Y2025!$A:$A,$A9,ALIF_Y2025!$F:$F)</f>
        <v>2677196.3050000002</v>
      </c>
      <c r="O9" t="str">
        <f>_xlfn.XLOOKUP(A9,Map!A:A,Map!E:E)</f>
        <v>Property, plant and equipment</v>
      </c>
      <c r="P9" t="str">
        <f>_xlfn.XLOOKUP(A9,Map!A:A,Map!D:D)</f>
        <v>Non-Current Assets</v>
      </c>
    </row>
    <row r="10" spans="1:16" x14ac:dyDescent="0.25">
      <c r="A10" s="101">
        <v>110008</v>
      </c>
      <c r="B10" t="s">
        <v>6</v>
      </c>
      <c r="C10" s="98">
        <f>SUMIF(ALIF_Y2014!$A:$A,$A10,ALIF_Y2014!$F:$F)</f>
        <v>191765.4</v>
      </c>
      <c r="D10" s="98">
        <f>SUMIF(ALIF_Y2015!$A:$A,$A10,ALIF_Y2015!$F:$F)</f>
        <v>191765.4</v>
      </c>
      <c r="E10" s="98">
        <f>SUMIF(ALIF_Y2016!$A:$A,$A10,ALIF_Y2016!$F:$F)</f>
        <v>191765.4</v>
      </c>
      <c r="F10" s="98">
        <f>SUMIF(ALIF_Y2017!$A:$A,$A10,ALIF_Y2017!$F:$F)</f>
        <v>191765.4</v>
      </c>
      <c r="G10" s="98">
        <f>SUMIF(ALIF_Y2018!$A:$A,$A10,ALIF_Y2018!$F:$F)</f>
        <v>533547.4</v>
      </c>
      <c r="H10" s="98">
        <f>SUMIF(ALIF_Y2019!$A:$A,$A10,ALIF_Y2019!$F:$F)</f>
        <v>616788.348</v>
      </c>
      <c r="I10" s="98">
        <f>SUMIF(ALIF_Y2020!$A:$A,$A10,ALIF_Y2020!$F:$F)</f>
        <v>961301.67799999996</v>
      </c>
      <c r="J10" s="98">
        <f>SUMIF(ALIF_Y2021!$A:$A,$A10,ALIF_Y2021!$F:$F)</f>
        <v>1015678.496</v>
      </c>
      <c r="K10" s="98">
        <f>SUMIF(ALIF_Y2022!$A:$A,$A10,ALIF_Y2022!$F:$F)</f>
        <v>1101801</v>
      </c>
      <c r="L10" s="98">
        <f>SUMIF(ALIF_Y2023!$A:$A,$A10,ALIF_Y2023!$F:$F)</f>
        <v>1101801</v>
      </c>
      <c r="M10" s="98">
        <f>SUMIF(ALIF_Y2024!$A:$A,$A10,ALIF_Y2024!$F:$F)</f>
        <v>1134240.121</v>
      </c>
      <c r="N10" s="98">
        <f>SUMIF(ALIF_Y2025!$A:$A,$A10,ALIF_Y2025!$F:$F)</f>
        <v>1155192.2409999999</v>
      </c>
      <c r="O10" t="str">
        <f>_xlfn.XLOOKUP(A10,Map!A:A,Map!E:E)</f>
        <v>Property, plant and equipment</v>
      </c>
      <c r="P10" t="str">
        <f>_xlfn.XLOOKUP(A10,Map!A:A,Map!D:D)</f>
        <v>Non-Current Assets</v>
      </c>
    </row>
    <row r="11" spans="1:16" x14ac:dyDescent="0.25">
      <c r="A11" s="101">
        <v>111009</v>
      </c>
      <c r="B11" t="s">
        <v>7</v>
      </c>
      <c r="C11" s="98">
        <f>SUMIF(ALIF_Y2014!$A:$A,$A11,ALIF_Y2014!$F:$F)</f>
        <v>0</v>
      </c>
      <c r="D11" s="98">
        <f>SUMIF(ALIF_Y2015!$A:$A,$A11,ALIF_Y2015!$F:$F)</f>
        <v>0</v>
      </c>
      <c r="E11" s="98">
        <f>SUMIF(ALIF_Y2016!$A:$A,$A11,ALIF_Y2016!$F:$F)</f>
        <v>0</v>
      </c>
      <c r="F11" s="98">
        <f>SUMIF(ALIF_Y2017!$A:$A,$A11,ALIF_Y2017!$F:$F)</f>
        <v>0</v>
      </c>
      <c r="G11" s="98">
        <f>SUMIF(ALIF_Y2018!$A:$A,$A11,ALIF_Y2018!$F:$F)</f>
        <v>0</v>
      </c>
      <c r="H11" s="98">
        <f>SUMIF(ALIF_Y2019!$A:$A,$A11,ALIF_Y2019!$F:$F)</f>
        <v>2020135</v>
      </c>
      <c r="I11" s="98">
        <f>SUMIF(ALIF_Y2020!$A:$A,$A11,ALIF_Y2020!$F:$F)</f>
        <v>2020135</v>
      </c>
      <c r="J11" s="98">
        <f>SUMIF(ALIF_Y2021!$A:$A,$A11,ALIF_Y2021!$F:$F)</f>
        <v>2020135</v>
      </c>
      <c r="K11" s="98">
        <f>SUMIF(ALIF_Y2022!$A:$A,$A11,ALIF_Y2022!$F:$F)</f>
        <v>2020135</v>
      </c>
      <c r="L11" s="98">
        <f>SUMIF(ALIF_Y2023!$A:$A,$A11,ALIF_Y2023!$F:$F)</f>
        <v>2020135</v>
      </c>
      <c r="M11" s="98">
        <f>SUMIF(ALIF_Y2024!$A:$A,$A11,ALIF_Y2024!$F:$F)</f>
        <v>2020135</v>
      </c>
      <c r="N11" s="98">
        <f>SUMIF(ALIF_Y2025!$A:$A,$A11,ALIF_Y2025!$F:$F)</f>
        <v>3674470.773</v>
      </c>
      <c r="O11" t="str">
        <f>_xlfn.XLOOKUP(A11,Map!A:A,Map!E:E)</f>
        <v>Right of use</v>
      </c>
      <c r="P11" t="str">
        <f>_xlfn.XLOOKUP(A11,Map!A:A,Map!D:D)</f>
        <v>Non-Current Assets</v>
      </c>
    </row>
    <row r="12" spans="1:16" x14ac:dyDescent="0.25">
      <c r="A12" s="101">
        <v>111010</v>
      </c>
      <c r="B12" t="s">
        <v>8</v>
      </c>
      <c r="C12" s="98">
        <f>SUMIF(ALIF_Y2014!$A:$A,$A12,ALIF_Y2014!$F:$F)</f>
        <v>0</v>
      </c>
      <c r="D12" s="98">
        <f>SUMIF(ALIF_Y2015!$A:$A,$A12,ALIF_Y2015!$F:$F)</f>
        <v>0</v>
      </c>
      <c r="E12" s="98">
        <f>SUMIF(ALIF_Y2016!$A:$A,$A12,ALIF_Y2016!$F:$F)</f>
        <v>0</v>
      </c>
      <c r="F12" s="98">
        <f>SUMIF(ALIF_Y2017!$A:$A,$A12,ALIF_Y2017!$F:$F)</f>
        <v>0</v>
      </c>
      <c r="G12" s="98">
        <f>SUMIF(ALIF_Y2018!$A:$A,$A12,ALIF_Y2018!$F:$F)</f>
        <v>0</v>
      </c>
      <c r="H12" s="98">
        <f>SUMIF(ALIF_Y2019!$A:$A,$A12,ALIF_Y2019!$F:$F)</f>
        <v>0</v>
      </c>
      <c r="I12" s="98">
        <f>SUMIF(ALIF_Y2020!$A:$A,$A12,ALIF_Y2020!$F:$F)</f>
        <v>0</v>
      </c>
      <c r="J12" s="98">
        <f>SUMIF(ALIF_Y2021!$A:$A,$A12,ALIF_Y2021!$F:$F)</f>
        <v>0</v>
      </c>
      <c r="K12" s="98">
        <f>SUMIF(ALIF_Y2022!$A:$A,$A12,ALIF_Y2022!$F:$F)</f>
        <v>0</v>
      </c>
      <c r="L12" s="98">
        <f>SUMIF(ALIF_Y2023!$A:$A,$A12,ALIF_Y2023!$F:$F)</f>
        <v>0</v>
      </c>
      <c r="M12" s="98">
        <f>SUMIF(ALIF_Y2024!$A:$A,$A12,ALIF_Y2024!$F:$F)</f>
        <v>0</v>
      </c>
      <c r="N12" s="98">
        <f>SUMIF(ALIF_Y2025!$A:$A,$A12,ALIF_Y2025!$F:$F)</f>
        <v>17130500.949000001</v>
      </c>
      <c r="O12" t="str">
        <f>_xlfn.XLOOKUP(A12,Map!A:A,Map!E:E)</f>
        <v>Property, plant and equipment</v>
      </c>
      <c r="P12" t="str">
        <f>_xlfn.XLOOKUP(A12,Map!A:A,Map!D:D)</f>
        <v>Non-Current Assets</v>
      </c>
    </row>
    <row r="13" spans="1:16" x14ac:dyDescent="0.25">
      <c r="A13" s="101">
        <v>111013</v>
      </c>
      <c r="B13" t="s">
        <v>9</v>
      </c>
      <c r="C13" s="98">
        <f>SUMIF(ALIF_Y2014!$A:$A,$A13,ALIF_Y2014!$F:$F)</f>
        <v>0</v>
      </c>
      <c r="D13" s="98">
        <f>SUMIF(ALIF_Y2015!$A:$A,$A13,ALIF_Y2015!$F:$F)</f>
        <v>10769234.605</v>
      </c>
      <c r="E13" s="98">
        <f>SUMIF(ALIF_Y2016!$A:$A,$A13,ALIF_Y2016!$F:$F)</f>
        <v>99946347.437000006</v>
      </c>
      <c r="F13" s="98">
        <f>SUMIF(ALIF_Y2017!$A:$A,$A13,ALIF_Y2017!$F:$F)</f>
        <v>102265401.13600001</v>
      </c>
      <c r="G13" s="98">
        <f>SUMIF(ALIF_Y2018!$A:$A,$A13,ALIF_Y2018!$F:$F)</f>
        <v>5140198.9610000001</v>
      </c>
      <c r="H13" s="98">
        <f>SUMIF(ALIF_Y2019!$A:$A,$A13,ALIF_Y2019!$F:$F)</f>
        <v>8976734.1539999992</v>
      </c>
      <c r="I13" s="98">
        <f>SUMIF(ALIF_Y2020!$A:$A,$A13,ALIF_Y2020!$F:$F)</f>
        <v>0</v>
      </c>
      <c r="J13" s="98">
        <f>SUMIF(ALIF_Y2021!$A:$A,$A13,ALIF_Y2021!$F:$F)</f>
        <v>0</v>
      </c>
      <c r="K13" s="98">
        <f>SUMIF(ALIF_Y2022!$A:$A,$A13,ALIF_Y2022!$F:$F)</f>
        <v>0</v>
      </c>
      <c r="L13" s="98">
        <f>SUMIF(ALIF_Y2023!$A:$A,$A13,ALIF_Y2023!$F:$F)</f>
        <v>569470.01699999999</v>
      </c>
      <c r="M13" s="98">
        <f>SUMIF(ALIF_Y2024!$A:$A,$A13,ALIF_Y2024!$F:$F)</f>
        <v>3661922.77</v>
      </c>
      <c r="N13" s="98">
        <f>SUMIF(ALIF_Y2025!$A:$A,$A13,ALIF_Y2025!$F:$F)</f>
        <v>-543176.42200000002</v>
      </c>
      <c r="O13" t="str">
        <f>_xlfn.XLOOKUP(A13,Map!A:A,Map!E:E)</f>
        <v>Property, plant and equipment</v>
      </c>
      <c r="P13" t="str">
        <f>_xlfn.XLOOKUP(A13,Map!A:A,Map!D:D)</f>
        <v>Non-Current Assets</v>
      </c>
    </row>
    <row r="14" spans="1:16" x14ac:dyDescent="0.25">
      <c r="A14" s="101">
        <v>111099</v>
      </c>
      <c r="B14" t="s">
        <v>10</v>
      </c>
      <c r="C14" s="98">
        <f>SUMIF(ALIF_Y2014!$A:$A,$A14,ALIF_Y2014!$F:$F)</f>
        <v>0</v>
      </c>
      <c r="D14" s="98">
        <f>SUMIF(ALIF_Y2015!$A:$A,$A14,ALIF_Y2015!$F:$F)</f>
        <v>0</v>
      </c>
      <c r="E14" s="98">
        <f>SUMIF(ALIF_Y2016!$A:$A,$A14,ALIF_Y2016!$F:$F)</f>
        <v>0</v>
      </c>
      <c r="F14" s="98">
        <f>SUMIF(ALIF_Y2017!$A:$A,$A14,ALIF_Y2017!$F:$F)</f>
        <v>0</v>
      </c>
      <c r="G14" s="98">
        <f>SUMIF(ALIF_Y2018!$A:$A,$A14,ALIF_Y2018!$F:$F)</f>
        <v>0</v>
      </c>
      <c r="H14" s="98">
        <f>SUMIF(ALIF_Y2019!$A:$A,$A14,ALIF_Y2019!$F:$F)</f>
        <v>0</v>
      </c>
      <c r="I14" s="98">
        <f>SUMIF(ALIF_Y2020!$A:$A,$A14,ALIF_Y2020!$F:$F)</f>
        <v>0</v>
      </c>
      <c r="J14" s="98">
        <f>SUMIF(ALIF_Y2021!$A:$A,$A14,ALIF_Y2021!$F:$F)</f>
        <v>0</v>
      </c>
      <c r="K14" s="98">
        <f>SUMIF(ALIF_Y2022!$A:$A,$A14,ALIF_Y2022!$F:$F)</f>
        <v>0</v>
      </c>
      <c r="L14" s="98">
        <f>SUMIF(ALIF_Y2023!$A:$A,$A14,ALIF_Y2023!$F:$F)</f>
        <v>0</v>
      </c>
      <c r="M14" s="98">
        <f>SUMIF(ALIF_Y2024!$A:$A,$A14,ALIF_Y2024!$F:$F)</f>
        <v>220102.927</v>
      </c>
      <c r="N14" s="98">
        <f>SUMIF(ALIF_Y2025!$A:$A,$A14,ALIF_Y2025!$F:$F)</f>
        <v>135753.14199999999</v>
      </c>
      <c r="O14" t="str">
        <f>_xlfn.XLOOKUP(A14,Map!A:A,Map!E:E)</f>
        <v>Property, plant and equipment</v>
      </c>
      <c r="P14" t="str">
        <f>_xlfn.XLOOKUP(A14,Map!A:A,Map!D:D)</f>
        <v>Non-Current Assets</v>
      </c>
    </row>
    <row r="15" spans="1:16" x14ac:dyDescent="0.25">
      <c r="A15" s="101">
        <v>120001</v>
      </c>
      <c r="B15" t="s">
        <v>11</v>
      </c>
      <c r="C15" s="98">
        <f>SUMIF(ALIF_Y2014!$A:$A,$A15,ALIF_Y2014!$F:$F)</f>
        <v>-227682.83</v>
      </c>
      <c r="D15" s="98">
        <f>SUMIF(ALIF_Y2015!$A:$A,$A15,ALIF_Y2015!$F:$F)</f>
        <v>-242695.31099999999</v>
      </c>
      <c r="E15" s="98">
        <f>SUMIF(ALIF_Y2016!$A:$A,$A15,ALIF_Y2016!$F:$F)</f>
        <v>-249150.337</v>
      </c>
      <c r="F15" s="98">
        <f>SUMIF(ALIF_Y2017!$A:$A,$A15,ALIF_Y2017!$F:$F)</f>
        <v>-249682.00700000001</v>
      </c>
      <c r="G15" s="98">
        <f>SUMIF(ALIF_Y2018!$A:$A,$A15,ALIF_Y2018!$F:$F)</f>
        <v>-694867.68700000003</v>
      </c>
      <c r="H15" s="98">
        <f>SUMIF(ALIF_Y2019!$A:$A,$A15,ALIF_Y2019!$F:$F)</f>
        <v>-2186446.301</v>
      </c>
      <c r="I15" s="98">
        <f>SUMIF(ALIF_Y2020!$A:$A,$A15,ALIF_Y2020!$F:$F)</f>
        <v>-3753290.4920000001</v>
      </c>
      <c r="J15" s="98">
        <f>SUMIF(ALIF_Y2021!$A:$A,$A15,ALIF_Y2021!$F:$F)</f>
        <v>-5320134.68</v>
      </c>
      <c r="K15" s="98">
        <f>SUMIF(ALIF_Y2022!$A:$A,$A15,ALIF_Y2022!$F:$F)</f>
        <v>-6886978.8799999999</v>
      </c>
      <c r="L15" s="98">
        <f>SUMIF(ALIF_Y2023!$A:$A,$A15,ALIF_Y2023!$F:$F)</f>
        <v>-8453823.0800000001</v>
      </c>
      <c r="M15" s="98">
        <f>SUMIF(ALIF_Y2024!$A:$A,$A15,ALIF_Y2024!$F:$F)</f>
        <v>-10037150.582</v>
      </c>
      <c r="N15" s="98">
        <f>SUMIF(ALIF_Y2025!$A:$A,$A15,ALIF_Y2025!$F:$F)</f>
        <v>-11630035.142999999</v>
      </c>
      <c r="O15" t="str">
        <f>_xlfn.XLOOKUP(A15,Map!A:A,Map!E:E)</f>
        <v>Property, plant and equipment</v>
      </c>
      <c r="P15" t="str">
        <f>_xlfn.XLOOKUP(A15,Map!A:A,Map!D:D)</f>
        <v>Non-Current Assets</v>
      </c>
    </row>
    <row r="16" spans="1:16" x14ac:dyDescent="0.25">
      <c r="A16" s="101">
        <v>120002</v>
      </c>
      <c r="B16" t="s">
        <v>12</v>
      </c>
      <c r="C16" s="98">
        <f>SUMIF(ALIF_Y2014!$A:$A,$A16,ALIF_Y2014!$F:$F)</f>
        <v>-1715968.22</v>
      </c>
      <c r="D16" s="98">
        <f>SUMIF(ALIF_Y2015!$A:$A,$A16,ALIF_Y2015!$F:$F)</f>
        <v>-1760033.9739999999</v>
      </c>
      <c r="E16" s="98">
        <f>SUMIF(ALIF_Y2016!$A:$A,$A16,ALIF_Y2016!$F:$F)</f>
        <v>-1767393.959</v>
      </c>
      <c r="F16" s="98">
        <f>SUMIF(ALIF_Y2017!$A:$A,$A16,ALIF_Y2017!$F:$F)</f>
        <v>-1769803.922</v>
      </c>
      <c r="G16" s="98">
        <f>SUMIF(ALIF_Y2018!$A:$A,$A16,ALIF_Y2018!$F:$F)</f>
        <v>-1782181.44</v>
      </c>
      <c r="H16" s="98">
        <f>SUMIF(ALIF_Y2019!$A:$A,$A16,ALIF_Y2019!$F:$F)</f>
        <v>-1796679.77</v>
      </c>
      <c r="I16" s="98">
        <f>SUMIF(ALIF_Y2020!$A:$A,$A16,ALIF_Y2020!$F:$F)</f>
        <v>-1765393.774</v>
      </c>
      <c r="J16" s="98">
        <f>SUMIF(ALIF_Y2021!$A:$A,$A16,ALIF_Y2021!$F:$F)</f>
        <v>-1765393.774</v>
      </c>
      <c r="K16" s="98">
        <f>SUMIF(ALIF_Y2022!$A:$A,$A16,ALIF_Y2022!$F:$F)</f>
        <v>-1765393.774</v>
      </c>
      <c r="L16" s="98">
        <f>SUMIF(ALIF_Y2023!$A:$A,$A16,ALIF_Y2023!$F:$F)</f>
        <v>-1765393.774</v>
      </c>
      <c r="M16" s="98">
        <f>SUMIF(ALIF_Y2024!$A:$A,$A16,ALIF_Y2024!$F:$F)</f>
        <v>-1765393.774</v>
      </c>
      <c r="N16" s="98">
        <f>SUMIF(ALIF_Y2025!$A:$A,$A16,ALIF_Y2025!$F:$F)</f>
        <v>-1783073.851</v>
      </c>
      <c r="O16" t="str">
        <f>_xlfn.XLOOKUP(A16,Map!A:A,Map!E:E)</f>
        <v>Property, plant and equipment</v>
      </c>
      <c r="P16" t="str">
        <f>_xlfn.XLOOKUP(A16,Map!A:A,Map!D:D)</f>
        <v>Non-Current Assets</v>
      </c>
    </row>
    <row r="17" spans="1:16" x14ac:dyDescent="0.25">
      <c r="A17" s="101">
        <v>120003</v>
      </c>
      <c r="B17" t="s">
        <v>13</v>
      </c>
      <c r="C17" s="98">
        <f>SUMIF(ALIF_Y2014!$A:$A,$A17,ALIF_Y2014!$F:$F)</f>
        <v>-20403680.359999999</v>
      </c>
      <c r="D17" s="98">
        <f>SUMIF(ALIF_Y2015!$A:$A,$A17,ALIF_Y2015!$F:$F)</f>
        <v>-23854970.600000001</v>
      </c>
      <c r="E17" s="98">
        <f>SUMIF(ALIF_Y2016!$A:$A,$A17,ALIF_Y2016!$F:$F)</f>
        <v>-27289886.682999998</v>
      </c>
      <c r="F17" s="98">
        <f>SUMIF(ALIF_Y2017!$A:$A,$A17,ALIF_Y2017!$F:$F)</f>
        <v>-30823321.811999999</v>
      </c>
      <c r="G17" s="98">
        <f>SUMIF(ALIF_Y2018!$A:$A,$A17,ALIF_Y2018!$F:$F)</f>
        <v>-34787312.380000003</v>
      </c>
      <c r="H17" s="98">
        <f>SUMIF(ALIF_Y2019!$A:$A,$A17,ALIF_Y2019!$F:$F)</f>
        <v>-38426515.730999999</v>
      </c>
      <c r="I17" s="98">
        <f>SUMIF(ALIF_Y2020!$A:$A,$A17,ALIF_Y2020!$F:$F)</f>
        <v>-36593196.344999999</v>
      </c>
      <c r="J17" s="98">
        <f>SUMIF(ALIF_Y2021!$A:$A,$A17,ALIF_Y2021!$F:$F)</f>
        <v>-40039866.482000001</v>
      </c>
      <c r="K17" s="98">
        <f>SUMIF(ALIF_Y2022!$A:$A,$A17,ALIF_Y2022!$F:$F)</f>
        <v>-43870447.883000001</v>
      </c>
      <c r="L17" s="98">
        <f>SUMIF(ALIF_Y2023!$A:$A,$A17,ALIF_Y2023!$F:$F)</f>
        <v>-41530054.737999998</v>
      </c>
      <c r="M17" s="98">
        <f>SUMIF(ALIF_Y2024!$A:$A,$A17,ALIF_Y2024!$F:$F)</f>
        <v>-46052949.350000001</v>
      </c>
      <c r="N17" s="98">
        <f>SUMIF(ALIF_Y2025!$A:$A,$A17,ALIF_Y2025!$F:$F)</f>
        <v>-50348213.066</v>
      </c>
      <c r="O17" t="str">
        <f>_xlfn.XLOOKUP(A17,Map!A:A,Map!E:E)</f>
        <v>Property, plant and equipment</v>
      </c>
      <c r="P17" t="str">
        <f>_xlfn.XLOOKUP(A17,Map!A:A,Map!D:D)</f>
        <v>Non-Current Assets</v>
      </c>
    </row>
    <row r="18" spans="1:16" x14ac:dyDescent="0.25">
      <c r="A18" s="101">
        <v>120005</v>
      </c>
      <c r="B18" t="s">
        <v>14</v>
      </c>
      <c r="C18" s="98">
        <f>SUMIF(ALIF_Y2014!$A:$A,$A18,ALIF_Y2014!$F:$F)</f>
        <v>-1053780.57</v>
      </c>
      <c r="D18" s="98">
        <f>SUMIF(ALIF_Y2015!$A:$A,$A18,ALIF_Y2015!$F:$F)</f>
        <v>-1243715.98</v>
      </c>
      <c r="E18" s="98">
        <f>SUMIF(ALIF_Y2016!$A:$A,$A18,ALIF_Y2016!$F:$F)</f>
        <v>-1332799.317</v>
      </c>
      <c r="F18" s="98">
        <f>SUMIF(ALIF_Y2017!$A:$A,$A18,ALIF_Y2017!$F:$F)</f>
        <v>-1421470.1470000001</v>
      </c>
      <c r="G18" s="98">
        <f>SUMIF(ALIF_Y2018!$A:$A,$A18,ALIF_Y2018!$F:$F)</f>
        <v>-1571590.63</v>
      </c>
      <c r="H18" s="98">
        <f>SUMIF(ALIF_Y2019!$A:$A,$A18,ALIF_Y2019!$F:$F)</f>
        <v>-1767725.9750000001</v>
      </c>
      <c r="I18" s="98">
        <f>SUMIF(ALIF_Y2020!$A:$A,$A18,ALIF_Y2020!$F:$F)</f>
        <v>-1917847.0859999999</v>
      </c>
      <c r="J18" s="98">
        <f>SUMIF(ALIF_Y2021!$A:$A,$A18,ALIF_Y2021!$F:$F)</f>
        <v>-2024836.368</v>
      </c>
      <c r="K18" s="98">
        <f>SUMIF(ALIF_Y2022!$A:$A,$A18,ALIF_Y2022!$F:$F)</f>
        <v>-2184859.4500000002</v>
      </c>
      <c r="L18" s="98">
        <f>SUMIF(ALIF_Y2023!$A:$A,$A18,ALIF_Y2023!$F:$F)</f>
        <v>-2378006.81</v>
      </c>
      <c r="M18" s="98">
        <f>SUMIF(ALIF_Y2024!$A:$A,$A18,ALIF_Y2024!$F:$F)</f>
        <v>-2441519.38</v>
      </c>
      <c r="N18" s="98">
        <f>SUMIF(ALIF_Y2025!$A:$A,$A18,ALIF_Y2025!$F:$F)</f>
        <v>-2703445.1510000001</v>
      </c>
      <c r="O18" t="str">
        <f>_xlfn.XLOOKUP(A18,Map!A:A,Map!E:E)</f>
        <v>Property, plant and equipment</v>
      </c>
      <c r="P18" t="str">
        <f>_xlfn.XLOOKUP(A18,Map!A:A,Map!D:D)</f>
        <v>Non-Current Assets</v>
      </c>
    </row>
    <row r="19" spans="1:16" x14ac:dyDescent="0.25">
      <c r="A19" s="101">
        <v>120006</v>
      </c>
      <c r="B19" t="s">
        <v>15</v>
      </c>
      <c r="C19" s="98">
        <f>SUMIF(ALIF_Y2014!$A:$A,$A19,ALIF_Y2014!$F:$F)</f>
        <v>-69116.08</v>
      </c>
      <c r="D19" s="98">
        <f>SUMIF(ALIF_Y2015!$A:$A,$A19,ALIF_Y2015!$F:$F)</f>
        <v>-255844.21</v>
      </c>
      <c r="E19" s="98">
        <f>SUMIF(ALIF_Y2016!$A:$A,$A19,ALIF_Y2016!$F:$F)</f>
        <v>-439911.33799999999</v>
      </c>
      <c r="F19" s="98">
        <f>SUMIF(ALIF_Y2017!$A:$A,$A19,ALIF_Y2017!$F:$F)</f>
        <v>-619613.80299999996</v>
      </c>
      <c r="G19" s="98">
        <f>SUMIF(ALIF_Y2018!$A:$A,$A19,ALIF_Y2018!$F:$F)</f>
        <v>-812734.49100000004</v>
      </c>
      <c r="H19" s="98">
        <f>SUMIF(ALIF_Y2019!$A:$A,$A19,ALIF_Y2019!$F:$F)</f>
        <v>-832232.89099999995</v>
      </c>
      <c r="I19" s="98">
        <f>SUMIF(ALIF_Y2020!$A:$A,$A19,ALIF_Y2020!$F:$F)</f>
        <v>-928574.01399999997</v>
      </c>
      <c r="J19" s="98">
        <f>SUMIF(ALIF_Y2021!$A:$A,$A19,ALIF_Y2021!$F:$F)</f>
        <v>-1048090.056</v>
      </c>
      <c r="K19" s="98">
        <f>SUMIF(ALIF_Y2022!$A:$A,$A19,ALIF_Y2022!$F:$F)</f>
        <v>-1338351.8049999999</v>
      </c>
      <c r="L19" s="98">
        <f>SUMIF(ALIF_Y2023!$A:$A,$A19,ALIF_Y2023!$F:$F)</f>
        <v>-1629306.473</v>
      </c>
      <c r="M19" s="98">
        <f>SUMIF(ALIF_Y2024!$A:$A,$A19,ALIF_Y2024!$F:$F)</f>
        <v>-1893185.9580000001</v>
      </c>
      <c r="N19" s="98">
        <f>SUMIF(ALIF_Y2025!$A:$A,$A19,ALIF_Y2025!$F:$F)</f>
        <v>-2220442.0430000001</v>
      </c>
      <c r="O19" t="str">
        <f>_xlfn.XLOOKUP(A19,Map!A:A,Map!E:E)</f>
        <v>Property, plant and equipment</v>
      </c>
      <c r="P19" t="str">
        <f>_xlfn.XLOOKUP(A19,Map!A:A,Map!D:D)</f>
        <v>Non-Current Assets</v>
      </c>
    </row>
    <row r="20" spans="1:16" x14ac:dyDescent="0.25">
      <c r="A20" s="101">
        <v>120007</v>
      </c>
      <c r="B20" t="s">
        <v>16</v>
      </c>
      <c r="C20" s="98">
        <f>SUMIF(ALIF_Y2014!$A:$A,$A20,ALIF_Y2014!$F:$F)</f>
        <v>-154323.31899999999</v>
      </c>
      <c r="D20" s="98">
        <f>SUMIF(ALIF_Y2015!$A:$A,$A20,ALIF_Y2015!$F:$F)</f>
        <v>-167396.32199999999</v>
      </c>
      <c r="E20" s="98">
        <f>SUMIF(ALIF_Y2016!$A:$A,$A20,ALIF_Y2016!$F:$F)</f>
        <v>-176382.90299999999</v>
      </c>
      <c r="F20" s="98">
        <f>SUMIF(ALIF_Y2017!$A:$A,$A20,ALIF_Y2017!$F:$F)</f>
        <v>-182314.43299999999</v>
      </c>
      <c r="G20" s="98">
        <f>SUMIF(ALIF_Y2018!$A:$A,$A20,ALIF_Y2018!$F:$F)</f>
        <v>-221019.97700000001</v>
      </c>
      <c r="H20" s="98">
        <f>SUMIF(ALIF_Y2019!$A:$A,$A20,ALIF_Y2019!$F:$F)</f>
        <v>-264210.005</v>
      </c>
      <c r="I20" s="98">
        <f>SUMIF(ALIF_Y2020!$A:$A,$A20,ALIF_Y2020!$F:$F)</f>
        <v>-320357.62</v>
      </c>
      <c r="J20" s="98">
        <f>SUMIF(ALIF_Y2021!$A:$A,$A20,ALIF_Y2021!$F:$F)</f>
        <v>-396808.4</v>
      </c>
      <c r="K20" s="98">
        <f>SUMIF(ALIF_Y2022!$A:$A,$A20,ALIF_Y2022!$F:$F)</f>
        <v>-479538.73200000002</v>
      </c>
      <c r="L20" s="98">
        <f>SUMIF(ALIF_Y2023!$A:$A,$A20,ALIF_Y2023!$F:$F)</f>
        <v>-567470.49600000004</v>
      </c>
      <c r="M20" s="98">
        <f>SUMIF(ALIF_Y2024!$A:$A,$A20,ALIF_Y2024!$F:$F)</f>
        <v>-656529.25399999996</v>
      </c>
      <c r="N20" s="98">
        <f>SUMIF(ALIF_Y2025!$A:$A,$A20,ALIF_Y2025!$F:$F)</f>
        <v>-748291.75800000003</v>
      </c>
      <c r="O20" t="str">
        <f>_xlfn.XLOOKUP(A20,Map!A:A,Map!E:E)</f>
        <v>Property, plant and equipment</v>
      </c>
      <c r="P20" t="str">
        <f>_xlfn.XLOOKUP(A20,Map!A:A,Map!D:D)</f>
        <v>Non-Current Assets</v>
      </c>
    </row>
    <row r="21" spans="1:16" x14ac:dyDescent="0.25">
      <c r="A21" s="101">
        <v>120008</v>
      </c>
      <c r="B21" t="s">
        <v>17</v>
      </c>
      <c r="C21" s="98">
        <f>SUMIF(ALIF_Y2014!$A:$A,$A21,ALIF_Y2014!$F:$F)</f>
        <v>0</v>
      </c>
      <c r="D21" s="98">
        <f>SUMIF(ALIF_Y2015!$A:$A,$A21,ALIF_Y2015!$F:$F)</f>
        <v>0</v>
      </c>
      <c r="E21" s="98">
        <f>SUMIF(ALIF_Y2016!$A:$A,$A21,ALIF_Y2016!$F:$F)</f>
        <v>0</v>
      </c>
      <c r="F21" s="98">
        <f>SUMIF(ALIF_Y2017!$A:$A,$A21,ALIF_Y2017!$F:$F)</f>
        <v>0</v>
      </c>
      <c r="G21" s="98">
        <f>SUMIF(ALIF_Y2018!$A:$A,$A21,ALIF_Y2018!$F:$F)</f>
        <v>0</v>
      </c>
      <c r="H21" s="98">
        <f>SUMIF(ALIF_Y2019!$A:$A,$A21,ALIF_Y2019!$F:$F)</f>
        <v>-24787</v>
      </c>
      <c r="I21" s="98">
        <f>SUMIF(ALIF_Y2020!$A:$A,$A21,ALIF_Y2020!$F:$F)</f>
        <v>-173509.508</v>
      </c>
      <c r="J21" s="98">
        <f>SUMIF(ALIF_Y2021!$A:$A,$A21,ALIF_Y2021!$F:$F)</f>
        <v>-333622.50799999997</v>
      </c>
      <c r="K21" s="98">
        <f>SUMIF(ALIF_Y2022!$A:$A,$A21,ALIF_Y2022!$F:$F)</f>
        <v>-482953.92099999997</v>
      </c>
      <c r="L21" s="98">
        <f>SUMIF(ALIF_Y2023!$A:$A,$A21,ALIF_Y2023!$F:$F)</f>
        <v>-645860.91700000002</v>
      </c>
      <c r="M21" s="98">
        <f>SUMIF(ALIF_Y2024!$A:$A,$A21,ALIF_Y2024!$F:$F)</f>
        <v>-794582.52099999995</v>
      </c>
      <c r="N21" s="98">
        <f>SUMIF(ALIF_Y2025!$A:$A,$A21,ALIF_Y2025!$F:$F)</f>
        <v>-1128826.4210000001</v>
      </c>
      <c r="O21" t="str">
        <f>_xlfn.XLOOKUP(A21,Map!A:A,Map!E:E)</f>
        <v>Right of use</v>
      </c>
      <c r="P21" t="str">
        <f>_xlfn.XLOOKUP(A21,Map!A:A,Map!D:D)</f>
        <v>Non-Current Assets</v>
      </c>
    </row>
    <row r="22" spans="1:16" x14ac:dyDescent="0.25">
      <c r="A22" s="101">
        <v>121001</v>
      </c>
      <c r="B22" t="s">
        <v>18</v>
      </c>
      <c r="C22" s="98">
        <f>SUMIF(ALIF_Y2014!$A:$A,$A22,ALIF_Y2014!$F:$F)</f>
        <v>5363766.13</v>
      </c>
      <c r="D22" s="98">
        <f>SUMIF(ALIF_Y2015!$A:$A,$A22,ALIF_Y2015!$F:$F)</f>
        <v>6677123.2829999998</v>
      </c>
      <c r="E22" s="98">
        <f>SUMIF(ALIF_Y2016!$A:$A,$A22,ALIF_Y2016!$F:$F)</f>
        <v>8098665.1299999999</v>
      </c>
      <c r="F22" s="98">
        <f>SUMIF(ALIF_Y2017!$A:$A,$A22,ALIF_Y2017!$F:$F)</f>
        <v>13762616.130000001</v>
      </c>
      <c r="G22" s="98">
        <f>SUMIF(ALIF_Y2018!$A:$A,$A22,ALIF_Y2018!$F:$F)</f>
        <v>13762616.130000001</v>
      </c>
      <c r="H22" s="98">
        <f>SUMIF(ALIF_Y2019!$A:$A,$A22,ALIF_Y2019!$F:$F)</f>
        <v>13762616.130000001</v>
      </c>
      <c r="I22" s="98">
        <f>SUMIF(ALIF_Y2020!$A:$A,$A22,ALIF_Y2020!$F:$F)</f>
        <v>13762616.130000001</v>
      </c>
      <c r="J22" s="98">
        <f>SUMIF(ALIF_Y2021!$A:$A,$A22,ALIF_Y2021!$F:$F)</f>
        <v>13762616.130000001</v>
      </c>
      <c r="K22" s="98">
        <f>SUMIF(ALIF_Y2022!$A:$A,$A22,ALIF_Y2022!$F:$F)</f>
        <v>13762616.130000001</v>
      </c>
      <c r="L22" s="98">
        <f>SUMIF(ALIF_Y2023!$A:$A,$A22,ALIF_Y2023!$F:$F)</f>
        <v>13762616.130000001</v>
      </c>
      <c r="M22" s="98">
        <f>SUMIF(ALIF_Y2024!$A:$A,$A22,ALIF_Y2024!$F:$F)</f>
        <v>13762616.130000001</v>
      </c>
      <c r="N22" s="98">
        <f>SUMIF(ALIF_Y2025!$A:$A,$A22,ALIF_Y2025!$F:$F)</f>
        <v>13762616.130000001</v>
      </c>
      <c r="O22" t="str">
        <f>_xlfn.XLOOKUP(A22,Map!A:A,Map!E:E)</f>
        <v>Prepaid expenses</v>
      </c>
      <c r="P22" t="str">
        <f>_xlfn.XLOOKUP(A22,Map!A:A,Map!D:D)</f>
        <v>Current Assets</v>
      </c>
    </row>
    <row r="23" spans="1:16" x14ac:dyDescent="0.25">
      <c r="A23" s="101">
        <v>121002</v>
      </c>
      <c r="B23" t="s">
        <v>19</v>
      </c>
      <c r="C23" s="98">
        <f>SUMIF(ALIF_Y2014!$A:$A,$A23,ALIF_Y2014!$F:$F)</f>
        <v>-3650674.13</v>
      </c>
      <c r="D23" s="98">
        <f>SUMIF(ALIF_Y2015!$A:$A,$A23,ALIF_Y2015!$F:$F)</f>
        <v>-3650674.13</v>
      </c>
      <c r="E23" s="98">
        <f>SUMIF(ALIF_Y2016!$A:$A,$A23,ALIF_Y2016!$F:$F)</f>
        <v>-8098665.1299999999</v>
      </c>
      <c r="F23" s="98">
        <f>SUMIF(ALIF_Y2017!$A:$A,$A23,ALIF_Y2017!$F:$F)</f>
        <v>-13762616.130000001</v>
      </c>
      <c r="G23" s="98">
        <f>SUMIF(ALIF_Y2018!$A:$A,$A23,ALIF_Y2018!$F:$F)</f>
        <v>-13762616.130000001</v>
      </c>
      <c r="H23" s="98">
        <f>SUMIF(ALIF_Y2019!$A:$A,$A23,ALIF_Y2019!$F:$F)</f>
        <v>-13762616.130000001</v>
      </c>
      <c r="I23" s="98">
        <f>SUMIF(ALIF_Y2020!$A:$A,$A23,ALIF_Y2020!$F:$F)</f>
        <v>-13762616.130000001</v>
      </c>
      <c r="J23" s="98">
        <f>SUMIF(ALIF_Y2021!$A:$A,$A23,ALIF_Y2021!$F:$F)</f>
        <v>-13762616.130000001</v>
      </c>
      <c r="K23" s="98">
        <f>SUMIF(ALIF_Y2022!$A:$A,$A23,ALIF_Y2022!$F:$F)</f>
        <v>-13762616.130000001</v>
      </c>
      <c r="L23" s="98">
        <f>SUMIF(ALIF_Y2023!$A:$A,$A23,ALIF_Y2023!$F:$F)</f>
        <v>-13762616.130000001</v>
      </c>
      <c r="M23" s="98">
        <f>SUMIF(ALIF_Y2024!$A:$A,$A23,ALIF_Y2024!$F:$F)</f>
        <v>-13762616.130000001</v>
      </c>
      <c r="N23" s="98">
        <f>SUMIF(ALIF_Y2025!$A:$A,$A23,ALIF_Y2025!$F:$F)</f>
        <v>-13762616.130000001</v>
      </c>
      <c r="O23" t="str">
        <f>_xlfn.XLOOKUP(A23,Map!A:A,Map!E:E)</f>
        <v>Prepaid expenses</v>
      </c>
      <c r="P23" t="str">
        <f>_xlfn.XLOOKUP(A23,Map!A:A,Map!D:D)</f>
        <v>Current Assets</v>
      </c>
    </row>
    <row r="24" spans="1:16" x14ac:dyDescent="0.25">
      <c r="A24" s="101">
        <v>130001</v>
      </c>
      <c r="B24" t="s">
        <v>20</v>
      </c>
      <c r="C24" s="98">
        <f>SUMIF(ALIF_Y2014!$A:$A,$A24,ALIF_Y2014!$F:$F)</f>
        <v>7283978.5010000002</v>
      </c>
      <c r="D24" s="98">
        <f>SUMIF(ALIF_Y2015!$A:$A,$A24,ALIF_Y2015!$F:$F)</f>
        <v>2480104.2799999998</v>
      </c>
      <c r="E24" s="98">
        <f>SUMIF(ALIF_Y2016!$A:$A,$A24,ALIF_Y2016!$F:$F)</f>
        <v>2109690.5099999998</v>
      </c>
      <c r="F24" s="98">
        <f>SUMIF(ALIF_Y2017!$A:$A,$A24,ALIF_Y2017!$F:$F)</f>
        <v>2591031.906</v>
      </c>
      <c r="G24" s="98">
        <f>SUMIF(ALIF_Y2018!$A:$A,$A24,ALIF_Y2018!$F:$F)</f>
        <v>2068549.69</v>
      </c>
      <c r="H24" s="98">
        <f>SUMIF(ALIF_Y2019!$A:$A,$A24,ALIF_Y2019!$F:$F)</f>
        <v>1482460.22</v>
      </c>
      <c r="I24" s="98">
        <f>SUMIF(ALIF_Y2020!$A:$A,$A24,ALIF_Y2020!$F:$F)</f>
        <v>-0.41</v>
      </c>
      <c r="J24" s="98">
        <f>SUMIF(ALIF_Y2021!$A:$A,$A24,ALIF_Y2021!$F:$F)</f>
        <v>254890.07</v>
      </c>
      <c r="K24" s="98">
        <f>SUMIF(ALIF_Y2022!$A:$A,$A24,ALIF_Y2022!$F:$F)</f>
        <v>0</v>
      </c>
      <c r="L24" s="98">
        <f>SUMIF(ALIF_Y2023!$A:$A,$A24,ALIF_Y2023!$F:$F)</f>
        <v>0</v>
      </c>
      <c r="M24" s="98">
        <f>SUMIF(ALIF_Y2024!$A:$A,$A24,ALIF_Y2024!$F:$F)</f>
        <v>65206.73</v>
      </c>
      <c r="N24" s="98">
        <f>SUMIF(ALIF_Y2025!$A:$A,$A24,ALIF_Y2025!$F:$F)</f>
        <v>0</v>
      </c>
      <c r="O24" t="str">
        <f>_xlfn.XLOOKUP(A24,Map!A:A,Map!E:E)</f>
        <v>Cash and cash equivalents</v>
      </c>
      <c r="P24" t="str">
        <f>_xlfn.XLOOKUP(A24,Map!A:A,Map!D:D)</f>
        <v>Current Assets</v>
      </c>
    </row>
    <row r="25" spans="1:16" x14ac:dyDescent="0.25">
      <c r="A25" s="101">
        <v>130002</v>
      </c>
      <c r="B25" t="s">
        <v>21</v>
      </c>
      <c r="C25" s="98">
        <f>SUMIF(ALIF_Y2014!$A:$A,$A25,ALIF_Y2014!$F:$F)</f>
        <v>54868.49</v>
      </c>
      <c r="D25" s="98">
        <f>SUMIF(ALIF_Y2015!$A:$A,$A25,ALIF_Y2015!$F:$F)</f>
        <v>2429.1</v>
      </c>
      <c r="E25" s="98">
        <f>SUMIF(ALIF_Y2016!$A:$A,$A25,ALIF_Y2016!$F:$F)</f>
        <v>30078.2</v>
      </c>
      <c r="F25" s="98">
        <f>SUMIF(ALIF_Y2017!$A:$A,$A25,ALIF_Y2017!$F:$F)</f>
        <v>51063.64</v>
      </c>
      <c r="G25" s="98">
        <f>SUMIF(ALIF_Y2018!$A:$A,$A25,ALIF_Y2018!$F:$F)</f>
        <v>6349.32</v>
      </c>
      <c r="H25" s="98">
        <f>SUMIF(ALIF_Y2019!$A:$A,$A25,ALIF_Y2019!$F:$F)</f>
        <v>777923.25</v>
      </c>
      <c r="I25" s="98">
        <f>SUMIF(ALIF_Y2020!$A:$A,$A25,ALIF_Y2020!$F:$F)</f>
        <v>744918.4</v>
      </c>
      <c r="J25" s="98">
        <f>SUMIF(ALIF_Y2021!$A:$A,$A25,ALIF_Y2021!$F:$F)</f>
        <v>0</v>
      </c>
      <c r="K25" s="98">
        <f>SUMIF(ALIF_Y2022!$A:$A,$A25,ALIF_Y2022!$F:$F)</f>
        <v>0</v>
      </c>
      <c r="L25" s="98">
        <f>SUMIF(ALIF_Y2023!$A:$A,$A25,ALIF_Y2023!$F:$F)</f>
        <v>0</v>
      </c>
      <c r="M25" s="98">
        <f>SUMIF(ALIF_Y2024!$A:$A,$A25,ALIF_Y2024!$F:$F)</f>
        <v>0</v>
      </c>
      <c r="N25" s="98">
        <f>SUMIF(ALIF_Y2025!$A:$A,$A25,ALIF_Y2025!$F:$F)</f>
        <v>0</v>
      </c>
      <c r="O25" t="str">
        <f>_xlfn.XLOOKUP(A25,Map!A:A,Map!E:E)</f>
        <v>Cash and cash equivalents</v>
      </c>
      <c r="P25" t="str">
        <f>_xlfn.XLOOKUP(A25,Map!A:A,Map!D:D)</f>
        <v>Current Assets</v>
      </c>
    </row>
    <row r="26" spans="1:16" x14ac:dyDescent="0.25">
      <c r="A26" s="101">
        <v>130003</v>
      </c>
      <c r="B26" t="s">
        <v>22</v>
      </c>
      <c r="C26" s="98">
        <f>SUMIF(ALIF_Y2014!$A:$A,$A26,ALIF_Y2014!$F:$F)</f>
        <v>0</v>
      </c>
      <c r="D26" s="98">
        <f>SUMIF(ALIF_Y2015!$A:$A,$A26,ALIF_Y2015!$F:$F)</f>
        <v>0</v>
      </c>
      <c r="E26" s="98">
        <f>SUMIF(ALIF_Y2016!$A:$A,$A26,ALIF_Y2016!$F:$F)</f>
        <v>0</v>
      </c>
      <c r="F26" s="98">
        <f>SUMIF(ALIF_Y2017!$A:$A,$A26,ALIF_Y2017!$F:$F)</f>
        <v>0</v>
      </c>
      <c r="G26" s="98">
        <f>SUMIF(ALIF_Y2018!$A:$A,$A26,ALIF_Y2018!$F:$F)</f>
        <v>0</v>
      </c>
      <c r="H26" s="98">
        <f>SUMIF(ALIF_Y2019!$A:$A,$A26,ALIF_Y2019!$F:$F)</f>
        <v>0</v>
      </c>
      <c r="I26" s="98">
        <f>SUMIF(ALIF_Y2020!$A:$A,$A26,ALIF_Y2020!$F:$F)</f>
        <v>0</v>
      </c>
      <c r="J26" s="98">
        <f>SUMIF(ALIF_Y2021!$A:$A,$A26,ALIF_Y2021!$F:$F)</f>
        <v>0</v>
      </c>
      <c r="K26" s="98">
        <f>SUMIF(ALIF_Y2022!$A:$A,$A26,ALIF_Y2022!$F:$F)</f>
        <v>0</v>
      </c>
      <c r="L26" s="98">
        <f>SUMIF(ALIF_Y2023!$A:$A,$A26,ALIF_Y2023!$F:$F)</f>
        <v>0</v>
      </c>
      <c r="M26" s="98">
        <f>SUMIF(ALIF_Y2024!$A:$A,$A26,ALIF_Y2024!$F:$F)</f>
        <v>0</v>
      </c>
      <c r="N26" s="98">
        <f>SUMIF(ALIF_Y2025!$A:$A,$A26,ALIF_Y2025!$F:$F)</f>
        <v>0</v>
      </c>
      <c r="O26" t="str">
        <f>_xlfn.XLOOKUP(A26,Map!A:A,Map!E:E)</f>
        <v>Cash and cash equivalents</v>
      </c>
      <c r="P26" t="str">
        <f>_xlfn.XLOOKUP(A26,Map!A:A,Map!D:D)</f>
        <v>Current Assets</v>
      </c>
    </row>
    <row r="27" spans="1:16" x14ac:dyDescent="0.25">
      <c r="A27" s="101">
        <v>130004</v>
      </c>
      <c r="B27" t="s">
        <v>23</v>
      </c>
      <c r="C27" s="98">
        <f>SUMIF(ALIF_Y2014!$A:$A,$A27,ALIF_Y2014!$F:$F)</f>
        <v>2446274.11</v>
      </c>
      <c r="D27" s="98">
        <f>SUMIF(ALIF_Y2015!$A:$A,$A27,ALIF_Y2015!$F:$F)</f>
        <v>669960.12</v>
      </c>
      <c r="E27" s="98">
        <f>SUMIF(ALIF_Y2016!$A:$A,$A27,ALIF_Y2016!$F:$F)</f>
        <v>623354.35</v>
      </c>
      <c r="F27" s="98">
        <f>SUMIF(ALIF_Y2017!$A:$A,$A27,ALIF_Y2017!$F:$F)</f>
        <v>2170226.4300000002</v>
      </c>
      <c r="G27" s="98">
        <f>SUMIF(ALIF_Y2018!$A:$A,$A27,ALIF_Y2018!$F:$F)</f>
        <v>281961.51</v>
      </c>
      <c r="H27" s="98">
        <f>SUMIF(ALIF_Y2019!$A:$A,$A27,ALIF_Y2019!$F:$F)</f>
        <v>144938.85</v>
      </c>
      <c r="I27" s="98">
        <f>SUMIF(ALIF_Y2020!$A:$A,$A27,ALIF_Y2020!$F:$F)</f>
        <v>108178.8</v>
      </c>
      <c r="J27" s="98">
        <f>SUMIF(ALIF_Y2021!$A:$A,$A27,ALIF_Y2021!$F:$F)</f>
        <v>31128.799999999999</v>
      </c>
      <c r="K27" s="98">
        <f>SUMIF(ALIF_Y2022!$A:$A,$A27,ALIF_Y2022!$F:$F)</f>
        <v>15028.8</v>
      </c>
      <c r="L27" s="98">
        <f>SUMIF(ALIF_Y2023!$A:$A,$A27,ALIF_Y2023!$F:$F)</f>
        <v>0</v>
      </c>
      <c r="M27" s="98">
        <f>SUMIF(ALIF_Y2024!$A:$A,$A27,ALIF_Y2024!$F:$F)</f>
        <v>0</v>
      </c>
      <c r="N27" s="98">
        <f>SUMIF(ALIF_Y2025!$A:$A,$A27,ALIF_Y2025!$F:$F)</f>
        <v>0</v>
      </c>
      <c r="O27" t="str">
        <f>_xlfn.XLOOKUP(A27,Map!A:A,Map!E:E)</f>
        <v>Cash and cash equivalents</v>
      </c>
      <c r="P27" t="str">
        <f>_xlfn.XLOOKUP(A27,Map!A:A,Map!D:D)</f>
        <v>Current Assets</v>
      </c>
    </row>
    <row r="28" spans="1:16" x14ac:dyDescent="0.25">
      <c r="A28" s="101">
        <v>130005</v>
      </c>
      <c r="B28" t="s">
        <v>24</v>
      </c>
      <c r="C28" s="98">
        <f>SUMIF(ALIF_Y2014!$A:$A,$A28,ALIF_Y2014!$F:$F)</f>
        <v>173876.8</v>
      </c>
      <c r="D28" s="98">
        <f>SUMIF(ALIF_Y2015!$A:$A,$A28,ALIF_Y2015!$F:$F)</f>
        <v>72019.39</v>
      </c>
      <c r="E28" s="98">
        <f>SUMIF(ALIF_Y2016!$A:$A,$A28,ALIF_Y2016!$F:$F)</f>
        <v>5311.27</v>
      </c>
      <c r="F28" s="98">
        <f>SUMIF(ALIF_Y2017!$A:$A,$A28,ALIF_Y2017!$F:$F)</f>
        <v>1196050.98</v>
      </c>
      <c r="G28" s="98">
        <f>SUMIF(ALIF_Y2018!$A:$A,$A28,ALIF_Y2018!$F:$F)</f>
        <v>0</v>
      </c>
      <c r="H28" s="98">
        <f>SUMIF(ALIF_Y2019!$A:$A,$A28,ALIF_Y2019!$F:$F)</f>
        <v>0</v>
      </c>
      <c r="I28" s="98">
        <f>SUMIF(ALIF_Y2020!$A:$A,$A28,ALIF_Y2020!$F:$F)</f>
        <v>0</v>
      </c>
      <c r="J28" s="98">
        <f>SUMIF(ALIF_Y2021!$A:$A,$A28,ALIF_Y2021!$F:$F)</f>
        <v>0</v>
      </c>
      <c r="K28" s="98">
        <f>SUMIF(ALIF_Y2022!$A:$A,$A28,ALIF_Y2022!$F:$F)</f>
        <v>0</v>
      </c>
      <c r="L28" s="98">
        <f>SUMIF(ALIF_Y2023!$A:$A,$A28,ALIF_Y2023!$F:$F)</f>
        <v>0</v>
      </c>
      <c r="M28" s="98">
        <f>SUMIF(ALIF_Y2024!$A:$A,$A28,ALIF_Y2024!$F:$F)</f>
        <v>0</v>
      </c>
      <c r="N28" s="98">
        <f>SUMIF(ALIF_Y2025!$A:$A,$A28,ALIF_Y2025!$F:$F)</f>
        <v>0</v>
      </c>
      <c r="O28" t="str">
        <f>_xlfn.XLOOKUP(A28,Map!A:A,Map!E:E)</f>
        <v>Cash and cash equivalents</v>
      </c>
      <c r="P28" t="str">
        <f>_xlfn.XLOOKUP(A28,Map!A:A,Map!D:D)</f>
        <v>Current Assets</v>
      </c>
    </row>
    <row r="29" spans="1:16" x14ac:dyDescent="0.25">
      <c r="A29" s="101">
        <v>130006</v>
      </c>
      <c r="B29" t="s">
        <v>25</v>
      </c>
      <c r="C29" s="98">
        <f>SUMIF(ALIF_Y2014!$A:$A,$A29,ALIF_Y2014!$F:$F)</f>
        <v>268845.77</v>
      </c>
      <c r="D29" s="98">
        <f>SUMIF(ALIF_Y2015!$A:$A,$A29,ALIF_Y2015!$F:$F)</f>
        <v>127521.81</v>
      </c>
      <c r="E29" s="98">
        <f>SUMIF(ALIF_Y2016!$A:$A,$A29,ALIF_Y2016!$F:$F)</f>
        <v>18521.5</v>
      </c>
      <c r="F29" s="98">
        <f>SUMIF(ALIF_Y2017!$A:$A,$A29,ALIF_Y2017!$F:$F)</f>
        <v>91646.45</v>
      </c>
      <c r="G29" s="98">
        <f>SUMIF(ALIF_Y2018!$A:$A,$A29,ALIF_Y2018!$F:$F)</f>
        <v>26670.35</v>
      </c>
      <c r="H29" s="98">
        <f>SUMIF(ALIF_Y2019!$A:$A,$A29,ALIF_Y2019!$F:$F)</f>
        <v>115009.41</v>
      </c>
      <c r="I29" s="98">
        <f>SUMIF(ALIF_Y2020!$A:$A,$A29,ALIF_Y2020!$F:$F)</f>
        <v>89237.65</v>
      </c>
      <c r="J29" s="98">
        <f>SUMIF(ALIF_Y2021!$A:$A,$A29,ALIF_Y2021!$F:$F)</f>
        <v>221073.65</v>
      </c>
      <c r="K29" s="98">
        <f>SUMIF(ALIF_Y2022!$A:$A,$A29,ALIF_Y2022!$F:$F)</f>
        <v>0</v>
      </c>
      <c r="L29" s="98">
        <f>SUMIF(ALIF_Y2023!$A:$A,$A29,ALIF_Y2023!$F:$F)</f>
        <v>0</v>
      </c>
      <c r="M29" s="98">
        <f>SUMIF(ALIF_Y2024!$A:$A,$A29,ALIF_Y2024!$F:$F)</f>
        <v>0</v>
      </c>
      <c r="N29" s="98">
        <f>SUMIF(ALIF_Y2025!$A:$A,$A29,ALIF_Y2025!$F:$F)</f>
        <v>0</v>
      </c>
      <c r="O29" t="str">
        <f>_xlfn.XLOOKUP(A29,Map!A:A,Map!E:E)</f>
        <v>Cash and cash equivalents</v>
      </c>
      <c r="P29" t="str">
        <f>_xlfn.XLOOKUP(A29,Map!A:A,Map!D:D)</f>
        <v>Current Assets</v>
      </c>
    </row>
    <row r="30" spans="1:16" x14ac:dyDescent="0.25">
      <c r="A30" s="101">
        <v>130007</v>
      </c>
      <c r="B30" t="s">
        <v>26</v>
      </c>
      <c r="C30" s="98">
        <f>SUMIF(ALIF_Y2014!$A:$A,$A30,ALIF_Y2014!$F:$F)</f>
        <v>530312.98</v>
      </c>
      <c r="D30" s="98">
        <f>SUMIF(ALIF_Y2015!$A:$A,$A30,ALIF_Y2015!$F:$F)</f>
        <v>1042740.7</v>
      </c>
      <c r="E30" s="98">
        <f>SUMIF(ALIF_Y2016!$A:$A,$A30,ALIF_Y2016!$F:$F)</f>
        <v>1782205.82</v>
      </c>
      <c r="F30" s="98">
        <f>SUMIF(ALIF_Y2017!$A:$A,$A30,ALIF_Y2017!$F:$F)</f>
        <v>812449.21699999995</v>
      </c>
      <c r="G30" s="98">
        <f>SUMIF(ALIF_Y2018!$A:$A,$A30,ALIF_Y2018!$F:$F)</f>
        <v>1634615.09</v>
      </c>
      <c r="H30" s="98">
        <f>SUMIF(ALIF_Y2019!$A:$A,$A30,ALIF_Y2019!$F:$F)</f>
        <v>1132000.1299999999</v>
      </c>
      <c r="I30" s="98">
        <f>SUMIF(ALIF_Y2020!$A:$A,$A30,ALIF_Y2020!$F:$F)</f>
        <v>271627.56</v>
      </c>
      <c r="J30" s="98">
        <f>SUMIF(ALIF_Y2021!$A:$A,$A30,ALIF_Y2021!$F:$F)</f>
        <v>975113.48</v>
      </c>
      <c r="K30" s="98">
        <f>SUMIF(ALIF_Y2022!$A:$A,$A30,ALIF_Y2022!$F:$F)</f>
        <v>1397141.99</v>
      </c>
      <c r="L30" s="98">
        <f>SUMIF(ALIF_Y2023!$A:$A,$A30,ALIF_Y2023!$F:$F)</f>
        <v>0</v>
      </c>
      <c r="M30" s="98">
        <f>SUMIF(ALIF_Y2024!$A:$A,$A30,ALIF_Y2024!$F:$F)</f>
        <v>0</v>
      </c>
      <c r="N30" s="98">
        <f>SUMIF(ALIF_Y2025!$A:$A,$A30,ALIF_Y2025!$F:$F)</f>
        <v>0</v>
      </c>
      <c r="O30" t="str">
        <f>_xlfn.XLOOKUP(A30,Map!A:A,Map!E:E)</f>
        <v>Cash and cash equivalents</v>
      </c>
      <c r="P30" t="str">
        <f>_xlfn.XLOOKUP(A30,Map!A:A,Map!D:D)</f>
        <v>Current Assets</v>
      </c>
    </row>
    <row r="31" spans="1:16" x14ac:dyDescent="0.25">
      <c r="A31" s="101">
        <v>130008</v>
      </c>
      <c r="B31" t="s">
        <v>247</v>
      </c>
      <c r="C31" s="98">
        <f>SUMIF(ALIF_Y2014!$A:$A,$A31,ALIF_Y2014!$F:$F)</f>
        <v>272978.02</v>
      </c>
      <c r="D31" s="98">
        <f>SUMIF(ALIF_Y2015!$A:$A,$A31,ALIF_Y2015!$F:$F)</f>
        <v>16963.79</v>
      </c>
      <c r="E31" s="98">
        <f>SUMIF(ALIF_Y2016!$A:$A,$A31,ALIF_Y2016!$F:$F)</f>
        <v>52027.55</v>
      </c>
      <c r="F31" s="98">
        <f>SUMIF(ALIF_Y2017!$A:$A,$A31,ALIF_Y2017!$F:$F)</f>
        <v>298807.52</v>
      </c>
      <c r="G31" s="98">
        <f>SUMIF(ALIF_Y2018!$A:$A,$A31,ALIF_Y2018!$F:$F)</f>
        <v>4769151.58</v>
      </c>
      <c r="H31" s="98">
        <f>SUMIF(ALIF_Y2019!$A:$A,$A31,ALIF_Y2019!$F:$F)</f>
        <v>1609557.15</v>
      </c>
      <c r="I31" s="98">
        <f>SUMIF(ALIF_Y2020!$A:$A,$A31,ALIF_Y2020!$F:$F)</f>
        <v>1334479.27</v>
      </c>
      <c r="J31" s="98">
        <f>SUMIF(ALIF_Y2021!$A:$A,$A31,ALIF_Y2021!$F:$F)</f>
        <v>563831.72</v>
      </c>
      <c r="K31" s="98">
        <f>SUMIF(ALIF_Y2022!$A:$A,$A31,ALIF_Y2022!$F:$F)</f>
        <v>125346.061</v>
      </c>
      <c r="L31" s="98">
        <f>SUMIF(ALIF_Y2023!$A:$A,$A31,ALIF_Y2023!$F:$F)</f>
        <v>252733.8</v>
      </c>
      <c r="M31" s="98">
        <f>SUMIF(ALIF_Y2024!$A:$A,$A31,ALIF_Y2024!$F:$F)</f>
        <v>194366.21</v>
      </c>
      <c r="N31" s="98">
        <f>SUMIF(ALIF_Y2025!$A:$A,$A31,ALIF_Y2025!$F:$F)</f>
        <v>463277.23</v>
      </c>
      <c r="O31" t="str">
        <f>_xlfn.XLOOKUP(A31,Map!A:A,Map!E:E)</f>
        <v>Cash and cash equivalents</v>
      </c>
      <c r="P31" t="str">
        <f>_xlfn.XLOOKUP(A31,Map!A:A,Map!D:D)</f>
        <v>Current Assets</v>
      </c>
    </row>
    <row r="32" spans="1:16" x14ac:dyDescent="0.25">
      <c r="A32" s="101">
        <v>130009</v>
      </c>
      <c r="B32" t="s">
        <v>27</v>
      </c>
      <c r="C32" s="98">
        <f>SUMIF(ALIF_Y2014!$A:$A,$A32,ALIF_Y2014!$F:$F)</f>
        <v>0</v>
      </c>
      <c r="D32" s="98">
        <f>SUMIF(ALIF_Y2015!$A:$A,$A32,ALIF_Y2015!$F:$F)</f>
        <v>0</v>
      </c>
      <c r="E32" s="98">
        <f>SUMIF(ALIF_Y2016!$A:$A,$A32,ALIF_Y2016!$F:$F)</f>
        <v>0</v>
      </c>
      <c r="F32" s="98">
        <f>SUMIF(ALIF_Y2017!$A:$A,$A32,ALIF_Y2017!$F:$F)</f>
        <v>0</v>
      </c>
      <c r="G32" s="98">
        <f>SUMIF(ALIF_Y2018!$A:$A,$A32,ALIF_Y2018!$F:$F)</f>
        <v>0</v>
      </c>
      <c r="H32" s="98">
        <f>SUMIF(ALIF_Y2019!$A:$A,$A32,ALIF_Y2019!$F:$F)</f>
        <v>883583.5</v>
      </c>
      <c r="I32" s="98">
        <f>SUMIF(ALIF_Y2020!$A:$A,$A32,ALIF_Y2020!$F:$F)</f>
        <v>481793.78</v>
      </c>
      <c r="J32" s="98">
        <f>SUMIF(ALIF_Y2021!$A:$A,$A32,ALIF_Y2021!$F:$F)</f>
        <v>752895.54099999997</v>
      </c>
      <c r="K32" s="98">
        <f>SUMIF(ALIF_Y2022!$A:$A,$A32,ALIF_Y2022!$F:$F)</f>
        <v>4424114.9989999998</v>
      </c>
      <c r="L32" s="98">
        <f>SUMIF(ALIF_Y2023!$A:$A,$A32,ALIF_Y2023!$F:$F)</f>
        <v>575464.68000000005</v>
      </c>
      <c r="M32" s="98">
        <f>SUMIF(ALIF_Y2024!$A:$A,$A32,ALIF_Y2024!$F:$F)</f>
        <v>38160.93</v>
      </c>
      <c r="N32" s="98">
        <f>SUMIF(ALIF_Y2025!$A:$A,$A32,ALIF_Y2025!$F:$F)</f>
        <v>179637.07500000001</v>
      </c>
      <c r="O32" t="str">
        <f>_xlfn.XLOOKUP(A32,Map!A:A,Map!E:E)</f>
        <v>Cash and cash equivalents</v>
      </c>
      <c r="P32" t="str">
        <f>_xlfn.XLOOKUP(A32,Map!A:A,Map!D:D)</f>
        <v>Current Assets</v>
      </c>
    </row>
    <row r="33" spans="1:16" x14ac:dyDescent="0.25">
      <c r="A33" s="101">
        <v>130010</v>
      </c>
      <c r="B33" t="s">
        <v>28</v>
      </c>
      <c r="C33" s="98">
        <f>SUMIF(ALIF_Y2014!$A:$A,$A33,ALIF_Y2014!$F:$F)</f>
        <v>0</v>
      </c>
      <c r="D33" s="98">
        <f>SUMIF(ALIF_Y2015!$A:$A,$A33,ALIF_Y2015!$F:$F)</f>
        <v>0</v>
      </c>
      <c r="E33" s="98">
        <f>SUMIF(ALIF_Y2016!$A:$A,$A33,ALIF_Y2016!$F:$F)</f>
        <v>0</v>
      </c>
      <c r="F33" s="98">
        <f>SUMIF(ALIF_Y2017!$A:$A,$A33,ALIF_Y2017!$F:$F)</f>
        <v>0</v>
      </c>
      <c r="G33" s="98">
        <f>SUMIF(ALIF_Y2018!$A:$A,$A33,ALIF_Y2018!$F:$F)</f>
        <v>0</v>
      </c>
      <c r="H33" s="98">
        <f>SUMIF(ALIF_Y2019!$A:$A,$A33,ALIF_Y2019!$F:$F)</f>
        <v>419127.51</v>
      </c>
      <c r="I33" s="98">
        <f>SUMIF(ALIF_Y2020!$A:$A,$A33,ALIF_Y2020!$F:$F)</f>
        <v>14548085.07</v>
      </c>
      <c r="J33" s="98">
        <f>SUMIF(ALIF_Y2021!$A:$A,$A33,ALIF_Y2021!$F:$F)</f>
        <v>728505.90399999998</v>
      </c>
      <c r="K33" s="98">
        <f>SUMIF(ALIF_Y2022!$A:$A,$A33,ALIF_Y2022!$F:$F)</f>
        <v>4858085.3859999999</v>
      </c>
      <c r="L33" s="98">
        <f>SUMIF(ALIF_Y2023!$A:$A,$A33,ALIF_Y2023!$F:$F)</f>
        <v>912741.95</v>
      </c>
      <c r="M33" s="98">
        <f>SUMIF(ALIF_Y2024!$A:$A,$A33,ALIF_Y2024!$F:$F)</f>
        <v>355055.14899999998</v>
      </c>
      <c r="N33" s="98">
        <f>SUMIF(ALIF_Y2025!$A:$A,$A33,ALIF_Y2025!$F:$F)</f>
        <v>0</v>
      </c>
      <c r="O33" t="str">
        <f>_xlfn.XLOOKUP(A33,Map!A:A,Map!E:E)</f>
        <v>Cash and cash equivalents</v>
      </c>
      <c r="P33" t="str">
        <f>_xlfn.XLOOKUP(A33,Map!A:A,Map!D:D)</f>
        <v>Current Assets</v>
      </c>
    </row>
    <row r="34" spans="1:16" x14ac:dyDescent="0.25">
      <c r="A34" s="101">
        <v>130011</v>
      </c>
      <c r="B34" t="s">
        <v>29</v>
      </c>
      <c r="C34" s="98">
        <f>SUMIF(ALIF_Y2014!$A:$A,$A34,ALIF_Y2014!$F:$F)</f>
        <v>0</v>
      </c>
      <c r="D34" s="98">
        <f>SUMIF(ALIF_Y2015!$A:$A,$A34,ALIF_Y2015!$F:$F)</f>
        <v>0</v>
      </c>
      <c r="E34" s="98">
        <f>SUMIF(ALIF_Y2016!$A:$A,$A34,ALIF_Y2016!$F:$F)</f>
        <v>0</v>
      </c>
      <c r="F34" s="98">
        <f>SUMIF(ALIF_Y2017!$A:$A,$A34,ALIF_Y2017!$F:$F)</f>
        <v>0</v>
      </c>
      <c r="G34" s="98">
        <f>SUMIF(ALIF_Y2018!$A:$A,$A34,ALIF_Y2018!$F:$F)</f>
        <v>0</v>
      </c>
      <c r="H34" s="98">
        <f>SUMIF(ALIF_Y2019!$A:$A,$A34,ALIF_Y2019!$F:$F)</f>
        <v>0</v>
      </c>
      <c r="I34" s="98">
        <f>SUMIF(ALIF_Y2020!$A:$A,$A34,ALIF_Y2020!$F:$F)</f>
        <v>10099447.390000001</v>
      </c>
      <c r="J34" s="98">
        <f>SUMIF(ALIF_Y2021!$A:$A,$A34,ALIF_Y2021!$F:$F)</f>
        <v>1837850.2420000001</v>
      </c>
      <c r="K34" s="98">
        <f>SUMIF(ALIF_Y2022!$A:$A,$A34,ALIF_Y2022!$F:$F)</f>
        <v>1029152.88</v>
      </c>
      <c r="L34" s="98">
        <f>SUMIF(ALIF_Y2023!$A:$A,$A34,ALIF_Y2023!$F:$F)</f>
        <v>371638.27</v>
      </c>
      <c r="M34" s="98">
        <f>SUMIF(ALIF_Y2024!$A:$A,$A34,ALIF_Y2024!$F:$F)</f>
        <v>136162.01</v>
      </c>
      <c r="N34" s="98">
        <f>SUMIF(ALIF_Y2025!$A:$A,$A34,ALIF_Y2025!$F:$F)</f>
        <v>86776.12</v>
      </c>
      <c r="O34" t="str">
        <f>_xlfn.XLOOKUP(A34,Map!A:A,Map!E:E)</f>
        <v>Cash and cash equivalents</v>
      </c>
      <c r="P34" t="str">
        <f>_xlfn.XLOOKUP(A34,Map!A:A,Map!D:D)</f>
        <v>Current Assets</v>
      </c>
    </row>
    <row r="35" spans="1:16" x14ac:dyDescent="0.25">
      <c r="A35" s="101">
        <v>130012</v>
      </c>
      <c r="B35" t="s">
        <v>248</v>
      </c>
      <c r="C35" s="98">
        <f>SUMIF(ALIF_Y2014!$A:$A,$A35,ALIF_Y2014!$F:$F)</f>
        <v>0</v>
      </c>
      <c r="D35" s="98">
        <f>SUMIF(ALIF_Y2015!$A:$A,$A35,ALIF_Y2015!$F:$F)</f>
        <v>0</v>
      </c>
      <c r="E35" s="98">
        <f>SUMIF(ALIF_Y2016!$A:$A,$A35,ALIF_Y2016!$F:$F)</f>
        <v>0</v>
      </c>
      <c r="F35" s="98">
        <f>SUMIF(ALIF_Y2017!$A:$A,$A35,ALIF_Y2017!$F:$F)</f>
        <v>0</v>
      </c>
      <c r="G35" s="98">
        <f>SUMIF(ALIF_Y2018!$A:$A,$A35,ALIF_Y2018!$F:$F)</f>
        <v>0</v>
      </c>
      <c r="H35" s="98">
        <f>SUMIF(ALIF_Y2019!$A:$A,$A35,ALIF_Y2019!$F:$F)</f>
        <v>0</v>
      </c>
      <c r="I35" s="98">
        <f>SUMIF(ALIF_Y2020!$A:$A,$A35,ALIF_Y2020!$F:$F)</f>
        <v>12249437.208000001</v>
      </c>
      <c r="J35" s="98">
        <f>SUMIF(ALIF_Y2021!$A:$A,$A35,ALIF_Y2021!$F:$F)</f>
        <v>2278838.6170000001</v>
      </c>
      <c r="K35" s="98">
        <f>SUMIF(ALIF_Y2022!$A:$A,$A35,ALIF_Y2022!$F:$F)</f>
        <v>1252439.537</v>
      </c>
      <c r="L35" s="98">
        <f>SUMIF(ALIF_Y2023!$A:$A,$A35,ALIF_Y2023!$F:$F)</f>
        <v>925749.64</v>
      </c>
      <c r="M35" s="98">
        <f>SUMIF(ALIF_Y2024!$A:$A,$A35,ALIF_Y2024!$F:$F)</f>
        <v>166205.87</v>
      </c>
      <c r="N35" s="98">
        <f>SUMIF(ALIF_Y2025!$A:$A,$A35,ALIF_Y2025!$F:$F)</f>
        <v>58830.98</v>
      </c>
      <c r="O35" t="str">
        <f>_xlfn.XLOOKUP(A35,Map!A:A,Map!E:E)</f>
        <v>Cash and cash equivalents</v>
      </c>
      <c r="P35" t="str">
        <f>_xlfn.XLOOKUP(A35,Map!A:A,Map!D:D)</f>
        <v>Current Assets</v>
      </c>
    </row>
    <row r="36" spans="1:16" x14ac:dyDescent="0.25">
      <c r="A36" s="101">
        <v>130013</v>
      </c>
      <c r="B36" t="s">
        <v>30</v>
      </c>
      <c r="C36" s="98">
        <f>SUMIF(ALIF_Y2014!$A:$A,$A36,ALIF_Y2014!$F:$F)</f>
        <v>0</v>
      </c>
      <c r="D36" s="98">
        <f>SUMIF(ALIF_Y2015!$A:$A,$A36,ALIF_Y2015!$F:$F)</f>
        <v>0</v>
      </c>
      <c r="E36" s="98">
        <f>SUMIF(ALIF_Y2016!$A:$A,$A36,ALIF_Y2016!$F:$F)</f>
        <v>0</v>
      </c>
      <c r="F36" s="98">
        <f>SUMIF(ALIF_Y2017!$A:$A,$A36,ALIF_Y2017!$F:$F)</f>
        <v>0</v>
      </c>
      <c r="G36" s="98">
        <f>SUMIF(ALIF_Y2018!$A:$A,$A36,ALIF_Y2018!$F:$F)</f>
        <v>0</v>
      </c>
      <c r="H36" s="98">
        <f>SUMIF(ALIF_Y2019!$A:$A,$A36,ALIF_Y2019!$F:$F)</f>
        <v>0</v>
      </c>
      <c r="I36" s="98">
        <f>SUMIF(ALIF_Y2020!$A:$A,$A36,ALIF_Y2020!$F:$F)</f>
        <v>801234.04299999995</v>
      </c>
      <c r="J36" s="98">
        <f>SUMIF(ALIF_Y2021!$A:$A,$A36,ALIF_Y2021!$F:$F)</f>
        <v>2979550.361</v>
      </c>
      <c r="K36" s="98">
        <f>SUMIF(ALIF_Y2022!$A:$A,$A36,ALIF_Y2022!$F:$F)</f>
        <v>300937.83799999999</v>
      </c>
      <c r="L36" s="98">
        <f>SUMIF(ALIF_Y2023!$A:$A,$A36,ALIF_Y2023!$F:$F)</f>
        <v>237620.27900000001</v>
      </c>
      <c r="M36" s="98">
        <f>SUMIF(ALIF_Y2024!$A:$A,$A36,ALIF_Y2024!$F:$F)</f>
        <v>1760.4380000000001</v>
      </c>
      <c r="N36" s="98">
        <f>SUMIF(ALIF_Y2025!$A:$A,$A36,ALIF_Y2025!$F:$F)</f>
        <v>386790.929</v>
      </c>
      <c r="O36" t="str">
        <f>_xlfn.XLOOKUP(A36,Map!A:A,Map!E:E)</f>
        <v>Cash and cash equivalents</v>
      </c>
      <c r="P36" t="str">
        <f>_xlfn.XLOOKUP(A36,Map!A:A,Map!D:D)</f>
        <v>Current Assets</v>
      </c>
    </row>
    <row r="37" spans="1:16" x14ac:dyDescent="0.25">
      <c r="A37" s="101">
        <v>130014</v>
      </c>
      <c r="B37" t="s">
        <v>31</v>
      </c>
      <c r="C37" s="98">
        <f>SUMIF(ALIF_Y2014!$A:$A,$A37,ALIF_Y2014!$F:$F)</f>
        <v>0</v>
      </c>
      <c r="D37" s="98">
        <f>SUMIF(ALIF_Y2015!$A:$A,$A37,ALIF_Y2015!$F:$F)</f>
        <v>0</v>
      </c>
      <c r="E37" s="98">
        <f>SUMIF(ALIF_Y2016!$A:$A,$A37,ALIF_Y2016!$F:$F)</f>
        <v>0</v>
      </c>
      <c r="F37" s="98">
        <f>SUMIF(ALIF_Y2017!$A:$A,$A37,ALIF_Y2017!$F:$F)</f>
        <v>0</v>
      </c>
      <c r="G37" s="98">
        <f>SUMIF(ALIF_Y2018!$A:$A,$A37,ALIF_Y2018!$F:$F)</f>
        <v>0</v>
      </c>
      <c r="H37" s="98">
        <f>SUMIF(ALIF_Y2019!$A:$A,$A37,ALIF_Y2019!$F:$F)</f>
        <v>0</v>
      </c>
      <c r="I37" s="98">
        <f>SUMIF(ALIF_Y2020!$A:$A,$A37,ALIF_Y2020!$F:$F)</f>
        <v>0</v>
      </c>
      <c r="J37" s="98">
        <f>SUMIF(ALIF_Y2021!$A:$A,$A37,ALIF_Y2021!$F:$F)</f>
        <v>18749.75</v>
      </c>
      <c r="K37" s="98">
        <f>SUMIF(ALIF_Y2022!$A:$A,$A37,ALIF_Y2022!$F:$F)</f>
        <v>275731.75</v>
      </c>
      <c r="L37" s="98">
        <f>SUMIF(ALIF_Y2023!$A:$A,$A37,ALIF_Y2023!$F:$F)</f>
        <v>375236.25</v>
      </c>
      <c r="M37" s="98">
        <f>SUMIF(ALIF_Y2024!$A:$A,$A37,ALIF_Y2024!$F:$F)</f>
        <v>2761.25</v>
      </c>
      <c r="N37" s="98">
        <f>SUMIF(ALIF_Y2025!$A:$A,$A37,ALIF_Y2025!$F:$F)</f>
        <v>0</v>
      </c>
      <c r="O37" t="str">
        <f>_xlfn.XLOOKUP(A37,Map!A:A,Map!E:E)</f>
        <v>Cash and cash equivalents</v>
      </c>
      <c r="P37" t="str">
        <f>_xlfn.XLOOKUP(A37,Map!A:A,Map!D:D)</f>
        <v>Current Assets</v>
      </c>
    </row>
    <row r="38" spans="1:16" x14ac:dyDescent="0.25">
      <c r="A38" s="101">
        <v>130015</v>
      </c>
      <c r="B38" t="s">
        <v>32</v>
      </c>
      <c r="C38" s="98">
        <f>SUMIF(ALIF_Y2014!$A:$A,$A38,ALIF_Y2014!$F:$F)</f>
        <v>0</v>
      </c>
      <c r="D38" s="98">
        <f>SUMIF(ALIF_Y2015!$A:$A,$A38,ALIF_Y2015!$F:$F)</f>
        <v>0</v>
      </c>
      <c r="E38" s="98">
        <f>SUMIF(ALIF_Y2016!$A:$A,$A38,ALIF_Y2016!$F:$F)</f>
        <v>0</v>
      </c>
      <c r="F38" s="98">
        <f>SUMIF(ALIF_Y2017!$A:$A,$A38,ALIF_Y2017!$F:$F)</f>
        <v>0</v>
      </c>
      <c r="G38" s="98">
        <f>SUMIF(ALIF_Y2018!$A:$A,$A38,ALIF_Y2018!$F:$F)</f>
        <v>0</v>
      </c>
      <c r="H38" s="98">
        <f>SUMIF(ALIF_Y2019!$A:$A,$A38,ALIF_Y2019!$F:$F)</f>
        <v>0</v>
      </c>
      <c r="I38" s="98">
        <f>SUMIF(ALIF_Y2020!$A:$A,$A38,ALIF_Y2020!$F:$F)</f>
        <v>0</v>
      </c>
      <c r="J38" s="98">
        <f>SUMIF(ALIF_Y2021!$A:$A,$A38,ALIF_Y2021!$F:$F)</f>
        <v>0</v>
      </c>
      <c r="K38" s="98">
        <f>SUMIF(ALIF_Y2022!$A:$A,$A38,ALIF_Y2022!$F:$F)</f>
        <v>0</v>
      </c>
      <c r="L38" s="98">
        <f>SUMIF(ALIF_Y2023!$A:$A,$A38,ALIF_Y2023!$F:$F)</f>
        <v>32033.58</v>
      </c>
      <c r="M38" s="98">
        <f>SUMIF(ALIF_Y2024!$A:$A,$A38,ALIF_Y2024!$F:$F)</f>
        <v>10056.36</v>
      </c>
      <c r="N38" s="98">
        <f>SUMIF(ALIF_Y2025!$A:$A,$A38,ALIF_Y2025!$F:$F)</f>
        <v>5628.17</v>
      </c>
      <c r="O38" t="str">
        <f>_xlfn.XLOOKUP(A38,Map!A:A,Map!E:E)</f>
        <v>Cash and cash equivalents</v>
      </c>
      <c r="P38" t="str">
        <f>_xlfn.XLOOKUP(A38,Map!A:A,Map!D:D)</f>
        <v>Current Assets</v>
      </c>
    </row>
    <row r="39" spans="1:16" x14ac:dyDescent="0.25">
      <c r="A39" s="101">
        <v>130016</v>
      </c>
      <c r="B39" t="s">
        <v>33</v>
      </c>
      <c r="C39" s="98">
        <f>SUMIF(ALIF_Y2014!$A:$A,$A39,ALIF_Y2014!$F:$F)</f>
        <v>0</v>
      </c>
      <c r="D39" s="98">
        <f>SUMIF(ALIF_Y2015!$A:$A,$A39,ALIF_Y2015!$F:$F)</f>
        <v>0</v>
      </c>
      <c r="E39" s="98">
        <f>SUMIF(ALIF_Y2016!$A:$A,$A39,ALIF_Y2016!$F:$F)</f>
        <v>0</v>
      </c>
      <c r="F39" s="98">
        <f>SUMIF(ALIF_Y2017!$A:$A,$A39,ALIF_Y2017!$F:$F)</f>
        <v>0</v>
      </c>
      <c r="G39" s="98">
        <f>SUMIF(ALIF_Y2018!$A:$A,$A39,ALIF_Y2018!$F:$F)</f>
        <v>0</v>
      </c>
      <c r="H39" s="98">
        <f>SUMIF(ALIF_Y2019!$A:$A,$A39,ALIF_Y2019!$F:$F)</f>
        <v>0</v>
      </c>
      <c r="I39" s="98">
        <f>SUMIF(ALIF_Y2020!$A:$A,$A39,ALIF_Y2020!$F:$F)</f>
        <v>0</v>
      </c>
      <c r="J39" s="98">
        <f>SUMIF(ALIF_Y2021!$A:$A,$A39,ALIF_Y2021!$F:$F)</f>
        <v>0</v>
      </c>
      <c r="K39" s="98">
        <f>SUMIF(ALIF_Y2022!$A:$A,$A39,ALIF_Y2022!$F:$F)</f>
        <v>0</v>
      </c>
      <c r="L39" s="98">
        <f>SUMIF(ALIF_Y2023!$A:$A,$A39,ALIF_Y2023!$F:$F)</f>
        <v>367494.75</v>
      </c>
      <c r="M39" s="98">
        <f>SUMIF(ALIF_Y2024!$A:$A,$A39,ALIF_Y2024!$F:$F)</f>
        <v>98386.5</v>
      </c>
      <c r="N39" s="98">
        <f>SUMIF(ALIF_Y2025!$A:$A,$A39,ALIF_Y2025!$F:$F)</f>
        <v>23332.3</v>
      </c>
      <c r="O39" t="str">
        <f>_xlfn.XLOOKUP(A39,Map!A:A,Map!E:E)</f>
        <v>Cash and cash equivalents</v>
      </c>
      <c r="P39" t="str">
        <f>_xlfn.XLOOKUP(A39,Map!A:A,Map!D:D)</f>
        <v>Current Assets</v>
      </c>
    </row>
    <row r="40" spans="1:16" x14ac:dyDescent="0.25">
      <c r="A40" s="101">
        <v>130017</v>
      </c>
      <c r="B40" t="s">
        <v>555</v>
      </c>
      <c r="C40" s="98">
        <f>SUMIF(ALIF_Y2014!$A:$A,$A40,ALIF_Y2014!$F:$F)</f>
        <v>0</v>
      </c>
      <c r="D40" s="98">
        <f>SUMIF(ALIF_Y2015!$A:$A,$A40,ALIF_Y2015!$F:$F)</f>
        <v>0</v>
      </c>
      <c r="E40" s="98">
        <f>SUMIF(ALIF_Y2016!$A:$A,$A40,ALIF_Y2016!$F:$F)</f>
        <v>0</v>
      </c>
      <c r="F40" s="98">
        <f>SUMIF(ALIF_Y2017!$A:$A,$A40,ALIF_Y2017!$F:$F)</f>
        <v>0</v>
      </c>
      <c r="G40" s="98">
        <f>SUMIF(ALIF_Y2018!$A:$A,$A40,ALIF_Y2018!$F:$F)</f>
        <v>0</v>
      </c>
      <c r="H40" s="98">
        <f>SUMIF(ALIF_Y2019!$A:$A,$A40,ALIF_Y2019!$F:$F)</f>
        <v>0</v>
      </c>
      <c r="I40" s="98">
        <f>SUMIF(ALIF_Y2020!$A:$A,$A40,ALIF_Y2020!$F:$F)</f>
        <v>0</v>
      </c>
      <c r="J40" s="98">
        <f>SUMIF(ALIF_Y2021!$A:$A,$A40,ALIF_Y2021!$F:$F)</f>
        <v>0</v>
      </c>
      <c r="K40" s="98">
        <f>SUMIF(ALIF_Y2022!$A:$A,$A40,ALIF_Y2022!$F:$F)</f>
        <v>0</v>
      </c>
      <c r="L40" s="98">
        <f>SUMIF(ALIF_Y2023!$A:$A,$A40,ALIF_Y2023!$F:$F)</f>
        <v>0</v>
      </c>
      <c r="M40" s="98">
        <f>SUMIF(ALIF_Y2024!$A:$A,$A40,ALIF_Y2024!$F:$F)</f>
        <v>0</v>
      </c>
      <c r="N40" s="98">
        <f>SUMIF(ALIF_Y2025!$A:$A,$A40,ALIF_Y2025!$F:$F)</f>
        <v>292.40899999999999</v>
      </c>
      <c r="O40" t="str">
        <f>_xlfn.XLOOKUP(A40,Map!A:A,Map!E:E)</f>
        <v>Cash and cash equivalents</v>
      </c>
      <c r="P40" t="str">
        <f>_xlfn.XLOOKUP(A40,Map!A:A,Map!D:D)</f>
        <v>Current Assets</v>
      </c>
    </row>
    <row r="41" spans="1:16" x14ac:dyDescent="0.25">
      <c r="A41" s="101">
        <v>130099</v>
      </c>
      <c r="B41" t="s">
        <v>34</v>
      </c>
      <c r="C41" s="98">
        <f>SUMIF(ALIF_Y2014!$A:$A,$A41,ALIF_Y2014!$F:$F)</f>
        <v>0</v>
      </c>
      <c r="D41" s="98">
        <f>SUMIF(ALIF_Y2015!$A:$A,$A41,ALIF_Y2015!$F:$F)</f>
        <v>0</v>
      </c>
      <c r="E41" s="98">
        <f>SUMIF(ALIF_Y2016!$A:$A,$A41,ALIF_Y2016!$F:$F)</f>
        <v>0</v>
      </c>
      <c r="F41" s="98">
        <f>SUMIF(ALIF_Y2017!$A:$A,$A41,ALIF_Y2017!$F:$F)</f>
        <v>0</v>
      </c>
      <c r="G41" s="98">
        <f>SUMIF(ALIF_Y2018!$A:$A,$A41,ALIF_Y2018!$F:$F)</f>
        <v>0</v>
      </c>
      <c r="H41" s="98">
        <f>SUMIF(ALIF_Y2019!$A:$A,$A41,ALIF_Y2019!$F:$F)</f>
        <v>0</v>
      </c>
      <c r="I41" s="98">
        <f>SUMIF(ALIF_Y2020!$A:$A,$A41,ALIF_Y2020!$F:$F)</f>
        <v>0</v>
      </c>
      <c r="J41" s="98">
        <f>SUMIF(ALIF_Y2021!$A:$A,$A41,ALIF_Y2021!$F:$F)</f>
        <v>0</v>
      </c>
      <c r="K41" s="98">
        <f>SUMIF(ALIF_Y2022!$A:$A,$A41,ALIF_Y2022!$F:$F)</f>
        <v>0</v>
      </c>
      <c r="L41" s="98">
        <f>SUMIF(ALIF_Y2023!$A:$A,$A41,ALIF_Y2023!$F:$F)</f>
        <v>0</v>
      </c>
      <c r="M41" s="98">
        <f>SUMIF(ALIF_Y2024!$A:$A,$A41,ALIF_Y2024!$F:$F)</f>
        <v>0</v>
      </c>
      <c r="N41" s="98">
        <f>SUMIF(ALIF_Y2025!$A:$A,$A41,ALIF_Y2025!$F:$F)</f>
        <v>0</v>
      </c>
      <c r="O41" t="str">
        <f>_xlfn.XLOOKUP(A41,Map!A:A,Map!E:E)</f>
        <v>Cash and cash equivalents</v>
      </c>
      <c r="P41" t="str">
        <f>_xlfn.XLOOKUP(A41,Map!A:A,Map!D:D)</f>
        <v>Current Assets</v>
      </c>
    </row>
    <row r="42" spans="1:16" x14ac:dyDescent="0.25">
      <c r="A42" s="101">
        <v>140001</v>
      </c>
      <c r="B42" t="s">
        <v>35</v>
      </c>
      <c r="C42" s="98">
        <f>SUMIF(ALIF_Y2014!$A:$A,$A42,ALIF_Y2014!$F:$F)</f>
        <v>36187908.814999998</v>
      </c>
      <c r="D42" s="98">
        <f>SUMIF(ALIF_Y2015!$A:$A,$A42,ALIF_Y2015!$F:$F)</f>
        <v>36923559</v>
      </c>
      <c r="E42" s="98">
        <f>SUMIF(ALIF_Y2016!$A:$A,$A42,ALIF_Y2016!$F:$F)</f>
        <v>39673675.619999997</v>
      </c>
      <c r="F42" s="98">
        <f>SUMIF(ALIF_Y2017!$A:$A,$A42,ALIF_Y2017!$F:$F)</f>
        <v>39364277.743000001</v>
      </c>
      <c r="G42" s="98">
        <f>SUMIF(ALIF_Y2018!$A:$A,$A42,ALIF_Y2018!$F:$F)</f>
        <v>38308186.048</v>
      </c>
      <c r="H42" s="98">
        <f>SUMIF(ALIF_Y2019!$A:$A,$A42,ALIF_Y2019!$F:$F)</f>
        <v>43443359.329000004</v>
      </c>
      <c r="I42" s="98">
        <f>SUMIF(ALIF_Y2020!$A:$A,$A42,ALIF_Y2020!$F:$F)</f>
        <v>38933964.941</v>
      </c>
      <c r="J42" s="98">
        <f>SUMIF(ALIF_Y2021!$A:$A,$A42,ALIF_Y2021!$F:$F)</f>
        <v>63268299.509000003</v>
      </c>
      <c r="K42" s="98">
        <f>SUMIF(ALIF_Y2022!$A:$A,$A42,ALIF_Y2022!$F:$F)</f>
        <v>73001860.419</v>
      </c>
      <c r="L42" s="98">
        <f>SUMIF(ALIF_Y2023!$A:$A,$A42,ALIF_Y2023!$F:$F)</f>
        <v>45463353.802000001</v>
      </c>
      <c r="M42" s="98">
        <f>SUMIF(ALIF_Y2024!$A:$A,$A42,ALIF_Y2024!$F:$F)</f>
        <v>52577571.138999999</v>
      </c>
      <c r="N42" s="98">
        <f>SUMIF(ALIF_Y2025!$A:$A,$A42,ALIF_Y2025!$F:$F)</f>
        <v>39047067.729000002</v>
      </c>
      <c r="O42" t="str">
        <f>_xlfn.XLOOKUP(A42,Map!A:A,Map!E:E)</f>
        <v>Trade receivables</v>
      </c>
      <c r="P42" t="str">
        <f>_xlfn.XLOOKUP(A42,Map!A:A,Map!D:D)</f>
        <v>Current Assets</v>
      </c>
    </row>
    <row r="43" spans="1:16" x14ac:dyDescent="0.25">
      <c r="A43" s="101">
        <v>140010</v>
      </c>
      <c r="B43" t="s">
        <v>36</v>
      </c>
      <c r="C43" s="98">
        <f>SUMIF(ALIF_Y2014!$A:$A,$A43,ALIF_Y2014!$F:$F)</f>
        <v>0</v>
      </c>
      <c r="D43" s="98">
        <f>SUMIF(ALIF_Y2015!$A:$A,$A43,ALIF_Y2015!$F:$F)</f>
        <v>0</v>
      </c>
      <c r="E43" s="98">
        <f>SUMIF(ALIF_Y2016!$A:$A,$A43,ALIF_Y2016!$F:$F)</f>
        <v>0</v>
      </c>
      <c r="F43" s="98">
        <f>SUMIF(ALIF_Y2017!$A:$A,$A43,ALIF_Y2017!$F:$F)</f>
        <v>0</v>
      </c>
      <c r="G43" s="98">
        <f>SUMIF(ALIF_Y2018!$A:$A,$A43,ALIF_Y2018!$F:$F)</f>
        <v>0</v>
      </c>
      <c r="H43" s="98">
        <f>SUMIF(ALIF_Y2019!$A:$A,$A43,ALIF_Y2019!$F:$F)</f>
        <v>0</v>
      </c>
      <c r="I43" s="98">
        <f>SUMIF(ALIF_Y2020!$A:$A,$A43,ALIF_Y2020!$F:$F)</f>
        <v>0</v>
      </c>
      <c r="J43" s="98">
        <f>SUMIF(ALIF_Y2021!$A:$A,$A43,ALIF_Y2021!$F:$F)</f>
        <v>0</v>
      </c>
      <c r="K43" s="98">
        <f>SUMIF(ALIF_Y2022!$A:$A,$A43,ALIF_Y2022!$F:$F)</f>
        <v>0</v>
      </c>
      <c r="L43" s="98">
        <f>SUMIF(ALIF_Y2023!$A:$A,$A43,ALIF_Y2023!$F:$F)</f>
        <v>0</v>
      </c>
      <c r="M43" s="98">
        <f>SUMIF(ALIF_Y2024!$A:$A,$A43,ALIF_Y2024!$F:$F)</f>
        <v>0</v>
      </c>
      <c r="N43" s="98">
        <f>SUMIF(ALIF_Y2025!$A:$A,$A43,ALIF_Y2025!$F:$F)</f>
        <v>128113.738</v>
      </c>
      <c r="O43" t="str">
        <f>_xlfn.XLOOKUP(A43,Map!A:A,Map!E:E)</f>
        <v>Trade receivables</v>
      </c>
      <c r="P43" t="str">
        <f>_xlfn.XLOOKUP(A43,Map!A:A,Map!D:D)</f>
        <v>Current Assets</v>
      </c>
    </row>
    <row r="44" spans="1:16" x14ac:dyDescent="0.25">
      <c r="A44" s="101">
        <v>150001</v>
      </c>
      <c r="B44" t="s">
        <v>37</v>
      </c>
      <c r="C44" s="98">
        <f>SUMIF(ALIF_Y2014!$A:$A,$A44,ALIF_Y2014!$F:$F)</f>
        <v>584170.47900000005</v>
      </c>
      <c r="D44" s="98">
        <f>SUMIF(ALIF_Y2015!$A:$A,$A44,ALIF_Y2015!$F:$F)</f>
        <v>456284.47899999999</v>
      </c>
      <c r="E44" s="98">
        <f>SUMIF(ALIF_Y2016!$A:$A,$A44,ALIF_Y2016!$F:$F)</f>
        <v>420934.68</v>
      </c>
      <c r="F44" s="98">
        <f>SUMIF(ALIF_Y2017!$A:$A,$A44,ALIF_Y2017!$F:$F)</f>
        <v>43750</v>
      </c>
      <c r="G44" s="98">
        <f>SUMIF(ALIF_Y2018!$A:$A,$A44,ALIF_Y2018!$F:$F)</f>
        <v>383368</v>
      </c>
      <c r="H44" s="98">
        <f>SUMIF(ALIF_Y2019!$A:$A,$A44,ALIF_Y2019!$F:$F)</f>
        <v>516445.74</v>
      </c>
      <c r="I44" s="98">
        <f>SUMIF(ALIF_Y2020!$A:$A,$A44,ALIF_Y2020!$F:$F)</f>
        <v>161280</v>
      </c>
      <c r="J44" s="98">
        <f>SUMIF(ALIF_Y2021!$A:$A,$A44,ALIF_Y2021!$F:$F)</f>
        <v>37250</v>
      </c>
      <c r="K44" s="98">
        <f>SUMIF(ALIF_Y2022!$A:$A,$A44,ALIF_Y2022!$F:$F)</f>
        <v>19000.5</v>
      </c>
      <c r="L44" s="98">
        <f>SUMIF(ALIF_Y2023!$A:$A,$A44,ALIF_Y2023!$F:$F)</f>
        <v>131188.177</v>
      </c>
      <c r="M44" s="98">
        <f>SUMIF(ALIF_Y2024!$A:$A,$A44,ALIF_Y2024!$F:$F)</f>
        <v>1337414.8400000001</v>
      </c>
      <c r="N44" s="98">
        <f>SUMIF(ALIF_Y2025!$A:$A,$A44,ALIF_Y2025!$F:$F)</f>
        <v>1605901.52</v>
      </c>
      <c r="O44" t="str">
        <f>_xlfn.XLOOKUP(A44,Map!A:A,Map!E:E)</f>
        <v>Prepaid expenses</v>
      </c>
      <c r="P44" t="str">
        <f>_xlfn.XLOOKUP(A44,Map!A:A,Map!D:D)</f>
        <v>Current Assets</v>
      </c>
    </row>
    <row r="45" spans="1:16" x14ac:dyDescent="0.25">
      <c r="A45" s="101">
        <v>150002</v>
      </c>
      <c r="B45" t="s">
        <v>38</v>
      </c>
      <c r="C45" s="98">
        <f>SUMIF(ALIF_Y2014!$A:$A,$A45,ALIF_Y2014!$F:$F)</f>
        <v>0</v>
      </c>
      <c r="D45" s="98">
        <f>SUMIF(ALIF_Y2015!$A:$A,$A45,ALIF_Y2015!$F:$F)</f>
        <v>0</v>
      </c>
      <c r="E45" s="98">
        <f>SUMIF(ALIF_Y2016!$A:$A,$A45,ALIF_Y2016!$F:$F)</f>
        <v>0</v>
      </c>
      <c r="F45" s="98">
        <f>SUMIF(ALIF_Y2017!$A:$A,$A45,ALIF_Y2017!$F:$F)</f>
        <v>0</v>
      </c>
      <c r="G45" s="98">
        <f>SUMIF(ALIF_Y2018!$A:$A,$A45,ALIF_Y2018!$F:$F)</f>
        <v>0</v>
      </c>
      <c r="H45" s="98">
        <f>SUMIF(ALIF_Y2019!$A:$A,$A45,ALIF_Y2019!$F:$F)</f>
        <v>0</v>
      </c>
      <c r="I45" s="98">
        <f>SUMIF(ALIF_Y2020!$A:$A,$A45,ALIF_Y2020!$F:$F)</f>
        <v>3107455</v>
      </c>
      <c r="J45" s="98">
        <f>SUMIF(ALIF_Y2021!$A:$A,$A45,ALIF_Y2021!$F:$F)</f>
        <v>2388782</v>
      </c>
      <c r="K45" s="98">
        <f>SUMIF(ALIF_Y2022!$A:$A,$A45,ALIF_Y2022!$F:$F)</f>
        <v>2374238</v>
      </c>
      <c r="L45" s="98">
        <f>SUMIF(ALIF_Y2023!$A:$A,$A45,ALIF_Y2023!$F:$F)</f>
        <v>2371988</v>
      </c>
      <c r="M45" s="98">
        <f>SUMIF(ALIF_Y2024!$A:$A,$A45,ALIF_Y2024!$F:$F)</f>
        <v>0</v>
      </c>
      <c r="N45" s="98">
        <f>SUMIF(ALIF_Y2025!$A:$A,$A45,ALIF_Y2025!$F:$F)</f>
        <v>0</v>
      </c>
      <c r="O45" t="str">
        <f>_xlfn.XLOOKUP(A45,Map!A:A,Map!E:E)</f>
        <v xml:space="preserve">End-of-service indemnities </v>
      </c>
      <c r="P45" t="str">
        <f>_xlfn.XLOOKUP(A45,Map!A:A,Map!D:D)</f>
        <v>Non-Current Liabilities</v>
      </c>
    </row>
    <row r="46" spans="1:16" x14ac:dyDescent="0.25">
      <c r="A46" s="101">
        <v>160001</v>
      </c>
      <c r="B46" t="s">
        <v>39</v>
      </c>
      <c r="C46" s="98">
        <f>SUMIF(ALIF_Y2014!$A:$A,$A46,ALIF_Y2014!$F:$F)</f>
        <v>54844.55</v>
      </c>
      <c r="D46" s="98">
        <f>SUMIF(ALIF_Y2015!$A:$A,$A46,ALIF_Y2015!$F:$F)</f>
        <v>58391.6</v>
      </c>
      <c r="E46" s="98">
        <f>SUMIF(ALIF_Y2016!$A:$A,$A46,ALIF_Y2016!$F:$F)</f>
        <v>68465.62</v>
      </c>
      <c r="F46" s="98">
        <f>SUMIF(ALIF_Y2017!$A:$A,$A46,ALIF_Y2017!$F:$F)</f>
        <v>46000</v>
      </c>
      <c r="G46" s="98">
        <f>SUMIF(ALIF_Y2018!$A:$A,$A46,ALIF_Y2018!$F:$F)</f>
        <v>30246.880000000001</v>
      </c>
      <c r="H46" s="98">
        <f>SUMIF(ALIF_Y2019!$A:$A,$A46,ALIF_Y2019!$F:$F)</f>
        <v>25429.97</v>
      </c>
      <c r="I46" s="98">
        <f>SUMIF(ALIF_Y2020!$A:$A,$A46,ALIF_Y2020!$F:$F)</f>
        <v>16854.25</v>
      </c>
      <c r="J46" s="98">
        <f>SUMIF(ALIF_Y2021!$A:$A,$A46,ALIF_Y2021!$F:$F)</f>
        <v>8703.91</v>
      </c>
      <c r="K46" s="98">
        <f>SUMIF(ALIF_Y2022!$A:$A,$A46,ALIF_Y2022!$F:$F)</f>
        <v>17049.689999999999</v>
      </c>
      <c r="L46" s="98">
        <f>SUMIF(ALIF_Y2023!$A:$A,$A46,ALIF_Y2023!$F:$F)</f>
        <v>12811.2</v>
      </c>
      <c r="M46" s="98">
        <f>SUMIF(ALIF_Y2024!$A:$A,$A46,ALIF_Y2024!$F:$F)</f>
        <v>35582.42</v>
      </c>
      <c r="N46" s="98">
        <f>SUMIF(ALIF_Y2025!$A:$A,$A46,ALIF_Y2025!$F:$F)</f>
        <v>306139.76500000001</v>
      </c>
      <c r="O46" t="str">
        <f>_xlfn.XLOOKUP(A46,Map!A:A,Map!E:E)</f>
        <v>Cash and cash equivalents</v>
      </c>
      <c r="P46" t="str">
        <f>_xlfn.XLOOKUP(A46,Map!A:A,Map!D:D)</f>
        <v>Current Assets</v>
      </c>
    </row>
    <row r="47" spans="1:16" x14ac:dyDescent="0.25">
      <c r="A47" s="101">
        <v>170000</v>
      </c>
      <c r="B47" t="s">
        <v>40</v>
      </c>
      <c r="C47" s="98">
        <f>SUMIF(ALIF_Y2014!$A:$A,$A47,ALIF_Y2014!$F:$F)</f>
        <v>88433.574999999997</v>
      </c>
      <c r="D47" s="98">
        <f>SUMIF(ALIF_Y2015!$A:$A,$A47,ALIF_Y2015!$F:$F)</f>
        <v>122637.079</v>
      </c>
      <c r="E47" s="98">
        <f>SUMIF(ALIF_Y2016!$A:$A,$A47,ALIF_Y2016!$F:$F)</f>
        <v>366799.283</v>
      </c>
      <c r="F47" s="98">
        <f>SUMIF(ALIF_Y2017!$A:$A,$A47,ALIF_Y2017!$F:$F)</f>
        <v>3.0000000000000001E-3</v>
      </c>
      <c r="G47" s="98">
        <f>SUMIF(ALIF_Y2018!$A:$A,$A47,ALIF_Y2018!$F:$F)</f>
        <v>821440.45499999996</v>
      </c>
      <c r="H47" s="98">
        <f>SUMIF(ALIF_Y2019!$A:$A,$A47,ALIF_Y2019!$F:$F)</f>
        <v>54888.516000000003</v>
      </c>
      <c r="I47" s="98">
        <f>SUMIF(ALIF_Y2020!$A:$A,$A47,ALIF_Y2020!$F:$F)</f>
        <v>0</v>
      </c>
      <c r="J47" s="98">
        <f>SUMIF(ALIF_Y2021!$A:$A,$A47,ALIF_Y2021!$F:$F)</f>
        <v>0</v>
      </c>
      <c r="K47" s="98">
        <f>SUMIF(ALIF_Y2022!$A:$A,$A47,ALIF_Y2022!$F:$F)</f>
        <v>717348.08100000001</v>
      </c>
      <c r="L47" s="98">
        <f>SUMIF(ALIF_Y2023!$A:$A,$A47,ALIF_Y2023!$F:$F)</f>
        <v>828992.36600000004</v>
      </c>
      <c r="M47" s="98">
        <f>SUMIF(ALIF_Y2024!$A:$A,$A47,ALIF_Y2024!$F:$F)</f>
        <v>0.22500000000000001</v>
      </c>
      <c r="N47" s="98">
        <f>SUMIF(ALIF_Y2025!$A:$A,$A47,ALIF_Y2025!$F:$F)</f>
        <v>686721.19099999999</v>
      </c>
      <c r="O47" t="str">
        <f>_xlfn.XLOOKUP(A47,Map!A:A,Map!E:E)</f>
        <v>Short-term Murabaha loans</v>
      </c>
      <c r="P47" t="str">
        <f>_xlfn.XLOOKUP(A47,Map!A:A,Map!D:D)</f>
        <v>Current Liabilities</v>
      </c>
    </row>
    <row r="48" spans="1:16" x14ac:dyDescent="0.25">
      <c r="A48" s="101">
        <v>170001</v>
      </c>
      <c r="B48" t="s">
        <v>41</v>
      </c>
      <c r="C48" s="98">
        <f>SUMIF(ALIF_Y2014!$A:$A,$A48,ALIF_Y2014!$F:$F)</f>
        <v>0</v>
      </c>
      <c r="D48" s="98">
        <f>SUMIF(ALIF_Y2015!$A:$A,$A48,ALIF_Y2015!$F:$F)</f>
        <v>0</v>
      </c>
      <c r="E48" s="98">
        <f>SUMIF(ALIF_Y2016!$A:$A,$A48,ALIF_Y2016!$F:$F)</f>
        <v>0</v>
      </c>
      <c r="F48" s="98">
        <f>SUMIF(ALIF_Y2017!$A:$A,$A48,ALIF_Y2017!$F:$F)</f>
        <v>0</v>
      </c>
      <c r="G48" s="98">
        <f>SUMIF(ALIF_Y2018!$A:$A,$A48,ALIF_Y2018!$F:$F)</f>
        <v>0</v>
      </c>
      <c r="H48" s="98">
        <f>SUMIF(ALIF_Y2019!$A:$A,$A48,ALIF_Y2019!$F:$F)</f>
        <v>871721.21</v>
      </c>
      <c r="I48" s="98">
        <f>SUMIF(ALIF_Y2020!$A:$A,$A48,ALIF_Y2020!$F:$F)</f>
        <v>667490.804</v>
      </c>
      <c r="J48" s="98">
        <f>SUMIF(ALIF_Y2021!$A:$A,$A48,ALIF_Y2021!$F:$F)</f>
        <v>0</v>
      </c>
      <c r="K48" s="98">
        <f>SUMIF(ALIF_Y2022!$A:$A,$A48,ALIF_Y2022!$F:$F)</f>
        <v>1188833.976</v>
      </c>
      <c r="L48" s="98">
        <f>SUMIF(ALIF_Y2023!$A:$A,$A48,ALIF_Y2023!$F:$F)</f>
        <v>845009.73199999996</v>
      </c>
      <c r="M48" s="98">
        <f>SUMIF(ALIF_Y2024!$A:$A,$A48,ALIF_Y2024!$F:$F)</f>
        <v>1201752.2220000001</v>
      </c>
      <c r="N48" s="98">
        <f>SUMIF(ALIF_Y2025!$A:$A,$A48,ALIF_Y2025!$F:$F)</f>
        <v>1413915.8929999999</v>
      </c>
      <c r="O48" t="str">
        <f>_xlfn.XLOOKUP(A48,Map!A:A,Map!E:E)</f>
        <v>Short-term Murabaha loans</v>
      </c>
      <c r="P48" t="str">
        <f>_xlfn.XLOOKUP(A48,Map!A:A,Map!D:D)</f>
        <v>Current Liabilities</v>
      </c>
    </row>
    <row r="49" spans="1:16" x14ac:dyDescent="0.25">
      <c r="A49" s="101">
        <v>170002</v>
      </c>
      <c r="B49" t="s">
        <v>42</v>
      </c>
      <c r="C49" s="98">
        <f>SUMIF(ALIF_Y2014!$A:$A,$A49,ALIF_Y2014!$F:$F)</f>
        <v>0</v>
      </c>
      <c r="D49" s="98">
        <f>SUMIF(ALIF_Y2015!$A:$A,$A49,ALIF_Y2015!$F:$F)</f>
        <v>0</v>
      </c>
      <c r="E49" s="98">
        <f>SUMIF(ALIF_Y2016!$A:$A,$A49,ALIF_Y2016!$F:$F)</f>
        <v>0</v>
      </c>
      <c r="F49" s="98">
        <f>SUMIF(ALIF_Y2017!$A:$A,$A49,ALIF_Y2017!$F:$F)</f>
        <v>0</v>
      </c>
      <c r="G49" s="98">
        <f>SUMIF(ALIF_Y2018!$A:$A,$A49,ALIF_Y2018!$F:$F)</f>
        <v>899145</v>
      </c>
      <c r="H49" s="98">
        <f>SUMIF(ALIF_Y2019!$A:$A,$A49,ALIF_Y2019!$F:$F)</f>
        <v>221469.87</v>
      </c>
      <c r="I49" s="98">
        <f>SUMIF(ALIF_Y2020!$A:$A,$A49,ALIF_Y2020!$F:$F)</f>
        <v>336418.50099999999</v>
      </c>
      <c r="J49" s="98">
        <f>SUMIF(ALIF_Y2021!$A:$A,$A49,ALIF_Y2021!$F:$F)</f>
        <v>0</v>
      </c>
      <c r="K49" s="98">
        <f>SUMIF(ALIF_Y2022!$A:$A,$A49,ALIF_Y2022!$F:$F)</f>
        <v>682659.36300000001</v>
      </c>
      <c r="L49" s="98">
        <f>SUMIF(ALIF_Y2023!$A:$A,$A49,ALIF_Y2023!$F:$F)</f>
        <v>692621.20400000003</v>
      </c>
      <c r="M49" s="98">
        <f>SUMIF(ALIF_Y2024!$A:$A,$A49,ALIF_Y2024!$F:$F)</f>
        <v>1176947.8540000001</v>
      </c>
      <c r="N49" s="98">
        <f>SUMIF(ALIF_Y2025!$A:$A,$A49,ALIF_Y2025!$F:$F)</f>
        <v>3607203.9890000001</v>
      </c>
      <c r="O49" t="str">
        <f>_xlfn.XLOOKUP(A49,Map!A:A,Map!E:E)</f>
        <v>Short-term Murabaha loans</v>
      </c>
      <c r="P49" t="str">
        <f>_xlfn.XLOOKUP(A49,Map!A:A,Map!D:D)</f>
        <v>Current Liabilities</v>
      </c>
    </row>
    <row r="50" spans="1:16" x14ac:dyDescent="0.25">
      <c r="A50" s="101">
        <v>170003</v>
      </c>
      <c r="B50" t="s">
        <v>43</v>
      </c>
      <c r="C50" s="98">
        <f>SUMIF(ALIF_Y2014!$A:$A,$A50,ALIF_Y2014!$F:$F)</f>
        <v>209891.57</v>
      </c>
      <c r="D50" s="98">
        <f>SUMIF(ALIF_Y2015!$A:$A,$A50,ALIF_Y2015!$F:$F)</f>
        <v>58936.4</v>
      </c>
      <c r="E50" s="98">
        <f>SUMIF(ALIF_Y2016!$A:$A,$A50,ALIF_Y2016!$F:$F)</f>
        <v>29088.487000000001</v>
      </c>
      <c r="F50" s="98">
        <f>SUMIF(ALIF_Y2017!$A:$A,$A50,ALIF_Y2017!$F:$F)</f>
        <v>-3.0000000000000001E-3</v>
      </c>
      <c r="G50" s="98">
        <f>SUMIF(ALIF_Y2018!$A:$A,$A50,ALIF_Y2018!$F:$F)</f>
        <v>0</v>
      </c>
      <c r="H50" s="98">
        <f>SUMIF(ALIF_Y2019!$A:$A,$A50,ALIF_Y2019!$F:$F)</f>
        <v>0</v>
      </c>
      <c r="I50" s="98">
        <f>SUMIF(ALIF_Y2020!$A:$A,$A50,ALIF_Y2020!$F:$F)</f>
        <v>0</v>
      </c>
      <c r="J50" s="98">
        <f>SUMIF(ALIF_Y2021!$A:$A,$A50,ALIF_Y2021!$F:$F)</f>
        <v>0</v>
      </c>
      <c r="K50" s="98">
        <f>SUMIF(ALIF_Y2022!$A:$A,$A50,ALIF_Y2022!$F:$F)</f>
        <v>0</v>
      </c>
      <c r="L50" s="98">
        <f>SUMIF(ALIF_Y2023!$A:$A,$A50,ALIF_Y2023!$F:$F)</f>
        <v>0</v>
      </c>
      <c r="M50" s="98">
        <f>SUMIF(ALIF_Y2024!$A:$A,$A50,ALIF_Y2024!$F:$F)</f>
        <v>0</v>
      </c>
      <c r="N50" s="98">
        <f>SUMIF(ALIF_Y2025!$A:$A,$A50,ALIF_Y2025!$F:$F)</f>
        <v>0</v>
      </c>
      <c r="O50" t="str">
        <f>_xlfn.XLOOKUP(A50,Map!A:A,Map!E:E)</f>
        <v>Short-term Murabaha loans</v>
      </c>
      <c r="P50" t="str">
        <f>_xlfn.XLOOKUP(A50,Map!A:A,Map!D:D)</f>
        <v>Current Liabilities</v>
      </c>
    </row>
    <row r="51" spans="1:16" x14ac:dyDescent="0.25">
      <c r="A51" s="101">
        <v>170004</v>
      </c>
      <c r="B51" t="s">
        <v>244</v>
      </c>
      <c r="C51" s="98">
        <f>SUMIF(ALIF_Y2014!$A:$A,$A51,ALIF_Y2014!$F:$F)</f>
        <v>0</v>
      </c>
      <c r="D51" s="98">
        <f>SUMIF(ALIF_Y2015!$A:$A,$A51,ALIF_Y2015!$F:$F)</f>
        <v>13828.647999999999</v>
      </c>
      <c r="E51" s="98">
        <f>SUMIF(ALIF_Y2016!$A:$A,$A51,ALIF_Y2016!$F:$F)</f>
        <v>0</v>
      </c>
      <c r="F51" s="98">
        <f>SUMIF(ALIF_Y2017!$A:$A,$A51,ALIF_Y2017!$F:$F)</f>
        <v>0</v>
      </c>
      <c r="G51" s="98">
        <f>SUMIF(ALIF_Y2018!$A:$A,$A51,ALIF_Y2018!$F:$F)</f>
        <v>0</v>
      </c>
      <c r="H51" s="98">
        <f>SUMIF(ALIF_Y2019!$A:$A,$A51,ALIF_Y2019!$F:$F)</f>
        <v>0</v>
      </c>
      <c r="I51" s="98">
        <f>SUMIF(ALIF_Y2020!$A:$A,$A51,ALIF_Y2020!$F:$F)</f>
        <v>0</v>
      </c>
      <c r="J51" s="98">
        <f>SUMIF(ALIF_Y2021!$A:$A,$A51,ALIF_Y2021!$F:$F)</f>
        <v>0</v>
      </c>
      <c r="K51" s="98">
        <f>SUMIF(ALIF_Y2022!$A:$A,$A51,ALIF_Y2022!$F:$F)</f>
        <v>0</v>
      </c>
      <c r="L51" s="98">
        <f>SUMIF(ALIF_Y2023!$A:$A,$A51,ALIF_Y2023!$F:$F)</f>
        <v>0</v>
      </c>
      <c r="M51" s="98">
        <f>SUMIF(ALIF_Y2024!$A:$A,$A51,ALIF_Y2024!$F:$F)</f>
        <v>1E-3</v>
      </c>
      <c r="N51" s="98">
        <f>SUMIF(ALIF_Y2025!$A:$A,$A51,ALIF_Y2025!$F:$F)</f>
        <v>1E-3</v>
      </c>
      <c r="O51" t="str">
        <f>_xlfn.XLOOKUP(A51,Map!A:A,Map!E:E)</f>
        <v>Short-term Murabaha loans</v>
      </c>
      <c r="P51" t="str">
        <f>_xlfn.XLOOKUP(A51,Map!A:A,Map!D:D)</f>
        <v>Current Liabilities</v>
      </c>
    </row>
    <row r="52" spans="1:16" x14ac:dyDescent="0.25">
      <c r="A52" s="101">
        <v>170005</v>
      </c>
      <c r="B52" t="s">
        <v>44</v>
      </c>
      <c r="C52" s="98">
        <f>SUMIF(ALIF_Y2014!$A:$A,$A52,ALIF_Y2014!$F:$F)</f>
        <v>0</v>
      </c>
      <c r="D52" s="98">
        <f>SUMIF(ALIF_Y2015!$A:$A,$A52,ALIF_Y2015!$F:$F)</f>
        <v>0</v>
      </c>
      <c r="E52" s="98">
        <f>SUMIF(ALIF_Y2016!$A:$A,$A52,ALIF_Y2016!$F:$F)</f>
        <v>0</v>
      </c>
      <c r="F52" s="98">
        <f>SUMIF(ALIF_Y2017!$A:$A,$A52,ALIF_Y2017!$F:$F)</f>
        <v>0</v>
      </c>
      <c r="G52" s="98">
        <f>SUMIF(ALIF_Y2018!$A:$A,$A52,ALIF_Y2018!$F:$F)</f>
        <v>0</v>
      </c>
      <c r="H52" s="98">
        <f>SUMIF(ALIF_Y2019!$A:$A,$A52,ALIF_Y2019!$F:$F)</f>
        <v>0</v>
      </c>
      <c r="I52" s="98">
        <f>SUMIF(ALIF_Y2020!$A:$A,$A52,ALIF_Y2020!$F:$F)</f>
        <v>0</v>
      </c>
      <c r="J52" s="98">
        <f>SUMIF(ALIF_Y2021!$A:$A,$A52,ALIF_Y2021!$F:$F)</f>
        <v>0</v>
      </c>
      <c r="K52" s="98">
        <f>SUMIF(ALIF_Y2022!$A:$A,$A52,ALIF_Y2022!$F:$F)</f>
        <v>0</v>
      </c>
      <c r="L52" s="98">
        <f>SUMIF(ALIF_Y2023!$A:$A,$A52,ALIF_Y2023!$F:$F)</f>
        <v>0</v>
      </c>
      <c r="M52" s="98">
        <f>SUMIF(ALIF_Y2024!$A:$A,$A52,ALIF_Y2024!$F:$F)</f>
        <v>0</v>
      </c>
      <c r="N52" s="98">
        <f>SUMIF(ALIF_Y2025!$A:$A,$A52,ALIF_Y2025!$F:$F)</f>
        <v>0</v>
      </c>
      <c r="O52" t="str">
        <f>_xlfn.XLOOKUP(A52,Map!A:A,Map!E:E)</f>
        <v>Prepaid expenses</v>
      </c>
      <c r="P52" t="str">
        <f>_xlfn.XLOOKUP(A52,Map!A:A,Map!D:D)</f>
        <v>Current Assets</v>
      </c>
    </row>
    <row r="53" spans="1:16" x14ac:dyDescent="0.25">
      <c r="A53" s="101">
        <v>170006</v>
      </c>
      <c r="B53" t="s">
        <v>45</v>
      </c>
      <c r="C53" s="98">
        <f>SUMIF(ALIF_Y2014!$A:$A,$A53,ALIF_Y2014!$F:$F)</f>
        <v>190719</v>
      </c>
      <c r="D53" s="98">
        <f>SUMIF(ALIF_Y2015!$A:$A,$A53,ALIF_Y2015!$F:$F)</f>
        <v>453316.30099999998</v>
      </c>
      <c r="E53" s="98">
        <f>SUMIF(ALIF_Y2016!$A:$A,$A53,ALIF_Y2016!$F:$F)</f>
        <v>971548.60900000005</v>
      </c>
      <c r="F53" s="98">
        <f>SUMIF(ALIF_Y2017!$A:$A,$A53,ALIF_Y2017!$F:$F)</f>
        <v>0</v>
      </c>
      <c r="G53" s="98">
        <f>SUMIF(ALIF_Y2018!$A:$A,$A53,ALIF_Y2018!$F:$F)</f>
        <v>0</v>
      </c>
      <c r="H53" s="98">
        <f>SUMIF(ALIF_Y2019!$A:$A,$A53,ALIF_Y2019!$F:$F)</f>
        <v>0</v>
      </c>
      <c r="I53" s="98">
        <f>SUMIF(ALIF_Y2020!$A:$A,$A53,ALIF_Y2020!$F:$F)</f>
        <v>0</v>
      </c>
      <c r="J53" s="98">
        <f>SUMIF(ALIF_Y2021!$A:$A,$A53,ALIF_Y2021!$F:$F)</f>
        <v>1240226.54</v>
      </c>
      <c r="K53" s="98">
        <f>SUMIF(ALIF_Y2022!$A:$A,$A53,ALIF_Y2022!$F:$F)</f>
        <v>18329.419999999998</v>
      </c>
      <c r="L53" s="98">
        <f>SUMIF(ALIF_Y2023!$A:$A,$A53,ALIF_Y2023!$F:$F)</f>
        <v>0</v>
      </c>
      <c r="M53" s="98">
        <f>SUMIF(ALIF_Y2024!$A:$A,$A53,ALIF_Y2024!$F:$F)</f>
        <v>0</v>
      </c>
      <c r="N53" s="98">
        <f>SUMIF(ALIF_Y2025!$A:$A,$A53,ALIF_Y2025!$F:$F)</f>
        <v>0</v>
      </c>
      <c r="O53" t="str">
        <f>_xlfn.XLOOKUP(A53,Map!A:A,Map!E:E)</f>
        <v>Prepaid expenses</v>
      </c>
      <c r="P53" t="str">
        <f>_xlfn.XLOOKUP(A53,Map!A:A,Map!D:D)</f>
        <v>Current Assets</v>
      </c>
    </row>
    <row r="54" spans="1:16" x14ac:dyDescent="0.25">
      <c r="A54" s="101">
        <v>170007</v>
      </c>
      <c r="B54" t="s">
        <v>46</v>
      </c>
      <c r="C54" s="98">
        <f>SUMIF(ALIF_Y2014!$A:$A,$A54,ALIF_Y2014!$F:$F)</f>
        <v>1274692.58</v>
      </c>
      <c r="D54" s="98">
        <f>SUMIF(ALIF_Y2015!$A:$A,$A54,ALIF_Y2015!$F:$F)</f>
        <v>319948.95400000003</v>
      </c>
      <c r="E54" s="98">
        <f>SUMIF(ALIF_Y2016!$A:$A,$A54,ALIF_Y2016!$F:$F)</f>
        <v>0</v>
      </c>
      <c r="F54" s="98">
        <f>SUMIF(ALIF_Y2017!$A:$A,$A54,ALIF_Y2017!$F:$F)</f>
        <v>0</v>
      </c>
      <c r="G54" s="98">
        <f>SUMIF(ALIF_Y2018!$A:$A,$A54,ALIF_Y2018!$F:$F)</f>
        <v>0</v>
      </c>
      <c r="H54" s="98">
        <f>SUMIF(ALIF_Y2019!$A:$A,$A54,ALIF_Y2019!$F:$F)</f>
        <v>0</v>
      </c>
      <c r="I54" s="98">
        <f>SUMIF(ALIF_Y2020!$A:$A,$A54,ALIF_Y2020!$F:$F)</f>
        <v>0</v>
      </c>
      <c r="J54" s="98">
        <f>SUMIF(ALIF_Y2021!$A:$A,$A54,ALIF_Y2021!$F:$F)</f>
        <v>0</v>
      </c>
      <c r="K54" s="98">
        <f>SUMIF(ALIF_Y2022!$A:$A,$A54,ALIF_Y2022!$F:$F)</f>
        <v>0</v>
      </c>
      <c r="L54" s="98">
        <f>SUMIF(ALIF_Y2023!$A:$A,$A54,ALIF_Y2023!$F:$F)</f>
        <v>0</v>
      </c>
      <c r="M54" s="98">
        <f>SUMIF(ALIF_Y2024!$A:$A,$A54,ALIF_Y2024!$F:$F)</f>
        <v>0</v>
      </c>
      <c r="N54" s="98">
        <f>SUMIF(ALIF_Y2025!$A:$A,$A54,ALIF_Y2025!$F:$F)</f>
        <v>0</v>
      </c>
      <c r="O54" t="str">
        <f>_xlfn.XLOOKUP(A54,Map!A:A,Map!E:E)</f>
        <v>Prepaid expenses</v>
      </c>
      <c r="P54" t="str">
        <f>_xlfn.XLOOKUP(A54,Map!A:A,Map!D:D)</f>
        <v>Current Assets</v>
      </c>
    </row>
    <row r="55" spans="1:16" x14ac:dyDescent="0.25">
      <c r="A55" s="101">
        <v>170008</v>
      </c>
      <c r="B55" t="s">
        <v>47</v>
      </c>
      <c r="C55" s="98">
        <f>SUMIF(ALIF_Y2014!$A:$A,$A55,ALIF_Y2014!$F:$F)</f>
        <v>0</v>
      </c>
      <c r="D55" s="98">
        <f>SUMIF(ALIF_Y2015!$A:$A,$A55,ALIF_Y2015!$F:$F)</f>
        <v>-2E-3</v>
      </c>
      <c r="E55" s="98">
        <f>SUMIF(ALIF_Y2016!$A:$A,$A55,ALIF_Y2016!$F:$F)</f>
        <v>0</v>
      </c>
      <c r="F55" s="98">
        <f>SUMIF(ALIF_Y2017!$A:$A,$A55,ALIF_Y2017!$F:$F)</f>
        <v>0</v>
      </c>
      <c r="G55" s="98">
        <f>SUMIF(ALIF_Y2018!$A:$A,$A55,ALIF_Y2018!$F:$F)</f>
        <v>0</v>
      </c>
      <c r="H55" s="98">
        <f>SUMIF(ALIF_Y2019!$A:$A,$A55,ALIF_Y2019!$F:$F)</f>
        <v>75267.740000000005</v>
      </c>
      <c r="I55" s="98">
        <f>SUMIF(ALIF_Y2020!$A:$A,$A55,ALIF_Y2020!$F:$F)</f>
        <v>0</v>
      </c>
      <c r="J55" s="98">
        <f>SUMIF(ALIF_Y2021!$A:$A,$A55,ALIF_Y2021!$F:$F)</f>
        <v>402889.63</v>
      </c>
      <c r="K55" s="98">
        <f>SUMIF(ALIF_Y2022!$A:$A,$A55,ALIF_Y2022!$F:$F)</f>
        <v>0</v>
      </c>
      <c r="L55" s="98">
        <f>SUMIF(ALIF_Y2023!$A:$A,$A55,ALIF_Y2023!$F:$F)</f>
        <v>0</v>
      </c>
      <c r="M55" s="98">
        <f>SUMIF(ALIF_Y2024!$A:$A,$A55,ALIF_Y2024!$F:$F)</f>
        <v>65928.34</v>
      </c>
      <c r="N55" s="98">
        <f>SUMIF(ALIF_Y2025!$A:$A,$A55,ALIF_Y2025!$F:$F)</f>
        <v>-97238.096000000005</v>
      </c>
      <c r="O55" t="str">
        <f>_xlfn.XLOOKUP(A55,Map!A:A,Map!E:E)</f>
        <v>Prepaid expenses</v>
      </c>
      <c r="P55" t="str">
        <f>_xlfn.XLOOKUP(A55,Map!A:A,Map!D:D)</f>
        <v>Current Assets</v>
      </c>
    </row>
    <row r="56" spans="1:16" x14ac:dyDescent="0.25">
      <c r="A56" s="101">
        <v>170009</v>
      </c>
      <c r="B56" t="s">
        <v>48</v>
      </c>
      <c r="C56" s="98">
        <f>SUMIF(ALIF_Y2014!$A:$A,$A56,ALIF_Y2014!$F:$F)</f>
        <v>120000.1</v>
      </c>
      <c r="D56" s="98">
        <f>SUMIF(ALIF_Y2015!$A:$A,$A56,ALIF_Y2015!$F:$F)</f>
        <v>94955</v>
      </c>
      <c r="E56" s="98">
        <f>SUMIF(ALIF_Y2016!$A:$A,$A56,ALIF_Y2016!$F:$F)</f>
        <v>59583</v>
      </c>
      <c r="F56" s="98">
        <f>SUMIF(ALIF_Y2017!$A:$A,$A56,ALIF_Y2017!$F:$F)</f>
        <v>34444.000999999997</v>
      </c>
      <c r="G56" s="98">
        <f>SUMIF(ALIF_Y2018!$A:$A,$A56,ALIF_Y2018!$F:$F)</f>
        <v>75235</v>
      </c>
      <c r="H56" s="98">
        <f>SUMIF(ALIF_Y2019!$A:$A,$A56,ALIF_Y2019!$F:$F)</f>
        <v>85513</v>
      </c>
      <c r="I56" s="98">
        <f>SUMIF(ALIF_Y2020!$A:$A,$A56,ALIF_Y2020!$F:$F)</f>
        <v>64609</v>
      </c>
      <c r="J56" s="98">
        <f>SUMIF(ALIF_Y2021!$A:$A,$A56,ALIF_Y2021!$F:$F)</f>
        <v>33000</v>
      </c>
      <c r="K56" s="98">
        <f>SUMIF(ALIF_Y2022!$A:$A,$A56,ALIF_Y2022!$F:$F)</f>
        <v>62777</v>
      </c>
      <c r="L56" s="98">
        <f>SUMIF(ALIF_Y2023!$A:$A,$A56,ALIF_Y2023!$F:$F)</f>
        <v>60962</v>
      </c>
      <c r="M56" s="98">
        <f>SUMIF(ALIF_Y2024!$A:$A,$A56,ALIF_Y2024!$F:$F)</f>
        <v>81690.100999999995</v>
      </c>
      <c r="N56" s="98">
        <f>SUMIF(ALIF_Y2025!$A:$A,$A56,ALIF_Y2025!$F:$F)</f>
        <v>191029.62700000001</v>
      </c>
      <c r="O56" t="str">
        <f>_xlfn.XLOOKUP(A56,Map!A:A,Map!E:E)</f>
        <v>Prepaid expenses</v>
      </c>
      <c r="P56" t="str">
        <f>_xlfn.XLOOKUP(A56,Map!A:A,Map!D:D)</f>
        <v>Current Assets</v>
      </c>
    </row>
    <row r="57" spans="1:16" x14ac:dyDescent="0.25">
      <c r="A57" s="101">
        <v>170010</v>
      </c>
      <c r="B57" t="s">
        <v>49</v>
      </c>
      <c r="C57" s="98">
        <f>SUMIF(ALIF_Y2014!$A:$A,$A57,ALIF_Y2014!$F:$F)</f>
        <v>0</v>
      </c>
      <c r="D57" s="98">
        <f>SUMIF(ALIF_Y2015!$A:$A,$A57,ALIF_Y2015!$F:$F)</f>
        <v>0</v>
      </c>
      <c r="E57" s="98">
        <f>SUMIF(ALIF_Y2016!$A:$A,$A57,ALIF_Y2016!$F:$F)</f>
        <v>0</v>
      </c>
      <c r="F57" s="98">
        <f>SUMIF(ALIF_Y2017!$A:$A,$A57,ALIF_Y2017!$F:$F)</f>
        <v>0</v>
      </c>
      <c r="G57" s="98">
        <f>SUMIF(ALIF_Y2018!$A:$A,$A57,ALIF_Y2018!$F:$F)</f>
        <v>0</v>
      </c>
      <c r="H57" s="98">
        <f>SUMIF(ALIF_Y2019!$A:$A,$A57,ALIF_Y2019!$F:$F)</f>
        <v>0</v>
      </c>
      <c r="I57" s="98">
        <f>SUMIF(ALIF_Y2020!$A:$A,$A57,ALIF_Y2020!$F:$F)</f>
        <v>0</v>
      </c>
      <c r="J57" s="98">
        <f>SUMIF(ALIF_Y2021!$A:$A,$A57,ALIF_Y2021!$F:$F)</f>
        <v>0</v>
      </c>
      <c r="K57" s="98">
        <f>SUMIF(ALIF_Y2022!$A:$A,$A57,ALIF_Y2022!$F:$F)</f>
        <v>0</v>
      </c>
      <c r="L57" s="98">
        <f>SUMIF(ALIF_Y2023!$A:$A,$A57,ALIF_Y2023!$F:$F)</f>
        <v>0</v>
      </c>
      <c r="M57" s="98">
        <f>SUMIF(ALIF_Y2024!$A:$A,$A57,ALIF_Y2024!$F:$F)</f>
        <v>0</v>
      </c>
      <c r="N57" s="98">
        <f>SUMIF(ALIF_Y2025!$A:$A,$A57,ALIF_Y2025!$F:$F)</f>
        <v>0</v>
      </c>
      <c r="O57" t="str">
        <f>_xlfn.XLOOKUP(A57,Map!A:A,Map!E:E)</f>
        <v>Prepaid expenses</v>
      </c>
      <c r="P57" t="str">
        <f>_xlfn.XLOOKUP(A57,Map!A:A,Map!D:D)</f>
        <v>Current Assets</v>
      </c>
    </row>
    <row r="58" spans="1:16" x14ac:dyDescent="0.25">
      <c r="A58" s="101">
        <v>170011</v>
      </c>
      <c r="B58" t="s">
        <v>50</v>
      </c>
      <c r="C58" s="98">
        <f>SUMIF(ALIF_Y2014!$A:$A,$A58,ALIF_Y2014!$F:$F)</f>
        <v>0</v>
      </c>
      <c r="D58" s="98">
        <f>SUMIF(ALIF_Y2015!$A:$A,$A58,ALIF_Y2015!$F:$F)</f>
        <v>0</v>
      </c>
      <c r="E58" s="98">
        <f>SUMIF(ALIF_Y2016!$A:$A,$A58,ALIF_Y2016!$F:$F)</f>
        <v>0</v>
      </c>
      <c r="F58" s="98">
        <f>SUMIF(ALIF_Y2017!$A:$A,$A58,ALIF_Y2017!$F:$F)</f>
        <v>0</v>
      </c>
      <c r="G58" s="98">
        <f>SUMIF(ALIF_Y2018!$A:$A,$A58,ALIF_Y2018!$F:$F)</f>
        <v>175000</v>
      </c>
      <c r="H58" s="98">
        <f>SUMIF(ALIF_Y2019!$A:$A,$A58,ALIF_Y2019!$F:$F)</f>
        <v>1453882.8</v>
      </c>
      <c r="I58" s="98">
        <f>SUMIF(ALIF_Y2020!$A:$A,$A58,ALIF_Y2020!$F:$F)</f>
        <v>0</v>
      </c>
      <c r="J58" s="98">
        <f>SUMIF(ALIF_Y2021!$A:$A,$A58,ALIF_Y2021!$F:$F)</f>
        <v>0</v>
      </c>
      <c r="K58" s="98">
        <f>SUMIF(ALIF_Y2022!$A:$A,$A58,ALIF_Y2022!$F:$F)</f>
        <v>0</v>
      </c>
      <c r="L58" s="98">
        <f>SUMIF(ALIF_Y2023!$A:$A,$A58,ALIF_Y2023!$F:$F)</f>
        <v>0</v>
      </c>
      <c r="M58" s="98">
        <f>SUMIF(ALIF_Y2024!$A:$A,$A58,ALIF_Y2024!$F:$F)</f>
        <v>0</v>
      </c>
      <c r="N58" s="98">
        <f>SUMIF(ALIF_Y2025!$A:$A,$A58,ALIF_Y2025!$F:$F)</f>
        <v>50000</v>
      </c>
      <c r="O58" t="str">
        <f>_xlfn.XLOOKUP(A58,Map!A:A,Map!E:E)</f>
        <v>Prepaid expenses</v>
      </c>
      <c r="P58" t="str">
        <f>_xlfn.XLOOKUP(A58,Map!A:A,Map!D:D)</f>
        <v>Current Assets</v>
      </c>
    </row>
    <row r="59" spans="1:16" x14ac:dyDescent="0.25">
      <c r="A59" s="101">
        <v>170012</v>
      </c>
      <c r="B59" t="s">
        <v>51</v>
      </c>
      <c r="C59" s="98">
        <f>SUMIF(ALIF_Y2014!$A:$A,$A59,ALIF_Y2014!$F:$F)</f>
        <v>0</v>
      </c>
      <c r="D59" s="98">
        <f>SUMIF(ALIF_Y2015!$A:$A,$A59,ALIF_Y2015!$F:$F)</f>
        <v>0</v>
      </c>
      <c r="E59" s="98">
        <f>SUMIF(ALIF_Y2016!$A:$A,$A59,ALIF_Y2016!$F:$F)</f>
        <v>0</v>
      </c>
      <c r="F59" s="98">
        <f>SUMIF(ALIF_Y2017!$A:$A,$A59,ALIF_Y2017!$F:$F)</f>
        <v>0</v>
      </c>
      <c r="G59" s="98">
        <f>SUMIF(ALIF_Y2018!$A:$A,$A59,ALIF_Y2018!$F:$F)</f>
        <v>0</v>
      </c>
      <c r="H59" s="98">
        <f>SUMIF(ALIF_Y2019!$A:$A,$A59,ALIF_Y2019!$F:$F)</f>
        <v>214300</v>
      </c>
      <c r="I59" s="98">
        <f>SUMIF(ALIF_Y2020!$A:$A,$A59,ALIF_Y2020!$F:$F)</f>
        <v>171440</v>
      </c>
      <c r="J59" s="98">
        <f>SUMIF(ALIF_Y2021!$A:$A,$A59,ALIF_Y2021!$F:$F)</f>
        <v>128580</v>
      </c>
      <c r="K59" s="98">
        <f>SUMIF(ALIF_Y2022!$A:$A,$A59,ALIF_Y2022!$F:$F)</f>
        <v>-6.0000000000000001E-3</v>
      </c>
      <c r="L59" s="98">
        <f>SUMIF(ALIF_Y2023!$A:$A,$A59,ALIF_Y2023!$F:$F)</f>
        <v>0</v>
      </c>
      <c r="M59" s="98">
        <f>SUMIF(ALIF_Y2024!$A:$A,$A59,ALIF_Y2024!$F:$F)</f>
        <v>0</v>
      </c>
      <c r="N59" s="98">
        <f>SUMIF(ALIF_Y2025!$A:$A,$A59,ALIF_Y2025!$F:$F)</f>
        <v>0</v>
      </c>
      <c r="O59" t="str">
        <f>_xlfn.XLOOKUP(A59,Map!A:A,Map!E:E)</f>
        <v>Prepaid expenses</v>
      </c>
      <c r="P59" t="str">
        <f>_xlfn.XLOOKUP(A59,Map!A:A,Map!D:D)</f>
        <v>Current Assets</v>
      </c>
    </row>
    <row r="60" spans="1:16" x14ac:dyDescent="0.25">
      <c r="A60" s="101">
        <v>170013</v>
      </c>
      <c r="B60" t="s">
        <v>52</v>
      </c>
      <c r="C60" s="98">
        <f>SUMIF(ALIF_Y2014!$A:$A,$A60,ALIF_Y2014!$F:$F)</f>
        <v>59000</v>
      </c>
      <c r="D60" s="98">
        <f>SUMIF(ALIF_Y2015!$A:$A,$A60,ALIF_Y2015!$F:$F)</f>
        <v>59000</v>
      </c>
      <c r="E60" s="98">
        <f>SUMIF(ALIF_Y2016!$A:$A,$A60,ALIF_Y2016!$F:$F)</f>
        <v>59000</v>
      </c>
      <c r="F60" s="98">
        <f>SUMIF(ALIF_Y2017!$A:$A,$A60,ALIF_Y2017!$F:$F)</f>
        <v>59000</v>
      </c>
      <c r="G60" s="98">
        <f>SUMIF(ALIF_Y2018!$A:$A,$A60,ALIF_Y2018!$F:$F)</f>
        <v>64000</v>
      </c>
      <c r="H60" s="98">
        <f>SUMIF(ALIF_Y2019!$A:$A,$A60,ALIF_Y2019!$F:$F)</f>
        <v>67999.599000000002</v>
      </c>
      <c r="I60" s="98">
        <f>SUMIF(ALIF_Y2020!$A:$A,$A60,ALIF_Y2020!$F:$F)</f>
        <v>67999.599000000002</v>
      </c>
      <c r="J60" s="98">
        <f>SUMIF(ALIF_Y2021!$A:$A,$A60,ALIF_Y2021!$F:$F)</f>
        <v>67999.599000000002</v>
      </c>
      <c r="K60" s="98">
        <f>SUMIF(ALIF_Y2022!$A:$A,$A60,ALIF_Y2022!$F:$F)</f>
        <v>0</v>
      </c>
      <c r="L60" s="98">
        <f>SUMIF(ALIF_Y2023!$A:$A,$A60,ALIF_Y2023!$F:$F)</f>
        <v>0</v>
      </c>
      <c r="M60" s="98">
        <f>SUMIF(ALIF_Y2024!$A:$A,$A60,ALIF_Y2024!$F:$F)</f>
        <v>0</v>
      </c>
      <c r="N60" s="98">
        <f>SUMIF(ALIF_Y2025!$A:$A,$A60,ALIF_Y2025!$F:$F)</f>
        <v>0</v>
      </c>
      <c r="O60" t="str">
        <f>_xlfn.XLOOKUP(A60,Map!A:A,Map!E:E)</f>
        <v>Prepaid expenses</v>
      </c>
      <c r="P60" t="str">
        <f>_xlfn.XLOOKUP(A60,Map!A:A,Map!D:D)</f>
        <v>Current Assets</v>
      </c>
    </row>
    <row r="61" spans="1:16" x14ac:dyDescent="0.25">
      <c r="A61" s="101">
        <v>170014</v>
      </c>
      <c r="B61" t="s">
        <v>53</v>
      </c>
      <c r="C61" s="98">
        <f>SUMIF(ALIF_Y2014!$A:$A,$A61,ALIF_Y2014!$F:$F)</f>
        <v>227199</v>
      </c>
      <c r="D61" s="98">
        <f>SUMIF(ALIF_Y2015!$A:$A,$A61,ALIF_Y2015!$F:$F)</f>
        <v>227470.541</v>
      </c>
      <c r="E61" s="98">
        <f>SUMIF(ALIF_Y2016!$A:$A,$A61,ALIF_Y2016!$F:$F)</f>
        <v>314532</v>
      </c>
      <c r="F61" s="98">
        <f>SUMIF(ALIF_Y2017!$A:$A,$A61,ALIF_Y2017!$F:$F)</f>
        <v>284241.5</v>
      </c>
      <c r="G61" s="98">
        <f>SUMIF(ALIF_Y2018!$A:$A,$A61,ALIF_Y2018!$F:$F)</f>
        <v>321097</v>
      </c>
      <c r="H61" s="98">
        <f>SUMIF(ALIF_Y2019!$A:$A,$A61,ALIF_Y2019!$F:$F)</f>
        <v>335549.7</v>
      </c>
      <c r="I61" s="98">
        <f>SUMIF(ALIF_Y2020!$A:$A,$A61,ALIF_Y2020!$F:$F)</f>
        <v>291018.283</v>
      </c>
      <c r="J61" s="98">
        <f>SUMIF(ALIF_Y2021!$A:$A,$A61,ALIF_Y2021!$F:$F)</f>
        <v>364209.5</v>
      </c>
      <c r="K61" s="98">
        <f>SUMIF(ALIF_Y2022!$A:$A,$A61,ALIF_Y2022!$F:$F)</f>
        <v>569660.51</v>
      </c>
      <c r="L61" s="98">
        <f>SUMIF(ALIF_Y2023!$A:$A,$A61,ALIF_Y2023!$F:$F)</f>
        <v>337938</v>
      </c>
      <c r="M61" s="98">
        <f>SUMIF(ALIF_Y2024!$A:$A,$A61,ALIF_Y2024!$F:$F)</f>
        <v>384085.83399999997</v>
      </c>
      <c r="N61" s="98">
        <f>SUMIF(ALIF_Y2025!$A:$A,$A61,ALIF_Y2025!$F:$F)</f>
        <v>540552.21100000001</v>
      </c>
      <c r="O61" t="str">
        <f>_xlfn.XLOOKUP(A61,Map!A:A,Map!E:E)</f>
        <v>Prepaid expenses</v>
      </c>
      <c r="P61" t="str">
        <f>_xlfn.XLOOKUP(A61,Map!A:A,Map!D:D)</f>
        <v>Current Assets</v>
      </c>
    </row>
    <row r="62" spans="1:16" x14ac:dyDescent="0.25">
      <c r="A62" s="101">
        <v>170015</v>
      </c>
      <c r="B62" t="s">
        <v>54</v>
      </c>
      <c r="C62" s="98">
        <f>SUMIF(ALIF_Y2014!$A:$A,$A62,ALIF_Y2014!$F:$F)</f>
        <v>0</v>
      </c>
      <c r="D62" s="98">
        <f>SUMIF(ALIF_Y2015!$A:$A,$A62,ALIF_Y2015!$F:$F)</f>
        <v>0</v>
      </c>
      <c r="E62" s="98">
        <f>SUMIF(ALIF_Y2016!$A:$A,$A62,ALIF_Y2016!$F:$F)</f>
        <v>0</v>
      </c>
      <c r="F62" s="98">
        <f>SUMIF(ALIF_Y2017!$A:$A,$A62,ALIF_Y2017!$F:$F)</f>
        <v>0</v>
      </c>
      <c r="G62" s="98">
        <f>SUMIF(ALIF_Y2018!$A:$A,$A62,ALIF_Y2018!$F:$F)</f>
        <v>0</v>
      </c>
      <c r="H62" s="98">
        <f>SUMIF(ALIF_Y2019!$A:$A,$A62,ALIF_Y2019!$F:$F)</f>
        <v>0</v>
      </c>
      <c r="I62" s="98">
        <f>SUMIF(ALIF_Y2020!$A:$A,$A62,ALIF_Y2020!$F:$F)</f>
        <v>0</v>
      </c>
      <c r="J62" s="98">
        <f>SUMIF(ALIF_Y2021!$A:$A,$A62,ALIF_Y2021!$F:$F)</f>
        <v>0</v>
      </c>
      <c r="K62" s="98">
        <f>SUMIF(ALIF_Y2022!$A:$A,$A62,ALIF_Y2022!$F:$F)</f>
        <v>0</v>
      </c>
      <c r="L62" s="98">
        <f>SUMIF(ALIF_Y2023!$A:$A,$A62,ALIF_Y2023!$F:$F)</f>
        <v>0</v>
      </c>
      <c r="M62" s="98">
        <f>SUMIF(ALIF_Y2024!$A:$A,$A62,ALIF_Y2024!$F:$F)</f>
        <v>0</v>
      </c>
      <c r="N62" s="98">
        <f>SUMIF(ALIF_Y2025!$A:$A,$A62,ALIF_Y2025!$F:$F)</f>
        <v>0</v>
      </c>
      <c r="O62" t="str">
        <f>_xlfn.XLOOKUP(A62,Map!A:A,Map!E:E)</f>
        <v>Prepaid expenses</v>
      </c>
      <c r="P62" t="str">
        <f>_xlfn.XLOOKUP(A62,Map!A:A,Map!D:D)</f>
        <v>Current Assets</v>
      </c>
    </row>
    <row r="63" spans="1:16" x14ac:dyDescent="0.25">
      <c r="A63" s="101">
        <v>170016</v>
      </c>
      <c r="B63" t="s">
        <v>55</v>
      </c>
      <c r="C63" s="98">
        <f>SUMIF(ALIF_Y2014!$A:$A,$A63,ALIF_Y2014!$F:$F)</f>
        <v>0</v>
      </c>
      <c r="D63" s="98">
        <f>SUMIF(ALIF_Y2015!$A:$A,$A63,ALIF_Y2015!$F:$F)</f>
        <v>0</v>
      </c>
      <c r="E63" s="98">
        <f>SUMIF(ALIF_Y2016!$A:$A,$A63,ALIF_Y2016!$F:$F)</f>
        <v>0</v>
      </c>
      <c r="F63" s="98">
        <f>SUMIF(ALIF_Y2017!$A:$A,$A63,ALIF_Y2017!$F:$F)</f>
        <v>0</v>
      </c>
      <c r="G63" s="98">
        <f>SUMIF(ALIF_Y2018!$A:$A,$A63,ALIF_Y2018!$F:$F)</f>
        <v>323178</v>
      </c>
      <c r="H63" s="98">
        <f>SUMIF(ALIF_Y2019!$A:$A,$A63,ALIF_Y2019!$F:$F)</f>
        <v>0</v>
      </c>
      <c r="I63" s="98">
        <f>SUMIF(ALIF_Y2020!$A:$A,$A63,ALIF_Y2020!$F:$F)</f>
        <v>0</v>
      </c>
      <c r="J63" s="98">
        <f>SUMIF(ALIF_Y2021!$A:$A,$A63,ALIF_Y2021!$F:$F)</f>
        <v>0</v>
      </c>
      <c r="K63" s="98">
        <f>SUMIF(ALIF_Y2022!$A:$A,$A63,ALIF_Y2022!$F:$F)</f>
        <v>437398.6</v>
      </c>
      <c r="L63" s="98">
        <f>SUMIF(ALIF_Y2023!$A:$A,$A63,ALIF_Y2023!$F:$F)</f>
        <v>0</v>
      </c>
      <c r="M63" s="98">
        <f>SUMIF(ALIF_Y2024!$A:$A,$A63,ALIF_Y2024!$F:$F)</f>
        <v>169324</v>
      </c>
      <c r="N63" s="98">
        <f>SUMIF(ALIF_Y2025!$A:$A,$A63,ALIF_Y2025!$F:$F)</f>
        <v>169324</v>
      </c>
      <c r="O63" t="str">
        <f>_xlfn.XLOOKUP(A63,Map!A:A,Map!E:E)</f>
        <v>Prepaid expenses</v>
      </c>
      <c r="P63" t="str">
        <f>_xlfn.XLOOKUP(A63,Map!A:A,Map!D:D)</f>
        <v>Current Assets</v>
      </c>
    </row>
    <row r="64" spans="1:16" x14ac:dyDescent="0.25">
      <c r="A64" s="101">
        <v>170017</v>
      </c>
      <c r="B64" t="s">
        <v>56</v>
      </c>
      <c r="C64" s="98">
        <f>SUMIF(ALIF_Y2014!$A:$A,$A64,ALIF_Y2014!$F:$F)</f>
        <v>0</v>
      </c>
      <c r="D64" s="98">
        <f>SUMIF(ALIF_Y2015!$A:$A,$A64,ALIF_Y2015!$F:$F)</f>
        <v>0</v>
      </c>
      <c r="E64" s="98">
        <f>SUMIF(ALIF_Y2016!$A:$A,$A64,ALIF_Y2016!$F:$F)</f>
        <v>0</v>
      </c>
      <c r="F64" s="98">
        <f>SUMIF(ALIF_Y2017!$A:$A,$A64,ALIF_Y2017!$F:$F)</f>
        <v>0</v>
      </c>
      <c r="G64" s="98">
        <f>SUMIF(ALIF_Y2018!$A:$A,$A64,ALIF_Y2018!$F:$F)</f>
        <v>0</v>
      </c>
      <c r="H64" s="98">
        <f>SUMIF(ALIF_Y2019!$A:$A,$A64,ALIF_Y2019!$F:$F)</f>
        <v>0</v>
      </c>
      <c r="I64" s="98">
        <f>SUMIF(ALIF_Y2020!$A:$A,$A64,ALIF_Y2020!$F:$F)</f>
        <v>0</v>
      </c>
      <c r="J64" s="98">
        <f>SUMIF(ALIF_Y2021!$A:$A,$A64,ALIF_Y2021!$F:$F)</f>
        <v>0</v>
      </c>
      <c r="K64" s="98">
        <f>SUMIF(ALIF_Y2022!$A:$A,$A64,ALIF_Y2022!$F:$F)</f>
        <v>0</v>
      </c>
      <c r="L64" s="98">
        <f>SUMIF(ALIF_Y2023!$A:$A,$A64,ALIF_Y2023!$F:$F)</f>
        <v>0</v>
      </c>
      <c r="M64" s="98">
        <f>SUMIF(ALIF_Y2024!$A:$A,$A64,ALIF_Y2024!$F:$F)</f>
        <v>0</v>
      </c>
      <c r="N64" s="98">
        <f>SUMIF(ALIF_Y2025!$A:$A,$A64,ALIF_Y2025!$F:$F)</f>
        <v>0</v>
      </c>
      <c r="O64" t="str">
        <f>_xlfn.XLOOKUP(A64,Map!A:A,Map!E:E)</f>
        <v>Prepaid expenses</v>
      </c>
      <c r="P64" t="str">
        <f>_xlfn.XLOOKUP(A64,Map!A:A,Map!D:D)</f>
        <v>Current Assets</v>
      </c>
    </row>
    <row r="65" spans="1:16" x14ac:dyDescent="0.25">
      <c r="A65" s="101">
        <v>170018</v>
      </c>
      <c r="B65" t="s">
        <v>57</v>
      </c>
      <c r="C65" s="98">
        <f>SUMIF(ALIF_Y2014!$A:$A,$A65,ALIF_Y2014!$F:$F)</f>
        <v>0</v>
      </c>
      <c r="D65" s="98">
        <f>SUMIF(ALIF_Y2015!$A:$A,$A65,ALIF_Y2015!$F:$F)</f>
        <v>0</v>
      </c>
      <c r="E65" s="98">
        <f>SUMIF(ALIF_Y2016!$A:$A,$A65,ALIF_Y2016!$F:$F)</f>
        <v>0</v>
      </c>
      <c r="F65" s="98">
        <f>SUMIF(ALIF_Y2017!$A:$A,$A65,ALIF_Y2017!$F:$F)</f>
        <v>0</v>
      </c>
      <c r="G65" s="98">
        <f>SUMIF(ALIF_Y2018!$A:$A,$A65,ALIF_Y2018!$F:$F)</f>
        <v>0</v>
      </c>
      <c r="H65" s="98">
        <f>SUMIF(ALIF_Y2019!$A:$A,$A65,ALIF_Y2019!$F:$F)</f>
        <v>0</v>
      </c>
      <c r="I65" s="98">
        <f>SUMIF(ALIF_Y2020!$A:$A,$A65,ALIF_Y2020!$F:$F)</f>
        <v>0</v>
      </c>
      <c r="J65" s="98">
        <f>SUMIF(ALIF_Y2021!$A:$A,$A65,ALIF_Y2021!$F:$F)</f>
        <v>0</v>
      </c>
      <c r="K65" s="98">
        <f>SUMIF(ALIF_Y2022!$A:$A,$A65,ALIF_Y2022!$F:$F)</f>
        <v>0</v>
      </c>
      <c r="L65" s="98">
        <f>SUMIF(ALIF_Y2023!$A:$A,$A65,ALIF_Y2023!$F:$F)</f>
        <v>0</v>
      </c>
      <c r="M65" s="98">
        <f>SUMIF(ALIF_Y2024!$A:$A,$A65,ALIF_Y2024!$F:$F)</f>
        <v>0</v>
      </c>
      <c r="N65" s="98">
        <f>SUMIF(ALIF_Y2025!$A:$A,$A65,ALIF_Y2025!$F:$F)</f>
        <v>6600</v>
      </c>
      <c r="O65" t="str">
        <f>_xlfn.XLOOKUP(A65,Map!A:A,Map!E:E)</f>
        <v>Prepaid expenses</v>
      </c>
      <c r="P65" t="str">
        <f>_xlfn.XLOOKUP(A65,Map!A:A,Map!D:D)</f>
        <v>Current Assets</v>
      </c>
    </row>
    <row r="66" spans="1:16" x14ac:dyDescent="0.25">
      <c r="A66" s="101">
        <v>170019</v>
      </c>
      <c r="B66" t="s">
        <v>58</v>
      </c>
      <c r="C66" s="98">
        <f>SUMIF(ALIF_Y2014!$A:$A,$A66,ALIF_Y2014!$F:$F)</f>
        <v>0</v>
      </c>
      <c r="D66" s="98">
        <f>SUMIF(ALIF_Y2015!$A:$A,$A66,ALIF_Y2015!$F:$F)</f>
        <v>0</v>
      </c>
      <c r="E66" s="98">
        <f>SUMIF(ALIF_Y2016!$A:$A,$A66,ALIF_Y2016!$F:$F)</f>
        <v>0</v>
      </c>
      <c r="F66" s="98">
        <f>SUMIF(ALIF_Y2017!$A:$A,$A66,ALIF_Y2017!$F:$F)</f>
        <v>0</v>
      </c>
      <c r="G66" s="98">
        <f>SUMIF(ALIF_Y2018!$A:$A,$A66,ALIF_Y2018!$F:$F)</f>
        <v>0</v>
      </c>
      <c r="H66" s="98">
        <f>SUMIF(ALIF_Y2019!$A:$A,$A66,ALIF_Y2019!$F:$F)</f>
        <v>0</v>
      </c>
      <c r="I66" s="98">
        <f>SUMIF(ALIF_Y2020!$A:$A,$A66,ALIF_Y2020!$F:$F)</f>
        <v>0</v>
      </c>
      <c r="J66" s="98">
        <f>SUMIF(ALIF_Y2021!$A:$A,$A66,ALIF_Y2021!$F:$F)</f>
        <v>0</v>
      </c>
      <c r="K66" s="98">
        <f>SUMIF(ALIF_Y2022!$A:$A,$A66,ALIF_Y2022!$F:$F)</f>
        <v>0</v>
      </c>
      <c r="L66" s="98">
        <f>SUMIF(ALIF_Y2023!$A:$A,$A66,ALIF_Y2023!$F:$F)</f>
        <v>0</v>
      </c>
      <c r="M66" s="98">
        <f>SUMIF(ALIF_Y2024!$A:$A,$A66,ALIF_Y2024!$F:$F)</f>
        <v>0</v>
      </c>
      <c r="N66" s="98">
        <f>SUMIF(ALIF_Y2025!$A:$A,$A66,ALIF_Y2025!$F:$F)</f>
        <v>0</v>
      </c>
      <c r="O66" t="str">
        <f>_xlfn.XLOOKUP(A66,Map!A:A,Map!E:E)</f>
        <v>Prepaid expenses</v>
      </c>
      <c r="P66" t="str">
        <f>_xlfn.XLOOKUP(A66,Map!A:A,Map!D:D)</f>
        <v>Current Assets</v>
      </c>
    </row>
    <row r="67" spans="1:16" x14ac:dyDescent="0.25">
      <c r="A67" s="101">
        <v>170020</v>
      </c>
      <c r="B67" t="s">
        <v>59</v>
      </c>
      <c r="C67" s="98">
        <f>SUMIF(ALIF_Y2014!$A:$A,$A67,ALIF_Y2014!$F:$F)</f>
        <v>0</v>
      </c>
      <c r="D67" s="98">
        <f>SUMIF(ALIF_Y2015!$A:$A,$A67,ALIF_Y2015!$F:$F)</f>
        <v>0</v>
      </c>
      <c r="E67" s="98">
        <f>SUMIF(ALIF_Y2016!$A:$A,$A67,ALIF_Y2016!$F:$F)</f>
        <v>0</v>
      </c>
      <c r="F67" s="98">
        <f>SUMIF(ALIF_Y2017!$A:$A,$A67,ALIF_Y2017!$F:$F)</f>
        <v>0</v>
      </c>
      <c r="G67" s="98">
        <f>SUMIF(ALIF_Y2018!$A:$A,$A67,ALIF_Y2018!$F:$F)</f>
        <v>0</v>
      </c>
      <c r="H67" s="98">
        <f>SUMIF(ALIF_Y2019!$A:$A,$A67,ALIF_Y2019!$F:$F)</f>
        <v>0</v>
      </c>
      <c r="I67" s="98">
        <f>SUMIF(ALIF_Y2020!$A:$A,$A67,ALIF_Y2020!$F:$F)</f>
        <v>0</v>
      </c>
      <c r="J67" s="98">
        <f>SUMIF(ALIF_Y2021!$A:$A,$A67,ALIF_Y2021!$F:$F)</f>
        <v>0</v>
      </c>
      <c r="K67" s="98">
        <f>SUMIF(ALIF_Y2022!$A:$A,$A67,ALIF_Y2022!$F:$F)</f>
        <v>0</v>
      </c>
      <c r="L67" s="98">
        <f>SUMIF(ALIF_Y2023!$A:$A,$A67,ALIF_Y2023!$F:$F)</f>
        <v>187932.64</v>
      </c>
      <c r="M67" s="98">
        <f>SUMIF(ALIF_Y2024!$A:$A,$A67,ALIF_Y2024!$F:$F)</f>
        <v>187932.64</v>
      </c>
      <c r="N67" s="98">
        <f>SUMIF(ALIF_Y2025!$A:$A,$A67,ALIF_Y2025!$F:$F)</f>
        <v>2830593.6630000002</v>
      </c>
      <c r="O67" t="str">
        <f>_xlfn.XLOOKUP(A67,Map!A:A,Map!E:E)</f>
        <v>Prepaid expenses</v>
      </c>
      <c r="P67" t="str">
        <f>_xlfn.XLOOKUP(A67,Map!A:A,Map!D:D)</f>
        <v>Current Assets</v>
      </c>
    </row>
    <row r="68" spans="1:16" x14ac:dyDescent="0.25">
      <c r="A68" s="101">
        <v>170021</v>
      </c>
      <c r="B68" t="s">
        <v>535</v>
      </c>
      <c r="C68" s="98">
        <f>SUMIF(ALIF_Y2014!$A:$A,$A68,ALIF_Y2014!$F:$F)</f>
        <v>4501835.45</v>
      </c>
      <c r="D68" s="98">
        <f>SUMIF(ALIF_Y2015!$A:$A,$A68,ALIF_Y2015!$F:$F)</f>
        <v>3062618</v>
      </c>
      <c r="E68" s="98">
        <f>SUMIF(ALIF_Y2016!$A:$A,$A68,ALIF_Y2016!$F:$F)</f>
        <v>4741163.17</v>
      </c>
      <c r="F68" s="98">
        <f>SUMIF(ALIF_Y2017!$A:$A,$A68,ALIF_Y2017!$F:$F)</f>
        <v>12679112.02</v>
      </c>
      <c r="G68" s="98">
        <f>SUMIF(ALIF_Y2018!$A:$A,$A68,ALIF_Y2018!$F:$F)</f>
        <v>9600761.3000000007</v>
      </c>
      <c r="H68" s="98">
        <f>SUMIF(ALIF_Y2019!$A:$A,$A68,ALIF_Y2019!$F:$F)</f>
        <v>5773707.4500000002</v>
      </c>
      <c r="I68" s="98">
        <f>SUMIF(ALIF_Y2020!$A:$A,$A68,ALIF_Y2020!$F:$F)</f>
        <v>2935982.66</v>
      </c>
      <c r="J68" s="98">
        <f>SUMIF(ALIF_Y2021!$A:$A,$A68,ALIF_Y2021!$F:$F)</f>
        <v>2935982.66</v>
      </c>
      <c r="K68" s="98">
        <f>SUMIF(ALIF_Y2022!$A:$A,$A68,ALIF_Y2022!$F:$F)</f>
        <v>0</v>
      </c>
      <c r="L68" s="98">
        <f>SUMIF(ALIF_Y2023!$A:$A,$A68,ALIF_Y2023!$F:$F)</f>
        <v>4054218.42</v>
      </c>
      <c r="M68" s="98">
        <f>SUMIF(ALIF_Y2024!$A:$A,$A68,ALIF_Y2024!$F:$F)</f>
        <v>12531828.029999999</v>
      </c>
      <c r="N68" s="98">
        <f>SUMIF(ALIF_Y2025!$A:$A,$A68,ALIF_Y2025!$F:$F)</f>
        <v>5088140.07</v>
      </c>
      <c r="O68" t="str">
        <f>_xlfn.XLOOKUP(A68,Map!A:A,Map!E:E)</f>
        <v>Prepaid expenses</v>
      </c>
      <c r="P68" t="str">
        <f>_xlfn.XLOOKUP(A68,Map!A:A,Map!D:D)</f>
        <v>Current Assets</v>
      </c>
    </row>
    <row r="69" spans="1:16" x14ac:dyDescent="0.25">
      <c r="A69" s="101">
        <v>180001</v>
      </c>
      <c r="B69" t="s">
        <v>60</v>
      </c>
      <c r="C69" s="98">
        <f>SUMIF(ALIF_Y2014!$A:$A,$A69,ALIF_Y2014!$F:$F)</f>
        <v>156339.99</v>
      </c>
      <c r="D69" s="98">
        <f>SUMIF(ALIF_Y2015!$A:$A,$A69,ALIF_Y2015!$F:$F)</f>
        <v>180341.72399999999</v>
      </c>
      <c r="E69" s="98">
        <f>SUMIF(ALIF_Y2016!$A:$A,$A69,ALIF_Y2016!$F:$F)</f>
        <v>0</v>
      </c>
      <c r="F69" s="98">
        <f>SUMIF(ALIF_Y2017!$A:$A,$A69,ALIF_Y2017!$F:$F)</f>
        <v>0</v>
      </c>
      <c r="G69" s="98">
        <f>SUMIF(ALIF_Y2018!$A:$A,$A69,ALIF_Y2018!$F:$F)</f>
        <v>0</v>
      </c>
      <c r="H69" s="98">
        <f>SUMIF(ALIF_Y2019!$A:$A,$A69,ALIF_Y2019!$F:$F)</f>
        <v>0</v>
      </c>
      <c r="I69" s="98">
        <f>SUMIF(ALIF_Y2020!$A:$A,$A69,ALIF_Y2020!$F:$F)</f>
        <v>460574.58399999997</v>
      </c>
      <c r="J69" s="98">
        <f>SUMIF(ALIF_Y2021!$A:$A,$A69,ALIF_Y2021!$F:$F)</f>
        <v>472084.609</v>
      </c>
      <c r="K69" s="98">
        <f>SUMIF(ALIF_Y2022!$A:$A,$A69,ALIF_Y2022!$F:$F)</f>
        <v>579715.09400000004</v>
      </c>
      <c r="L69" s="98">
        <f>SUMIF(ALIF_Y2023!$A:$A,$A69,ALIF_Y2023!$F:$F)</f>
        <v>393596.77299999999</v>
      </c>
      <c r="M69" s="98">
        <f>SUMIF(ALIF_Y2024!$A:$A,$A69,ALIF_Y2024!$F:$F)</f>
        <v>1808123.993</v>
      </c>
      <c r="N69" s="98">
        <f>SUMIF(ALIF_Y2025!$A:$A,$A69,ALIF_Y2025!$F:$F)</f>
        <v>3636552.4440000001</v>
      </c>
      <c r="O69" t="str">
        <f>_xlfn.XLOOKUP(A69,Map!A:A,Map!E:E)</f>
        <v>Inventories</v>
      </c>
      <c r="P69" t="str">
        <f>_xlfn.XLOOKUP(A69,Map!A:A,Map!D:D)</f>
        <v>Current Assets</v>
      </c>
    </row>
    <row r="70" spans="1:16" x14ac:dyDescent="0.25">
      <c r="A70" s="101">
        <v>180002</v>
      </c>
      <c r="B70" t="s">
        <v>61</v>
      </c>
      <c r="C70" s="98">
        <f>SUMIF(ALIF_Y2014!$A:$A,$A70,ALIF_Y2014!$F:$F)</f>
        <v>0</v>
      </c>
      <c r="D70" s="98">
        <f>SUMIF(ALIF_Y2015!$A:$A,$A70,ALIF_Y2015!$F:$F)</f>
        <v>0</v>
      </c>
      <c r="E70" s="98">
        <f>SUMIF(ALIF_Y2016!$A:$A,$A70,ALIF_Y2016!$F:$F)</f>
        <v>0</v>
      </c>
      <c r="F70" s="98">
        <f>SUMIF(ALIF_Y2017!$A:$A,$A70,ALIF_Y2017!$F:$F)</f>
        <v>0</v>
      </c>
      <c r="G70" s="98">
        <f>SUMIF(ALIF_Y2018!$A:$A,$A70,ALIF_Y2018!$F:$F)</f>
        <v>0</v>
      </c>
      <c r="H70" s="98">
        <f>SUMIF(ALIF_Y2019!$A:$A,$A70,ALIF_Y2019!$F:$F)</f>
        <v>0</v>
      </c>
      <c r="I70" s="98">
        <f>SUMIF(ALIF_Y2020!$A:$A,$A70,ALIF_Y2020!$F:$F)</f>
        <v>0</v>
      </c>
      <c r="J70" s="98">
        <f>SUMIF(ALIF_Y2021!$A:$A,$A70,ALIF_Y2021!$F:$F)</f>
        <v>0</v>
      </c>
      <c r="K70" s="98">
        <f>SUMIF(ALIF_Y2022!$A:$A,$A70,ALIF_Y2022!$F:$F)</f>
        <v>0</v>
      </c>
      <c r="L70" s="98">
        <f>SUMIF(ALIF_Y2023!$A:$A,$A70,ALIF_Y2023!$F:$F)</f>
        <v>0</v>
      </c>
      <c r="M70" s="98">
        <f>SUMIF(ALIF_Y2024!$A:$A,$A70,ALIF_Y2024!$F:$F)</f>
        <v>0</v>
      </c>
      <c r="N70" s="98">
        <f>SUMIF(ALIF_Y2025!$A:$A,$A70,ALIF_Y2025!$F:$F)</f>
        <v>0</v>
      </c>
      <c r="O70" t="str">
        <f>_xlfn.XLOOKUP(A70,Map!A:A,Map!E:E)</f>
        <v>Inventories</v>
      </c>
      <c r="P70" t="str">
        <f>_xlfn.XLOOKUP(A70,Map!A:A,Map!D:D)</f>
        <v>Current Assets</v>
      </c>
    </row>
    <row r="71" spans="1:16" x14ac:dyDescent="0.25">
      <c r="A71" s="101">
        <v>180003</v>
      </c>
      <c r="B71" t="s">
        <v>62</v>
      </c>
      <c r="C71" s="98">
        <f>SUMIF(ALIF_Y2014!$A:$A,$A71,ALIF_Y2014!$F:$F)</f>
        <v>653513.32999999996</v>
      </c>
      <c r="D71" s="98">
        <f>SUMIF(ALIF_Y2015!$A:$A,$A71,ALIF_Y2015!$F:$F)</f>
        <v>1662493.5430000001</v>
      </c>
      <c r="E71" s="98">
        <f>SUMIF(ALIF_Y2016!$A:$A,$A71,ALIF_Y2016!$F:$F)</f>
        <v>3495512.389</v>
      </c>
      <c r="F71" s="98">
        <f>SUMIF(ALIF_Y2017!$A:$A,$A71,ALIF_Y2017!$F:$F)</f>
        <v>3299573.9649999999</v>
      </c>
      <c r="G71" s="98">
        <f>SUMIF(ALIF_Y2018!$A:$A,$A71,ALIF_Y2018!$F:$F)</f>
        <v>6617901.977</v>
      </c>
      <c r="H71" s="98">
        <f>SUMIF(ALIF_Y2019!$A:$A,$A71,ALIF_Y2019!$F:$F)</f>
        <v>9335439.2479999997</v>
      </c>
      <c r="I71" s="98">
        <f>SUMIF(ALIF_Y2020!$A:$A,$A71,ALIF_Y2020!$F:$F)</f>
        <v>9861152.8129999992</v>
      </c>
      <c r="J71" s="98">
        <f>SUMIF(ALIF_Y2021!$A:$A,$A71,ALIF_Y2021!$F:$F)</f>
        <v>8204122.3789999997</v>
      </c>
      <c r="K71" s="98">
        <f>SUMIF(ALIF_Y2022!$A:$A,$A71,ALIF_Y2022!$F:$F)</f>
        <v>8453179.3629999999</v>
      </c>
      <c r="L71" s="98">
        <f>SUMIF(ALIF_Y2023!$A:$A,$A71,ALIF_Y2023!$F:$F)</f>
        <v>7034865.0970000001</v>
      </c>
      <c r="M71" s="98">
        <f>SUMIF(ALIF_Y2024!$A:$A,$A71,ALIF_Y2024!$F:$F)</f>
        <v>9421144.9240000006</v>
      </c>
      <c r="N71" s="98">
        <f>SUMIF(ALIF_Y2025!$A:$A,$A71,ALIF_Y2025!$F:$F)</f>
        <v>12667444.899</v>
      </c>
      <c r="O71" t="str">
        <f>_xlfn.XLOOKUP(A71,Map!A:A,Map!E:E)</f>
        <v>Inventories</v>
      </c>
      <c r="P71" t="str">
        <f>_xlfn.XLOOKUP(A71,Map!A:A,Map!D:D)</f>
        <v>Current Assets</v>
      </c>
    </row>
    <row r="72" spans="1:16" x14ac:dyDescent="0.25">
      <c r="A72" s="101">
        <v>180004</v>
      </c>
      <c r="B72" t="s">
        <v>63</v>
      </c>
      <c r="C72" s="98">
        <f>SUMIF(ALIF_Y2014!$A:$A,$A72,ALIF_Y2014!$F:$F)</f>
        <v>7043113.4110000003</v>
      </c>
      <c r="D72" s="98">
        <f>SUMIF(ALIF_Y2015!$A:$A,$A72,ALIF_Y2015!$F:$F)</f>
        <v>3346088.281</v>
      </c>
      <c r="E72" s="98">
        <f>SUMIF(ALIF_Y2016!$A:$A,$A72,ALIF_Y2016!$F:$F)</f>
        <v>2005087.6440000001</v>
      </c>
      <c r="F72" s="98">
        <f>SUMIF(ALIF_Y2017!$A:$A,$A72,ALIF_Y2017!$F:$F)</f>
        <v>5349660.4009999996</v>
      </c>
      <c r="G72" s="98">
        <f>SUMIF(ALIF_Y2018!$A:$A,$A72,ALIF_Y2018!$F:$F)</f>
        <v>17461290.598000001</v>
      </c>
      <c r="H72" s="98">
        <f>SUMIF(ALIF_Y2019!$A:$A,$A72,ALIF_Y2019!$F:$F)</f>
        <v>10353608.835999999</v>
      </c>
      <c r="I72" s="98">
        <f>SUMIF(ALIF_Y2020!$A:$A,$A72,ALIF_Y2020!$F:$F)</f>
        <v>6375063.9330000002</v>
      </c>
      <c r="J72" s="98">
        <f>SUMIF(ALIF_Y2021!$A:$A,$A72,ALIF_Y2021!$F:$F)</f>
        <v>21414671.879000001</v>
      </c>
      <c r="K72" s="98">
        <f>SUMIF(ALIF_Y2022!$A:$A,$A72,ALIF_Y2022!$F:$F)</f>
        <v>24628808.791000001</v>
      </c>
      <c r="L72" s="98">
        <f>SUMIF(ALIF_Y2023!$A:$A,$A72,ALIF_Y2023!$F:$F)</f>
        <v>12721521.119999999</v>
      </c>
      <c r="M72" s="98">
        <f>SUMIF(ALIF_Y2024!$A:$A,$A72,ALIF_Y2024!$F:$F)</f>
        <v>5934186.6670000004</v>
      </c>
      <c r="N72" s="98">
        <f>SUMIF(ALIF_Y2025!$A:$A,$A72,ALIF_Y2025!$F:$F)</f>
        <v>38866504.912</v>
      </c>
      <c r="O72" t="str">
        <f>_xlfn.XLOOKUP(A72,Map!A:A,Map!E:E)</f>
        <v>Inventories</v>
      </c>
      <c r="P72" t="str">
        <f>_xlfn.XLOOKUP(A72,Map!A:A,Map!D:D)</f>
        <v>Current Assets</v>
      </c>
    </row>
    <row r="73" spans="1:16" x14ac:dyDescent="0.25">
      <c r="A73" s="101">
        <v>180005</v>
      </c>
      <c r="B73" t="s">
        <v>64</v>
      </c>
      <c r="C73" s="98">
        <f>SUMIF(ALIF_Y2014!$A:$A,$A73,ALIF_Y2014!$F:$F)</f>
        <v>5804758.5659999996</v>
      </c>
      <c r="D73" s="98">
        <f>SUMIF(ALIF_Y2015!$A:$A,$A73,ALIF_Y2015!$F:$F)</f>
        <v>5751580.5860000001</v>
      </c>
      <c r="E73" s="98">
        <f>SUMIF(ALIF_Y2016!$A:$A,$A73,ALIF_Y2016!$F:$F)</f>
        <v>1175699.1090000002</v>
      </c>
      <c r="F73" s="98">
        <f>SUMIF(ALIF_Y2017!$A:$A,$A73,ALIF_Y2017!$F:$F)</f>
        <v>2403224.9559999998</v>
      </c>
      <c r="G73" s="98">
        <f>SUMIF(ALIF_Y2018!$A:$A,$A73,ALIF_Y2018!$F:$F)</f>
        <v>13671938.976</v>
      </c>
      <c r="H73" s="98">
        <f>SUMIF(ALIF_Y2019!$A:$A,$A73,ALIF_Y2019!$F:$F)</f>
        <v>14923756.469000001</v>
      </c>
      <c r="I73" s="98">
        <f>SUMIF(ALIF_Y2020!$A:$A,$A73,ALIF_Y2020!$F:$F)</f>
        <v>13945865.502</v>
      </c>
      <c r="J73" s="98">
        <f>SUMIF(ALIF_Y2021!$A:$A,$A73,ALIF_Y2021!$F:$F)</f>
        <v>10850303.380999999</v>
      </c>
      <c r="K73" s="98">
        <f>SUMIF(ALIF_Y2022!$A:$A,$A73,ALIF_Y2022!$F:$F)</f>
        <v>22323654.041999999</v>
      </c>
      <c r="L73" s="98">
        <f>SUMIF(ALIF_Y2023!$A:$A,$A73,ALIF_Y2023!$F:$F)</f>
        <v>6421066.4900000002</v>
      </c>
      <c r="M73" s="98">
        <f>SUMIF(ALIF_Y2024!$A:$A,$A73,ALIF_Y2024!$F:$F)</f>
        <v>7778933.2960000001</v>
      </c>
      <c r="N73" s="98">
        <f>SUMIF(ALIF_Y2025!$A:$A,$A73,ALIF_Y2025!$F:$F)</f>
        <v>3053858.6510000001</v>
      </c>
      <c r="O73" t="str">
        <f>_xlfn.XLOOKUP(A73,Map!A:A,Map!E:E)</f>
        <v>Inventories</v>
      </c>
      <c r="P73" t="str">
        <f>_xlfn.XLOOKUP(A73,Map!A:A,Map!D:D)</f>
        <v>Current Assets</v>
      </c>
    </row>
    <row r="74" spans="1:16" x14ac:dyDescent="0.25">
      <c r="A74" s="101">
        <v>180006</v>
      </c>
      <c r="B74" t="s">
        <v>65</v>
      </c>
      <c r="C74" s="98">
        <f>SUMIF(ALIF_Y2014!$A:$A,$A74,ALIF_Y2014!$F:$F)</f>
        <v>673548.34199999995</v>
      </c>
      <c r="D74" s="98">
        <f>SUMIF(ALIF_Y2015!$A:$A,$A74,ALIF_Y2015!$F:$F)</f>
        <v>1294747.0009999999</v>
      </c>
      <c r="E74" s="98">
        <f>SUMIF(ALIF_Y2016!$A:$A,$A74,ALIF_Y2016!$F:$F)</f>
        <v>1169678.9839999999</v>
      </c>
      <c r="F74" s="98">
        <f>SUMIF(ALIF_Y2017!$A:$A,$A74,ALIF_Y2017!$F:$F)</f>
        <v>425239.42300000001</v>
      </c>
      <c r="G74" s="98">
        <f>SUMIF(ALIF_Y2018!$A:$A,$A74,ALIF_Y2018!$F:$F)</f>
        <v>3405824.1009999998</v>
      </c>
      <c r="H74" s="98">
        <f>SUMIF(ALIF_Y2019!$A:$A,$A74,ALIF_Y2019!$F:$F)</f>
        <v>1669803.713</v>
      </c>
      <c r="I74" s="98">
        <f>SUMIF(ALIF_Y2020!$A:$A,$A74,ALIF_Y2020!$F:$F)</f>
        <v>378972.29800000001</v>
      </c>
      <c r="J74" s="98">
        <f>SUMIF(ALIF_Y2021!$A:$A,$A74,ALIF_Y2021!$F:$F)</f>
        <v>606028.99699999997</v>
      </c>
      <c r="K74" s="98">
        <f>SUMIF(ALIF_Y2022!$A:$A,$A74,ALIF_Y2022!$F:$F)</f>
        <v>1300362.7749999999</v>
      </c>
      <c r="L74" s="98">
        <f>SUMIF(ALIF_Y2023!$A:$A,$A74,ALIF_Y2023!$F:$F)</f>
        <v>485139.35100000002</v>
      </c>
      <c r="M74" s="98">
        <f>SUMIF(ALIF_Y2024!$A:$A,$A74,ALIF_Y2024!$F:$F)</f>
        <v>184644.11300000001</v>
      </c>
      <c r="N74" s="98">
        <f>SUMIF(ALIF_Y2025!$A:$A,$A74,ALIF_Y2025!$F:$F)</f>
        <v>56276.91</v>
      </c>
      <c r="O74" t="str">
        <f>_xlfn.XLOOKUP(A74,Map!A:A,Map!E:E)</f>
        <v>Inventories</v>
      </c>
      <c r="P74" t="str">
        <f>_xlfn.XLOOKUP(A74,Map!A:A,Map!D:D)</f>
        <v>Current Assets</v>
      </c>
    </row>
    <row r="75" spans="1:16" x14ac:dyDescent="0.25">
      <c r="A75" s="101">
        <v>180007</v>
      </c>
      <c r="B75" t="s">
        <v>66</v>
      </c>
      <c r="C75" s="98">
        <f>SUMIF(ALIF_Y2014!$A:$A,$A75,ALIF_Y2014!$F:$F)</f>
        <v>2013760.004</v>
      </c>
      <c r="D75" s="98">
        <f>SUMIF(ALIF_Y2015!$A:$A,$A75,ALIF_Y2015!$F:$F)</f>
        <v>1532382.561</v>
      </c>
      <c r="E75" s="98">
        <f>SUMIF(ALIF_Y2016!$A:$A,$A75,ALIF_Y2016!$F:$F)</f>
        <v>2977379.26</v>
      </c>
      <c r="F75" s="98">
        <f>SUMIF(ALIF_Y2017!$A:$A,$A75,ALIF_Y2017!$F:$F)</f>
        <v>1090998.24</v>
      </c>
      <c r="G75" s="98">
        <f>SUMIF(ALIF_Y2018!$A:$A,$A75,ALIF_Y2018!$F:$F)</f>
        <v>1973924.3</v>
      </c>
      <c r="H75" s="98">
        <f>SUMIF(ALIF_Y2019!$A:$A,$A75,ALIF_Y2019!$F:$F)</f>
        <v>4219396.8190000001</v>
      </c>
      <c r="I75" s="98">
        <f>SUMIF(ALIF_Y2020!$A:$A,$A75,ALIF_Y2020!$F:$F)</f>
        <v>1119777.0859999999</v>
      </c>
      <c r="J75" s="98">
        <f>SUMIF(ALIF_Y2021!$A:$A,$A75,ALIF_Y2021!$F:$F)</f>
        <v>2466116.929</v>
      </c>
      <c r="K75" s="98">
        <f>SUMIF(ALIF_Y2022!$A:$A,$A75,ALIF_Y2022!$F:$F)</f>
        <v>6583839.9369999999</v>
      </c>
      <c r="L75" s="98">
        <f>SUMIF(ALIF_Y2023!$A:$A,$A75,ALIF_Y2023!$F:$F)</f>
        <v>144366.50099999999</v>
      </c>
      <c r="M75" s="98">
        <f>SUMIF(ALIF_Y2024!$A:$A,$A75,ALIF_Y2024!$F:$F)</f>
        <v>133828.25200000001</v>
      </c>
      <c r="N75" s="98">
        <f>SUMIF(ALIF_Y2025!$A:$A,$A75,ALIF_Y2025!$F:$F)</f>
        <v>133828.25200000001</v>
      </c>
      <c r="O75" t="str">
        <f>_xlfn.XLOOKUP(A75,Map!A:A,Map!E:E)</f>
        <v>Inventories</v>
      </c>
      <c r="P75" t="str">
        <f>_xlfn.XLOOKUP(A75,Map!A:A,Map!D:D)</f>
        <v>Current Assets</v>
      </c>
    </row>
    <row r="76" spans="1:16" x14ac:dyDescent="0.25">
      <c r="A76" s="101">
        <v>180008</v>
      </c>
      <c r="B76" t="s">
        <v>67</v>
      </c>
      <c r="C76" s="98">
        <f>SUMIF(ALIF_Y2014!$A:$A,$A76,ALIF_Y2014!$F:$F)</f>
        <v>1442056.1510000001</v>
      </c>
      <c r="D76" s="98">
        <f>SUMIF(ALIF_Y2015!$A:$A,$A76,ALIF_Y2015!$F:$F)</f>
        <v>1499877.777</v>
      </c>
      <c r="E76" s="98">
        <f>SUMIF(ALIF_Y2016!$A:$A,$A76,ALIF_Y2016!$F:$F)</f>
        <v>1400127.8160000001</v>
      </c>
      <c r="F76" s="98">
        <f>SUMIF(ALIF_Y2017!$A:$A,$A76,ALIF_Y2017!$F:$F)</f>
        <v>1568037.8160000001</v>
      </c>
      <c r="G76" s="98">
        <f>SUMIF(ALIF_Y2018!$A:$A,$A76,ALIF_Y2018!$F:$F)</f>
        <v>1868994.2479999999</v>
      </c>
      <c r="H76" s="98">
        <f>SUMIF(ALIF_Y2019!$A:$A,$A76,ALIF_Y2019!$F:$F)</f>
        <v>1599925.6640000001</v>
      </c>
      <c r="I76" s="98">
        <f>SUMIF(ALIF_Y2020!$A:$A,$A76,ALIF_Y2020!$F:$F)</f>
        <v>0</v>
      </c>
      <c r="J76" s="98">
        <f>SUMIF(ALIF_Y2021!$A:$A,$A76,ALIF_Y2021!$F:$F)</f>
        <v>0</v>
      </c>
      <c r="K76" s="98">
        <f>SUMIF(ALIF_Y2022!$A:$A,$A76,ALIF_Y2022!$F:$F)</f>
        <v>0</v>
      </c>
      <c r="L76" s="98">
        <f>SUMIF(ALIF_Y2023!$A:$A,$A76,ALIF_Y2023!$F:$F)</f>
        <v>0</v>
      </c>
      <c r="M76" s="98">
        <f>SUMIF(ALIF_Y2024!$A:$A,$A76,ALIF_Y2024!$F:$F)</f>
        <v>0</v>
      </c>
      <c r="N76" s="98">
        <f>SUMIF(ALIF_Y2025!$A:$A,$A76,ALIF_Y2025!$F:$F)</f>
        <v>0</v>
      </c>
      <c r="O76" t="str">
        <f>_xlfn.XLOOKUP(A76,Map!A:A,Map!E:E)</f>
        <v>Inventories</v>
      </c>
      <c r="P76" t="str">
        <f>_xlfn.XLOOKUP(A76,Map!A:A,Map!D:D)</f>
        <v>Current Assets</v>
      </c>
    </row>
    <row r="77" spans="1:16" x14ac:dyDescent="0.25">
      <c r="A77" s="101">
        <v>180009</v>
      </c>
      <c r="B77" t="s">
        <v>68</v>
      </c>
      <c r="C77" s="98">
        <f>SUMIF(ALIF_Y2014!$A:$A,$A77,ALIF_Y2014!$F:$F)</f>
        <v>1</v>
      </c>
      <c r="D77" s="98">
        <f>SUMIF(ALIF_Y2015!$A:$A,$A77,ALIF_Y2015!$F:$F)</f>
        <v>0</v>
      </c>
      <c r="E77" s="98">
        <f>SUMIF(ALIF_Y2016!$A:$A,$A77,ALIF_Y2016!$F:$F)</f>
        <v>6916688.2850000001</v>
      </c>
      <c r="F77" s="98">
        <f>SUMIF(ALIF_Y2017!$A:$A,$A77,ALIF_Y2017!$F:$F)</f>
        <v>-0.02</v>
      </c>
      <c r="G77" s="98">
        <f>SUMIF(ALIF_Y2018!$A:$A,$A77,ALIF_Y2018!$F:$F)</f>
        <v>-4.0000000000000001E-3</v>
      </c>
      <c r="H77" s="98">
        <f>SUMIF(ALIF_Y2019!$A:$A,$A77,ALIF_Y2019!$F:$F)</f>
        <v>0</v>
      </c>
      <c r="I77" s="98">
        <f>SUMIF(ALIF_Y2020!$A:$A,$A77,ALIF_Y2020!$F:$F)</f>
        <v>0</v>
      </c>
      <c r="J77" s="98">
        <f>SUMIF(ALIF_Y2021!$A:$A,$A77,ALIF_Y2021!$F:$F)</f>
        <v>0</v>
      </c>
      <c r="K77" s="98">
        <f>SUMIF(ALIF_Y2022!$A:$A,$A77,ALIF_Y2022!$F:$F)</f>
        <v>0</v>
      </c>
      <c r="L77" s="98">
        <f>SUMIF(ALIF_Y2023!$A:$A,$A77,ALIF_Y2023!$F:$F)</f>
        <v>0</v>
      </c>
      <c r="M77" s="98">
        <f>SUMIF(ALIF_Y2024!$A:$A,$A77,ALIF_Y2024!$F:$F)</f>
        <v>0</v>
      </c>
      <c r="N77" s="98">
        <f>SUMIF(ALIF_Y2025!$A:$A,$A77,ALIF_Y2025!$F:$F)</f>
        <v>0</v>
      </c>
      <c r="O77" t="str">
        <f>_xlfn.XLOOKUP(A77,Map!A:A,Map!E:E)</f>
        <v>Inventories</v>
      </c>
      <c r="P77" t="str">
        <f>_xlfn.XLOOKUP(A77,Map!A:A,Map!D:D)</f>
        <v>Current Assets</v>
      </c>
    </row>
    <row r="78" spans="1:16" x14ac:dyDescent="0.25">
      <c r="A78" s="101">
        <v>180010</v>
      </c>
      <c r="B78" t="s">
        <v>69</v>
      </c>
      <c r="C78" s="98">
        <f>SUMIF(ALIF_Y2014!$A:$A,$A78,ALIF_Y2014!$F:$F)</f>
        <v>1212335.835</v>
      </c>
      <c r="D78" s="98">
        <f>SUMIF(ALIF_Y2015!$A:$A,$A78,ALIF_Y2015!$F:$F)</f>
        <v>1327453.811</v>
      </c>
      <c r="E78" s="98">
        <f>SUMIF(ALIF_Y2016!$A:$A,$A78,ALIF_Y2016!$F:$F)</f>
        <v>1398956.7789999999</v>
      </c>
      <c r="F78" s="98">
        <f>SUMIF(ALIF_Y2017!$A:$A,$A78,ALIF_Y2017!$F:$F)</f>
        <v>1731640.504</v>
      </c>
      <c r="G78" s="98">
        <f>SUMIF(ALIF_Y2018!$A:$A,$A78,ALIF_Y2018!$F:$F)</f>
        <v>3284487.0350000001</v>
      </c>
      <c r="H78" s="98">
        <f>SUMIF(ALIF_Y2019!$A:$A,$A78,ALIF_Y2019!$F:$F)</f>
        <v>4243921.3739999998</v>
      </c>
      <c r="I78" s="98">
        <f>SUMIF(ALIF_Y2020!$A:$A,$A78,ALIF_Y2020!$F:$F)</f>
        <v>2923428.2549999999</v>
      </c>
      <c r="J78" s="98">
        <f>SUMIF(ALIF_Y2021!$A:$A,$A78,ALIF_Y2021!$F:$F)</f>
        <v>3671446.071</v>
      </c>
      <c r="K78" s="98">
        <f>SUMIF(ALIF_Y2022!$A:$A,$A78,ALIF_Y2022!$F:$F)</f>
        <v>3804138.2889999999</v>
      </c>
      <c r="L78" s="98">
        <f>SUMIF(ALIF_Y2023!$A:$A,$A78,ALIF_Y2023!$F:$F)</f>
        <v>2205127.1439999999</v>
      </c>
      <c r="M78" s="98">
        <f>SUMIF(ALIF_Y2024!$A:$A,$A78,ALIF_Y2024!$F:$F)</f>
        <v>3576344.7710000002</v>
      </c>
      <c r="N78" s="98">
        <f>SUMIF(ALIF_Y2025!$A:$A,$A78,ALIF_Y2025!$F:$F)</f>
        <v>5717733.1169999996</v>
      </c>
      <c r="O78" t="str">
        <f>_xlfn.XLOOKUP(A78,Map!A:A,Map!E:E)</f>
        <v>Inventories</v>
      </c>
      <c r="P78" t="str">
        <f>_xlfn.XLOOKUP(A78,Map!A:A,Map!D:D)</f>
        <v>Current Assets</v>
      </c>
    </row>
    <row r="79" spans="1:16" x14ac:dyDescent="0.25">
      <c r="A79" s="101">
        <v>180011</v>
      </c>
      <c r="B79" t="s">
        <v>70</v>
      </c>
      <c r="C79" s="98">
        <f>SUMIF(ALIF_Y2014!$A:$A,$A79,ALIF_Y2014!$F:$F)</f>
        <v>5822773.6179999998</v>
      </c>
      <c r="D79" s="98">
        <f>SUMIF(ALIF_Y2015!$A:$A,$A79,ALIF_Y2015!$F:$F)</f>
        <v>3798456.87</v>
      </c>
      <c r="E79" s="98">
        <f>SUMIF(ALIF_Y2016!$A:$A,$A79,ALIF_Y2016!$F:$F)</f>
        <v>3693398.7229999998</v>
      </c>
      <c r="F79" s="98">
        <f>SUMIF(ALIF_Y2017!$A:$A,$A79,ALIF_Y2017!$F:$F)</f>
        <v>3759293.67</v>
      </c>
      <c r="G79" s="98">
        <f>SUMIF(ALIF_Y2018!$A:$A,$A79,ALIF_Y2018!$F:$F)</f>
        <v>5990529.9390000002</v>
      </c>
      <c r="H79" s="98">
        <f>SUMIF(ALIF_Y2019!$A:$A,$A79,ALIF_Y2019!$F:$F)</f>
        <v>4916871.9639999997</v>
      </c>
      <c r="I79" s="98">
        <f>SUMIF(ALIF_Y2020!$A:$A,$A79,ALIF_Y2020!$F:$F)</f>
        <v>2860145.8280000002</v>
      </c>
      <c r="J79" s="98">
        <f>SUMIF(ALIF_Y2021!$A:$A,$A79,ALIF_Y2021!$F:$F)</f>
        <v>4353614.0590000004</v>
      </c>
      <c r="K79" s="98">
        <f>SUMIF(ALIF_Y2022!$A:$A,$A79,ALIF_Y2022!$F:$F)</f>
        <v>15057738.582</v>
      </c>
      <c r="L79" s="98">
        <f>SUMIF(ALIF_Y2023!$A:$A,$A79,ALIF_Y2023!$F:$F)</f>
        <v>9655616.7899999991</v>
      </c>
      <c r="M79" s="98">
        <f>SUMIF(ALIF_Y2024!$A:$A,$A79,ALIF_Y2024!$F:$F)</f>
        <v>9484544.6830000002</v>
      </c>
      <c r="N79" s="98">
        <f>SUMIF(ALIF_Y2025!$A:$A,$A79,ALIF_Y2025!$F:$F)</f>
        <v>11845976.203</v>
      </c>
      <c r="O79" t="str">
        <f>_xlfn.XLOOKUP(A79,Map!A:A,Map!E:E)</f>
        <v>Inventories</v>
      </c>
      <c r="P79" t="str">
        <f>_xlfn.XLOOKUP(A79,Map!A:A,Map!D:D)</f>
        <v>Current Assets</v>
      </c>
    </row>
    <row r="80" spans="1:16" x14ac:dyDescent="0.25">
      <c r="A80" s="101">
        <v>180012</v>
      </c>
      <c r="B80" t="s">
        <v>71</v>
      </c>
      <c r="C80" s="98">
        <f>SUMIF(ALIF_Y2014!$A:$A,$A80,ALIF_Y2014!$F:$F)</f>
        <v>3491023.5520000001</v>
      </c>
      <c r="D80" s="98">
        <f>SUMIF(ALIF_Y2015!$A:$A,$A80,ALIF_Y2015!$F:$F)</f>
        <v>2714441.9569999999</v>
      </c>
      <c r="E80" s="98">
        <f>SUMIF(ALIF_Y2016!$A:$A,$A80,ALIF_Y2016!$F:$F)</f>
        <v>2233950.0639999998</v>
      </c>
      <c r="F80" s="98">
        <f>SUMIF(ALIF_Y2017!$A:$A,$A80,ALIF_Y2017!$F:$F)</f>
        <v>1969194.7039999999</v>
      </c>
      <c r="G80" s="98">
        <f>SUMIF(ALIF_Y2018!$A:$A,$A80,ALIF_Y2018!$F:$F)</f>
        <v>4155373.4410000001</v>
      </c>
      <c r="H80" s="98">
        <f>SUMIF(ALIF_Y2019!$A:$A,$A80,ALIF_Y2019!$F:$F)</f>
        <v>6324009.8049999997</v>
      </c>
      <c r="I80" s="98">
        <f>SUMIF(ALIF_Y2020!$A:$A,$A80,ALIF_Y2020!$F:$F)</f>
        <v>3169104.6669999999</v>
      </c>
      <c r="J80" s="98">
        <f>SUMIF(ALIF_Y2021!$A:$A,$A80,ALIF_Y2021!$F:$F)</f>
        <v>3568332.1370000001</v>
      </c>
      <c r="K80" s="98">
        <f>SUMIF(ALIF_Y2022!$A:$A,$A80,ALIF_Y2022!$F:$F)</f>
        <v>5027391.8600000003</v>
      </c>
      <c r="L80" s="98">
        <f>SUMIF(ALIF_Y2023!$A:$A,$A80,ALIF_Y2023!$F:$F)</f>
        <v>1499189.071</v>
      </c>
      <c r="M80" s="98">
        <f>SUMIF(ALIF_Y2024!$A:$A,$A80,ALIF_Y2024!$F:$F)</f>
        <v>4089189.5980000002</v>
      </c>
      <c r="N80" s="98">
        <f>SUMIF(ALIF_Y2025!$A:$A,$A80,ALIF_Y2025!$F:$F)</f>
        <v>3937068.0060000001</v>
      </c>
      <c r="O80" t="str">
        <f>_xlfn.XLOOKUP(A80,Map!A:A,Map!E:E)</f>
        <v>Inventories</v>
      </c>
      <c r="P80" t="str">
        <f>_xlfn.XLOOKUP(A80,Map!A:A,Map!D:D)</f>
        <v>Current Assets</v>
      </c>
    </row>
    <row r="81" spans="1:16" x14ac:dyDescent="0.25">
      <c r="A81" s="101">
        <v>180013</v>
      </c>
      <c r="B81" t="s">
        <v>72</v>
      </c>
      <c r="C81" s="98">
        <f>SUMIF(ALIF_Y2014!$A:$A,$A81,ALIF_Y2014!$F:$F)</f>
        <v>5752152.5599999996</v>
      </c>
      <c r="D81" s="98">
        <f>SUMIF(ALIF_Y2015!$A:$A,$A81,ALIF_Y2015!$F:$F)</f>
        <v>5304869.8890000004</v>
      </c>
      <c r="E81" s="98">
        <f>SUMIF(ALIF_Y2016!$A:$A,$A81,ALIF_Y2016!$F:$F)</f>
        <v>6125291.1440000003</v>
      </c>
      <c r="F81" s="98">
        <f>SUMIF(ALIF_Y2017!$A:$A,$A81,ALIF_Y2017!$F:$F)</f>
        <v>4435009.0870000003</v>
      </c>
      <c r="G81" s="98">
        <f>SUMIF(ALIF_Y2018!$A:$A,$A81,ALIF_Y2018!$F:$F)</f>
        <v>8323970.4850000003</v>
      </c>
      <c r="H81" s="98">
        <f>SUMIF(ALIF_Y2019!$A:$A,$A81,ALIF_Y2019!$F:$F)</f>
        <v>6599030.142</v>
      </c>
      <c r="I81" s="98">
        <f>SUMIF(ALIF_Y2020!$A:$A,$A81,ALIF_Y2020!$F:$F)</f>
        <v>6716635.6349999998</v>
      </c>
      <c r="J81" s="98">
        <f>SUMIF(ALIF_Y2021!$A:$A,$A81,ALIF_Y2021!$F:$F)</f>
        <v>5032954.7170000002</v>
      </c>
      <c r="K81" s="98">
        <f>SUMIF(ALIF_Y2022!$A:$A,$A81,ALIF_Y2022!$F:$F)</f>
        <v>5656636.4230000004</v>
      </c>
      <c r="L81" s="98">
        <f>SUMIF(ALIF_Y2023!$A:$A,$A81,ALIF_Y2023!$F:$F)</f>
        <v>4851116.2259999998</v>
      </c>
      <c r="M81" s="98">
        <f>SUMIF(ALIF_Y2024!$A:$A,$A81,ALIF_Y2024!$F:$F)</f>
        <v>1779013.747</v>
      </c>
      <c r="N81" s="98">
        <f>SUMIF(ALIF_Y2025!$A:$A,$A81,ALIF_Y2025!$F:$F)</f>
        <v>2378833.9440000001</v>
      </c>
      <c r="O81" t="str">
        <f>_xlfn.XLOOKUP(A81,Map!A:A,Map!E:E)</f>
        <v>Inventories</v>
      </c>
      <c r="P81" t="str">
        <f>_xlfn.XLOOKUP(A81,Map!A:A,Map!D:D)</f>
        <v>Current Assets</v>
      </c>
    </row>
    <row r="82" spans="1:16" x14ac:dyDescent="0.25">
      <c r="A82" s="101">
        <v>180014</v>
      </c>
      <c r="B82" t="s">
        <v>73</v>
      </c>
      <c r="C82" s="98">
        <f>SUMIF(ALIF_Y2014!$A:$A,$A82,ALIF_Y2014!$F:$F)</f>
        <v>0</v>
      </c>
      <c r="D82" s="98">
        <f>SUMIF(ALIF_Y2015!$A:$A,$A82,ALIF_Y2015!$F:$F)</f>
        <v>0</v>
      </c>
      <c r="E82" s="98">
        <f>SUMIF(ALIF_Y2016!$A:$A,$A82,ALIF_Y2016!$F:$F)</f>
        <v>-79231.839999999997</v>
      </c>
      <c r="F82" s="98">
        <f>SUMIF(ALIF_Y2017!$A:$A,$A82,ALIF_Y2017!$F:$F)</f>
        <v>759475.83</v>
      </c>
      <c r="G82" s="98">
        <f>SUMIF(ALIF_Y2018!$A:$A,$A82,ALIF_Y2018!$F:$F)</f>
        <v>0</v>
      </c>
      <c r="H82" s="98">
        <f>SUMIF(ALIF_Y2019!$A:$A,$A82,ALIF_Y2019!$F:$F)</f>
        <v>0</v>
      </c>
      <c r="I82" s="98">
        <f>SUMIF(ALIF_Y2020!$A:$A,$A82,ALIF_Y2020!$F:$F)</f>
        <v>0</v>
      </c>
      <c r="J82" s="98">
        <f>SUMIF(ALIF_Y2021!$A:$A,$A82,ALIF_Y2021!$F:$F)</f>
        <v>0</v>
      </c>
      <c r="K82" s="98">
        <f>SUMIF(ALIF_Y2022!$A:$A,$A82,ALIF_Y2022!$F:$F)</f>
        <v>-0.01</v>
      </c>
      <c r="L82" s="98">
        <f>SUMIF(ALIF_Y2023!$A:$A,$A82,ALIF_Y2023!$F:$F)</f>
        <v>0</v>
      </c>
      <c r="M82" s="98">
        <f>SUMIF(ALIF_Y2024!$A:$A,$A82,ALIF_Y2024!$F:$F)</f>
        <v>470760.93300000002</v>
      </c>
      <c r="N82" s="98">
        <f>SUMIF(ALIF_Y2025!$A:$A,$A82,ALIF_Y2025!$F:$F)</f>
        <v>1236078.101</v>
      </c>
      <c r="O82" t="str">
        <f>_xlfn.XLOOKUP(A82,Map!A:A,Map!E:E)</f>
        <v>Inventories</v>
      </c>
      <c r="P82" t="str">
        <f>_xlfn.XLOOKUP(A82,Map!A:A,Map!D:D)</f>
        <v>Current Assets</v>
      </c>
    </row>
    <row r="83" spans="1:16" x14ac:dyDescent="0.25">
      <c r="A83" s="101">
        <v>180096</v>
      </c>
      <c r="B83" t="s">
        <v>74</v>
      </c>
      <c r="C83" s="98">
        <f>SUMIF(ALIF_Y2014!$A:$A,$A83,ALIF_Y2014!$F:$F)</f>
        <v>0</v>
      </c>
      <c r="D83" s="98">
        <f>SUMIF(ALIF_Y2015!$A:$A,$A83,ALIF_Y2015!$F:$F)</f>
        <v>0</v>
      </c>
      <c r="E83" s="98">
        <f>SUMIF(ALIF_Y2016!$A:$A,$A83,ALIF_Y2016!$F:$F)</f>
        <v>166734.068</v>
      </c>
      <c r="F83" s="98">
        <f>SUMIF(ALIF_Y2017!$A:$A,$A83,ALIF_Y2017!$F:$F)</f>
        <v>177283.36499999999</v>
      </c>
      <c r="G83" s="98">
        <f>SUMIF(ALIF_Y2018!$A:$A,$A83,ALIF_Y2018!$F:$F)</f>
        <v>-2E-3</v>
      </c>
      <c r="H83" s="98">
        <f>SUMIF(ALIF_Y2019!$A:$A,$A83,ALIF_Y2019!$F:$F)</f>
        <v>0</v>
      </c>
      <c r="I83" s="98">
        <f>SUMIF(ALIF_Y2020!$A:$A,$A83,ALIF_Y2020!$F:$F)</f>
        <v>0</v>
      </c>
      <c r="J83" s="98">
        <f>SUMIF(ALIF_Y2021!$A:$A,$A83,ALIF_Y2021!$F:$F)</f>
        <v>0</v>
      </c>
      <c r="K83" s="98">
        <f>SUMIF(ALIF_Y2022!$A:$A,$A83,ALIF_Y2022!$F:$F)</f>
        <v>0</v>
      </c>
      <c r="L83" s="98">
        <f>SUMIF(ALIF_Y2023!$A:$A,$A83,ALIF_Y2023!$F:$F)</f>
        <v>0</v>
      </c>
      <c r="M83" s="98">
        <f>SUMIF(ALIF_Y2024!$A:$A,$A83,ALIF_Y2024!$F:$F)</f>
        <v>0</v>
      </c>
      <c r="N83" s="98">
        <f>SUMIF(ALIF_Y2025!$A:$A,$A83,ALIF_Y2025!$F:$F)</f>
        <v>19793.944</v>
      </c>
      <c r="O83" t="str">
        <f>_xlfn.XLOOKUP(A83,Map!A:A,Map!E:E)</f>
        <v>Inventories</v>
      </c>
      <c r="P83" t="str">
        <f>_xlfn.XLOOKUP(A83,Map!A:A,Map!D:D)</f>
        <v>Current Assets</v>
      </c>
    </row>
    <row r="84" spans="1:16" x14ac:dyDescent="0.25">
      <c r="A84" s="101">
        <v>180097</v>
      </c>
      <c r="B84" t="s">
        <v>75</v>
      </c>
      <c r="C84" s="98">
        <f>SUMIF(ALIF_Y2014!$A:$A,$A84,ALIF_Y2014!$F:$F)</f>
        <v>0</v>
      </c>
      <c r="D84" s="98">
        <f>SUMIF(ALIF_Y2015!$A:$A,$A84,ALIF_Y2015!$F:$F)</f>
        <v>0</v>
      </c>
      <c r="E84" s="98">
        <f>SUMIF(ALIF_Y2016!$A:$A,$A84,ALIF_Y2016!$F:$F)</f>
        <v>0</v>
      </c>
      <c r="F84" s="98">
        <f>SUMIF(ALIF_Y2017!$A:$A,$A84,ALIF_Y2017!$F:$F)</f>
        <v>0</v>
      </c>
      <c r="G84" s="98">
        <f>SUMIF(ALIF_Y2018!$A:$A,$A84,ALIF_Y2018!$F:$F)</f>
        <v>0</v>
      </c>
      <c r="H84" s="98">
        <f>SUMIF(ALIF_Y2019!$A:$A,$A84,ALIF_Y2019!$F:$F)</f>
        <v>0</v>
      </c>
      <c r="I84" s="98">
        <f>SUMIF(ALIF_Y2020!$A:$A,$A84,ALIF_Y2020!$F:$F)</f>
        <v>0</v>
      </c>
      <c r="J84" s="98">
        <f>SUMIF(ALIF_Y2021!$A:$A,$A84,ALIF_Y2021!$F:$F)</f>
        <v>0</v>
      </c>
      <c r="K84" s="98">
        <f>SUMIF(ALIF_Y2022!$A:$A,$A84,ALIF_Y2022!$F:$F)</f>
        <v>0</v>
      </c>
      <c r="L84" s="98">
        <f>SUMIF(ALIF_Y2023!$A:$A,$A84,ALIF_Y2023!$F:$F)</f>
        <v>0</v>
      </c>
      <c r="M84" s="98">
        <f>SUMIF(ALIF_Y2024!$A:$A,$A84,ALIF_Y2024!$F:$F)</f>
        <v>6050.9250000000002</v>
      </c>
      <c r="N84" s="98">
        <f>SUMIF(ALIF_Y2025!$A:$A,$A84,ALIF_Y2025!$F:$F)</f>
        <v>6050.9250000000002</v>
      </c>
      <c r="O84" t="str">
        <f>_xlfn.XLOOKUP(A84,Map!A:A,Map!E:E)</f>
        <v>Inventories</v>
      </c>
      <c r="P84" t="str">
        <f>_xlfn.XLOOKUP(A84,Map!A:A,Map!D:D)</f>
        <v>Current Assets</v>
      </c>
    </row>
    <row r="85" spans="1:16" x14ac:dyDescent="0.25">
      <c r="A85" s="101">
        <v>180098</v>
      </c>
      <c r="B85" t="s">
        <v>76</v>
      </c>
      <c r="C85" s="98">
        <f>SUMIF(ALIF_Y2014!$A:$A,$A85,ALIF_Y2014!$F:$F)</f>
        <v>0</v>
      </c>
      <c r="D85" s="98">
        <f>SUMIF(ALIF_Y2015!$A:$A,$A85,ALIF_Y2015!$F:$F)</f>
        <v>0</v>
      </c>
      <c r="E85" s="98">
        <f>SUMIF(ALIF_Y2016!$A:$A,$A85,ALIF_Y2016!$F:$F)</f>
        <v>0</v>
      </c>
      <c r="F85" s="98">
        <f>SUMIF(ALIF_Y2017!$A:$A,$A85,ALIF_Y2017!$F:$F)</f>
        <v>0</v>
      </c>
      <c r="G85" s="98">
        <f>SUMIF(ALIF_Y2018!$A:$A,$A85,ALIF_Y2018!$F:$F)</f>
        <v>0</v>
      </c>
      <c r="H85" s="98">
        <f>SUMIF(ALIF_Y2019!$A:$A,$A85,ALIF_Y2019!$F:$F)</f>
        <v>-5.0000000000000001E-3</v>
      </c>
      <c r="I85" s="98">
        <f>SUMIF(ALIF_Y2020!$A:$A,$A85,ALIF_Y2020!$F:$F)</f>
        <v>0</v>
      </c>
      <c r="J85" s="98">
        <f>SUMIF(ALIF_Y2021!$A:$A,$A85,ALIF_Y2021!$F:$F)</f>
        <v>0</v>
      </c>
      <c r="K85" s="98">
        <f>SUMIF(ALIF_Y2022!$A:$A,$A85,ALIF_Y2022!$F:$F)</f>
        <v>1E-3</v>
      </c>
      <c r="L85" s="98">
        <f>SUMIF(ALIF_Y2023!$A:$A,$A85,ALIF_Y2023!$F:$F)</f>
        <v>1E-3</v>
      </c>
      <c r="M85" s="98">
        <f>SUMIF(ALIF_Y2024!$A:$A,$A85,ALIF_Y2024!$F:$F)</f>
        <v>-0.90800000000000003</v>
      </c>
      <c r="N85" s="98">
        <f>SUMIF(ALIF_Y2025!$A:$A,$A85,ALIF_Y2025!$F:$F)</f>
        <v>194928.652</v>
      </c>
      <c r="O85" t="str">
        <f>_xlfn.XLOOKUP(A85,Map!A:A,Map!E:E)</f>
        <v>Inventories</v>
      </c>
      <c r="P85" t="str">
        <f>_xlfn.XLOOKUP(A85,Map!A:A,Map!D:D)</f>
        <v>Current Assets</v>
      </c>
    </row>
    <row r="86" spans="1:16" x14ac:dyDescent="0.25">
      <c r="A86" s="101">
        <v>180099</v>
      </c>
      <c r="B86" t="s">
        <v>77</v>
      </c>
      <c r="C86" s="98">
        <f>SUMIF(ALIF_Y2014!$A:$A,$A86,ALIF_Y2014!$F:$F)</f>
        <v>0</v>
      </c>
      <c r="D86" s="98">
        <f>SUMIF(ALIF_Y2015!$A:$A,$A86,ALIF_Y2015!$F:$F)</f>
        <v>0</v>
      </c>
      <c r="E86" s="98">
        <f>SUMIF(ALIF_Y2016!$A:$A,$A86,ALIF_Y2016!$F:$F)</f>
        <v>0</v>
      </c>
      <c r="F86" s="98">
        <f>SUMIF(ALIF_Y2017!$A:$A,$A86,ALIF_Y2017!$F:$F)</f>
        <v>0</v>
      </c>
      <c r="G86" s="98">
        <f>SUMIF(ALIF_Y2018!$A:$A,$A86,ALIF_Y2018!$F:$F)</f>
        <v>0</v>
      </c>
      <c r="H86" s="98">
        <f>SUMIF(ALIF_Y2019!$A:$A,$A86,ALIF_Y2019!$F:$F)</f>
        <v>5.0000000000000001E-3</v>
      </c>
      <c r="I86" s="98">
        <f>SUMIF(ALIF_Y2020!$A:$A,$A86,ALIF_Y2020!$F:$F)</f>
        <v>0</v>
      </c>
      <c r="J86" s="98">
        <f>SUMIF(ALIF_Y2021!$A:$A,$A86,ALIF_Y2021!$F:$F)</f>
        <v>0</v>
      </c>
      <c r="K86" s="98">
        <f>SUMIF(ALIF_Y2022!$A:$A,$A86,ALIF_Y2022!$F:$F)</f>
        <v>0</v>
      </c>
      <c r="L86" s="98">
        <f>SUMIF(ALIF_Y2023!$A:$A,$A86,ALIF_Y2023!$F:$F)</f>
        <v>0</v>
      </c>
      <c r="M86" s="98">
        <f>SUMIF(ALIF_Y2024!$A:$A,$A86,ALIF_Y2024!$F:$F)</f>
        <v>15265919.785</v>
      </c>
      <c r="N86" s="98">
        <f>SUMIF(ALIF_Y2025!$A:$A,$A86,ALIF_Y2025!$F:$F)</f>
        <v>34278819.75</v>
      </c>
      <c r="O86" t="str">
        <f>_xlfn.XLOOKUP(A86,Map!A:A,Map!E:E)</f>
        <v>Inventories</v>
      </c>
      <c r="P86" t="str">
        <f>_xlfn.XLOOKUP(A86,Map!A:A,Map!D:D)</f>
        <v>Current Assets</v>
      </c>
    </row>
    <row r="87" spans="1:16" x14ac:dyDescent="0.25">
      <c r="A87" s="101">
        <v>210001</v>
      </c>
      <c r="B87" t="s">
        <v>78</v>
      </c>
      <c r="C87" s="98">
        <f>SUMIF(ALIF_Y2014!$A:$A,$A87,ALIF_Y2014!$F:$F)</f>
        <v>-3017763.09</v>
      </c>
      <c r="D87" s="98">
        <f>SUMIF(ALIF_Y2015!$A:$A,$A87,ALIF_Y2015!$F:$F)</f>
        <v>-2844799.6</v>
      </c>
      <c r="E87" s="98">
        <f>SUMIF(ALIF_Y2016!$A:$A,$A87,ALIF_Y2016!$F:$F)</f>
        <v>-3400740.0929999999</v>
      </c>
      <c r="F87" s="98">
        <f>SUMIF(ALIF_Y2017!$A:$A,$A87,ALIF_Y2017!$F:$F)</f>
        <v>-3405415.5739999991</v>
      </c>
      <c r="G87" s="98">
        <f>SUMIF(ALIF_Y2018!$A:$A,$A87,ALIF_Y2018!$F:$F)</f>
        <v>-7673560.5650000004</v>
      </c>
      <c r="H87" s="98">
        <f>SUMIF(ALIF_Y2019!$A:$A,$A87,ALIF_Y2019!$F:$F)</f>
        <v>-4083556.966</v>
      </c>
      <c r="I87" s="98">
        <f>SUMIF(ALIF_Y2020!$A:$A,$A87,ALIF_Y2020!$F:$F)</f>
        <v>-1587370.8970000001</v>
      </c>
      <c r="J87" s="98">
        <f>SUMIF(ALIF_Y2021!$A:$A,$A87,ALIF_Y2021!$F:$F)</f>
        <v>1991955.5389999999</v>
      </c>
      <c r="K87" s="98">
        <f>SUMIF(ALIF_Y2022!$A:$A,$A87,ALIF_Y2022!$F:$F)</f>
        <v>327947.576</v>
      </c>
      <c r="L87" s="98">
        <f>SUMIF(ALIF_Y2023!$A:$A,$A87,ALIF_Y2023!$F:$F)</f>
        <v>-3341656.193</v>
      </c>
      <c r="M87" s="98">
        <f>SUMIF(ALIF_Y2024!$A:$A,$A87,ALIF_Y2024!$F:$F)</f>
        <v>-5513960.4889999991</v>
      </c>
      <c r="N87" s="98">
        <f>SUMIF(ALIF_Y2025!$A:$A,$A87,ALIF_Y2025!$F:$F)</f>
        <v>-7071698.727</v>
      </c>
      <c r="O87" t="str">
        <f>_xlfn.XLOOKUP(A87,Map!A:A,Map!E:E)</f>
        <v>Tade payables and Accuals &amp; other credit balances</v>
      </c>
      <c r="P87" t="str">
        <f>_xlfn.XLOOKUP(A87,Map!A:A,Map!D:D)</f>
        <v>Current Liabilities</v>
      </c>
    </row>
    <row r="88" spans="1:16" x14ac:dyDescent="0.25">
      <c r="A88" s="101">
        <v>210002</v>
      </c>
      <c r="B88" t="s">
        <v>79</v>
      </c>
      <c r="C88" s="98">
        <f>SUMIF(ALIF_Y2014!$A:$A,$A88,ALIF_Y2014!$F:$F)</f>
        <v>1910502.09</v>
      </c>
      <c r="D88" s="98">
        <f>SUMIF(ALIF_Y2015!$A:$A,$A88,ALIF_Y2015!$F:$F)</f>
        <v>-3155366.4</v>
      </c>
      <c r="E88" s="98">
        <f>SUMIF(ALIF_Y2016!$A:$A,$A88,ALIF_Y2016!$F:$F)</f>
        <v>-1993720.899</v>
      </c>
      <c r="F88" s="98">
        <f>SUMIF(ALIF_Y2017!$A:$A,$A88,ALIF_Y2017!$F:$F)</f>
        <v>-3454413.4240000001</v>
      </c>
      <c r="G88" s="98">
        <f>SUMIF(ALIF_Y2018!$A:$A,$A88,ALIF_Y2018!$F:$F)</f>
        <v>-3502984.73</v>
      </c>
      <c r="H88" s="98">
        <f>SUMIF(ALIF_Y2019!$A:$A,$A88,ALIF_Y2019!$F:$F)</f>
        <v>-4136245.906</v>
      </c>
      <c r="I88" s="98">
        <f>SUMIF(ALIF_Y2020!$A:$A,$A88,ALIF_Y2020!$F:$F)</f>
        <v>-6187965.9749999996</v>
      </c>
      <c r="J88" s="98">
        <f>SUMIF(ALIF_Y2021!$A:$A,$A88,ALIF_Y2021!$F:$F)</f>
        <v>-3053002.9160000002</v>
      </c>
      <c r="K88" s="98">
        <f>SUMIF(ALIF_Y2022!$A:$A,$A88,ALIF_Y2022!$F:$F)</f>
        <v>-5604504.5329999998</v>
      </c>
      <c r="L88" s="98">
        <f>SUMIF(ALIF_Y2023!$A:$A,$A88,ALIF_Y2023!$F:$F)</f>
        <v>-2233341.199</v>
      </c>
      <c r="M88" s="98">
        <f>SUMIF(ALIF_Y2024!$A:$A,$A88,ALIF_Y2024!$F:$F)</f>
        <v>-5949624.8770000003</v>
      </c>
      <c r="N88" s="98">
        <f>SUMIF(ALIF_Y2025!$A:$A,$A88,ALIF_Y2025!$F:$F)</f>
        <v>-10630323.937999999</v>
      </c>
      <c r="O88" t="str">
        <f>_xlfn.XLOOKUP(A88,Map!A:A,Map!E:E)</f>
        <v>Tade payables and Accuals &amp; other credit balances</v>
      </c>
      <c r="P88" t="str">
        <f>_xlfn.XLOOKUP(A88,Map!A:A,Map!D:D)</f>
        <v>Current Liabilities</v>
      </c>
    </row>
    <row r="89" spans="1:16" x14ac:dyDescent="0.25">
      <c r="A89" s="101">
        <v>220001</v>
      </c>
      <c r="B89" t="s">
        <v>80</v>
      </c>
      <c r="C89" s="98">
        <f>SUMIF(ALIF_Y2014!$A:$A,$A89,ALIF_Y2014!$F:$F)</f>
        <v>0</v>
      </c>
      <c r="D89" s="98">
        <f>SUMIF(ALIF_Y2015!$A:$A,$A89,ALIF_Y2015!$F:$F)</f>
        <v>0</v>
      </c>
      <c r="E89" s="98">
        <f>SUMIF(ALIF_Y2016!$A:$A,$A89,ALIF_Y2016!$F:$F)</f>
        <v>0</v>
      </c>
      <c r="F89" s="98">
        <f>SUMIF(ALIF_Y2017!$A:$A,$A89,ALIF_Y2017!$F:$F)</f>
        <v>0</v>
      </c>
      <c r="G89" s="98">
        <f>SUMIF(ALIF_Y2018!$A:$A,$A89,ALIF_Y2018!$F:$F)</f>
        <v>0</v>
      </c>
      <c r="H89" s="98">
        <f>SUMIF(ALIF_Y2019!$A:$A,$A89,ALIF_Y2019!$F:$F)</f>
        <v>0</v>
      </c>
      <c r="I89" s="98">
        <f>SUMIF(ALIF_Y2020!$A:$A,$A89,ALIF_Y2020!$F:$F)</f>
        <v>0</v>
      </c>
      <c r="J89" s="98">
        <f>SUMIF(ALIF_Y2021!$A:$A,$A89,ALIF_Y2021!$F:$F)</f>
        <v>0</v>
      </c>
      <c r="K89" s="98">
        <f>SUMIF(ALIF_Y2022!$A:$A,$A89,ALIF_Y2022!$F:$F)</f>
        <v>0</v>
      </c>
      <c r="L89" s="98">
        <f>SUMIF(ALIF_Y2023!$A:$A,$A89,ALIF_Y2023!$F:$F)</f>
        <v>0</v>
      </c>
      <c r="M89" s="98">
        <f>SUMIF(ALIF_Y2024!$A:$A,$A89,ALIF_Y2024!$F:$F)</f>
        <v>0</v>
      </c>
      <c r="N89" s="98">
        <f>SUMIF(ALIF_Y2025!$A:$A,$A89,ALIF_Y2025!$F:$F)</f>
        <v>0</v>
      </c>
      <c r="O89" t="str">
        <f>_xlfn.XLOOKUP(A89,Map!A:A,Map!E:E)</f>
        <v>Short-term Murabaha loans</v>
      </c>
      <c r="P89" t="str">
        <f>_xlfn.XLOOKUP(A89,Map!A:A,Map!D:D)</f>
        <v>Current Liabilities</v>
      </c>
    </row>
    <row r="90" spans="1:16" x14ac:dyDescent="0.25">
      <c r="A90" s="101">
        <v>220002</v>
      </c>
      <c r="B90" t="s">
        <v>81</v>
      </c>
      <c r="C90" s="98">
        <f>SUMIF(ALIF_Y2014!$A:$A,$A90,ALIF_Y2014!$F:$F)</f>
        <v>-15001098.75</v>
      </c>
      <c r="D90" s="98">
        <f>SUMIF(ALIF_Y2015!$A:$A,$A90,ALIF_Y2015!$F:$F)</f>
        <v>-3542909.64</v>
      </c>
      <c r="E90" s="98">
        <f>SUMIF(ALIF_Y2016!$A:$A,$A90,ALIF_Y2016!$F:$F)</f>
        <v>-4564727.9000000004</v>
      </c>
      <c r="F90" s="98">
        <f>SUMIF(ALIF_Y2017!$A:$A,$A90,ALIF_Y2017!$F:$F)</f>
        <v>0</v>
      </c>
      <c r="G90" s="98">
        <f>SUMIF(ALIF_Y2018!$A:$A,$A90,ALIF_Y2018!$F:$F)</f>
        <v>0</v>
      </c>
      <c r="H90" s="98">
        <f>SUMIF(ALIF_Y2019!$A:$A,$A90,ALIF_Y2019!$F:$F)</f>
        <v>0</v>
      </c>
      <c r="I90" s="98">
        <f>SUMIF(ALIF_Y2020!$A:$A,$A90,ALIF_Y2020!$F:$F)</f>
        <v>0</v>
      </c>
      <c r="J90" s="98">
        <f>SUMIF(ALIF_Y2021!$A:$A,$A90,ALIF_Y2021!$F:$F)</f>
        <v>0</v>
      </c>
      <c r="K90" s="98">
        <f>SUMIF(ALIF_Y2022!$A:$A,$A90,ALIF_Y2022!$F:$F)</f>
        <v>0</v>
      </c>
      <c r="L90" s="98">
        <f>SUMIF(ALIF_Y2023!$A:$A,$A90,ALIF_Y2023!$F:$F)</f>
        <v>0</v>
      </c>
      <c r="M90" s="98">
        <f>SUMIF(ALIF_Y2024!$A:$A,$A90,ALIF_Y2024!$F:$F)</f>
        <v>0</v>
      </c>
      <c r="N90" s="98">
        <f>SUMIF(ALIF_Y2025!$A:$A,$A90,ALIF_Y2025!$F:$F)</f>
        <v>0</v>
      </c>
      <c r="O90" t="str">
        <f>_xlfn.XLOOKUP(A90,Map!A:A,Map!E:E)</f>
        <v>Short-term Murabaha loans</v>
      </c>
      <c r="P90" t="str">
        <f>_xlfn.XLOOKUP(A90,Map!A:A,Map!D:D)</f>
        <v>Current Liabilities</v>
      </c>
    </row>
    <row r="91" spans="1:16" x14ac:dyDescent="0.25">
      <c r="A91" s="101">
        <v>220003</v>
      </c>
      <c r="B91" t="s">
        <v>82</v>
      </c>
      <c r="C91" s="98">
        <f>SUMIF(ALIF_Y2014!$A:$A,$A91,ALIF_Y2014!$F:$F)</f>
        <v>0</v>
      </c>
      <c r="D91" s="98">
        <f>SUMIF(ALIF_Y2015!$A:$A,$A91,ALIF_Y2015!$F:$F)</f>
        <v>0</v>
      </c>
      <c r="E91" s="98">
        <f>SUMIF(ALIF_Y2016!$A:$A,$A91,ALIF_Y2016!$F:$F)</f>
        <v>0</v>
      </c>
      <c r="F91" s="98">
        <f>SUMIF(ALIF_Y2017!$A:$A,$A91,ALIF_Y2017!$F:$F)</f>
        <v>0</v>
      </c>
      <c r="G91" s="98">
        <f>SUMIF(ALIF_Y2018!$A:$A,$A91,ALIF_Y2018!$F:$F)</f>
        <v>0</v>
      </c>
      <c r="H91" s="98">
        <f>SUMIF(ALIF_Y2019!$A:$A,$A91,ALIF_Y2019!$F:$F)</f>
        <v>0</v>
      </c>
      <c r="I91" s="98">
        <f>SUMIF(ALIF_Y2020!$A:$A,$A91,ALIF_Y2020!$F:$F)</f>
        <v>0</v>
      </c>
      <c r="J91" s="98">
        <f>SUMIF(ALIF_Y2021!$A:$A,$A91,ALIF_Y2021!$F:$F)</f>
        <v>0</v>
      </c>
      <c r="K91" s="98">
        <f>SUMIF(ALIF_Y2022!$A:$A,$A91,ALIF_Y2022!$F:$F)</f>
        <v>0</v>
      </c>
      <c r="L91" s="98">
        <f>SUMIF(ALIF_Y2023!$A:$A,$A91,ALIF_Y2023!$F:$F)</f>
        <v>0</v>
      </c>
      <c r="M91" s="98">
        <f>SUMIF(ALIF_Y2024!$A:$A,$A91,ALIF_Y2024!$F:$F)</f>
        <v>0</v>
      </c>
      <c r="N91" s="98">
        <f>SUMIF(ALIF_Y2025!$A:$A,$A91,ALIF_Y2025!$F:$F)</f>
        <v>0</v>
      </c>
      <c r="O91" t="str">
        <f>_xlfn.XLOOKUP(A91,Map!A:A,Map!E:E)</f>
        <v>Short-term Murabaha loans</v>
      </c>
      <c r="P91" t="str">
        <f>_xlfn.XLOOKUP(A91,Map!A:A,Map!D:D)</f>
        <v>Current Liabilities</v>
      </c>
    </row>
    <row r="92" spans="1:16" x14ac:dyDescent="0.25">
      <c r="A92" s="101">
        <v>220004</v>
      </c>
      <c r="B92" t="s">
        <v>83</v>
      </c>
      <c r="C92" s="98">
        <f>SUMIF(ALIF_Y2014!$A:$A,$A92,ALIF_Y2014!$F:$F)</f>
        <v>-10194888.789999999</v>
      </c>
      <c r="D92" s="98">
        <f>SUMIF(ALIF_Y2015!$A:$A,$A92,ALIF_Y2015!$F:$F)</f>
        <v>-8628490.9989999998</v>
      </c>
      <c r="E92" s="98">
        <f>SUMIF(ALIF_Y2016!$A:$A,$A92,ALIF_Y2016!$F:$F)</f>
        <v>-21983731.100000001</v>
      </c>
      <c r="F92" s="98">
        <f>SUMIF(ALIF_Y2017!$A:$A,$A92,ALIF_Y2017!$F:$F)</f>
        <v>0</v>
      </c>
      <c r="G92" s="98">
        <f>SUMIF(ALIF_Y2018!$A:$A,$A92,ALIF_Y2018!$F:$F)</f>
        <v>-42806538.75</v>
      </c>
      <c r="H92" s="98">
        <f>SUMIF(ALIF_Y2019!$A:$A,$A92,ALIF_Y2019!$F:$F)</f>
        <v>-8323255.0099999998</v>
      </c>
      <c r="I92" s="98">
        <f>SUMIF(ALIF_Y2020!$A:$A,$A92,ALIF_Y2020!$F:$F)</f>
        <v>0</v>
      </c>
      <c r="J92" s="98">
        <f>SUMIF(ALIF_Y2021!$A:$A,$A92,ALIF_Y2021!$F:$F)</f>
        <v>-34821818.277000003</v>
      </c>
      <c r="K92" s="98">
        <f>SUMIF(ALIF_Y2022!$A:$A,$A92,ALIF_Y2022!$F:$F)</f>
        <v>-36611517.880999997</v>
      </c>
      <c r="L92" s="98">
        <f>SUMIF(ALIF_Y2023!$A:$A,$A92,ALIF_Y2023!$F:$F)</f>
        <v>-25134408.640000001</v>
      </c>
      <c r="M92" s="98">
        <f>SUMIF(ALIF_Y2024!$A:$A,$A92,ALIF_Y2024!$F:$F)</f>
        <v>0</v>
      </c>
      <c r="N92" s="98">
        <f>SUMIF(ALIF_Y2025!$A:$A,$A92,ALIF_Y2025!$F:$F)</f>
        <v>-42045907.75</v>
      </c>
      <c r="O92" t="str">
        <f>_xlfn.XLOOKUP(A92,Map!A:A,Map!E:E)</f>
        <v>Short-term Murabaha loans</v>
      </c>
      <c r="P92" t="str">
        <f>_xlfn.XLOOKUP(A92,Map!A:A,Map!D:D)</f>
        <v>Current Liabilities</v>
      </c>
    </row>
    <row r="93" spans="1:16" x14ac:dyDescent="0.25">
      <c r="A93" s="101">
        <v>220005</v>
      </c>
      <c r="B93" t="s">
        <v>84</v>
      </c>
      <c r="C93" s="98">
        <f>SUMIF(ALIF_Y2014!$A:$A,$A93,ALIF_Y2014!$F:$F)</f>
        <v>0</v>
      </c>
      <c r="D93" s="98">
        <f>SUMIF(ALIF_Y2015!$A:$A,$A93,ALIF_Y2015!$F:$F)</f>
        <v>0</v>
      </c>
      <c r="E93" s="98">
        <f>SUMIF(ALIF_Y2016!$A:$A,$A93,ALIF_Y2016!$F:$F)</f>
        <v>0</v>
      </c>
      <c r="F93" s="98">
        <f>SUMIF(ALIF_Y2017!$A:$A,$A93,ALIF_Y2017!$F:$F)</f>
        <v>0</v>
      </c>
      <c r="G93" s="98">
        <f>SUMIF(ALIF_Y2018!$A:$A,$A93,ALIF_Y2018!$F:$F)</f>
        <v>-19749145</v>
      </c>
      <c r="H93" s="98">
        <f>SUMIF(ALIF_Y2019!$A:$A,$A93,ALIF_Y2019!$F:$F)</f>
        <v>-24159339.420000002</v>
      </c>
      <c r="I93" s="98">
        <f>SUMIF(ALIF_Y2020!$A:$A,$A93,ALIF_Y2020!$F:$F)</f>
        <v>-23573959.894000001</v>
      </c>
      <c r="J93" s="98">
        <f>SUMIF(ALIF_Y2021!$A:$A,$A93,ALIF_Y2021!$F:$F)</f>
        <v>-26738909.774</v>
      </c>
      <c r="K93" s="98">
        <f>SUMIF(ALIF_Y2022!$A:$A,$A93,ALIF_Y2022!$F:$F)</f>
        <v>-59089378.502999999</v>
      </c>
      <c r="L93" s="98">
        <f>SUMIF(ALIF_Y2023!$A:$A,$A93,ALIF_Y2023!$F:$F)</f>
        <v>-5385922.5</v>
      </c>
      <c r="M93" s="98">
        <f>SUMIF(ALIF_Y2024!$A:$A,$A93,ALIF_Y2024!$F:$F)</f>
        <v>-74274660.937000006</v>
      </c>
      <c r="N93" s="98">
        <f>SUMIF(ALIF_Y2025!$A:$A,$A93,ALIF_Y2025!$F:$F)</f>
        <v>-91416370.724999994</v>
      </c>
      <c r="O93" t="str">
        <f>_xlfn.XLOOKUP(A93,Map!A:A,Map!E:E)</f>
        <v>Short-term Murabaha loans</v>
      </c>
      <c r="P93" t="str">
        <f>_xlfn.XLOOKUP(A93,Map!A:A,Map!D:D)</f>
        <v>Current Liabilities</v>
      </c>
    </row>
    <row r="94" spans="1:16" x14ac:dyDescent="0.25">
      <c r="A94" s="101">
        <v>220006</v>
      </c>
      <c r="B94" t="s">
        <v>85</v>
      </c>
      <c r="C94" s="98">
        <f>SUMIF(ALIF_Y2014!$A:$A,$A94,ALIF_Y2014!$F:$F)</f>
        <v>0</v>
      </c>
      <c r="D94" s="98">
        <f>SUMIF(ALIF_Y2015!$A:$A,$A94,ALIF_Y2015!$F:$F)</f>
        <v>0</v>
      </c>
      <c r="E94" s="98">
        <f>SUMIF(ALIF_Y2016!$A:$A,$A94,ALIF_Y2016!$F:$F)</f>
        <v>0</v>
      </c>
      <c r="F94" s="98">
        <f>SUMIF(ALIF_Y2017!$A:$A,$A94,ALIF_Y2017!$F:$F)</f>
        <v>0</v>
      </c>
      <c r="G94" s="98">
        <f>SUMIF(ALIF_Y2018!$A:$A,$A94,ALIF_Y2018!$F:$F)</f>
        <v>0</v>
      </c>
      <c r="H94" s="98">
        <f>SUMIF(ALIF_Y2019!$A:$A,$A94,ALIF_Y2019!$F:$F)</f>
        <v>-36223842.005999997</v>
      </c>
      <c r="I94" s="98">
        <f>SUMIF(ALIF_Y2020!$A:$A,$A94,ALIF_Y2020!$F:$F)</f>
        <v>-64499587.656000003</v>
      </c>
      <c r="J94" s="98">
        <f>SUMIF(ALIF_Y2021!$A:$A,$A94,ALIF_Y2021!$F:$F)</f>
        <v>-31884129.958000001</v>
      </c>
      <c r="K94" s="98">
        <f>SUMIF(ALIF_Y2022!$A:$A,$A94,ALIF_Y2022!$F:$F)</f>
        <v>-36069107.965999998</v>
      </c>
      <c r="L94" s="98">
        <f>SUMIF(ALIF_Y2023!$A:$A,$A94,ALIF_Y2023!$F:$F)</f>
        <v>-55545535.424000002</v>
      </c>
      <c r="M94" s="98">
        <f>SUMIF(ALIF_Y2024!$A:$A,$A94,ALIF_Y2024!$F:$F)</f>
        <v>-39496505.284999996</v>
      </c>
      <c r="N94" s="98">
        <f>SUMIF(ALIF_Y2025!$A:$A,$A94,ALIF_Y2025!$F:$F)</f>
        <v>-65642381.278999999</v>
      </c>
      <c r="O94" t="str">
        <f>_xlfn.XLOOKUP(A94,Map!A:A,Map!E:E)</f>
        <v>Short-term Murabaha loans</v>
      </c>
      <c r="P94" t="str">
        <f>_xlfn.XLOOKUP(A94,Map!A:A,Map!D:D)</f>
        <v>Current Liabilities</v>
      </c>
    </row>
    <row r="95" spans="1:16" x14ac:dyDescent="0.25">
      <c r="A95" s="101">
        <v>220007</v>
      </c>
      <c r="B95" t="s">
        <v>249</v>
      </c>
      <c r="C95" s="98">
        <f>SUMIF(ALIF_Y2014!$A:$A,$A95,ALIF_Y2014!$F:$F)</f>
        <v>0</v>
      </c>
      <c r="D95" s="98">
        <f>SUMIF(ALIF_Y2015!$A:$A,$A95,ALIF_Y2015!$F:$F)</f>
        <v>0</v>
      </c>
      <c r="E95" s="98">
        <f>SUMIF(ALIF_Y2016!$A:$A,$A95,ALIF_Y2016!$F:$F)</f>
        <v>0</v>
      </c>
      <c r="F95" s="98">
        <f>SUMIF(ALIF_Y2017!$A:$A,$A95,ALIF_Y2017!$F:$F)</f>
        <v>0</v>
      </c>
      <c r="G95" s="98">
        <f>SUMIF(ALIF_Y2018!$A:$A,$A95,ALIF_Y2018!$F:$F)</f>
        <v>0</v>
      </c>
      <c r="H95" s="98">
        <f>SUMIF(ALIF_Y2019!$A:$A,$A95,ALIF_Y2019!$F:$F)</f>
        <v>0</v>
      </c>
      <c r="I95" s="98">
        <f>SUMIF(ALIF_Y2020!$A:$A,$A95,ALIF_Y2020!$F:$F)</f>
        <v>0</v>
      </c>
      <c r="J95" s="98">
        <f>SUMIF(ALIF_Y2021!$A:$A,$A95,ALIF_Y2021!$F:$F)</f>
        <v>0</v>
      </c>
      <c r="K95" s="98">
        <f>SUMIF(ALIF_Y2022!$A:$A,$A95,ALIF_Y2022!$F:$F)</f>
        <v>0</v>
      </c>
      <c r="L95" s="98">
        <f>SUMIF(ALIF_Y2023!$A:$A,$A95,ALIF_Y2023!$F:$F)</f>
        <v>0</v>
      </c>
      <c r="M95" s="98">
        <f>SUMIF(ALIF_Y2024!$A:$A,$A95,ALIF_Y2024!$F:$F)</f>
        <v>1E-3</v>
      </c>
      <c r="N95" s="98">
        <f>SUMIF(ALIF_Y2025!$A:$A,$A95,ALIF_Y2025!$F:$F)</f>
        <v>1E-3</v>
      </c>
      <c r="O95" t="str">
        <f>_xlfn.XLOOKUP(A95,Map!A:A,Map!E:E)</f>
        <v>Short-term Murabaha loans</v>
      </c>
      <c r="P95" t="str">
        <f>_xlfn.XLOOKUP(A95,Map!A:A,Map!D:D)</f>
        <v>Current Liabilities</v>
      </c>
    </row>
    <row r="96" spans="1:16" x14ac:dyDescent="0.25">
      <c r="A96" s="101">
        <v>230001</v>
      </c>
      <c r="B96" t="s">
        <v>86</v>
      </c>
      <c r="C96" s="98">
        <f>SUMIF(ALIF_Y2014!$A:$A,$A96,ALIF_Y2014!$F:$F)</f>
        <v>0</v>
      </c>
      <c r="D96" s="98">
        <f>SUMIF(ALIF_Y2015!$A:$A,$A96,ALIF_Y2015!$F:$F)</f>
        <v>0</v>
      </c>
      <c r="E96" s="98">
        <f>SUMIF(ALIF_Y2016!$A:$A,$A96,ALIF_Y2016!$F:$F)</f>
        <v>-2E-3</v>
      </c>
      <c r="F96" s="98">
        <f>SUMIF(ALIF_Y2017!$A:$A,$A96,ALIF_Y2017!$F:$F)</f>
        <v>0</v>
      </c>
      <c r="G96" s="98">
        <f>SUMIF(ALIF_Y2018!$A:$A,$A96,ALIF_Y2018!$F:$F)</f>
        <v>0</v>
      </c>
      <c r="H96" s="98">
        <f>SUMIF(ALIF_Y2019!$A:$A,$A96,ALIF_Y2019!$F:$F)</f>
        <v>518372.10499999998</v>
      </c>
      <c r="I96" s="98">
        <f>SUMIF(ALIF_Y2020!$A:$A,$A96,ALIF_Y2020!$F:$F)</f>
        <v>0</v>
      </c>
      <c r="J96" s="98">
        <f>SUMIF(ALIF_Y2021!$A:$A,$A96,ALIF_Y2021!$F:$F)</f>
        <v>0</v>
      </c>
      <c r="K96" s="98">
        <f>SUMIF(ALIF_Y2022!$A:$A,$A96,ALIF_Y2022!$F:$F)</f>
        <v>0</v>
      </c>
      <c r="L96" s="98">
        <f>SUMIF(ALIF_Y2023!$A:$A,$A96,ALIF_Y2023!$F:$F)</f>
        <v>0</v>
      </c>
      <c r="M96" s="98">
        <f>SUMIF(ALIF_Y2024!$A:$A,$A96,ALIF_Y2024!$F:$F)</f>
        <v>0</v>
      </c>
      <c r="N96" s="98">
        <f>SUMIF(ALIF_Y2025!$A:$A,$A96,ALIF_Y2025!$F:$F)</f>
        <v>-2353398.2510000002</v>
      </c>
      <c r="O96" t="str">
        <f>_xlfn.XLOOKUP(A96,Map!A:A,Map!E:E)</f>
        <v>Tade payables and Accuals &amp; other credit balances</v>
      </c>
      <c r="P96" t="str">
        <f>_xlfn.XLOOKUP(A96,Map!A:A,Map!D:D)</f>
        <v>Current Liabilities</v>
      </c>
    </row>
    <row r="97" spans="1:16" x14ac:dyDescent="0.25">
      <c r="A97" s="101">
        <v>240001</v>
      </c>
      <c r="B97" t="s">
        <v>87</v>
      </c>
      <c r="C97" s="98">
        <f>SUMIF(ALIF_Y2014!$A:$A,$A97,ALIF_Y2014!$F:$F)</f>
        <v>4.0000000000000001E-3</v>
      </c>
      <c r="D97" s="98">
        <f>SUMIF(ALIF_Y2015!$A:$A,$A97,ALIF_Y2015!$F:$F)</f>
        <v>0</v>
      </c>
      <c r="E97" s="98">
        <f>SUMIF(ALIF_Y2016!$A:$A,$A97,ALIF_Y2016!$F:$F)</f>
        <v>-6.0000000000000001E-3</v>
      </c>
      <c r="F97" s="98">
        <f>SUMIF(ALIF_Y2017!$A:$A,$A97,ALIF_Y2017!$F:$F)</f>
        <v>0</v>
      </c>
      <c r="G97" s="98">
        <f>SUMIF(ALIF_Y2018!$A:$A,$A97,ALIF_Y2018!$F:$F)</f>
        <v>0</v>
      </c>
      <c r="H97" s="98">
        <f>SUMIF(ALIF_Y2019!$A:$A,$A97,ALIF_Y2019!$F:$F)</f>
        <v>3.0000000000000001E-3</v>
      </c>
      <c r="I97" s="98">
        <f>SUMIF(ALIF_Y2020!$A:$A,$A97,ALIF_Y2020!$F:$F)</f>
        <v>0</v>
      </c>
      <c r="J97" s="98">
        <f>SUMIF(ALIF_Y2021!$A:$A,$A97,ALIF_Y2021!$F:$F)</f>
        <v>0</v>
      </c>
      <c r="K97" s="98">
        <f>SUMIF(ALIF_Y2022!$A:$A,$A97,ALIF_Y2022!$F:$F)</f>
        <v>0</v>
      </c>
      <c r="L97" s="98">
        <f>SUMIF(ALIF_Y2023!$A:$A,$A97,ALIF_Y2023!$F:$F)</f>
        <v>67499.61</v>
      </c>
      <c r="M97" s="98">
        <f>SUMIF(ALIF_Y2024!$A:$A,$A97,ALIF_Y2024!$F:$F)</f>
        <v>103568.52499999999</v>
      </c>
      <c r="N97" s="98">
        <f>SUMIF(ALIF_Y2025!$A:$A,$A97,ALIF_Y2025!$F:$F)</f>
        <v>264587.57799999998</v>
      </c>
      <c r="O97" t="str">
        <f>_xlfn.XLOOKUP(A97,Map!A:A,Map!E:E)</f>
        <v>Tade payables and Accuals &amp; other credit balances</v>
      </c>
      <c r="P97" t="str">
        <f>_xlfn.XLOOKUP(A97,Map!A:A,Map!D:D)</f>
        <v>Current Liabilities</v>
      </c>
    </row>
    <row r="98" spans="1:16" x14ac:dyDescent="0.25">
      <c r="A98" s="101">
        <v>240002</v>
      </c>
      <c r="B98" t="s">
        <v>88</v>
      </c>
      <c r="C98" s="98">
        <f>SUMIF(ALIF_Y2014!$A:$A,$A98,ALIF_Y2014!$F:$F)</f>
        <v>0</v>
      </c>
      <c r="D98" s="98">
        <f>SUMIF(ALIF_Y2015!$A:$A,$A98,ALIF_Y2015!$F:$F)</f>
        <v>648727</v>
      </c>
      <c r="E98" s="98">
        <f>SUMIF(ALIF_Y2016!$A:$A,$A98,ALIF_Y2016!$F:$F)</f>
        <v>0</v>
      </c>
      <c r="F98" s="98">
        <f>SUMIF(ALIF_Y2017!$A:$A,$A98,ALIF_Y2017!$F:$F)</f>
        <v>0</v>
      </c>
      <c r="G98" s="98">
        <f>SUMIF(ALIF_Y2018!$A:$A,$A98,ALIF_Y2018!$F:$F)</f>
        <v>845508</v>
      </c>
      <c r="H98" s="98">
        <f>SUMIF(ALIF_Y2019!$A:$A,$A98,ALIF_Y2019!$F:$F)</f>
        <v>0</v>
      </c>
      <c r="I98" s="98">
        <f>SUMIF(ALIF_Y2020!$A:$A,$A98,ALIF_Y2020!$F:$F)</f>
        <v>0</v>
      </c>
      <c r="J98" s="98">
        <f>SUMIF(ALIF_Y2021!$A:$A,$A98,ALIF_Y2021!$F:$F)</f>
        <v>0</v>
      </c>
      <c r="K98" s="98">
        <f>SUMIF(ALIF_Y2022!$A:$A,$A98,ALIF_Y2022!$F:$F)</f>
        <v>0</v>
      </c>
      <c r="L98" s="98">
        <f>SUMIF(ALIF_Y2023!$A:$A,$A98,ALIF_Y2023!$F:$F)</f>
        <v>0</v>
      </c>
      <c r="M98" s="98">
        <f>SUMIF(ALIF_Y2024!$A:$A,$A98,ALIF_Y2024!$F:$F)</f>
        <v>443</v>
      </c>
      <c r="N98" s="98">
        <f>SUMIF(ALIF_Y2025!$A:$A,$A98,ALIF_Y2025!$F:$F)</f>
        <v>443</v>
      </c>
      <c r="O98" t="str">
        <f>_xlfn.XLOOKUP(A98,Map!A:A,Map!E:E)</f>
        <v>Tade payables and Accuals &amp; other credit balances</v>
      </c>
      <c r="P98" t="str">
        <f>_xlfn.XLOOKUP(A98,Map!A:A,Map!D:D)</f>
        <v>Current Liabilities</v>
      </c>
    </row>
    <row r="99" spans="1:16" x14ac:dyDescent="0.25">
      <c r="A99" s="101">
        <v>240003</v>
      </c>
      <c r="B99" t="s">
        <v>89</v>
      </c>
      <c r="C99" s="98">
        <f>SUMIF(ALIF_Y2014!$A:$A,$A99,ALIF_Y2014!$F:$F)</f>
        <v>0</v>
      </c>
      <c r="D99" s="98">
        <f>SUMIF(ALIF_Y2015!$A:$A,$A99,ALIF_Y2015!$F:$F)</f>
        <v>0</v>
      </c>
      <c r="E99" s="98">
        <f>SUMIF(ALIF_Y2016!$A:$A,$A99,ALIF_Y2016!$F:$F)</f>
        <v>0</v>
      </c>
      <c r="F99" s="98">
        <f>SUMIF(ALIF_Y2017!$A:$A,$A99,ALIF_Y2017!$F:$F)</f>
        <v>0</v>
      </c>
      <c r="G99" s="98">
        <f>SUMIF(ALIF_Y2018!$A:$A,$A99,ALIF_Y2018!$F:$F)</f>
        <v>0</v>
      </c>
      <c r="H99" s="98">
        <f>SUMIF(ALIF_Y2019!$A:$A,$A99,ALIF_Y2019!$F:$F)</f>
        <v>-1874374</v>
      </c>
      <c r="I99" s="98">
        <f>SUMIF(ALIF_Y2020!$A:$A,$A99,ALIF_Y2020!$F:$F)</f>
        <v>-1823243.5660000001</v>
      </c>
      <c r="J99" s="98">
        <f>SUMIF(ALIF_Y2021!$A:$A,$A99,ALIF_Y2021!$F:$F)</f>
        <v>-1711827.0260000001</v>
      </c>
      <c r="K99" s="98">
        <f>SUMIF(ALIF_Y2022!$A:$A,$A99,ALIF_Y2022!$F:$F)</f>
        <v>-1596797.0260000001</v>
      </c>
      <c r="L99" s="98">
        <f>SUMIF(ALIF_Y2023!$A:$A,$A99,ALIF_Y2023!$F:$F)</f>
        <v>-1505845.0689999999</v>
      </c>
      <c r="M99" s="98">
        <f>SUMIF(ALIF_Y2024!$A:$A,$A99,ALIF_Y2024!$F:$F)</f>
        <v>-1399831.0689999999</v>
      </c>
      <c r="N99" s="98">
        <f>SUMIF(ALIF_Y2025!$A:$A,$A99,ALIF_Y2025!$F:$F)</f>
        <v>-2585822.0490000001</v>
      </c>
      <c r="O99" t="str">
        <f>_xlfn.XLOOKUP(A99,Map!A:A,Map!E:E)</f>
        <v xml:space="preserve">Lease liabilities non-current </v>
      </c>
      <c r="P99" t="str">
        <f>_xlfn.XLOOKUP(A99,Map!A:A,Map!D:D)</f>
        <v>Non-Current Liabilities</v>
      </c>
    </row>
    <row r="100" spans="1:16" x14ac:dyDescent="0.25">
      <c r="A100" s="101">
        <v>250001</v>
      </c>
      <c r="B100" t="s">
        <v>90</v>
      </c>
      <c r="C100" s="98">
        <f>SUMIF(ALIF_Y2014!$A:$A,$A100,ALIF_Y2014!$F:$F)</f>
        <v>0</v>
      </c>
      <c r="D100" s="98">
        <f>SUMIF(ALIF_Y2015!$A:$A,$A100,ALIF_Y2015!$F:$F)</f>
        <v>0</v>
      </c>
      <c r="E100" s="98">
        <f>SUMIF(ALIF_Y2016!$A:$A,$A100,ALIF_Y2016!$F:$F)</f>
        <v>0</v>
      </c>
      <c r="F100" s="98">
        <f>SUMIF(ALIF_Y2017!$A:$A,$A100,ALIF_Y2017!$F:$F)</f>
        <v>0</v>
      </c>
      <c r="G100" s="98">
        <f>SUMIF(ALIF_Y2018!$A:$A,$A100,ALIF_Y2018!$F:$F)</f>
        <v>0</v>
      </c>
      <c r="H100" s="98">
        <f>SUMIF(ALIF_Y2019!$A:$A,$A100,ALIF_Y2019!$F:$F)</f>
        <v>0</v>
      </c>
      <c r="I100" s="98">
        <f>SUMIF(ALIF_Y2020!$A:$A,$A100,ALIF_Y2020!$F:$F)</f>
        <v>0</v>
      </c>
      <c r="J100" s="98">
        <f>SUMIF(ALIF_Y2021!$A:$A,$A100,ALIF_Y2021!$F:$F)</f>
        <v>0</v>
      </c>
      <c r="K100" s="98">
        <f>SUMIF(ALIF_Y2022!$A:$A,$A100,ALIF_Y2022!$F:$F)</f>
        <v>0</v>
      </c>
      <c r="L100" s="98">
        <f>SUMIF(ALIF_Y2023!$A:$A,$A100,ALIF_Y2023!$F:$F)</f>
        <v>0</v>
      </c>
      <c r="M100" s="98">
        <f>SUMIF(ALIF_Y2024!$A:$A,$A100,ALIF_Y2024!$F:$F)</f>
        <v>-51677</v>
      </c>
      <c r="N100" s="98">
        <f>SUMIF(ALIF_Y2025!$A:$A,$A100,ALIF_Y2025!$F:$F)</f>
        <v>-52113.19</v>
      </c>
      <c r="O100" t="str">
        <f>_xlfn.XLOOKUP(A100,Map!A:A,Map!E:E)</f>
        <v>Tade payables and Accuals &amp; other credit balances</v>
      </c>
      <c r="P100" t="str">
        <f>_xlfn.XLOOKUP(A100,Map!A:A,Map!D:D)</f>
        <v>Current Liabilities</v>
      </c>
    </row>
    <row r="101" spans="1:16" x14ac:dyDescent="0.25">
      <c r="A101" s="101">
        <v>250002</v>
      </c>
      <c r="B101" t="s">
        <v>91</v>
      </c>
      <c r="C101" s="98">
        <f>SUMIF(ALIF_Y2014!$A:$A,$A101,ALIF_Y2014!$F:$F)</f>
        <v>-150000</v>
      </c>
      <c r="D101" s="98">
        <f>SUMIF(ALIF_Y2015!$A:$A,$A101,ALIF_Y2015!$F:$F)</f>
        <v>-150000</v>
      </c>
      <c r="E101" s="98">
        <f>SUMIF(ALIF_Y2016!$A:$A,$A101,ALIF_Y2016!$F:$F)</f>
        <v>0</v>
      </c>
      <c r="F101" s="98">
        <f>SUMIF(ALIF_Y2017!$A:$A,$A101,ALIF_Y2017!$F:$F)</f>
        <v>0</v>
      </c>
      <c r="G101" s="98">
        <f>SUMIF(ALIF_Y2018!$A:$A,$A101,ALIF_Y2018!$F:$F)</f>
        <v>0</v>
      </c>
      <c r="H101" s="98">
        <f>SUMIF(ALIF_Y2019!$A:$A,$A101,ALIF_Y2019!$F:$F)</f>
        <v>0</v>
      </c>
      <c r="I101" s="98">
        <f>SUMIF(ALIF_Y2020!$A:$A,$A101,ALIF_Y2020!$F:$F)</f>
        <v>0</v>
      </c>
      <c r="J101" s="98">
        <f>SUMIF(ALIF_Y2021!$A:$A,$A101,ALIF_Y2021!$F:$F)</f>
        <v>0</v>
      </c>
      <c r="K101" s="98">
        <f>SUMIF(ALIF_Y2022!$A:$A,$A101,ALIF_Y2022!$F:$F)</f>
        <v>0</v>
      </c>
      <c r="L101" s="98">
        <f>SUMIF(ALIF_Y2023!$A:$A,$A101,ALIF_Y2023!$F:$F)</f>
        <v>0</v>
      </c>
      <c r="M101" s="98">
        <f>SUMIF(ALIF_Y2024!$A:$A,$A101,ALIF_Y2024!$F:$F)</f>
        <v>0</v>
      </c>
      <c r="N101" s="98">
        <f>SUMIF(ALIF_Y2025!$A:$A,$A101,ALIF_Y2025!$F:$F)</f>
        <v>0</v>
      </c>
      <c r="O101" t="str">
        <f>_xlfn.XLOOKUP(A101,Map!A:A,Map!E:E)</f>
        <v>Tade payables and Accuals &amp; other credit balances</v>
      </c>
      <c r="P101" t="str">
        <f>_xlfn.XLOOKUP(A101,Map!A:A,Map!D:D)</f>
        <v>Current Liabilities</v>
      </c>
    </row>
    <row r="102" spans="1:16" x14ac:dyDescent="0.25">
      <c r="A102" s="101">
        <v>250003</v>
      </c>
      <c r="B102" t="s">
        <v>92</v>
      </c>
      <c r="C102" s="98">
        <f>SUMIF(ALIF_Y2014!$A:$A,$A102,ALIF_Y2014!$F:$F)</f>
        <v>-1537200</v>
      </c>
      <c r="D102" s="98">
        <f>SUMIF(ALIF_Y2015!$A:$A,$A102,ALIF_Y2015!$F:$F)</f>
        <v>-1365110</v>
      </c>
      <c r="E102" s="98">
        <f>SUMIF(ALIF_Y2016!$A:$A,$A102,ALIF_Y2016!$F:$F)</f>
        <v>-1200000</v>
      </c>
      <c r="F102" s="98">
        <f>SUMIF(ALIF_Y2017!$A:$A,$A102,ALIF_Y2017!$F:$F)</f>
        <v>-1119039</v>
      </c>
      <c r="G102" s="98">
        <f>SUMIF(ALIF_Y2018!$A:$A,$A102,ALIF_Y2018!$F:$F)</f>
        <v>-1150000.5</v>
      </c>
      <c r="H102" s="98">
        <f>SUMIF(ALIF_Y2019!$A:$A,$A102,ALIF_Y2019!$F:$F)</f>
        <v>-983057</v>
      </c>
      <c r="I102" s="98">
        <f>SUMIF(ALIF_Y2020!$A:$A,$A102,ALIF_Y2020!$F:$F)</f>
        <v>-644386</v>
      </c>
      <c r="J102" s="98">
        <f>SUMIF(ALIF_Y2021!$A:$A,$A102,ALIF_Y2021!$F:$F)</f>
        <v>0</v>
      </c>
      <c r="K102" s="98">
        <f>SUMIF(ALIF_Y2022!$A:$A,$A102,ALIF_Y2022!$F:$F)</f>
        <v>0</v>
      </c>
      <c r="L102" s="98">
        <f>SUMIF(ALIF_Y2023!$A:$A,$A102,ALIF_Y2023!$F:$F)</f>
        <v>-968047.97</v>
      </c>
      <c r="M102" s="98">
        <f>SUMIF(ALIF_Y2024!$A:$A,$A102,ALIF_Y2024!$F:$F)</f>
        <v>0</v>
      </c>
      <c r="N102" s="98">
        <f>SUMIF(ALIF_Y2025!$A:$A,$A102,ALIF_Y2025!$F:$F)</f>
        <v>0</v>
      </c>
      <c r="O102" t="str">
        <f>_xlfn.XLOOKUP(A102,Map!A:A,Map!E:E)</f>
        <v>Zakat provision</v>
      </c>
      <c r="P102" t="str">
        <f>_xlfn.XLOOKUP(A102,Map!A:A,Map!D:D)</f>
        <v>Current Liabilities</v>
      </c>
    </row>
    <row r="103" spans="1:16" x14ac:dyDescent="0.25">
      <c r="A103" s="101">
        <v>250004</v>
      </c>
      <c r="B103" t="s">
        <v>93</v>
      </c>
      <c r="C103" s="98">
        <f>SUMIF(ALIF_Y2014!$A:$A,$A103,ALIF_Y2014!$F:$F)</f>
        <v>-1200000</v>
      </c>
      <c r="D103" s="98">
        <f>SUMIF(ALIF_Y2015!$A:$A,$A103,ALIF_Y2015!$F:$F)</f>
        <v>-720000</v>
      </c>
      <c r="E103" s="98">
        <f>SUMIF(ALIF_Y2016!$A:$A,$A103,ALIF_Y2016!$F:$F)</f>
        <v>0</v>
      </c>
      <c r="F103" s="98">
        <f>SUMIF(ALIF_Y2017!$A:$A,$A103,ALIF_Y2017!$F:$F)</f>
        <v>0</v>
      </c>
      <c r="G103" s="98">
        <f>SUMIF(ALIF_Y2018!$A:$A,$A103,ALIF_Y2018!$F:$F)</f>
        <v>0</v>
      </c>
      <c r="H103" s="98">
        <f>SUMIF(ALIF_Y2019!$A:$A,$A103,ALIF_Y2019!$F:$F)</f>
        <v>0</v>
      </c>
      <c r="I103" s="98">
        <f>SUMIF(ALIF_Y2020!$A:$A,$A103,ALIF_Y2020!$F:$F)</f>
        <v>0</v>
      </c>
      <c r="J103" s="98">
        <f>SUMIF(ALIF_Y2021!$A:$A,$A103,ALIF_Y2021!$F:$F)</f>
        <v>-1108800</v>
      </c>
      <c r="K103" s="98">
        <f>SUMIF(ALIF_Y2022!$A:$A,$A103,ALIF_Y2022!$F:$F)</f>
        <v>0</v>
      </c>
      <c r="L103" s="98">
        <f>SUMIF(ALIF_Y2023!$A:$A,$A103,ALIF_Y2023!$F:$F)</f>
        <v>0</v>
      </c>
      <c r="M103" s="98">
        <f>SUMIF(ALIF_Y2024!$A:$A,$A103,ALIF_Y2024!$F:$F)</f>
        <v>0</v>
      </c>
      <c r="N103" s="98">
        <f>SUMIF(ALIF_Y2025!$A:$A,$A103,ALIF_Y2025!$F:$F)</f>
        <v>0</v>
      </c>
      <c r="O103" t="str">
        <f>_xlfn.XLOOKUP(A103,Map!A:A,Map!E:E)</f>
        <v>Tade payables and Accuals &amp; other credit balances</v>
      </c>
      <c r="P103" t="str">
        <f>_xlfn.XLOOKUP(A103,Map!A:A,Map!D:D)</f>
        <v>Current Liabilities</v>
      </c>
    </row>
    <row r="104" spans="1:16" x14ac:dyDescent="0.25">
      <c r="A104" s="101">
        <v>250005</v>
      </c>
      <c r="B104" t="s">
        <v>94</v>
      </c>
      <c r="C104" s="98">
        <f>SUMIF(ALIF_Y2014!$A:$A,$A104,ALIF_Y2014!$F:$F)</f>
        <v>-50000</v>
      </c>
      <c r="D104" s="98">
        <f>SUMIF(ALIF_Y2015!$A:$A,$A104,ALIF_Y2015!$F:$F)</f>
        <v>-62000</v>
      </c>
      <c r="E104" s="98">
        <f>SUMIF(ALIF_Y2016!$A:$A,$A104,ALIF_Y2016!$F:$F)</f>
        <v>-50000</v>
      </c>
      <c r="F104" s="98">
        <f>SUMIF(ALIF_Y2017!$A:$A,$A104,ALIF_Y2017!$F:$F)</f>
        <v>-55000</v>
      </c>
      <c r="G104" s="98">
        <f>SUMIF(ALIF_Y2018!$A:$A,$A104,ALIF_Y2018!$F:$F)</f>
        <v>-118000</v>
      </c>
      <c r="H104" s="98">
        <f>SUMIF(ALIF_Y2019!$A:$A,$A104,ALIF_Y2019!$F:$F)</f>
        <v>-66150</v>
      </c>
      <c r="I104" s="98">
        <f>SUMIF(ALIF_Y2020!$A:$A,$A104,ALIF_Y2020!$F:$F)</f>
        <v>-28500</v>
      </c>
      <c r="J104" s="98">
        <f>SUMIF(ALIF_Y2021!$A:$A,$A104,ALIF_Y2021!$F:$F)</f>
        <v>-2673047.75</v>
      </c>
      <c r="K104" s="98">
        <f>SUMIF(ALIF_Y2022!$A:$A,$A104,ALIF_Y2022!$F:$F)</f>
        <v>0</v>
      </c>
      <c r="L104" s="98">
        <f>SUMIF(ALIF_Y2023!$A:$A,$A104,ALIF_Y2023!$F:$F)</f>
        <v>0</v>
      </c>
      <c r="M104" s="98">
        <f>SUMIF(ALIF_Y2024!$A:$A,$A104,ALIF_Y2024!$F:$F)</f>
        <v>-430386.94400000002</v>
      </c>
      <c r="N104" s="98">
        <f>SUMIF(ALIF_Y2025!$A:$A,$A104,ALIF_Y2025!$F:$F)</f>
        <v>-432076.72</v>
      </c>
      <c r="O104" t="str">
        <f>_xlfn.XLOOKUP(A104,Map!A:A,Map!E:E)</f>
        <v>Tade payables and Accuals &amp; other credit balances</v>
      </c>
      <c r="P104" t="str">
        <f>_xlfn.XLOOKUP(A104,Map!A:A,Map!D:D)</f>
        <v>Current Liabilities</v>
      </c>
    </row>
    <row r="105" spans="1:16" x14ac:dyDescent="0.25">
      <c r="A105" s="101">
        <v>250006</v>
      </c>
      <c r="B105" t="s">
        <v>95</v>
      </c>
      <c r="C105" s="98">
        <f>SUMIF(ALIF_Y2014!$A:$A,$A105,ALIF_Y2014!$F:$F)</f>
        <v>0</v>
      </c>
      <c r="D105" s="98">
        <f>SUMIF(ALIF_Y2015!$A:$A,$A105,ALIF_Y2015!$F:$F)</f>
        <v>0</v>
      </c>
      <c r="E105" s="98">
        <f>SUMIF(ALIF_Y2016!$A:$A,$A105,ALIF_Y2016!$F:$F)</f>
        <v>0</v>
      </c>
      <c r="F105" s="98">
        <f>SUMIF(ALIF_Y2017!$A:$A,$A105,ALIF_Y2017!$F:$F)</f>
        <v>0</v>
      </c>
      <c r="G105" s="98">
        <f>SUMIF(ALIF_Y2018!$A:$A,$A105,ALIF_Y2018!$F:$F)</f>
        <v>0</v>
      </c>
      <c r="H105" s="98">
        <f>SUMIF(ALIF_Y2019!$A:$A,$A105,ALIF_Y2019!$F:$F)</f>
        <v>0</v>
      </c>
      <c r="I105" s="98">
        <f>SUMIF(ALIF_Y2020!$A:$A,$A105,ALIF_Y2020!$F:$F)</f>
        <v>-388008.67</v>
      </c>
      <c r="J105" s="98">
        <f>SUMIF(ALIF_Y2021!$A:$A,$A105,ALIF_Y2021!$F:$F)</f>
        <v>-449149.70500000002</v>
      </c>
      <c r="K105" s="98">
        <f>SUMIF(ALIF_Y2022!$A:$A,$A105,ALIF_Y2022!$F:$F)</f>
        <v>0</v>
      </c>
      <c r="L105" s="98">
        <f>SUMIF(ALIF_Y2023!$A:$A,$A105,ALIF_Y2023!$F:$F)</f>
        <v>0</v>
      </c>
      <c r="M105" s="98">
        <f>SUMIF(ALIF_Y2024!$A:$A,$A105,ALIF_Y2024!$F:$F)</f>
        <v>0</v>
      </c>
      <c r="N105" s="98">
        <f>SUMIF(ALIF_Y2025!$A:$A,$A105,ALIF_Y2025!$F:$F)</f>
        <v>0</v>
      </c>
      <c r="O105" t="str">
        <f>_xlfn.XLOOKUP(A105,Map!A:A,Map!E:E)</f>
        <v>Tade payables and Accuals &amp; other credit balances</v>
      </c>
      <c r="P105" t="str">
        <f>_xlfn.XLOOKUP(A105,Map!A:A,Map!D:D)</f>
        <v>Current Liabilities</v>
      </c>
    </row>
    <row r="106" spans="1:16" x14ac:dyDescent="0.25">
      <c r="A106" s="101">
        <v>260001</v>
      </c>
      <c r="B106" t="s">
        <v>96</v>
      </c>
      <c r="C106" s="98">
        <f>SUMIF(ALIF_Y2014!$A:$A,$A106,ALIF_Y2014!$F:$F)</f>
        <v>-3512480</v>
      </c>
      <c r="D106" s="98">
        <f>SUMIF(ALIF_Y2015!$A:$A,$A106,ALIF_Y2015!$F:$F)</f>
        <v>-4856327</v>
      </c>
      <c r="E106" s="98">
        <f>SUMIF(ALIF_Y2016!$A:$A,$A106,ALIF_Y2016!$F:$F)</f>
        <v>-5627620</v>
      </c>
      <c r="F106" s="98">
        <f>SUMIF(ALIF_Y2017!$A:$A,$A106,ALIF_Y2017!$F:$F)</f>
        <v>-5627620</v>
      </c>
      <c r="G106" s="98">
        <f>SUMIF(ALIF_Y2018!$A:$A,$A106,ALIF_Y2018!$F:$F)</f>
        <v>-6053397</v>
      </c>
      <c r="H106" s="98">
        <f>SUMIF(ALIF_Y2019!$A:$A,$A106,ALIF_Y2019!$F:$F)</f>
        <v>-6684528</v>
      </c>
      <c r="I106" s="98">
        <f>SUMIF(ALIF_Y2020!$A:$A,$A106,ALIF_Y2020!$F:$F)</f>
        <v>-6684528</v>
      </c>
      <c r="J106" s="98">
        <f>SUMIF(ALIF_Y2021!$A:$A,$A106,ALIF_Y2021!$F:$F)</f>
        <v>-7202958</v>
      </c>
      <c r="K106" s="98">
        <f>SUMIF(ALIF_Y2022!$A:$A,$A106,ALIF_Y2022!$F:$F)</f>
        <v>-7846137</v>
      </c>
      <c r="L106" s="98">
        <f>SUMIF(ALIF_Y2023!$A:$A,$A106,ALIF_Y2023!$F:$F)</f>
        <v>-7846137</v>
      </c>
      <c r="M106" s="98">
        <f>SUMIF(ALIF_Y2024!$A:$A,$A106,ALIF_Y2024!$F:$F)</f>
        <v>-7846137</v>
      </c>
      <c r="N106" s="98">
        <f>SUMIF(ALIF_Y2025!$A:$A,$A106,ALIF_Y2025!$F:$F)</f>
        <v>-7846137</v>
      </c>
      <c r="O106" t="str">
        <f>_xlfn.XLOOKUP(A106,Map!A:A,Map!E:E)</f>
        <v>Statutory reserve</v>
      </c>
      <c r="P106" t="str">
        <f>_xlfn.XLOOKUP(A106,Map!A:A,Map!D:D)</f>
        <v>Stockholder's equity</v>
      </c>
    </row>
    <row r="107" spans="1:16" x14ac:dyDescent="0.25">
      <c r="A107" s="101">
        <v>260002</v>
      </c>
      <c r="B107" t="s">
        <v>97</v>
      </c>
      <c r="C107" s="98">
        <f>SUMIF(ALIF_Y2014!$A:$A,$A107,ALIF_Y2014!$F:$F)</f>
        <v>-2925857.71</v>
      </c>
      <c r="D107" s="98">
        <f>SUMIF(ALIF_Y2015!$A:$A,$A107,ALIF_Y2015!$F:$F)</f>
        <v>-2992687.9419999998</v>
      </c>
      <c r="E107" s="98">
        <f>SUMIF(ALIF_Y2016!$A:$A,$A107,ALIF_Y2016!$F:$F)</f>
        <v>-4649375</v>
      </c>
      <c r="F107" s="98">
        <f>SUMIF(ALIF_Y2017!$A:$A,$A107,ALIF_Y2017!$F:$F)</f>
        <v>-4847761</v>
      </c>
      <c r="G107" s="98">
        <f>SUMIF(ALIF_Y2018!$A:$A,$A107,ALIF_Y2018!$F:$F)</f>
        <v>-4633898</v>
      </c>
      <c r="H107" s="98">
        <f>SUMIF(ALIF_Y2019!$A:$A,$A107,ALIF_Y2019!$F:$F)</f>
        <v>-4294641</v>
      </c>
      <c r="I107" s="98">
        <f>SUMIF(ALIF_Y2020!$A:$A,$A107,ALIF_Y2020!$F:$F)</f>
        <v>-7512895</v>
      </c>
      <c r="J107" s="98">
        <f>SUMIF(ALIF_Y2021!$A:$A,$A107,ALIF_Y2021!$F:$F)</f>
        <v>-6280744</v>
      </c>
      <c r="K107" s="98">
        <f>SUMIF(ALIF_Y2022!$A:$A,$A107,ALIF_Y2022!$F:$F)</f>
        <v>-6809005</v>
      </c>
      <c r="L107" s="98">
        <f>SUMIF(ALIF_Y2023!$A:$A,$A107,ALIF_Y2023!$F:$F)</f>
        <v>-8171258.3200000003</v>
      </c>
      <c r="M107" s="98">
        <f>SUMIF(ALIF_Y2024!$A:$A,$A107,ALIF_Y2024!$F:$F)</f>
        <v>-3409950.92</v>
      </c>
      <c r="N107" s="98">
        <f>SUMIF(ALIF_Y2025!$A:$A,$A107,ALIF_Y2025!$F:$F)</f>
        <v>-4431984.92</v>
      </c>
      <c r="O107" t="str">
        <f>_xlfn.XLOOKUP(A107,Map!A:A,Map!E:E)</f>
        <v xml:space="preserve">End-of-service indemnities </v>
      </c>
      <c r="P107" t="str">
        <f>_xlfn.XLOOKUP(A107,Map!A:A,Map!D:D)</f>
        <v>Non-Current Liabilities</v>
      </c>
    </row>
    <row r="108" spans="1:16" x14ac:dyDescent="0.25">
      <c r="A108" s="101">
        <v>260003</v>
      </c>
      <c r="B108" t="s">
        <v>98</v>
      </c>
      <c r="C108" s="98">
        <f>SUMIF(ALIF_Y2014!$A:$A,$A108,ALIF_Y2014!$F:$F)</f>
        <v>-1409581.54</v>
      </c>
      <c r="D108" s="98">
        <f>SUMIF(ALIF_Y2015!$A:$A,$A108,ALIF_Y2015!$F:$F)</f>
        <v>-1409581.54</v>
      </c>
      <c r="E108" s="98">
        <f>SUMIF(ALIF_Y2016!$A:$A,$A108,ALIF_Y2016!$F:$F)</f>
        <v>-3563173.54</v>
      </c>
      <c r="F108" s="98">
        <f>SUMIF(ALIF_Y2017!$A:$A,$A108,ALIF_Y2017!$F:$F)</f>
        <v>-3563173.54</v>
      </c>
      <c r="G108" s="98">
        <f>SUMIF(ALIF_Y2018!$A:$A,$A108,ALIF_Y2018!$F:$F)</f>
        <v>-3407320.1</v>
      </c>
      <c r="H108" s="98">
        <f>SUMIF(ALIF_Y2019!$A:$A,$A108,ALIF_Y2019!$F:$F)</f>
        <v>-3156727.1</v>
      </c>
      <c r="I108" s="98">
        <f>SUMIF(ALIF_Y2020!$A:$A,$A108,ALIF_Y2020!$F:$F)</f>
        <v>-3482088.0839999998</v>
      </c>
      <c r="J108" s="98">
        <f>SUMIF(ALIF_Y2021!$A:$A,$A108,ALIF_Y2021!$F:$F)</f>
        <v>-3454104.6740000001</v>
      </c>
      <c r="K108" s="98">
        <f>SUMIF(ALIF_Y2022!$A:$A,$A108,ALIF_Y2022!$F:$F)</f>
        <v>-3557438</v>
      </c>
      <c r="L108" s="98">
        <f>SUMIF(ALIF_Y2023!$A:$A,$A108,ALIF_Y2023!$F:$F)</f>
        <v>-12488537.438999999</v>
      </c>
      <c r="M108" s="98">
        <f>SUMIF(ALIF_Y2024!$A:$A,$A108,ALIF_Y2024!$F:$F)</f>
        <v>-7368638.8590000002</v>
      </c>
      <c r="N108" s="98">
        <f>SUMIF(ALIF_Y2025!$A:$A,$A108,ALIF_Y2025!$F:$F)</f>
        <v>-4560353.966</v>
      </c>
      <c r="O108" t="str">
        <f>_xlfn.XLOOKUP(A108,Map!A:A,Map!E:E)</f>
        <v>Trade receivables</v>
      </c>
      <c r="P108" t="str">
        <f>_xlfn.XLOOKUP(A108,Map!A:A,Map!D:D)</f>
        <v>Current Assets</v>
      </c>
    </row>
    <row r="109" spans="1:16" x14ac:dyDescent="0.25">
      <c r="A109" s="101">
        <v>260004</v>
      </c>
      <c r="B109" t="s">
        <v>99</v>
      </c>
      <c r="C109" s="98">
        <f>SUMIF(ALIF_Y2014!$A:$A,$A109,ALIF_Y2014!$F:$F)</f>
        <v>0</v>
      </c>
      <c r="D109" s="98">
        <f>SUMIF(ALIF_Y2015!$A:$A,$A109,ALIF_Y2015!$F:$F)</f>
        <v>0</v>
      </c>
      <c r="E109" s="98">
        <f>SUMIF(ALIF_Y2016!$A:$A,$A109,ALIF_Y2016!$F:$F)</f>
        <v>-1121501.433</v>
      </c>
      <c r="F109" s="98">
        <f>SUMIF(ALIF_Y2017!$A:$A,$A109,ALIF_Y2017!$F:$F)</f>
        <v>-1121501.433</v>
      </c>
      <c r="G109" s="98">
        <f>SUMIF(ALIF_Y2018!$A:$A,$A109,ALIF_Y2018!$F:$F)</f>
        <v>-1121501.433</v>
      </c>
      <c r="H109" s="98">
        <f>SUMIF(ALIF_Y2019!$A:$A,$A109,ALIF_Y2019!$F:$F)</f>
        <v>-849296.43299999996</v>
      </c>
      <c r="I109" s="98">
        <f>SUMIF(ALIF_Y2020!$A:$A,$A109,ALIF_Y2020!$F:$F)</f>
        <v>-2000000</v>
      </c>
      <c r="J109" s="98">
        <f>SUMIF(ALIF_Y2021!$A:$A,$A109,ALIF_Y2021!$F:$F)</f>
        <v>0</v>
      </c>
      <c r="K109" s="98">
        <f>SUMIF(ALIF_Y2022!$A:$A,$A109,ALIF_Y2022!$F:$F)</f>
        <v>0</v>
      </c>
      <c r="L109" s="98">
        <f>SUMIF(ALIF_Y2023!$A:$A,$A109,ALIF_Y2023!$F:$F)</f>
        <v>0</v>
      </c>
      <c r="M109" s="98">
        <f>SUMIF(ALIF_Y2024!$A:$A,$A109,ALIF_Y2024!$F:$F)</f>
        <v>0</v>
      </c>
      <c r="N109" s="98">
        <f>SUMIF(ALIF_Y2025!$A:$A,$A109,ALIF_Y2025!$F:$F)</f>
        <v>0</v>
      </c>
      <c r="O109" t="str">
        <f>_xlfn.XLOOKUP(A109,Map!A:A,Map!E:E)</f>
        <v>Inventories</v>
      </c>
      <c r="P109" t="str">
        <f>_xlfn.XLOOKUP(A109,Map!A:A,Map!D:D)</f>
        <v>Current Assets</v>
      </c>
    </row>
    <row r="110" spans="1:16" x14ac:dyDescent="0.25">
      <c r="A110" s="101">
        <v>260005</v>
      </c>
      <c r="B110" t="s">
        <v>100</v>
      </c>
      <c r="C110" s="98">
        <f>SUMIF(ALIF_Y2014!$A:$A,$A110,ALIF_Y2014!$F:$F)</f>
        <v>0</v>
      </c>
      <c r="D110" s="98">
        <f>SUMIF(ALIF_Y2015!$A:$A,$A110,ALIF_Y2015!$F:$F)</f>
        <v>0</v>
      </c>
      <c r="E110" s="98">
        <f>SUMIF(ALIF_Y2016!$A:$A,$A110,ALIF_Y2016!$F:$F)</f>
        <v>0</v>
      </c>
      <c r="F110" s="98">
        <f>SUMIF(ALIF_Y2017!$A:$A,$A110,ALIF_Y2017!$F:$F)</f>
        <v>0</v>
      </c>
      <c r="G110" s="98">
        <f>SUMIF(ALIF_Y2018!$A:$A,$A110,ALIF_Y2018!$F:$F)</f>
        <v>-4000000</v>
      </c>
      <c r="H110" s="98">
        <f>SUMIF(ALIF_Y2019!$A:$A,$A110,ALIF_Y2019!$F:$F)</f>
        <v>-4120000</v>
      </c>
      <c r="I110" s="98">
        <f>SUMIF(ALIF_Y2020!$A:$A,$A110,ALIF_Y2020!$F:$F)</f>
        <v>-4214760</v>
      </c>
      <c r="J110" s="98">
        <f>SUMIF(ALIF_Y2021!$A:$A,$A110,ALIF_Y2021!$F:$F)</f>
        <v>-4329893.1940000001</v>
      </c>
      <c r="K110" s="98">
        <f>SUMIF(ALIF_Y2022!$A:$A,$A110,ALIF_Y2022!$F:$F)</f>
        <v>-4426579.7149999999</v>
      </c>
      <c r="L110" s="98">
        <f>SUMIF(ALIF_Y2023!$A:$A,$A110,ALIF_Y2023!$F:$F)</f>
        <v>-4698371.7089999998</v>
      </c>
      <c r="M110" s="98">
        <f>SUMIF(ALIF_Y2024!$A:$A,$A110,ALIF_Y2024!$F:$F)</f>
        <v>-4807655.8289999999</v>
      </c>
      <c r="N110" s="98">
        <f>SUMIF(ALIF_Y2025!$A:$A,$A110,ALIF_Y2025!$F:$F)</f>
        <v>-4862172.949</v>
      </c>
      <c r="O110" t="str">
        <f>_xlfn.XLOOKUP(A110,Map!A:A,Map!E:E)</f>
        <v>Provision for evacuation</v>
      </c>
      <c r="P110" t="str">
        <f>_xlfn.XLOOKUP(A110,Map!A:A,Map!D:D)</f>
        <v>Non-Current Liabilities</v>
      </c>
    </row>
    <row r="111" spans="1:16" x14ac:dyDescent="0.25">
      <c r="A111" s="101">
        <v>260006</v>
      </c>
      <c r="B111" t="s">
        <v>250</v>
      </c>
      <c r="C111" s="98">
        <f>SUMIF(ALIF_Y2014!$A:$A,$A111,ALIF_Y2014!$F:$F)</f>
        <v>0</v>
      </c>
      <c r="D111" s="98">
        <f>SUMIF(ALIF_Y2015!$A:$A,$A111,ALIF_Y2015!$F:$F)</f>
        <v>0</v>
      </c>
      <c r="E111" s="98">
        <f>SUMIF(ALIF_Y2016!$A:$A,$A111,ALIF_Y2016!$F:$F)</f>
        <v>0</v>
      </c>
      <c r="F111" s="98">
        <f>SUMIF(ALIF_Y2017!$A:$A,$A111,ALIF_Y2017!$F:$F)</f>
        <v>0</v>
      </c>
      <c r="G111" s="98">
        <f>SUMIF(ALIF_Y2018!$A:$A,$A111,ALIF_Y2018!$F:$F)</f>
        <v>0</v>
      </c>
      <c r="H111" s="98">
        <f>SUMIF(ALIF_Y2019!$A:$A,$A111,ALIF_Y2019!$F:$F)</f>
        <v>0</v>
      </c>
      <c r="I111" s="98">
        <f>SUMIF(ALIF_Y2020!$A:$A,$A111,ALIF_Y2020!$F:$F)</f>
        <v>0</v>
      </c>
      <c r="J111" s="98">
        <f>SUMIF(ALIF_Y2021!$A:$A,$A111,ALIF_Y2021!$F:$F)</f>
        <v>0</v>
      </c>
      <c r="K111" s="98">
        <f>SUMIF(ALIF_Y2022!$A:$A,$A111,ALIF_Y2022!$F:$F)</f>
        <v>0</v>
      </c>
      <c r="L111" s="98">
        <f>SUMIF(ALIF_Y2023!$A:$A,$A111,ALIF_Y2023!$F:$F)</f>
        <v>0</v>
      </c>
      <c r="M111" s="98">
        <f>SUMIF(ALIF_Y2024!$A:$A,$A111,ALIF_Y2024!$F:$F)</f>
        <v>-539634.05900000001</v>
      </c>
      <c r="N111" s="98">
        <f>SUMIF(ALIF_Y2025!$A:$A,$A111,ALIF_Y2025!$F:$F)</f>
        <v>-1094097.638</v>
      </c>
      <c r="O111" t="str">
        <f>_xlfn.XLOOKUP(A111,Map!A:A,Map!E:E)</f>
        <v>Tade payables and Accuals &amp; other credit balances</v>
      </c>
      <c r="P111" t="str">
        <f>_xlfn.XLOOKUP(A111,Map!A:A,Map!D:D)</f>
        <v>Current Liabilities</v>
      </c>
    </row>
    <row r="112" spans="1:16" x14ac:dyDescent="0.25">
      <c r="A112" s="101">
        <v>270001</v>
      </c>
      <c r="B112" t="s">
        <v>101</v>
      </c>
      <c r="C112" s="98">
        <f>SUMIF(ALIF_Y2014!$A:$A,$A112,ALIF_Y2014!$F:$F)</f>
        <v>0</v>
      </c>
      <c r="D112" s="98">
        <f>SUMIF(ALIF_Y2015!$A:$A,$A112,ALIF_Y2015!$F:$F)</f>
        <v>0</v>
      </c>
      <c r="E112" s="98">
        <f>SUMIF(ALIF_Y2016!$A:$A,$A112,ALIF_Y2016!$F:$F)</f>
        <v>0</v>
      </c>
      <c r="F112" s="98">
        <f>SUMIF(ALIF_Y2017!$A:$A,$A112,ALIF_Y2017!$F:$F)</f>
        <v>-31714781.920000002</v>
      </c>
      <c r="G112" s="98">
        <f>SUMIF(ALIF_Y2018!$A:$A,$A112,ALIF_Y2018!$F:$F)</f>
        <v>-7696296.1699999999</v>
      </c>
      <c r="H112" s="98">
        <f>SUMIF(ALIF_Y2019!$A:$A,$A112,ALIF_Y2019!$F:$F)</f>
        <v>-502289.05</v>
      </c>
      <c r="I112" s="98">
        <f>SUMIF(ALIF_Y2020!$A:$A,$A112,ALIF_Y2020!$F:$F)</f>
        <v>166370.04999999999</v>
      </c>
      <c r="J112" s="98">
        <f>SUMIF(ALIF_Y2021!$A:$A,$A112,ALIF_Y2021!$F:$F)</f>
        <v>146154.65599999999</v>
      </c>
      <c r="K112" s="98">
        <f>SUMIF(ALIF_Y2022!$A:$A,$A112,ALIF_Y2022!$F:$F)</f>
        <v>-1098996.6040000001</v>
      </c>
      <c r="L112" s="98">
        <f>SUMIF(ALIF_Y2023!$A:$A,$A112,ALIF_Y2023!$F:$F)</f>
        <v>-3776163</v>
      </c>
      <c r="M112" s="98">
        <f>SUMIF(ALIF_Y2024!$A:$A,$A112,ALIF_Y2024!$F:$F)</f>
        <v>-7409764.79</v>
      </c>
      <c r="N112" s="98">
        <f>SUMIF(ALIF_Y2025!$A:$A,$A112,ALIF_Y2025!$F:$F)</f>
        <v>-29156177.469999999</v>
      </c>
      <c r="O112" t="str">
        <f>_xlfn.XLOOKUP(A112,Map!A:A,Map!E:E)</f>
        <v xml:space="preserve">Due to related parties </v>
      </c>
      <c r="P112" t="str">
        <f>_xlfn.XLOOKUP(A112,Map!A:A,Map!D:D)</f>
        <v>Non-Current Liabilities</v>
      </c>
    </row>
    <row r="113" spans="1:16" x14ac:dyDescent="0.25">
      <c r="A113" s="101">
        <v>270002</v>
      </c>
      <c r="B113" t="s">
        <v>102</v>
      </c>
      <c r="C113" s="98">
        <f>SUMIF(ALIF_Y2014!$A:$A,$A113,ALIF_Y2014!$F:$F)</f>
        <v>0</v>
      </c>
      <c r="D113" s="98">
        <f>SUMIF(ALIF_Y2015!$A:$A,$A113,ALIF_Y2015!$F:$F)</f>
        <v>0</v>
      </c>
      <c r="E113" s="98">
        <f>SUMIF(ALIF_Y2016!$A:$A,$A113,ALIF_Y2016!$F:$F)</f>
        <v>0</v>
      </c>
      <c r="F113" s="98">
        <f>SUMIF(ALIF_Y2017!$A:$A,$A113,ALIF_Y2017!$F:$F)</f>
        <v>0</v>
      </c>
      <c r="G113" s="98">
        <f>SUMIF(ALIF_Y2018!$A:$A,$A113,ALIF_Y2018!$F:$F)</f>
        <v>0</v>
      </c>
      <c r="H113" s="98">
        <f>SUMIF(ALIF_Y2019!$A:$A,$A113,ALIF_Y2019!$F:$F)</f>
        <v>0</v>
      </c>
      <c r="I113" s="98">
        <f>SUMIF(ALIF_Y2020!$A:$A,$A113,ALIF_Y2020!$F:$F)</f>
        <v>0</v>
      </c>
      <c r="J113" s="98">
        <f>SUMIF(ALIF_Y2021!$A:$A,$A113,ALIF_Y2021!$F:$F)</f>
        <v>0</v>
      </c>
      <c r="K113" s="98">
        <f>SUMIF(ALIF_Y2022!$A:$A,$A113,ALIF_Y2022!$F:$F)</f>
        <v>0</v>
      </c>
      <c r="L113" s="98">
        <f>SUMIF(ALIF_Y2023!$A:$A,$A113,ALIF_Y2023!$F:$F)</f>
        <v>0</v>
      </c>
      <c r="M113" s="98">
        <f>SUMIF(ALIF_Y2024!$A:$A,$A113,ALIF_Y2024!$F:$F)</f>
        <v>-2E-3</v>
      </c>
      <c r="N113" s="98">
        <f>SUMIF(ALIF_Y2025!$A:$A,$A113,ALIF_Y2025!$F:$F)</f>
        <v>-8579488.9189999998</v>
      </c>
      <c r="O113" t="str">
        <f>_xlfn.XLOOKUP(A113,Map!A:A,Map!E:E)</f>
        <v>Tade payables and Accuals &amp; other credit balances</v>
      </c>
      <c r="P113" t="str">
        <f>_xlfn.XLOOKUP(A113,Map!A:A,Map!D:D)</f>
        <v>Current Liabilities</v>
      </c>
    </row>
    <row r="114" spans="1:16" x14ac:dyDescent="0.25">
      <c r="A114" s="101">
        <v>270003</v>
      </c>
      <c r="B114" t="s">
        <v>103</v>
      </c>
      <c r="C114" s="98">
        <f>SUMIF(ALIF_Y2014!$A:$A,$A114,ALIF_Y2014!$F:$F)</f>
        <v>0</v>
      </c>
      <c r="D114" s="98">
        <f>SUMIF(ALIF_Y2015!$A:$A,$A114,ALIF_Y2015!$F:$F)</f>
        <v>0</v>
      </c>
      <c r="E114" s="98">
        <f>SUMIF(ALIF_Y2016!$A:$A,$A114,ALIF_Y2016!$F:$F)</f>
        <v>0</v>
      </c>
      <c r="F114" s="98">
        <f>SUMIF(ALIF_Y2017!$A:$A,$A114,ALIF_Y2017!$F:$F)</f>
        <v>0</v>
      </c>
      <c r="G114" s="98">
        <f>SUMIF(ALIF_Y2018!$A:$A,$A114,ALIF_Y2018!$F:$F)</f>
        <v>0</v>
      </c>
      <c r="H114" s="98">
        <f>SUMIF(ALIF_Y2019!$A:$A,$A114,ALIF_Y2019!$F:$F)</f>
        <v>820338.76199999999</v>
      </c>
      <c r="I114" s="98">
        <f>SUMIF(ALIF_Y2020!$A:$A,$A114,ALIF_Y2020!$F:$F)</f>
        <v>0</v>
      </c>
      <c r="J114" s="98">
        <f>SUMIF(ALIF_Y2021!$A:$A,$A114,ALIF_Y2021!$F:$F)</f>
        <v>0</v>
      </c>
      <c r="K114" s="98">
        <f>SUMIF(ALIF_Y2022!$A:$A,$A114,ALIF_Y2022!$F:$F)</f>
        <v>0</v>
      </c>
      <c r="L114" s="98">
        <f>SUMIF(ALIF_Y2023!$A:$A,$A114,ALIF_Y2023!$F:$F)</f>
        <v>0</v>
      </c>
      <c r="M114" s="98">
        <f>SUMIF(ALIF_Y2024!$A:$A,$A114,ALIF_Y2024!$F:$F)</f>
        <v>0</v>
      </c>
      <c r="N114" s="98">
        <f>SUMIF(ALIF_Y2025!$A:$A,$A114,ALIF_Y2025!$F:$F)</f>
        <v>6589792.3859999999</v>
      </c>
      <c r="O114" t="str">
        <f>_xlfn.XLOOKUP(A114,Map!A:A,Map!E:E)</f>
        <v>Tade payables and Accuals &amp; other credit balances</v>
      </c>
      <c r="P114" t="str">
        <f>_xlfn.XLOOKUP(A114,Map!A:A,Map!D:D)</f>
        <v>Current Liabilities</v>
      </c>
    </row>
    <row r="115" spans="1:16" x14ac:dyDescent="0.25">
      <c r="A115" s="101">
        <v>270004</v>
      </c>
      <c r="B115" t="s">
        <v>104</v>
      </c>
      <c r="C115" s="98">
        <f>SUMIF(ALIF_Y2014!$A:$A,$A115,ALIF_Y2014!$F:$F)</f>
        <v>0</v>
      </c>
      <c r="D115" s="98">
        <f>SUMIF(ALIF_Y2015!$A:$A,$A115,ALIF_Y2015!$F:$F)</f>
        <v>0</v>
      </c>
      <c r="E115" s="98">
        <f>SUMIF(ALIF_Y2016!$A:$A,$A115,ALIF_Y2016!$F:$F)</f>
        <v>0</v>
      </c>
      <c r="F115" s="98">
        <f>SUMIF(ALIF_Y2017!$A:$A,$A115,ALIF_Y2017!$F:$F)</f>
        <v>0</v>
      </c>
      <c r="G115" s="98">
        <f>SUMIF(ALIF_Y2018!$A:$A,$A115,ALIF_Y2018!$F:$F)</f>
        <v>2109330.298</v>
      </c>
      <c r="H115" s="98">
        <f>SUMIF(ALIF_Y2019!$A:$A,$A115,ALIF_Y2019!$F:$F)</f>
        <v>0</v>
      </c>
      <c r="I115" s="98">
        <f>SUMIF(ALIF_Y2020!$A:$A,$A115,ALIF_Y2020!$F:$F)</f>
        <v>-1563447.46</v>
      </c>
      <c r="J115" s="98">
        <f>SUMIF(ALIF_Y2021!$A:$A,$A115,ALIF_Y2021!$F:$F)</f>
        <v>-1225557.3500000001</v>
      </c>
      <c r="K115" s="98">
        <f>SUMIF(ALIF_Y2022!$A:$A,$A115,ALIF_Y2022!$F:$F)</f>
        <v>-1160277.96</v>
      </c>
      <c r="L115" s="98">
        <f>SUMIF(ALIF_Y2023!$A:$A,$A115,ALIF_Y2023!$F:$F)</f>
        <v>-1065153.22</v>
      </c>
      <c r="M115" s="98">
        <f>SUMIF(ALIF_Y2024!$A:$A,$A115,ALIF_Y2024!$F:$F)</f>
        <v>-1049001.149</v>
      </c>
      <c r="N115" s="98">
        <f>SUMIF(ALIF_Y2025!$A:$A,$A115,ALIF_Y2025!$F:$F)</f>
        <v>-1049001.1510000001</v>
      </c>
      <c r="O115" t="str">
        <f>_xlfn.XLOOKUP(A115,Map!A:A,Map!E:E)</f>
        <v>Tade payables and Accuals &amp; other credit balances</v>
      </c>
      <c r="P115" t="str">
        <f>_xlfn.XLOOKUP(A115,Map!A:A,Map!D:D)</f>
        <v>Current Liabilities</v>
      </c>
    </row>
    <row r="116" spans="1:16" x14ac:dyDescent="0.25">
      <c r="A116" s="101">
        <v>270005</v>
      </c>
      <c r="B116" t="s">
        <v>105</v>
      </c>
      <c r="C116" s="98">
        <f>SUMIF(ALIF_Y2014!$A:$A,$A116,ALIF_Y2014!$F:$F)</f>
        <v>0</v>
      </c>
      <c r="D116" s="98">
        <f>SUMIF(ALIF_Y2015!$A:$A,$A116,ALIF_Y2015!$F:$F)</f>
        <v>0</v>
      </c>
      <c r="E116" s="98">
        <f>SUMIF(ALIF_Y2016!$A:$A,$A116,ALIF_Y2016!$F:$F)</f>
        <v>0</v>
      </c>
      <c r="F116" s="98">
        <f>SUMIF(ALIF_Y2017!$A:$A,$A116,ALIF_Y2017!$F:$F)</f>
        <v>0</v>
      </c>
      <c r="G116" s="98">
        <f>SUMIF(ALIF_Y2018!$A:$A,$A116,ALIF_Y2018!$F:$F)</f>
        <v>0</v>
      </c>
      <c r="H116" s="98">
        <f>SUMIF(ALIF_Y2019!$A:$A,$A116,ALIF_Y2019!$F:$F)</f>
        <v>0</v>
      </c>
      <c r="I116" s="98">
        <f>SUMIF(ALIF_Y2020!$A:$A,$A116,ALIF_Y2020!$F:$F)</f>
        <v>0</v>
      </c>
      <c r="J116" s="98">
        <f>SUMIF(ALIF_Y2021!$A:$A,$A116,ALIF_Y2021!$F:$F)</f>
        <v>0</v>
      </c>
      <c r="K116" s="98">
        <f>SUMIF(ALIF_Y2022!$A:$A,$A116,ALIF_Y2022!$F:$F)</f>
        <v>0</v>
      </c>
      <c r="L116" s="98">
        <f>SUMIF(ALIF_Y2023!$A:$A,$A116,ALIF_Y2023!$F:$F)</f>
        <v>20699522.736000001</v>
      </c>
      <c r="M116" s="98">
        <f>SUMIF(ALIF_Y2024!$A:$A,$A116,ALIF_Y2024!$F:$F)</f>
        <v>-8694168.5409999993</v>
      </c>
      <c r="N116" s="98">
        <f>SUMIF(ALIF_Y2025!$A:$A,$A116,ALIF_Y2025!$F:$F)</f>
        <v>-1444439.902</v>
      </c>
      <c r="O116" t="str">
        <f>_xlfn.XLOOKUP(A116,Map!A:A,Map!E:E)</f>
        <v xml:space="preserve">Due to related parties </v>
      </c>
      <c r="P116" t="str">
        <f>_xlfn.XLOOKUP(A116,Map!A:A,Map!D:D)</f>
        <v>Non-Current Liabilities</v>
      </c>
    </row>
    <row r="117" spans="1:16" x14ac:dyDescent="0.25">
      <c r="A117" s="101">
        <v>310001</v>
      </c>
      <c r="B117" t="s">
        <v>106</v>
      </c>
      <c r="C117" s="98">
        <f>SUMIF(ALIF_Y2014!$A:$A,$A117,ALIF_Y2014!$F:$F)</f>
        <v>-19023934.239999998</v>
      </c>
      <c r="D117" s="98">
        <f>SUMIF(ALIF_Y2015!$A:$A,$A117,ALIF_Y2015!$F:$F)</f>
        <v>-27072495.068999998</v>
      </c>
      <c r="E117" s="98">
        <f>SUMIF(ALIF_Y2016!$A:$A,$A117,ALIF_Y2016!$F:$F)</f>
        <v>-20103784.829999998</v>
      </c>
      <c r="F117" s="98">
        <f>SUMIF(ALIF_Y2017!$A:$A,$A117,ALIF_Y2017!$F:$F)</f>
        <v>-27816718.954</v>
      </c>
      <c r="G117" s="98">
        <f>SUMIF(ALIF_Y2018!$A:$A,$A117,ALIF_Y2018!$F:$F)</f>
        <v>-26158022.879999999</v>
      </c>
      <c r="H117" s="98">
        <f>SUMIF(ALIF_Y2019!$A:$A,$A117,ALIF_Y2019!$F:$F)</f>
        <v>-25526891.572000001</v>
      </c>
      <c r="I117" s="98">
        <f>SUMIF(ALIF_Y2020!$A:$A,$A117,ALIF_Y2020!$F:$F)</f>
        <v>-32446640.010000002</v>
      </c>
      <c r="J117" s="98">
        <f>SUMIF(ALIF_Y2021!$A:$A,$A117,ALIF_Y2021!$F:$F)</f>
        <v>-13887700.132999999</v>
      </c>
      <c r="K117" s="98">
        <f>SUMIF(ALIF_Y2022!$A:$A,$A117,ALIF_Y2022!$F:$F)</f>
        <v>-18454746.300999999</v>
      </c>
      <c r="L117" s="98">
        <f>SUMIF(ALIF_Y2023!$A:$A,$A117,ALIF_Y2023!$F:$F)</f>
        <v>-24850913.840999998</v>
      </c>
      <c r="M117" s="98">
        <f>SUMIF(ALIF_Y2024!$A:$A,$A117,ALIF_Y2024!$F:$F)</f>
        <v>11873132.367000001</v>
      </c>
      <c r="N117" s="98">
        <f>SUMIF(ALIF_Y2025!$A:$A,$A117,ALIF_Y2025!$F:$F)</f>
        <v>35110867.218000002</v>
      </c>
      <c r="O117" t="str">
        <f>_xlfn.XLOOKUP(A117,Map!A:A,Map!E:E)</f>
        <v>Retained earnings</v>
      </c>
      <c r="P117" t="str">
        <f>_xlfn.XLOOKUP(A117,Map!A:A,Map!D:D)</f>
        <v>Stockholder's equity</v>
      </c>
    </row>
    <row r="118" spans="1:16" x14ac:dyDescent="0.25">
      <c r="A118" s="101">
        <v>330001</v>
      </c>
      <c r="B118" t="s">
        <v>107</v>
      </c>
      <c r="C118" s="98">
        <f>SUMIF(ALIF_Y2014!$A:$A,$A118,ALIF_Y2014!$F:$F)</f>
        <v>-1766750</v>
      </c>
      <c r="D118" s="98">
        <f>SUMIF(ALIF_Y2015!$A:$A,$A118,ALIF_Y2015!$F:$F)</f>
        <v>-1766750</v>
      </c>
      <c r="E118" s="98">
        <f>SUMIF(ALIF_Y2016!$A:$A,$A118,ALIF_Y2016!$F:$F)</f>
        <v>-1766750</v>
      </c>
      <c r="F118" s="98">
        <f>SUMIF(ALIF_Y2017!$A:$A,$A118,ALIF_Y2017!$F:$F)</f>
        <v>-1766750</v>
      </c>
      <c r="G118" s="98">
        <f>SUMIF(ALIF_Y2018!$A:$A,$A118,ALIF_Y2018!$F:$F)</f>
        <v>-1766750</v>
      </c>
      <c r="H118" s="98">
        <f>SUMIF(ALIF_Y2019!$A:$A,$A118,ALIF_Y2019!$F:$F)</f>
        <v>-1766750</v>
      </c>
      <c r="I118" s="98">
        <f>SUMIF(ALIF_Y2020!$A:$A,$A118,ALIF_Y2020!$F:$F)</f>
        <v>0</v>
      </c>
      <c r="J118" s="98">
        <f>SUMIF(ALIF_Y2021!$A:$A,$A118,ALIF_Y2021!$F:$F)</f>
        <v>0</v>
      </c>
      <c r="K118" s="98">
        <f>SUMIF(ALIF_Y2022!$A:$A,$A118,ALIF_Y2022!$F:$F)</f>
        <v>0</v>
      </c>
      <c r="L118" s="98">
        <f>SUMIF(ALIF_Y2023!$A:$A,$A118,ALIF_Y2023!$F:$F)</f>
        <v>0</v>
      </c>
      <c r="M118" s="98">
        <f>SUMIF(ALIF_Y2024!$A:$A,$A118,ALIF_Y2024!$F:$F)</f>
        <v>0</v>
      </c>
      <c r="N118" s="98">
        <f>SUMIF(ALIF_Y2025!$A:$A,$A118,ALIF_Y2025!$F:$F)</f>
        <v>0</v>
      </c>
      <c r="O118" t="str">
        <f>_xlfn.XLOOKUP(A118,Map!A:A,Map!E:E)</f>
        <v>Retained earnings</v>
      </c>
      <c r="P118" t="str">
        <f>_xlfn.XLOOKUP(A118,Map!A:A,Map!D:D)</f>
        <v>Stockholder's equity</v>
      </c>
    </row>
    <row r="119" spans="1:16" x14ac:dyDescent="0.25">
      <c r="A119" s="101">
        <v>330002</v>
      </c>
      <c r="B119" t="s">
        <v>108</v>
      </c>
      <c r="C119" s="98">
        <f>SUMIF(ALIF_Y2014!$A:$A,$A119,ALIF_Y2014!$F:$F)</f>
        <v>-33568250</v>
      </c>
      <c r="D119" s="98">
        <f>SUMIF(ALIF_Y2015!$A:$A,$A119,ALIF_Y2015!$F:$F)</f>
        <v>-33568250</v>
      </c>
      <c r="E119" s="98">
        <f>SUMIF(ALIF_Y2016!$A:$A,$A119,ALIF_Y2016!$F:$F)</f>
        <v>-33568250</v>
      </c>
      <c r="F119" s="98">
        <f>SUMIF(ALIF_Y2017!$A:$A,$A119,ALIF_Y2017!$F:$F)</f>
        <v>-33568250</v>
      </c>
      <c r="G119" s="98">
        <f>SUMIF(ALIF_Y2018!$A:$A,$A119,ALIF_Y2018!$F:$F)</f>
        <v>-33568250</v>
      </c>
      <c r="H119" s="98">
        <f>SUMIF(ALIF_Y2019!$A:$A,$A119,ALIF_Y2019!$F:$F)</f>
        <v>-33568250</v>
      </c>
      <c r="I119" s="98">
        <f>SUMIF(ALIF_Y2020!$A:$A,$A119,ALIF_Y2020!$F:$F)</f>
        <v>-35335000</v>
      </c>
      <c r="J119" s="98">
        <f>SUMIF(ALIF_Y2021!$A:$A,$A119,ALIF_Y2021!$F:$F)</f>
        <v>-35335000</v>
      </c>
      <c r="K119" s="98">
        <f>SUMIF(ALIF_Y2022!$A:$A,$A119,ALIF_Y2022!$F:$F)</f>
        <v>-35335000</v>
      </c>
      <c r="L119" s="98">
        <f>SUMIF(ALIF_Y2023!$A:$A,$A119,ALIF_Y2023!$F:$F)</f>
        <v>-35335000</v>
      </c>
      <c r="M119" s="98">
        <f>SUMIF(ALIF_Y2024!$A:$A,$A119,ALIF_Y2024!$F:$F)</f>
        <v>-35335000</v>
      </c>
      <c r="N119" s="98">
        <f>SUMIF(ALIF_Y2025!$A:$A,$A119,ALIF_Y2025!$F:$F)</f>
        <v>-35335000</v>
      </c>
      <c r="O119" t="str">
        <f>_xlfn.XLOOKUP(A119,Map!A:A,Map!E:E)</f>
        <v>Share capital</v>
      </c>
      <c r="P119" t="str">
        <f>_xlfn.XLOOKUP(A119,Map!A:A,Map!D:D)</f>
        <v>Stockholder's equity</v>
      </c>
    </row>
    <row r="120" spans="1:16" x14ac:dyDescent="0.25">
      <c r="A120" s="101">
        <v>330003</v>
      </c>
      <c r="B120" t="s">
        <v>109</v>
      </c>
      <c r="C120" s="98">
        <f>SUMIF(ALIF_Y2014!$A:$A,$A120,ALIF_Y2014!$F:$F)</f>
        <v>0</v>
      </c>
      <c r="D120" s="98">
        <f>SUMIF(ALIF_Y2015!$A:$A,$A120,ALIF_Y2015!$F:$F)</f>
        <v>0</v>
      </c>
      <c r="E120" s="98">
        <f>SUMIF(ALIF_Y2016!$A:$A,$A120,ALIF_Y2016!$F:$F)</f>
        <v>-85866130.439999998</v>
      </c>
      <c r="F120" s="98">
        <f>SUMIF(ALIF_Y2017!$A:$A,$A120,ALIF_Y2017!$F:$F)</f>
        <v>-85866130.439999998</v>
      </c>
      <c r="G120" s="98">
        <f>SUMIF(ALIF_Y2018!$A:$A,$A120,ALIF_Y2018!$F:$F)</f>
        <v>-102255315.01000001</v>
      </c>
      <c r="H120" s="98">
        <f>SUMIF(ALIF_Y2019!$A:$A,$A120,ALIF_Y2019!$F:$F)</f>
        <v>-102255315.01000001</v>
      </c>
      <c r="I120" s="98">
        <f>SUMIF(ALIF_Y2020!$A:$A,$A120,ALIF_Y2020!$F:$F)</f>
        <v>-102255315.01000001</v>
      </c>
      <c r="J120" s="98">
        <f>SUMIF(ALIF_Y2021!$A:$A,$A120,ALIF_Y2021!$F:$F)</f>
        <v>-102255315.01000001</v>
      </c>
      <c r="K120" s="98">
        <f>SUMIF(ALIF_Y2022!$A:$A,$A120,ALIF_Y2022!$F:$F)</f>
        <v>-102255315.01000001</v>
      </c>
      <c r="L120" s="98">
        <f>SUMIF(ALIF_Y2023!$A:$A,$A120,ALIF_Y2023!$F:$F)</f>
        <v>-102255315.01000001</v>
      </c>
      <c r="M120" s="98">
        <f>SUMIF(ALIF_Y2024!$A:$A,$A120,ALIF_Y2024!$F:$F)</f>
        <v>-102255315.01000001</v>
      </c>
      <c r="N120" s="98">
        <f>SUMIF(ALIF_Y2025!$A:$A,$A120,ALIF_Y2025!$F:$F)</f>
        <v>-102255315.01000001</v>
      </c>
      <c r="O120" t="str">
        <f>_xlfn.XLOOKUP(A120,Map!A:A,Map!E:E)</f>
        <v>Additional contribution from shareholders</v>
      </c>
      <c r="P120" t="str">
        <f>_xlfn.XLOOKUP(A120,Map!A:A,Map!D:D)</f>
        <v>Stockholder's equity</v>
      </c>
    </row>
    <row r="121" spans="1:16" x14ac:dyDescent="0.25">
      <c r="A121" s="101">
        <v>410001</v>
      </c>
      <c r="B121" t="s">
        <v>110</v>
      </c>
      <c r="C121" s="98">
        <f>SUMIF(ALIF_Y2014!$A:$A,$A121,ALIF_Y2014!$F:$F)</f>
        <v>-138694271.65186799</v>
      </c>
      <c r="D121" s="98">
        <f>SUMIF(ALIF_Y2015!$A:$A,$A121,ALIF_Y2015!$F:$F)</f>
        <v>-109880263.3243669</v>
      </c>
      <c r="E121" s="98">
        <f>SUMIF(ALIF_Y2016!$A:$A,$A121,ALIF_Y2016!$F:$F)</f>
        <v>-88089958.155328989</v>
      </c>
      <c r="F121" s="98">
        <f>SUMIF(ALIF_Y2017!$A:$A,$A121,ALIF_Y2017!$F:$F)</f>
        <v>-93677879.411868006</v>
      </c>
      <c r="G121" s="98">
        <f>SUMIF(ALIF_Y2018!$A:$A,$A121,ALIF_Y2018!$F:$F)</f>
        <v>-107826419.45039001</v>
      </c>
      <c r="H121" s="98">
        <f>SUMIF(ALIF_Y2019!$A:$A,$A121,ALIF_Y2019!$F:$F)</f>
        <v>-146951657.34141198</v>
      </c>
      <c r="I121" s="98">
        <f>SUMIF(ALIF_Y2020!$A:$A,$A121,ALIF_Y2020!$F:$F)</f>
        <v>-126986507.64854398</v>
      </c>
      <c r="J121" s="98">
        <f>SUMIF(ALIF_Y2021!$A:$A,$A121,ALIF_Y2021!$F:$F)</f>
        <v>-182178130.77999899</v>
      </c>
      <c r="K121" s="98">
        <f>SUMIF(ALIF_Y2022!$A:$A,$A121,ALIF_Y2022!$F:$F)</f>
        <v>-221605750.687417</v>
      </c>
      <c r="L121" s="98">
        <f>SUMIF(ALIF_Y2023!$A:$A,$A121,ALIF_Y2023!$F:$F)</f>
        <v>-104691191.84482999</v>
      </c>
      <c r="M121" s="98">
        <f>SUMIF(ALIF_Y2024!$A:$A,$A121,ALIF_Y2024!$F:$F)</f>
        <v>-134263226.66129997</v>
      </c>
      <c r="N121" s="98">
        <f>SUMIF(ALIF_Y2025!$A:$A,$A121,ALIF_Y2025!$F:$F)</f>
        <v>-161540141.70216942</v>
      </c>
      <c r="O121" t="str">
        <f>_xlfn.XLOOKUP(A121,Map!A:A,Map!E:E)</f>
        <v>Sales</v>
      </c>
      <c r="P121" t="str">
        <f>_xlfn.XLOOKUP(A121,Map!A:A,Map!D:D)</f>
        <v>Sales</v>
      </c>
    </row>
    <row r="122" spans="1:16" x14ac:dyDescent="0.25">
      <c r="A122" s="101">
        <v>410002</v>
      </c>
      <c r="B122" t="s">
        <v>111</v>
      </c>
      <c r="C122" s="98">
        <f>SUMIF(ALIF_Y2014!$A:$A,$A122,ALIF_Y2014!$F:$F)</f>
        <v>4887005.6909999996</v>
      </c>
      <c r="D122" s="98">
        <f>SUMIF(ALIF_Y2015!$A:$A,$A122,ALIF_Y2015!$F:$F)</f>
        <v>415859.38699999999</v>
      </c>
      <c r="E122" s="98">
        <f>SUMIF(ALIF_Y2016!$A:$A,$A122,ALIF_Y2016!$F:$F)</f>
        <v>339466.36499999999</v>
      </c>
      <c r="F122" s="98">
        <f>SUMIF(ALIF_Y2017!$A:$A,$A122,ALIF_Y2017!$F:$F)</f>
        <v>562971.18000000005</v>
      </c>
      <c r="G122" s="98">
        <f>SUMIF(ALIF_Y2018!$A:$A,$A122,ALIF_Y2018!$F:$F)</f>
        <v>376159.14799999999</v>
      </c>
      <c r="H122" s="98">
        <f>SUMIF(ALIF_Y2019!$A:$A,$A122,ALIF_Y2019!$F:$F)</f>
        <v>806316.79099999997</v>
      </c>
      <c r="I122" s="98">
        <f>SUMIF(ALIF_Y2020!$A:$A,$A122,ALIF_Y2020!$F:$F)</f>
        <v>362210.75099999999</v>
      </c>
      <c r="J122" s="98">
        <f>SUMIF(ALIF_Y2021!$A:$A,$A122,ALIF_Y2021!$F:$F)</f>
        <v>815298.13600000006</v>
      </c>
      <c r="K122" s="98">
        <f>SUMIF(ALIF_Y2022!$A:$A,$A122,ALIF_Y2022!$F:$F)</f>
        <v>957497.96</v>
      </c>
      <c r="L122" s="98">
        <f>SUMIF(ALIF_Y2023!$A:$A,$A122,ALIF_Y2023!$F:$F)</f>
        <v>1079316.101</v>
      </c>
      <c r="M122" s="98">
        <f>SUMIF(ALIF_Y2024!$A:$A,$A122,ALIF_Y2024!$F:$F)</f>
        <v>983876.16</v>
      </c>
      <c r="N122" s="98">
        <f>SUMIF(ALIF_Y2025!$A:$A,$A122,ALIF_Y2025!$F:$F)</f>
        <v>7399584.7079999996</v>
      </c>
      <c r="O122" t="str">
        <f>_xlfn.XLOOKUP(A122,Map!A:A,Map!E:E)</f>
        <v>Sales</v>
      </c>
      <c r="P122" t="str">
        <f>_xlfn.XLOOKUP(A122,Map!A:A,Map!D:D)</f>
        <v>Sales</v>
      </c>
    </row>
    <row r="123" spans="1:16" x14ac:dyDescent="0.25">
      <c r="A123" s="101">
        <v>410003</v>
      </c>
      <c r="B123" t="s">
        <v>112</v>
      </c>
      <c r="C123" s="98">
        <f>SUMIF(ALIF_Y2014!$A:$A,$A123,ALIF_Y2014!$F:$F)</f>
        <v>94883.404999999999</v>
      </c>
      <c r="D123" s="98">
        <f>SUMIF(ALIF_Y2015!$A:$A,$A123,ALIF_Y2015!$F:$F)</f>
        <v>20246.399000000001</v>
      </c>
      <c r="E123" s="98">
        <f>SUMIF(ALIF_Y2016!$A:$A,$A123,ALIF_Y2016!$F:$F)</f>
        <v>45495.544999999998</v>
      </c>
      <c r="F123" s="98">
        <f>SUMIF(ALIF_Y2017!$A:$A,$A123,ALIF_Y2017!$F:$F)</f>
        <v>36303.033000000003</v>
      </c>
      <c r="G123" s="98">
        <f>SUMIF(ALIF_Y2018!$A:$A,$A123,ALIF_Y2018!$F:$F)</f>
        <v>40234.758999999998</v>
      </c>
      <c r="H123" s="98">
        <f>SUMIF(ALIF_Y2019!$A:$A,$A123,ALIF_Y2019!$F:$F)</f>
        <v>63590.362999999998</v>
      </c>
      <c r="I123" s="98">
        <f>SUMIF(ALIF_Y2020!$A:$A,$A123,ALIF_Y2020!$F:$F)</f>
        <v>21462.884999999998</v>
      </c>
      <c r="J123" s="98">
        <f>SUMIF(ALIF_Y2021!$A:$A,$A123,ALIF_Y2021!$F:$F)</f>
        <v>23474.695</v>
      </c>
      <c r="K123" s="98">
        <f>SUMIF(ALIF_Y2022!$A:$A,$A123,ALIF_Y2022!$F:$F)</f>
        <v>1127.25</v>
      </c>
      <c r="L123" s="98">
        <f>SUMIF(ALIF_Y2023!$A:$A,$A123,ALIF_Y2023!$F:$F)</f>
        <v>1702.06</v>
      </c>
      <c r="M123" s="98">
        <f>SUMIF(ALIF_Y2024!$A:$A,$A123,ALIF_Y2024!$F:$F)</f>
        <v>110476.394</v>
      </c>
      <c r="N123" s="98">
        <f>SUMIF(ALIF_Y2025!$A:$A,$A123,ALIF_Y2025!$F:$F)</f>
        <v>511780.01400000002</v>
      </c>
      <c r="O123" t="str">
        <f>_xlfn.XLOOKUP(A123,Map!A:A,Map!E:E)</f>
        <v>Sales</v>
      </c>
      <c r="P123" t="str">
        <f>_xlfn.XLOOKUP(A123,Map!A:A,Map!D:D)</f>
        <v>Sales</v>
      </c>
    </row>
    <row r="124" spans="1:16" x14ac:dyDescent="0.25">
      <c r="A124" s="101">
        <v>410004</v>
      </c>
      <c r="B124" t="s">
        <v>113</v>
      </c>
      <c r="C124" s="98">
        <f>SUMIF(ALIF_Y2014!$A:$A,$A124,ALIF_Y2014!$F:$F)</f>
        <v>-263041.3</v>
      </c>
      <c r="D124" s="98">
        <f>SUMIF(ALIF_Y2015!$A:$A,$A124,ALIF_Y2015!$F:$F)</f>
        <v>0</v>
      </c>
      <c r="E124" s="98">
        <f>SUMIF(ALIF_Y2016!$A:$A,$A124,ALIF_Y2016!$F:$F)</f>
        <v>15329.73</v>
      </c>
      <c r="F124" s="98">
        <f>SUMIF(ALIF_Y2017!$A:$A,$A124,ALIF_Y2017!$F:$F)</f>
        <v>0</v>
      </c>
      <c r="G124" s="98">
        <f>SUMIF(ALIF_Y2018!$A:$A,$A124,ALIF_Y2018!$F:$F)</f>
        <v>0</v>
      </c>
      <c r="H124" s="98">
        <f>SUMIF(ALIF_Y2019!$A:$A,$A124,ALIF_Y2019!$F:$F)</f>
        <v>0</v>
      </c>
      <c r="I124" s="98">
        <f>SUMIF(ALIF_Y2020!$A:$A,$A124,ALIF_Y2020!$F:$F)</f>
        <v>0</v>
      </c>
      <c r="J124" s="98">
        <f>SUMIF(ALIF_Y2021!$A:$A,$A124,ALIF_Y2021!$F:$F)</f>
        <v>-1268181.379</v>
      </c>
      <c r="K124" s="98">
        <f>SUMIF(ALIF_Y2022!$A:$A,$A124,ALIF_Y2022!$F:$F)</f>
        <v>-1317629.5530000001</v>
      </c>
      <c r="L124" s="98">
        <f>SUMIF(ALIF_Y2023!$A:$A,$A124,ALIF_Y2023!$F:$F)</f>
        <v>-590338.68200000003</v>
      </c>
      <c r="M124" s="98">
        <f>SUMIF(ALIF_Y2024!$A:$A,$A124,ALIF_Y2024!$F:$F)</f>
        <v>-2011560.469</v>
      </c>
      <c r="N124" s="98">
        <f>SUMIF(ALIF_Y2025!$A:$A,$A124,ALIF_Y2025!$F:$F)</f>
        <v>-2174324.4040000001</v>
      </c>
      <c r="O124" t="str">
        <f>_xlfn.XLOOKUP(A124,Map!A:A,Map!E:E)</f>
        <v>Sales</v>
      </c>
      <c r="P124" t="str">
        <f>_xlfn.XLOOKUP(A124,Map!A:A,Map!D:D)</f>
        <v>Sales</v>
      </c>
    </row>
    <row r="125" spans="1:16" x14ac:dyDescent="0.25">
      <c r="A125" s="101">
        <v>420001</v>
      </c>
      <c r="B125" t="s">
        <v>114</v>
      </c>
      <c r="C125" s="98">
        <f>SUMIF(ALIF_Y2014!$A:$A,$A125,ALIF_Y2014!$F:$F)</f>
        <v>0</v>
      </c>
      <c r="D125" s="98">
        <f>SUMIF(ALIF_Y2015!$A:$A,$A125,ALIF_Y2015!$F:$F)</f>
        <v>0</v>
      </c>
      <c r="E125" s="98">
        <f>SUMIF(ALIF_Y2016!$A:$A,$A125,ALIF_Y2016!$F:$F)</f>
        <v>0</v>
      </c>
      <c r="F125" s="98">
        <f>SUMIF(ALIF_Y2017!$A:$A,$A125,ALIF_Y2017!$F:$F)</f>
        <v>0</v>
      </c>
      <c r="G125" s="98">
        <f>SUMIF(ALIF_Y2018!$A:$A,$A125,ALIF_Y2018!$F:$F)</f>
        <v>0</v>
      </c>
      <c r="H125" s="98">
        <f>SUMIF(ALIF_Y2019!$A:$A,$A125,ALIF_Y2019!$F:$F)</f>
        <v>0</v>
      </c>
      <c r="I125" s="98">
        <f>SUMIF(ALIF_Y2020!$A:$A,$A125,ALIF_Y2020!$F:$F)</f>
        <v>0</v>
      </c>
      <c r="J125" s="98">
        <f>SUMIF(ALIF_Y2021!$A:$A,$A125,ALIF_Y2021!$F:$F)</f>
        <v>-11208</v>
      </c>
      <c r="K125" s="98">
        <f>SUMIF(ALIF_Y2022!$A:$A,$A125,ALIF_Y2022!$F:$F)</f>
        <v>0</v>
      </c>
      <c r="L125" s="98">
        <f>SUMIF(ALIF_Y2023!$A:$A,$A125,ALIF_Y2023!$F:$F)</f>
        <v>0</v>
      </c>
      <c r="M125" s="98">
        <f>SUMIF(ALIF_Y2024!$A:$A,$A125,ALIF_Y2024!$F:$F)</f>
        <v>0</v>
      </c>
      <c r="N125" s="98">
        <f>SUMIF(ALIF_Y2025!$A:$A,$A125,ALIF_Y2025!$F:$F)</f>
        <v>0</v>
      </c>
      <c r="O125" t="str">
        <f>_xlfn.XLOOKUP(A125,Map!A:A,Map!E:E)</f>
        <v>Sales</v>
      </c>
      <c r="P125" t="str">
        <f>_xlfn.XLOOKUP(A125,Map!A:A,Map!D:D)</f>
        <v>Sales</v>
      </c>
    </row>
    <row r="126" spans="1:16" x14ac:dyDescent="0.25">
      <c r="A126" s="101">
        <v>420002</v>
      </c>
      <c r="B126" t="s">
        <v>251</v>
      </c>
      <c r="C126" s="98">
        <f>SUMIF(ALIF_Y2014!$A:$A,$A126,ALIF_Y2014!$F:$F)</f>
        <v>0</v>
      </c>
      <c r="D126" s="98">
        <f>SUMIF(ALIF_Y2015!$A:$A,$A126,ALIF_Y2015!$F:$F)</f>
        <v>0</v>
      </c>
      <c r="E126" s="98">
        <f>SUMIF(ALIF_Y2016!$A:$A,$A126,ALIF_Y2016!$F:$F)</f>
        <v>0</v>
      </c>
      <c r="F126" s="98">
        <f>SUMIF(ALIF_Y2017!$A:$A,$A126,ALIF_Y2017!$F:$F)</f>
        <v>0</v>
      </c>
      <c r="G126" s="98">
        <f>SUMIF(ALIF_Y2018!$A:$A,$A126,ALIF_Y2018!$F:$F)</f>
        <v>0</v>
      </c>
      <c r="H126" s="98">
        <f>SUMIF(ALIF_Y2019!$A:$A,$A126,ALIF_Y2019!$F:$F)</f>
        <v>0</v>
      </c>
      <c r="I126" s="98">
        <f>SUMIF(ALIF_Y2020!$A:$A,$A126,ALIF_Y2020!$F:$F)</f>
        <v>0</v>
      </c>
      <c r="J126" s="98">
        <f>SUMIF(ALIF_Y2021!$A:$A,$A126,ALIF_Y2021!$F:$F)</f>
        <v>0</v>
      </c>
      <c r="K126" s="98">
        <f>SUMIF(ALIF_Y2022!$A:$A,$A126,ALIF_Y2022!$F:$F)</f>
        <v>0</v>
      </c>
      <c r="L126" s="98">
        <f>SUMIF(ALIF_Y2023!$A:$A,$A126,ALIF_Y2023!$F:$F)</f>
        <v>0</v>
      </c>
      <c r="M126" s="98">
        <f>SUMIF(ALIF_Y2024!$A:$A,$A126,ALIF_Y2024!$F:$F)</f>
        <v>-30434.782999999999</v>
      </c>
      <c r="N126" s="98">
        <f>SUMIF(ALIF_Y2025!$A:$A,$A126,ALIF_Y2025!$F:$F)</f>
        <v>1044625.042</v>
      </c>
      <c r="O126" t="str">
        <f>_xlfn.XLOOKUP(A126,Map!A:A,Map!E:E)</f>
        <v>Sales</v>
      </c>
      <c r="P126" t="str">
        <f>_xlfn.XLOOKUP(A126,Map!A:A,Map!D:D)</f>
        <v>Sales</v>
      </c>
    </row>
    <row r="127" spans="1:16" x14ac:dyDescent="0.25">
      <c r="A127" s="101">
        <v>420003</v>
      </c>
      <c r="B127" t="s">
        <v>115</v>
      </c>
      <c r="C127" s="98">
        <f>SUMIF(ALIF_Y2014!$A:$A,$A127,ALIF_Y2014!$F:$F)</f>
        <v>0</v>
      </c>
      <c r="D127" s="98">
        <f>SUMIF(ALIF_Y2015!$A:$A,$A127,ALIF_Y2015!$F:$F)</f>
        <v>-4.7E-2</v>
      </c>
      <c r="E127" s="98">
        <f>SUMIF(ALIF_Y2016!$A:$A,$A127,ALIF_Y2016!$F:$F)</f>
        <v>-77976.134999999995</v>
      </c>
      <c r="F127" s="98">
        <f>SUMIF(ALIF_Y2017!$A:$A,$A127,ALIF_Y2017!$F:$F)</f>
        <v>-2.7E-2</v>
      </c>
      <c r="G127" s="98">
        <f>SUMIF(ALIF_Y2018!$A:$A,$A127,ALIF_Y2018!$F:$F)</f>
        <v>-1E-3</v>
      </c>
      <c r="H127" s="98">
        <f>SUMIF(ALIF_Y2019!$A:$A,$A127,ALIF_Y2019!$F:$F)</f>
        <v>0</v>
      </c>
      <c r="I127" s="98">
        <f>SUMIF(ALIF_Y2020!$A:$A,$A127,ALIF_Y2020!$F:$F)</f>
        <v>1.6E-2</v>
      </c>
      <c r="J127" s="98">
        <f>SUMIF(ALIF_Y2021!$A:$A,$A127,ALIF_Y2021!$F:$F)</f>
        <v>0</v>
      </c>
      <c r="K127" s="98">
        <f>SUMIF(ALIF_Y2022!$A:$A,$A127,ALIF_Y2022!$F:$F)</f>
        <v>0</v>
      </c>
      <c r="L127" s="98">
        <f>SUMIF(ALIF_Y2023!$A:$A,$A127,ALIF_Y2023!$F:$F)</f>
        <v>0</v>
      </c>
      <c r="M127" s="98">
        <f>SUMIF(ALIF_Y2024!$A:$A,$A127,ALIF_Y2024!$F:$F)</f>
        <v>-4.0000000000000001E-3</v>
      </c>
      <c r="N127" s="98">
        <f>SUMIF(ALIF_Y2025!$A:$A,$A127,ALIF_Y2025!$F:$F)</f>
        <v>-134680.54500000001</v>
      </c>
      <c r="O127" t="str">
        <f>_xlfn.XLOOKUP(A127,Map!A:A,Map!E:E)</f>
        <v>Sales</v>
      </c>
      <c r="P127" t="str">
        <f>_xlfn.XLOOKUP(A127,Map!A:A,Map!D:D)</f>
        <v>Sales</v>
      </c>
    </row>
    <row r="128" spans="1:16" x14ac:dyDescent="0.25">
      <c r="A128" s="101">
        <v>510001</v>
      </c>
      <c r="B128" t="s">
        <v>116</v>
      </c>
      <c r="C128" s="98">
        <f>SUMIF(ALIF_Y2014!$A:$A,$A128,ALIF_Y2014!$F:$F)</f>
        <v>88585781.886606663</v>
      </c>
      <c r="D128" s="98">
        <f>SUMIF(ALIF_Y2015!$A:$A,$A128,ALIF_Y2015!$F:$F)</f>
        <v>70633003.651534766</v>
      </c>
      <c r="E128" s="98">
        <f>SUMIF(ALIF_Y2016!$A:$A,$A128,ALIF_Y2016!$F:$F)</f>
        <v>52373841.139852673</v>
      </c>
      <c r="F128" s="98">
        <f>SUMIF(ALIF_Y2017!$A:$A,$A128,ALIF_Y2017!$F:$F)</f>
        <v>61015586.379613601</v>
      </c>
      <c r="G128" s="98">
        <f>SUMIF(ALIF_Y2018!$A:$A,$A128,ALIF_Y2018!$F:$F)</f>
        <v>71955215.38198626</v>
      </c>
      <c r="H128" s="98">
        <f>SUMIF(ALIF_Y2019!$A:$A,$A128,ALIF_Y2019!$F:$F)</f>
        <v>106346939.87317428</v>
      </c>
      <c r="I128" s="98">
        <f>SUMIF(ALIF_Y2020!$A:$A,$A128,ALIF_Y2020!$F:$F)</f>
        <v>95014049.774562657</v>
      </c>
      <c r="J128" s="98">
        <f>SUMIF(ALIF_Y2021!$A:$A,$A128,ALIF_Y2021!$F:$F)</f>
        <v>129569952.34845203</v>
      </c>
      <c r="K128" s="98">
        <f>SUMIF(ALIF_Y2022!$A:$A,$A128,ALIF_Y2022!$F:$F)</f>
        <v>161989185.8837817</v>
      </c>
      <c r="L128" s="98">
        <f>SUMIF(ALIF_Y2023!$A:$A,$A128,ALIF_Y2023!$F:$F)</f>
        <v>89262070.185472995</v>
      </c>
      <c r="M128" s="98">
        <f>SUMIF(ALIF_Y2024!$A:$A,$A128,ALIF_Y2024!$F:$F)</f>
        <v>113038660.37713104</v>
      </c>
      <c r="N128" s="98">
        <f>SUMIF(ALIF_Y2025!$A:$A,$A128,ALIF_Y2025!$F:$F)</f>
        <v>127210919.814</v>
      </c>
      <c r="O128" t="str">
        <f>_xlfn.XLOOKUP(A128,Map!A:A,Map!E:E)</f>
        <v>Raw materials</v>
      </c>
      <c r="P128" t="str">
        <f>_xlfn.XLOOKUP(A128,Map!A:A,Map!D:D)</f>
        <v>Cost of sales</v>
      </c>
    </row>
    <row r="129" spans="1:16" x14ac:dyDescent="0.25">
      <c r="A129" s="101">
        <v>510002</v>
      </c>
      <c r="B129" t="s">
        <v>117</v>
      </c>
      <c r="C129" s="98">
        <f>SUMIF(ALIF_Y2014!$A:$A,$A129,ALIF_Y2014!$F:$F)</f>
        <v>8698488.2159999982</v>
      </c>
      <c r="D129" s="98">
        <f>SUMIF(ALIF_Y2015!$A:$A,$A129,ALIF_Y2015!$F:$F)</f>
        <v>3451538.2079999992</v>
      </c>
      <c r="E129" s="98">
        <f>SUMIF(ALIF_Y2016!$A:$A,$A129,ALIF_Y2016!$F:$F)</f>
        <v>-308503.00700000022</v>
      </c>
      <c r="F129" s="98">
        <f>SUMIF(ALIF_Y2017!$A:$A,$A129,ALIF_Y2017!$F:$F)</f>
        <v>4511064.8990000002</v>
      </c>
      <c r="G129" s="98">
        <f>SUMIF(ALIF_Y2018!$A:$A,$A129,ALIF_Y2018!$F:$F)</f>
        <v>2812229.9609999997</v>
      </c>
      <c r="H129" s="98">
        <f>SUMIF(ALIF_Y2019!$A:$A,$A129,ALIF_Y2019!$F:$F)</f>
        <v>5848.6270000003278</v>
      </c>
      <c r="I129" s="98">
        <f>SUMIF(ALIF_Y2020!$A:$A,$A129,ALIF_Y2020!$F:$F)</f>
        <v>183441.01800000016</v>
      </c>
      <c r="J129" s="98">
        <f>SUMIF(ALIF_Y2021!$A:$A,$A129,ALIF_Y2021!$F:$F)</f>
        <v>112876.32699999958</v>
      </c>
      <c r="K129" s="98">
        <f>SUMIF(ALIF_Y2022!$A:$A,$A129,ALIF_Y2022!$F:$F)</f>
        <v>-187745.85099999979</v>
      </c>
      <c r="L129" s="98">
        <f>SUMIF(ALIF_Y2023!$A:$A,$A129,ALIF_Y2023!$F:$F)</f>
        <v>46.610000000335276</v>
      </c>
      <c r="M129" s="98">
        <f>SUMIF(ALIF_Y2024!$A:$A,$A129,ALIF_Y2024!$F:$F)</f>
        <v>347.95</v>
      </c>
      <c r="N129" s="98">
        <f>SUMIF(ALIF_Y2025!$A:$A,$A129,ALIF_Y2025!$F:$F)</f>
        <v>40743.796999999999</v>
      </c>
      <c r="O129" t="str">
        <f>_xlfn.XLOOKUP(A129,Map!A:A,Map!E:E)</f>
        <v>Direct Labor</v>
      </c>
      <c r="P129" t="str">
        <f>_xlfn.XLOOKUP(A129,Map!A:A,Map!D:D)</f>
        <v>Cost of sales</v>
      </c>
    </row>
    <row r="130" spans="1:16" x14ac:dyDescent="0.25">
      <c r="A130" s="101">
        <v>510003</v>
      </c>
      <c r="B130" t="s">
        <v>118</v>
      </c>
      <c r="C130" s="98">
        <f>SUMIF(ALIF_Y2014!$A:$A,$A130,ALIF_Y2014!$F:$F)</f>
        <v>-18113542.969999999</v>
      </c>
      <c r="D130" s="98">
        <f>SUMIF(ALIF_Y2015!$A:$A,$A130,ALIF_Y2015!$F:$F)</f>
        <v>1325248.578</v>
      </c>
      <c r="E130" s="98">
        <f>SUMIF(ALIF_Y2016!$A:$A,$A130,ALIF_Y2016!$F:$F)</f>
        <v>3657409.64</v>
      </c>
      <c r="F130" s="98">
        <f>SUMIF(ALIF_Y2017!$A:$A,$A130,ALIF_Y2017!$F:$F)</f>
        <v>4377572.102</v>
      </c>
      <c r="G130" s="98">
        <f>SUMIF(ALIF_Y2018!$A:$A,$A130,ALIF_Y2018!$F:$F)</f>
        <v>1995023.0559999999</v>
      </c>
      <c r="H130" s="98">
        <f>SUMIF(ALIF_Y2019!$A:$A,$A130,ALIF_Y2019!$F:$F)</f>
        <v>3531316.7410000004</v>
      </c>
      <c r="I130" s="98">
        <f>SUMIF(ALIF_Y2020!$A:$A,$A130,ALIF_Y2020!$F:$F)</f>
        <v>4778893.585</v>
      </c>
      <c r="J130" s="98">
        <f>SUMIF(ALIF_Y2021!$A:$A,$A130,ALIF_Y2021!$F:$F)</f>
        <v>4080510.3629999999</v>
      </c>
      <c r="K130" s="98">
        <f>SUMIF(ALIF_Y2022!$A:$A,$A130,ALIF_Y2022!$F:$F)</f>
        <v>4981820.716</v>
      </c>
      <c r="L130" s="98">
        <f>SUMIF(ALIF_Y2023!$A:$A,$A130,ALIF_Y2023!$F:$F)</f>
        <v>2511702.1399999997</v>
      </c>
      <c r="M130" s="98">
        <f>SUMIF(ALIF_Y2024!$A:$A,$A130,ALIF_Y2024!$F:$F)</f>
        <v>3795835.0070000002</v>
      </c>
      <c r="N130" s="98">
        <f>SUMIF(ALIF_Y2025!$A:$A,$A130,ALIF_Y2025!$F:$F)</f>
        <v>2720663.6839999999</v>
      </c>
      <c r="O130" t="str">
        <f>_xlfn.XLOOKUP(A130,Map!A:A,Map!E:E)</f>
        <v>Raw materials</v>
      </c>
      <c r="P130" t="str">
        <f>_xlfn.XLOOKUP(A130,Map!A:A,Map!D:D)</f>
        <v>Cost of sales</v>
      </c>
    </row>
    <row r="131" spans="1:16" x14ac:dyDescent="0.25">
      <c r="A131" s="101">
        <v>510004</v>
      </c>
      <c r="B131" t="s">
        <v>119</v>
      </c>
      <c r="C131" s="98">
        <f>SUMIF(ALIF_Y2014!$A:$A,$A131,ALIF_Y2014!$F:$F)</f>
        <v>15985433.653999997</v>
      </c>
      <c r="D131" s="98">
        <f>SUMIF(ALIF_Y2015!$A:$A,$A131,ALIF_Y2015!$F:$F)</f>
        <v>-6054184.4519999996</v>
      </c>
      <c r="E131" s="98">
        <f>SUMIF(ALIF_Y2016!$A:$A,$A131,ALIF_Y2016!$F:$F)</f>
        <v>7437818.8510000026</v>
      </c>
      <c r="F131" s="98">
        <f>SUMIF(ALIF_Y2017!$A:$A,$A131,ALIF_Y2017!$F:$F)</f>
        <v>2422766.2619999973</v>
      </c>
      <c r="G131" s="98">
        <f>SUMIF(ALIF_Y2018!$A:$A,$A131,ALIF_Y2018!$F:$F)</f>
        <v>7349263.2059999993</v>
      </c>
      <c r="H131" s="98">
        <f>SUMIF(ALIF_Y2019!$A:$A,$A131,ALIF_Y2019!$F:$F)</f>
        <v>3238760.5439999998</v>
      </c>
      <c r="I131" s="98">
        <f>SUMIF(ALIF_Y2020!$A:$A,$A131,ALIF_Y2020!$F:$F)</f>
        <v>9369930.3929999992</v>
      </c>
      <c r="J131" s="98">
        <f>SUMIF(ALIF_Y2021!$A:$A,$A131,ALIF_Y2021!$F:$F)</f>
        <v>6384869.1569999978</v>
      </c>
      <c r="K131" s="98">
        <f>SUMIF(ALIF_Y2022!$A:$A,$A131,ALIF_Y2022!$F:$F)</f>
        <v>5432497.9960000031</v>
      </c>
      <c r="L131" s="98">
        <f>SUMIF(ALIF_Y2023!$A:$A,$A131,ALIF_Y2023!$F:$F)</f>
        <v>3246646.4570000004</v>
      </c>
      <c r="M131" s="98">
        <f>SUMIF(ALIF_Y2024!$A:$A,$A131,ALIF_Y2024!$F:$F)</f>
        <v>-2E-3</v>
      </c>
      <c r="N131" s="98">
        <f>SUMIF(ALIF_Y2025!$A:$A,$A131,ALIF_Y2025!$F:$F)</f>
        <v>5782256.3310000002</v>
      </c>
      <c r="O131" t="str">
        <f>_xlfn.XLOOKUP(A131,Map!A:A,Map!E:E)</f>
        <v>Raw materials</v>
      </c>
      <c r="P131" t="str">
        <f>_xlfn.XLOOKUP(A131,Map!A:A,Map!D:D)</f>
        <v>Cost of sales</v>
      </c>
    </row>
    <row r="132" spans="1:16" x14ac:dyDescent="0.25">
      <c r="A132" s="101">
        <v>510005</v>
      </c>
      <c r="B132" t="s">
        <v>120</v>
      </c>
      <c r="C132" s="98">
        <f>SUMIF(ALIF_Y2014!$A:$A,$A132,ALIF_Y2014!$F:$F)</f>
        <v>-201961.04500000001</v>
      </c>
      <c r="D132" s="98">
        <f>SUMIF(ALIF_Y2015!$A:$A,$A132,ALIF_Y2015!$F:$F)</f>
        <v>0</v>
      </c>
      <c r="E132" s="98">
        <f>SUMIF(ALIF_Y2016!$A:$A,$A132,ALIF_Y2016!$F:$F)</f>
        <v>6872.9129999999996</v>
      </c>
      <c r="F132" s="98">
        <f>SUMIF(ALIF_Y2017!$A:$A,$A132,ALIF_Y2017!$F:$F)</f>
        <v>44384.302000000003</v>
      </c>
      <c r="G132" s="98">
        <f>SUMIF(ALIF_Y2018!$A:$A,$A132,ALIF_Y2018!$F:$F)</f>
        <v>0</v>
      </c>
      <c r="H132" s="98">
        <f>SUMIF(ALIF_Y2019!$A:$A,$A132,ALIF_Y2019!$F:$F)</f>
        <v>2.4980000000000002</v>
      </c>
      <c r="I132" s="98">
        <f>SUMIF(ALIF_Y2020!$A:$A,$A132,ALIF_Y2020!$F:$F)</f>
        <v>-26968.514999999999</v>
      </c>
      <c r="J132" s="98">
        <f>SUMIF(ALIF_Y2021!$A:$A,$A132,ALIF_Y2021!$F:$F)</f>
        <v>39483.442999999999</v>
      </c>
      <c r="K132" s="98">
        <f>SUMIF(ALIF_Y2022!$A:$A,$A132,ALIF_Y2022!$F:$F)</f>
        <v>-400000</v>
      </c>
      <c r="L132" s="98">
        <f>SUMIF(ALIF_Y2023!$A:$A,$A132,ALIF_Y2023!$F:$F)</f>
        <v>-83096.134000000005</v>
      </c>
      <c r="M132" s="98">
        <f>SUMIF(ALIF_Y2024!$A:$A,$A132,ALIF_Y2024!$F:$F)</f>
        <v>0</v>
      </c>
      <c r="N132" s="98">
        <f>SUMIF(ALIF_Y2025!$A:$A,$A132,ALIF_Y2025!$F:$F)</f>
        <v>0</v>
      </c>
      <c r="O132" t="str">
        <f>_xlfn.XLOOKUP(A132,Map!A:A,Map!E:E)</f>
        <v>Raw materials</v>
      </c>
      <c r="P132" t="str">
        <f>_xlfn.XLOOKUP(A132,Map!A:A,Map!D:D)</f>
        <v>Cost of sales</v>
      </c>
    </row>
    <row r="133" spans="1:16" x14ac:dyDescent="0.25">
      <c r="A133" s="101">
        <v>520001</v>
      </c>
      <c r="B133" t="s">
        <v>121</v>
      </c>
      <c r="C133" s="98">
        <f>SUMIF(ALIF_Y2014!$A:$A,$A133,ALIF_Y2014!$F:$F)</f>
        <v>966530.38100000005</v>
      </c>
      <c r="D133" s="98">
        <f>SUMIF(ALIF_Y2015!$A:$A,$A133,ALIF_Y2015!$F:$F)</f>
        <v>1177551.9980000001</v>
      </c>
      <c r="E133" s="98">
        <f>SUMIF(ALIF_Y2016!$A:$A,$A133,ALIF_Y2016!$F:$F)</f>
        <v>2479855.5</v>
      </c>
      <c r="F133" s="98">
        <f>SUMIF(ALIF_Y2017!$A:$A,$A133,ALIF_Y2017!$F:$F)</f>
        <v>2796491.37</v>
      </c>
      <c r="G133" s="98">
        <f>SUMIF(ALIF_Y2018!$A:$A,$A133,ALIF_Y2018!$F:$F)</f>
        <v>1418257.17</v>
      </c>
      <c r="H133" s="98">
        <f>SUMIF(ALIF_Y2019!$A:$A,$A133,ALIF_Y2019!$F:$F)</f>
        <v>3727041</v>
      </c>
      <c r="I133" s="98">
        <f>SUMIF(ALIF_Y2020!$A:$A,$A133,ALIF_Y2020!$F:$F)</f>
        <v>3058090.8769999999</v>
      </c>
      <c r="J133" s="98">
        <f>SUMIF(ALIF_Y2021!$A:$A,$A133,ALIF_Y2021!$F:$F)</f>
        <v>3868161</v>
      </c>
      <c r="K133" s="98">
        <f>SUMIF(ALIF_Y2022!$A:$A,$A133,ALIF_Y2022!$F:$F)</f>
        <v>5372483.4299999997</v>
      </c>
      <c r="L133" s="98">
        <f>SUMIF(ALIF_Y2023!$A:$A,$A133,ALIF_Y2023!$F:$F)</f>
        <v>3511854.3699999996</v>
      </c>
      <c r="M133" s="98">
        <f>SUMIF(ALIF_Y2024!$A:$A,$A133,ALIF_Y2024!$F:$F)</f>
        <v>4870407.82</v>
      </c>
      <c r="N133" s="98">
        <f>SUMIF(ALIF_Y2025!$A:$A,$A133,ALIF_Y2025!$F:$F)</f>
        <v>3940980.06</v>
      </c>
      <c r="O133" t="str">
        <f>_xlfn.XLOOKUP(A133,Map!A:A,Map!E:E)</f>
        <v>Direct Labor</v>
      </c>
      <c r="P133" t="str">
        <f>_xlfn.XLOOKUP(A133,Map!A:A,Map!D:D)</f>
        <v>Cost of sales</v>
      </c>
    </row>
    <row r="134" spans="1:16" x14ac:dyDescent="0.25">
      <c r="A134" s="101">
        <v>520002</v>
      </c>
      <c r="B134" t="s">
        <v>122</v>
      </c>
      <c r="C134" s="98">
        <f>SUMIF(ALIF_Y2014!$A:$A,$A134,ALIF_Y2014!$F:$F)</f>
        <v>743</v>
      </c>
      <c r="D134" s="98">
        <f>SUMIF(ALIF_Y2015!$A:$A,$A134,ALIF_Y2015!$F:$F)</f>
        <v>0</v>
      </c>
      <c r="E134" s="98">
        <f>SUMIF(ALIF_Y2016!$A:$A,$A134,ALIF_Y2016!$F:$F)</f>
        <v>29627.329000000002</v>
      </c>
      <c r="F134" s="98">
        <f>SUMIF(ALIF_Y2017!$A:$A,$A134,ALIF_Y2017!$F:$F)</f>
        <v>0</v>
      </c>
      <c r="G134" s="98">
        <f>SUMIF(ALIF_Y2018!$A:$A,$A134,ALIF_Y2018!$F:$F)</f>
        <v>58352</v>
      </c>
      <c r="H134" s="98">
        <f>SUMIF(ALIF_Y2019!$A:$A,$A134,ALIF_Y2019!$F:$F)</f>
        <v>0</v>
      </c>
      <c r="I134" s="98">
        <f>SUMIF(ALIF_Y2020!$A:$A,$A134,ALIF_Y2020!$F:$F)</f>
        <v>0</v>
      </c>
      <c r="J134" s="98">
        <f>SUMIF(ALIF_Y2021!$A:$A,$A134,ALIF_Y2021!$F:$F)</f>
        <v>0</v>
      </c>
      <c r="K134" s="98">
        <f>SUMIF(ALIF_Y2022!$A:$A,$A134,ALIF_Y2022!$F:$F)</f>
        <v>0</v>
      </c>
      <c r="L134" s="98">
        <f>SUMIF(ALIF_Y2023!$A:$A,$A134,ALIF_Y2023!$F:$F)</f>
        <v>0</v>
      </c>
      <c r="M134" s="98">
        <f>SUMIF(ALIF_Y2024!$A:$A,$A134,ALIF_Y2024!$F:$F)</f>
        <v>0</v>
      </c>
      <c r="N134" s="98">
        <f>SUMIF(ALIF_Y2025!$A:$A,$A134,ALIF_Y2025!$F:$F)</f>
        <v>2045739.05</v>
      </c>
      <c r="O134" t="str">
        <f>_xlfn.XLOOKUP(A134,Map!A:A,Map!E:E)</f>
        <v>Direct Labor</v>
      </c>
      <c r="P134" t="str">
        <f>_xlfn.XLOOKUP(A134,Map!A:A,Map!D:D)</f>
        <v>Cost of sales</v>
      </c>
    </row>
    <row r="135" spans="1:16" x14ac:dyDescent="0.25">
      <c r="A135" s="101">
        <v>520003</v>
      </c>
      <c r="B135" t="s">
        <v>123</v>
      </c>
      <c r="C135" s="98">
        <f>SUMIF(ALIF_Y2014!$A:$A,$A135,ALIF_Y2014!$F:$F)</f>
        <v>21622</v>
      </c>
      <c r="D135" s="98">
        <f>SUMIF(ALIF_Y2015!$A:$A,$A135,ALIF_Y2015!$F:$F)</f>
        <v>20430</v>
      </c>
      <c r="E135" s="98">
        <f>SUMIF(ALIF_Y2016!$A:$A,$A135,ALIF_Y2016!$F:$F)</f>
        <v>32627</v>
      </c>
      <c r="F135" s="98">
        <f>SUMIF(ALIF_Y2017!$A:$A,$A135,ALIF_Y2017!$F:$F)</f>
        <v>35338</v>
      </c>
      <c r="G135" s="98">
        <f>SUMIF(ALIF_Y2018!$A:$A,$A135,ALIF_Y2018!$F:$F)</f>
        <v>29792</v>
      </c>
      <c r="H135" s="98">
        <f>SUMIF(ALIF_Y2019!$A:$A,$A135,ALIF_Y2019!$F:$F)</f>
        <v>204511</v>
      </c>
      <c r="I135" s="98">
        <f>SUMIF(ALIF_Y2020!$A:$A,$A135,ALIF_Y2020!$F:$F)</f>
        <v>359720.33299999998</v>
      </c>
      <c r="J135" s="98">
        <f>SUMIF(ALIF_Y2021!$A:$A,$A135,ALIF_Y2021!$F:$F)</f>
        <v>344503</v>
      </c>
      <c r="K135" s="98">
        <f>SUMIF(ALIF_Y2022!$A:$A,$A135,ALIF_Y2022!$F:$F)</f>
        <v>513869.97000000003</v>
      </c>
      <c r="L135" s="98">
        <f>SUMIF(ALIF_Y2023!$A:$A,$A135,ALIF_Y2023!$F:$F)</f>
        <v>329306.02</v>
      </c>
      <c r="M135" s="98">
        <f>SUMIF(ALIF_Y2024!$A:$A,$A135,ALIF_Y2024!$F:$F)</f>
        <v>110281</v>
      </c>
      <c r="N135" s="98">
        <f>SUMIF(ALIF_Y2025!$A:$A,$A135,ALIF_Y2025!$F:$F)</f>
        <v>223538.4</v>
      </c>
      <c r="O135" t="str">
        <f>_xlfn.XLOOKUP(A135,Map!A:A,Map!E:E)</f>
        <v>Direct Labor</v>
      </c>
      <c r="P135" t="str">
        <f>_xlfn.XLOOKUP(A135,Map!A:A,Map!D:D)</f>
        <v>Cost of sales</v>
      </c>
    </row>
    <row r="136" spans="1:16" x14ac:dyDescent="0.25">
      <c r="A136" s="101">
        <v>520004</v>
      </c>
      <c r="B136" t="s">
        <v>124</v>
      </c>
      <c r="C136" s="98">
        <f>SUMIF(ALIF_Y2014!$A:$A,$A136,ALIF_Y2014!$F:$F)</f>
        <v>54080.118999999999</v>
      </c>
      <c r="D136" s="98">
        <f>SUMIF(ALIF_Y2015!$A:$A,$A136,ALIF_Y2015!$F:$F)</f>
        <v>44173</v>
      </c>
      <c r="E136" s="98">
        <f>SUMIF(ALIF_Y2016!$A:$A,$A136,ALIF_Y2016!$F:$F)</f>
        <v>15052.5</v>
      </c>
      <c r="F136" s="98">
        <f>SUMIF(ALIF_Y2017!$A:$A,$A136,ALIF_Y2017!$F:$F)</f>
        <v>121299.5</v>
      </c>
      <c r="G136" s="98">
        <f>SUMIF(ALIF_Y2018!$A:$A,$A136,ALIF_Y2018!$F:$F)</f>
        <v>69880.5</v>
      </c>
      <c r="H136" s="98">
        <f>SUMIF(ALIF_Y2019!$A:$A,$A136,ALIF_Y2019!$F:$F)</f>
        <v>33676</v>
      </c>
      <c r="I136" s="98">
        <f>SUMIF(ALIF_Y2020!$A:$A,$A136,ALIF_Y2020!$F:$F)</f>
        <v>51062</v>
      </c>
      <c r="J136" s="98">
        <f>SUMIF(ALIF_Y2021!$A:$A,$A136,ALIF_Y2021!$F:$F)</f>
        <v>0</v>
      </c>
      <c r="K136" s="98">
        <f>SUMIF(ALIF_Y2022!$A:$A,$A136,ALIF_Y2022!$F:$F)</f>
        <v>0</v>
      </c>
      <c r="L136" s="98">
        <f>SUMIF(ALIF_Y2023!$A:$A,$A136,ALIF_Y2023!$F:$F)</f>
        <v>0</v>
      </c>
      <c r="M136" s="98">
        <f>SUMIF(ALIF_Y2024!$A:$A,$A136,ALIF_Y2024!$F:$F)</f>
        <v>0</v>
      </c>
      <c r="N136" s="98">
        <f>SUMIF(ALIF_Y2025!$A:$A,$A136,ALIF_Y2025!$F:$F)</f>
        <v>248902</v>
      </c>
      <c r="O136" t="str">
        <f>_xlfn.XLOOKUP(A136,Map!A:A,Map!E:E)</f>
        <v>Direct Labor</v>
      </c>
      <c r="P136" t="str">
        <f>_xlfn.XLOOKUP(A136,Map!A:A,Map!D:D)</f>
        <v>Cost of sales</v>
      </c>
    </row>
    <row r="137" spans="1:16" x14ac:dyDescent="0.25">
      <c r="A137" s="101">
        <v>520005</v>
      </c>
      <c r="B137" t="s">
        <v>125</v>
      </c>
      <c r="C137" s="98">
        <f>SUMIF(ALIF_Y2014!$A:$A,$A137,ALIF_Y2014!$F:$F)</f>
        <v>2175</v>
      </c>
      <c r="D137" s="98">
        <f>SUMIF(ALIF_Y2015!$A:$A,$A137,ALIF_Y2015!$F:$F)</f>
        <v>0</v>
      </c>
      <c r="E137" s="98">
        <f>SUMIF(ALIF_Y2016!$A:$A,$A137,ALIF_Y2016!$F:$F)</f>
        <v>0</v>
      </c>
      <c r="F137" s="98">
        <f>SUMIF(ALIF_Y2017!$A:$A,$A137,ALIF_Y2017!$F:$F)</f>
        <v>0</v>
      </c>
      <c r="G137" s="98">
        <f>SUMIF(ALIF_Y2018!$A:$A,$A137,ALIF_Y2018!$F:$F)</f>
        <v>0</v>
      </c>
      <c r="H137" s="98">
        <f>SUMIF(ALIF_Y2019!$A:$A,$A137,ALIF_Y2019!$F:$F)</f>
        <v>0</v>
      </c>
      <c r="I137" s="98">
        <f>SUMIF(ALIF_Y2020!$A:$A,$A137,ALIF_Y2020!$F:$F)</f>
        <v>0</v>
      </c>
      <c r="J137" s="98">
        <f>SUMIF(ALIF_Y2021!$A:$A,$A137,ALIF_Y2021!$F:$F)</f>
        <v>185417</v>
      </c>
      <c r="K137" s="98">
        <f>SUMIF(ALIF_Y2022!$A:$A,$A137,ALIF_Y2022!$F:$F)</f>
        <v>343054.47499999998</v>
      </c>
      <c r="L137" s="98">
        <f>SUMIF(ALIF_Y2023!$A:$A,$A137,ALIF_Y2023!$F:$F)</f>
        <v>114314.51000000001</v>
      </c>
      <c r="M137" s="98">
        <f>SUMIF(ALIF_Y2024!$A:$A,$A137,ALIF_Y2024!$F:$F)</f>
        <v>0</v>
      </c>
      <c r="N137" s="98">
        <f>SUMIF(ALIF_Y2025!$A:$A,$A137,ALIF_Y2025!$F:$F)</f>
        <v>9263.3940000000002</v>
      </c>
      <c r="O137" t="str">
        <f>_xlfn.XLOOKUP(A137,Map!A:A,Map!E:E)</f>
        <v>Direct Labor</v>
      </c>
      <c r="P137" t="str">
        <f>_xlfn.XLOOKUP(A137,Map!A:A,Map!D:D)</f>
        <v>Cost of sales</v>
      </c>
    </row>
    <row r="138" spans="1:16" x14ac:dyDescent="0.25">
      <c r="A138" s="101">
        <v>520006</v>
      </c>
      <c r="B138" t="s">
        <v>126</v>
      </c>
      <c r="C138" s="98">
        <f>SUMIF(ALIF_Y2014!$A:$A,$A138,ALIF_Y2014!$F:$F)</f>
        <v>126107.84999999999</v>
      </c>
      <c r="D138" s="98">
        <f>SUMIF(ALIF_Y2015!$A:$A,$A138,ALIF_Y2015!$F:$F)</f>
        <v>138822.36600000001</v>
      </c>
      <c r="E138" s="98">
        <f>SUMIF(ALIF_Y2016!$A:$A,$A138,ALIF_Y2016!$F:$F)</f>
        <v>205504.61</v>
      </c>
      <c r="F138" s="98">
        <f>SUMIF(ALIF_Y2017!$A:$A,$A138,ALIF_Y2017!$F:$F)</f>
        <v>257793.61</v>
      </c>
      <c r="G138" s="98">
        <f>SUMIF(ALIF_Y2018!$A:$A,$A138,ALIF_Y2018!$F:$F)</f>
        <v>111282</v>
      </c>
      <c r="H138" s="98">
        <f>SUMIF(ALIF_Y2019!$A:$A,$A138,ALIF_Y2019!$F:$F)</f>
        <v>222564</v>
      </c>
      <c r="I138" s="98">
        <f>SUMIF(ALIF_Y2020!$A:$A,$A138,ALIF_Y2020!$F:$F)</f>
        <v>285799.93099999998</v>
      </c>
      <c r="J138" s="98">
        <f>SUMIF(ALIF_Y2021!$A:$A,$A138,ALIF_Y2021!$F:$F)</f>
        <v>260976.54699999999</v>
      </c>
      <c r="K138" s="98">
        <f>SUMIF(ALIF_Y2022!$A:$A,$A138,ALIF_Y2022!$F:$F)</f>
        <v>334585.158</v>
      </c>
      <c r="L138" s="98">
        <f>SUMIF(ALIF_Y2023!$A:$A,$A138,ALIF_Y2023!$F:$F)</f>
        <v>289565.61300000001</v>
      </c>
      <c r="M138" s="98">
        <f>SUMIF(ALIF_Y2024!$A:$A,$A138,ALIF_Y2024!$F:$F)</f>
        <v>174982.03400000001</v>
      </c>
      <c r="N138" s="98">
        <f>SUMIF(ALIF_Y2025!$A:$A,$A138,ALIF_Y2025!$F:$F)</f>
        <v>217296.93700000001</v>
      </c>
      <c r="O138" t="str">
        <f>_xlfn.XLOOKUP(A138,Map!A:A,Map!E:E)</f>
        <v>Direct Labor</v>
      </c>
      <c r="P138" t="str">
        <f>_xlfn.XLOOKUP(A138,Map!A:A,Map!D:D)</f>
        <v>Cost of sales</v>
      </c>
    </row>
    <row r="139" spans="1:16" x14ac:dyDescent="0.25">
      <c r="A139" s="101">
        <v>520010</v>
      </c>
      <c r="B139" t="s">
        <v>127</v>
      </c>
      <c r="C139" s="98">
        <f>SUMIF(ALIF_Y2014!$A:$A,$A139,ALIF_Y2014!$F:$F)</f>
        <v>0</v>
      </c>
      <c r="D139" s="98">
        <f>SUMIF(ALIF_Y2015!$A:$A,$A139,ALIF_Y2015!$F:$F)</f>
        <v>0</v>
      </c>
      <c r="E139" s="98">
        <f>SUMIF(ALIF_Y2016!$A:$A,$A139,ALIF_Y2016!$F:$F)</f>
        <v>0</v>
      </c>
      <c r="F139" s="98">
        <f>SUMIF(ALIF_Y2017!$A:$A,$A139,ALIF_Y2017!$F:$F)</f>
        <v>0</v>
      </c>
      <c r="G139" s="98">
        <f>SUMIF(ALIF_Y2018!$A:$A,$A139,ALIF_Y2018!$F:$F)</f>
        <v>0</v>
      </c>
      <c r="H139" s="98">
        <f>SUMIF(ALIF_Y2019!$A:$A,$A139,ALIF_Y2019!$F:$F)</f>
        <v>0</v>
      </c>
      <c r="I139" s="98">
        <f>SUMIF(ALIF_Y2020!$A:$A,$A139,ALIF_Y2020!$F:$F)</f>
        <v>0</v>
      </c>
      <c r="J139" s="98">
        <f>SUMIF(ALIF_Y2021!$A:$A,$A139,ALIF_Y2021!$F:$F)</f>
        <v>0</v>
      </c>
      <c r="K139" s="98">
        <f>SUMIF(ALIF_Y2022!$A:$A,$A139,ALIF_Y2022!$F:$F)</f>
        <v>0</v>
      </c>
      <c r="L139" s="98">
        <f>SUMIF(ALIF_Y2023!$A:$A,$A139,ALIF_Y2023!$F:$F)</f>
        <v>0</v>
      </c>
      <c r="M139" s="98">
        <f>SUMIF(ALIF_Y2024!$A:$A,$A139,ALIF_Y2024!$F:$F)</f>
        <v>0</v>
      </c>
      <c r="N139" s="98">
        <f>SUMIF(ALIF_Y2025!$A:$A,$A139,ALIF_Y2025!$F:$F)</f>
        <v>0</v>
      </c>
      <c r="O139" t="str">
        <f>_xlfn.XLOOKUP(A139,Map!A:A,Map!E:E)</f>
        <v>Direct Labor</v>
      </c>
      <c r="P139" t="str">
        <f>_xlfn.XLOOKUP(A139,Map!A:A,Map!D:D)</f>
        <v>Cost of sales</v>
      </c>
    </row>
    <row r="140" spans="1:16" x14ac:dyDescent="0.25">
      <c r="A140" s="101">
        <v>520011</v>
      </c>
      <c r="B140" t="s">
        <v>122</v>
      </c>
      <c r="C140" s="98">
        <f>SUMIF(ALIF_Y2014!$A:$A,$A140,ALIF_Y2014!$F:$F)</f>
        <v>209594.5</v>
      </c>
      <c r="D140" s="98">
        <f>SUMIF(ALIF_Y2015!$A:$A,$A140,ALIF_Y2015!$F:$F)</f>
        <v>117198</v>
      </c>
      <c r="E140" s="98">
        <f>SUMIF(ALIF_Y2016!$A:$A,$A140,ALIF_Y2016!$F:$F)</f>
        <v>264612</v>
      </c>
      <c r="F140" s="98">
        <f>SUMIF(ALIF_Y2017!$A:$A,$A140,ALIF_Y2017!$F:$F)</f>
        <v>319805</v>
      </c>
      <c r="G140" s="98">
        <f>SUMIF(ALIF_Y2018!$A:$A,$A140,ALIF_Y2018!$F:$F)</f>
        <v>179098</v>
      </c>
      <c r="H140" s="98">
        <f>SUMIF(ALIF_Y2019!$A:$A,$A140,ALIF_Y2019!$F:$F)</f>
        <v>424845</v>
      </c>
      <c r="I140" s="98">
        <f>SUMIF(ALIF_Y2020!$A:$A,$A140,ALIF_Y2020!$F:$F)</f>
        <v>638970.98</v>
      </c>
      <c r="J140" s="98">
        <f>SUMIF(ALIF_Y2021!$A:$A,$A140,ALIF_Y2021!$F:$F)</f>
        <v>1213529</v>
      </c>
      <c r="K140" s="98">
        <f>SUMIF(ALIF_Y2022!$A:$A,$A140,ALIF_Y2022!$F:$F)</f>
        <v>1189797.2</v>
      </c>
      <c r="L140" s="98">
        <f>SUMIF(ALIF_Y2023!$A:$A,$A140,ALIF_Y2023!$F:$F)</f>
        <v>0</v>
      </c>
      <c r="M140" s="98">
        <f>SUMIF(ALIF_Y2024!$A:$A,$A140,ALIF_Y2024!$F:$F)</f>
        <v>0</v>
      </c>
      <c r="N140" s="98">
        <f>SUMIF(ALIF_Y2025!$A:$A,$A140,ALIF_Y2025!$F:$F)</f>
        <v>0</v>
      </c>
      <c r="O140" t="str">
        <f>_xlfn.XLOOKUP(A140,Map!A:A,Map!E:E)</f>
        <v>Direct Labor</v>
      </c>
      <c r="P140" t="str">
        <f>_xlfn.XLOOKUP(A140,Map!A:A,Map!D:D)</f>
        <v>Cost of sales</v>
      </c>
    </row>
    <row r="141" spans="1:16" x14ac:dyDescent="0.25">
      <c r="A141" s="101">
        <v>520013</v>
      </c>
      <c r="B141" t="s">
        <v>124</v>
      </c>
      <c r="C141" s="98">
        <f>SUMIF(ALIF_Y2014!$A:$A,$A141,ALIF_Y2014!$F:$F)</f>
        <v>227</v>
      </c>
      <c r="D141" s="98">
        <f>SUMIF(ALIF_Y2015!$A:$A,$A141,ALIF_Y2015!$F:$F)</f>
        <v>0</v>
      </c>
      <c r="E141" s="98">
        <f>SUMIF(ALIF_Y2016!$A:$A,$A141,ALIF_Y2016!$F:$F)</f>
        <v>0</v>
      </c>
      <c r="F141" s="98">
        <f>SUMIF(ALIF_Y2017!$A:$A,$A141,ALIF_Y2017!$F:$F)</f>
        <v>0</v>
      </c>
      <c r="G141" s="98">
        <f>SUMIF(ALIF_Y2018!$A:$A,$A141,ALIF_Y2018!$F:$F)</f>
        <v>0</v>
      </c>
      <c r="H141" s="98">
        <f>SUMIF(ALIF_Y2019!$A:$A,$A141,ALIF_Y2019!$F:$F)</f>
        <v>0</v>
      </c>
      <c r="I141" s="98">
        <f>SUMIF(ALIF_Y2020!$A:$A,$A141,ALIF_Y2020!$F:$F)</f>
        <v>0</v>
      </c>
      <c r="J141" s="98">
        <f>SUMIF(ALIF_Y2021!$A:$A,$A141,ALIF_Y2021!$F:$F)</f>
        <v>0</v>
      </c>
      <c r="K141" s="98">
        <f>SUMIF(ALIF_Y2022!$A:$A,$A141,ALIF_Y2022!$F:$F)</f>
        <v>0</v>
      </c>
      <c r="L141" s="98">
        <f>SUMIF(ALIF_Y2023!$A:$A,$A141,ALIF_Y2023!$F:$F)</f>
        <v>0</v>
      </c>
      <c r="M141" s="98">
        <f>SUMIF(ALIF_Y2024!$A:$A,$A141,ALIF_Y2024!$F:$F)</f>
        <v>0</v>
      </c>
      <c r="N141" s="98">
        <f>SUMIF(ALIF_Y2025!$A:$A,$A141,ALIF_Y2025!$F:$F)</f>
        <v>0</v>
      </c>
      <c r="O141" t="str">
        <f>_xlfn.XLOOKUP(A141,Map!A:A,Map!E:E)</f>
        <v>Direct Labor</v>
      </c>
      <c r="P141" t="str">
        <f>_xlfn.XLOOKUP(A141,Map!A:A,Map!D:D)</f>
        <v>Cost of sales</v>
      </c>
    </row>
    <row r="142" spans="1:16" x14ac:dyDescent="0.25">
      <c r="A142" s="101">
        <v>520014</v>
      </c>
      <c r="B142" t="s">
        <v>125</v>
      </c>
      <c r="C142" s="98">
        <f>SUMIF(ALIF_Y2014!$A:$A,$A142,ALIF_Y2014!$F:$F)</f>
        <v>1350</v>
      </c>
      <c r="D142" s="98">
        <f>SUMIF(ALIF_Y2015!$A:$A,$A142,ALIF_Y2015!$F:$F)</f>
        <v>0</v>
      </c>
      <c r="E142" s="98">
        <f>SUMIF(ALIF_Y2016!$A:$A,$A142,ALIF_Y2016!$F:$F)</f>
        <v>0</v>
      </c>
      <c r="F142" s="98">
        <f>SUMIF(ALIF_Y2017!$A:$A,$A142,ALIF_Y2017!$F:$F)</f>
        <v>0</v>
      </c>
      <c r="G142" s="98">
        <f>SUMIF(ALIF_Y2018!$A:$A,$A142,ALIF_Y2018!$F:$F)</f>
        <v>0</v>
      </c>
      <c r="H142" s="98">
        <f>SUMIF(ALIF_Y2019!$A:$A,$A142,ALIF_Y2019!$F:$F)</f>
        <v>0</v>
      </c>
      <c r="I142" s="98">
        <f>SUMIF(ALIF_Y2020!$A:$A,$A142,ALIF_Y2020!$F:$F)</f>
        <v>0</v>
      </c>
      <c r="J142" s="98">
        <f>SUMIF(ALIF_Y2021!$A:$A,$A142,ALIF_Y2021!$F:$F)</f>
        <v>0</v>
      </c>
      <c r="K142" s="98">
        <f>SUMIF(ALIF_Y2022!$A:$A,$A142,ALIF_Y2022!$F:$F)</f>
        <v>0</v>
      </c>
      <c r="L142" s="98">
        <f>SUMIF(ALIF_Y2023!$A:$A,$A142,ALIF_Y2023!$F:$F)</f>
        <v>0</v>
      </c>
      <c r="M142" s="98">
        <f>SUMIF(ALIF_Y2024!$A:$A,$A142,ALIF_Y2024!$F:$F)</f>
        <v>0</v>
      </c>
      <c r="N142" s="98">
        <f>SUMIF(ALIF_Y2025!$A:$A,$A142,ALIF_Y2025!$F:$F)</f>
        <v>2811</v>
      </c>
      <c r="O142" t="str">
        <f>_xlfn.XLOOKUP(A142,Map!A:A,Map!E:E)</f>
        <v>Direct Labor</v>
      </c>
      <c r="P142" t="str">
        <f>_xlfn.XLOOKUP(A142,Map!A:A,Map!D:D)</f>
        <v>Cost of sales</v>
      </c>
    </row>
    <row r="143" spans="1:16" x14ac:dyDescent="0.25">
      <c r="A143" s="101">
        <v>520015</v>
      </c>
      <c r="B143" t="s">
        <v>128</v>
      </c>
      <c r="C143" s="98">
        <f>SUMIF(ALIF_Y2014!$A:$A,$A143,ALIF_Y2014!$F:$F)</f>
        <v>0</v>
      </c>
      <c r="D143" s="98">
        <f>SUMIF(ALIF_Y2015!$A:$A,$A143,ALIF_Y2015!$F:$F)</f>
        <v>0</v>
      </c>
      <c r="E143" s="98">
        <f>SUMIF(ALIF_Y2016!$A:$A,$A143,ALIF_Y2016!$F:$F)</f>
        <v>0</v>
      </c>
      <c r="F143" s="98">
        <f>SUMIF(ALIF_Y2017!$A:$A,$A143,ALIF_Y2017!$F:$F)</f>
        <v>0</v>
      </c>
      <c r="G143" s="98">
        <f>SUMIF(ALIF_Y2018!$A:$A,$A143,ALIF_Y2018!$F:$F)</f>
        <v>0</v>
      </c>
      <c r="H143" s="98">
        <f>SUMIF(ALIF_Y2019!$A:$A,$A143,ALIF_Y2019!$F:$F)</f>
        <v>0</v>
      </c>
      <c r="I143" s="98">
        <f>SUMIF(ALIF_Y2020!$A:$A,$A143,ALIF_Y2020!$F:$F)</f>
        <v>0</v>
      </c>
      <c r="J143" s="98">
        <f>SUMIF(ALIF_Y2021!$A:$A,$A143,ALIF_Y2021!$F:$F)</f>
        <v>119478</v>
      </c>
      <c r="K143" s="98">
        <f>SUMIF(ALIF_Y2022!$A:$A,$A143,ALIF_Y2022!$F:$F)</f>
        <v>0</v>
      </c>
      <c r="L143" s="98">
        <f>SUMIF(ALIF_Y2023!$A:$A,$A143,ALIF_Y2023!$F:$F)</f>
        <v>292511.38</v>
      </c>
      <c r="M143" s="98">
        <f>SUMIF(ALIF_Y2024!$A:$A,$A143,ALIF_Y2024!$F:$F)</f>
        <v>186576</v>
      </c>
      <c r="N143" s="98">
        <f>SUMIF(ALIF_Y2025!$A:$A,$A143,ALIF_Y2025!$F:$F)</f>
        <v>1213191.9069999999</v>
      </c>
      <c r="O143" t="str">
        <f>_xlfn.XLOOKUP(A143,Map!A:A,Map!E:E)</f>
        <v>Direct Labor</v>
      </c>
      <c r="P143" t="str">
        <f>_xlfn.XLOOKUP(A143,Map!A:A,Map!D:D)</f>
        <v>Cost of sales</v>
      </c>
    </row>
    <row r="144" spans="1:16" x14ac:dyDescent="0.25">
      <c r="A144" s="101">
        <v>520019</v>
      </c>
      <c r="B144" t="s">
        <v>241</v>
      </c>
      <c r="C144" s="98">
        <f>SUMIF(ALIF_Y2014!$A:$A,$A144,ALIF_Y2014!$F:$F)</f>
        <v>0</v>
      </c>
      <c r="D144" s="98">
        <f>SUMIF(ALIF_Y2015!$A:$A,$A144,ALIF_Y2015!$F:$F)</f>
        <v>0</v>
      </c>
      <c r="E144" s="98">
        <f>SUMIF(ALIF_Y2016!$A:$A,$A144,ALIF_Y2016!$F:$F)</f>
        <v>0</v>
      </c>
      <c r="F144" s="98">
        <f>SUMIF(ALIF_Y2017!$A:$A,$A144,ALIF_Y2017!$F:$F)</f>
        <v>0</v>
      </c>
      <c r="G144" s="98">
        <f>SUMIF(ALIF_Y2018!$A:$A,$A144,ALIF_Y2018!$F:$F)</f>
        <v>0</v>
      </c>
      <c r="H144" s="98">
        <f>SUMIF(ALIF_Y2019!$A:$A,$A144,ALIF_Y2019!$F:$F)</f>
        <v>0</v>
      </c>
      <c r="I144" s="98">
        <f>SUMIF(ALIF_Y2020!$A:$A,$A144,ALIF_Y2020!$F:$F)</f>
        <v>0</v>
      </c>
      <c r="J144" s="98">
        <f>SUMIF(ALIF_Y2021!$A:$A,$A144,ALIF_Y2021!$F:$F)</f>
        <v>0</v>
      </c>
      <c r="K144" s="98">
        <f>SUMIF(ALIF_Y2022!$A:$A,$A144,ALIF_Y2022!$F:$F)</f>
        <v>0</v>
      </c>
      <c r="L144" s="98">
        <f>SUMIF(ALIF_Y2023!$A:$A,$A144,ALIF_Y2023!$F:$F)</f>
        <v>0</v>
      </c>
      <c r="M144" s="98">
        <f>SUMIF(ALIF_Y2024!$A:$A,$A144,ALIF_Y2024!$F:$F)</f>
        <v>0</v>
      </c>
      <c r="N144" s="98">
        <f>SUMIF(ALIF_Y2025!$A:$A,$A144,ALIF_Y2025!$F:$F)</f>
        <v>1113364.5209999999</v>
      </c>
      <c r="O144" t="str">
        <f>_xlfn.XLOOKUP(A144,Map!A:A,Map!E:E)</f>
        <v>Direct Labor</v>
      </c>
      <c r="P144" t="str">
        <f>_xlfn.XLOOKUP(A144,Map!A:A,Map!D:D)</f>
        <v>Cost of sales</v>
      </c>
    </row>
    <row r="145" spans="1:16" x14ac:dyDescent="0.25">
      <c r="A145" s="101">
        <v>520021</v>
      </c>
      <c r="B145" t="s">
        <v>129</v>
      </c>
      <c r="C145" s="98">
        <f>SUMIF(ALIF_Y2014!$A:$A,$A145,ALIF_Y2014!$F:$F)</f>
        <v>29659.64</v>
      </c>
      <c r="D145" s="98">
        <f>SUMIF(ALIF_Y2015!$A:$A,$A145,ALIF_Y2015!$F:$F)</f>
        <v>14151.250000000002</v>
      </c>
      <c r="E145" s="98">
        <f>SUMIF(ALIF_Y2016!$A:$A,$A145,ALIF_Y2016!$F:$F)</f>
        <v>33413</v>
      </c>
      <c r="F145" s="98">
        <f>SUMIF(ALIF_Y2017!$A:$A,$A145,ALIF_Y2017!$F:$F)</f>
        <v>34941</v>
      </c>
      <c r="G145" s="98">
        <f>SUMIF(ALIF_Y2018!$A:$A,$A145,ALIF_Y2018!$F:$F)</f>
        <v>11607.28</v>
      </c>
      <c r="H145" s="98">
        <f>SUMIF(ALIF_Y2019!$A:$A,$A145,ALIF_Y2019!$F:$F)</f>
        <v>66506</v>
      </c>
      <c r="I145" s="98">
        <f>SUMIF(ALIF_Y2020!$A:$A,$A145,ALIF_Y2020!$F:$F)</f>
        <v>39595</v>
      </c>
      <c r="J145" s="98">
        <f>SUMIF(ALIF_Y2021!$A:$A,$A145,ALIF_Y2021!$F:$F)</f>
        <v>8608.1190000000006</v>
      </c>
      <c r="K145" s="98">
        <f>SUMIF(ALIF_Y2022!$A:$A,$A145,ALIF_Y2022!$F:$F)</f>
        <v>5404.2979999999998</v>
      </c>
      <c r="L145" s="98">
        <f>SUMIF(ALIF_Y2023!$A:$A,$A145,ALIF_Y2023!$F:$F)</f>
        <v>300</v>
      </c>
      <c r="M145" s="98">
        <f>SUMIF(ALIF_Y2024!$A:$A,$A145,ALIF_Y2024!$F:$F)</f>
        <v>0</v>
      </c>
      <c r="N145" s="98">
        <f>SUMIF(ALIF_Y2025!$A:$A,$A145,ALIF_Y2025!$F:$F)</f>
        <v>0</v>
      </c>
      <c r="O145" t="str">
        <f>_xlfn.XLOOKUP(A145,Map!A:A,Map!E:E)</f>
        <v>Direct Labor</v>
      </c>
      <c r="P145" t="str">
        <f>_xlfn.XLOOKUP(A145,Map!A:A,Map!D:D)</f>
        <v>Cost of sales</v>
      </c>
    </row>
    <row r="146" spans="1:16" x14ac:dyDescent="0.25">
      <c r="A146" s="101">
        <v>520022</v>
      </c>
      <c r="B146" t="s">
        <v>130</v>
      </c>
      <c r="C146" s="98">
        <f>SUMIF(ALIF_Y2014!$A:$A,$A146,ALIF_Y2014!$F:$F)</f>
        <v>0</v>
      </c>
      <c r="D146" s="98">
        <f>SUMIF(ALIF_Y2015!$A:$A,$A146,ALIF_Y2015!$F:$F)</f>
        <v>0</v>
      </c>
      <c r="E146" s="98">
        <f>SUMIF(ALIF_Y2016!$A:$A,$A146,ALIF_Y2016!$F:$F)</f>
        <v>0</v>
      </c>
      <c r="F146" s="98">
        <f>SUMIF(ALIF_Y2017!$A:$A,$A146,ALIF_Y2017!$F:$F)</f>
        <v>0</v>
      </c>
      <c r="G146" s="98">
        <f>SUMIF(ALIF_Y2018!$A:$A,$A146,ALIF_Y2018!$F:$F)</f>
        <v>0</v>
      </c>
      <c r="H146" s="98">
        <f>SUMIF(ALIF_Y2019!$A:$A,$A146,ALIF_Y2019!$F:$F)</f>
        <v>0</v>
      </c>
      <c r="I146" s="98">
        <f>SUMIF(ALIF_Y2020!$A:$A,$A146,ALIF_Y2020!$F:$F)</f>
        <v>0</v>
      </c>
      <c r="J146" s="98">
        <f>SUMIF(ALIF_Y2021!$A:$A,$A146,ALIF_Y2021!$F:$F)</f>
        <v>0</v>
      </c>
      <c r="K146" s="98">
        <f>SUMIF(ALIF_Y2022!$A:$A,$A146,ALIF_Y2022!$F:$F)</f>
        <v>0</v>
      </c>
      <c r="L146" s="98">
        <f>SUMIF(ALIF_Y2023!$A:$A,$A146,ALIF_Y2023!$F:$F)</f>
        <v>0</v>
      </c>
      <c r="M146" s="98">
        <f>SUMIF(ALIF_Y2024!$A:$A,$A146,ALIF_Y2024!$F:$F)</f>
        <v>0</v>
      </c>
      <c r="N146" s="98">
        <f>SUMIF(ALIF_Y2025!$A:$A,$A146,ALIF_Y2025!$F:$F)</f>
        <v>0</v>
      </c>
      <c r="O146" t="str">
        <f>_xlfn.XLOOKUP(A146,Map!A:A,Map!E:E)</f>
        <v>Direct Labor</v>
      </c>
      <c r="P146" t="str">
        <f>_xlfn.XLOOKUP(A146,Map!A:A,Map!D:D)</f>
        <v>Cost of sales</v>
      </c>
    </row>
    <row r="147" spans="1:16" x14ac:dyDescent="0.25">
      <c r="A147" s="101">
        <v>520023</v>
      </c>
      <c r="B147" t="s">
        <v>255</v>
      </c>
      <c r="C147" s="98">
        <f>SUMIF(ALIF_Y2014!$A:$A,$A147,ALIF_Y2014!$F:$F)</f>
        <v>0</v>
      </c>
      <c r="D147" s="98">
        <f>SUMIF(ALIF_Y2015!$A:$A,$A147,ALIF_Y2015!$F:$F)</f>
        <v>719.75</v>
      </c>
      <c r="E147" s="98">
        <f>SUMIF(ALIF_Y2016!$A:$A,$A147,ALIF_Y2016!$F:$F)</f>
        <v>0</v>
      </c>
      <c r="F147" s="98">
        <f>SUMIF(ALIF_Y2017!$A:$A,$A147,ALIF_Y2017!$F:$F)</f>
        <v>0</v>
      </c>
      <c r="G147" s="98">
        <f>SUMIF(ALIF_Y2018!$A:$A,$A147,ALIF_Y2018!$F:$F)</f>
        <v>0</v>
      </c>
      <c r="H147" s="98">
        <f>SUMIF(ALIF_Y2019!$A:$A,$A147,ALIF_Y2019!$F:$F)</f>
        <v>52202.400000000001</v>
      </c>
      <c r="I147" s="98">
        <f>SUMIF(ALIF_Y2020!$A:$A,$A147,ALIF_Y2020!$F:$F)</f>
        <v>0</v>
      </c>
      <c r="J147" s="98">
        <f>SUMIF(ALIF_Y2021!$A:$A,$A147,ALIF_Y2021!$F:$F)</f>
        <v>0</v>
      </c>
      <c r="K147" s="98">
        <f>SUMIF(ALIF_Y2022!$A:$A,$A147,ALIF_Y2022!$F:$F)</f>
        <v>0</v>
      </c>
      <c r="L147" s="98">
        <f>SUMIF(ALIF_Y2023!$A:$A,$A147,ALIF_Y2023!$F:$F)</f>
        <v>0</v>
      </c>
      <c r="M147" s="98">
        <f>SUMIF(ALIF_Y2024!$A:$A,$A147,ALIF_Y2024!$F:$F)</f>
        <v>0</v>
      </c>
      <c r="N147" s="98">
        <f>SUMIF(ALIF_Y2025!$A:$A,$A147,ALIF_Y2025!$F:$F)</f>
        <v>0</v>
      </c>
      <c r="O147" t="str">
        <f>_xlfn.XLOOKUP(A147,Map!A:A,Map!E:E)</f>
        <v>Direct Labor</v>
      </c>
      <c r="P147" t="str">
        <f>_xlfn.XLOOKUP(A147,Map!A:A,Map!D:D)</f>
        <v>Cost of sales</v>
      </c>
    </row>
    <row r="148" spans="1:16" x14ac:dyDescent="0.25">
      <c r="A148" s="101">
        <v>520032</v>
      </c>
      <c r="B148" t="s">
        <v>131</v>
      </c>
      <c r="C148" s="98">
        <f>SUMIF(ALIF_Y2014!$A:$A,$A148,ALIF_Y2014!$F:$F)</f>
        <v>0</v>
      </c>
      <c r="D148" s="98">
        <f>SUMIF(ALIF_Y2015!$A:$A,$A148,ALIF_Y2015!$F:$F)</f>
        <v>0</v>
      </c>
      <c r="E148" s="98">
        <f>SUMIF(ALIF_Y2016!$A:$A,$A148,ALIF_Y2016!$F:$F)</f>
        <v>0</v>
      </c>
      <c r="F148" s="98">
        <f>SUMIF(ALIF_Y2017!$A:$A,$A148,ALIF_Y2017!$F:$F)</f>
        <v>0</v>
      </c>
      <c r="G148" s="98">
        <f>SUMIF(ALIF_Y2018!$A:$A,$A148,ALIF_Y2018!$F:$F)</f>
        <v>0</v>
      </c>
      <c r="H148" s="98">
        <f>SUMIF(ALIF_Y2019!$A:$A,$A148,ALIF_Y2019!$F:$F)</f>
        <v>0</v>
      </c>
      <c r="I148" s="98">
        <f>SUMIF(ALIF_Y2020!$A:$A,$A148,ALIF_Y2020!$F:$F)</f>
        <v>0</v>
      </c>
      <c r="J148" s="98">
        <f>SUMIF(ALIF_Y2021!$A:$A,$A148,ALIF_Y2021!$F:$F)</f>
        <v>0</v>
      </c>
      <c r="K148" s="98">
        <f>SUMIF(ALIF_Y2022!$A:$A,$A148,ALIF_Y2022!$F:$F)</f>
        <v>0</v>
      </c>
      <c r="L148" s="98">
        <f>SUMIF(ALIF_Y2023!$A:$A,$A148,ALIF_Y2023!$F:$F)</f>
        <v>0</v>
      </c>
      <c r="M148" s="98">
        <f>SUMIF(ALIF_Y2024!$A:$A,$A148,ALIF_Y2024!$F:$F)</f>
        <v>0</v>
      </c>
      <c r="N148" s="98">
        <f>SUMIF(ALIF_Y2025!$A:$A,$A148,ALIF_Y2025!$F:$F)</f>
        <v>0</v>
      </c>
      <c r="O148" t="str">
        <f>_xlfn.XLOOKUP(A148,Map!A:A,Map!E:E)</f>
        <v>Raw materials</v>
      </c>
      <c r="P148" t="str">
        <f>_xlfn.XLOOKUP(A148,Map!A:A,Map!D:D)</f>
        <v>Cost of sales</v>
      </c>
    </row>
    <row r="149" spans="1:16" x14ac:dyDescent="0.25">
      <c r="A149" s="101">
        <v>520036</v>
      </c>
      <c r="B149" t="s">
        <v>132</v>
      </c>
      <c r="C149" s="98">
        <f>SUMIF(ALIF_Y2014!$A:$A,$A149,ALIF_Y2014!$F:$F)</f>
        <v>0</v>
      </c>
      <c r="D149" s="98">
        <f>SUMIF(ALIF_Y2015!$A:$A,$A149,ALIF_Y2015!$F:$F)</f>
        <v>0</v>
      </c>
      <c r="E149" s="98">
        <f>SUMIF(ALIF_Y2016!$A:$A,$A149,ALIF_Y2016!$F:$F)</f>
        <v>-1.6000000000000004E-2</v>
      </c>
      <c r="F149" s="98">
        <f>SUMIF(ALIF_Y2017!$A:$A,$A149,ALIF_Y2017!$F:$F)</f>
        <v>-1.4999999999999999E-2</v>
      </c>
      <c r="G149" s="98">
        <f>SUMIF(ALIF_Y2018!$A:$A,$A149,ALIF_Y2018!$F:$F)</f>
        <v>-2.7E-2</v>
      </c>
      <c r="H149" s="98">
        <f>SUMIF(ALIF_Y2019!$A:$A,$A149,ALIF_Y2019!$F:$F)</f>
        <v>-0.11600000000000001</v>
      </c>
      <c r="I149" s="98">
        <f>SUMIF(ALIF_Y2020!$A:$A,$A149,ALIF_Y2020!$F:$F)</f>
        <v>-4.4999999999999998E-2</v>
      </c>
      <c r="J149" s="98">
        <f>SUMIF(ALIF_Y2021!$A:$A,$A149,ALIF_Y2021!$F:$F)</f>
        <v>-3.7999999999999999E-2</v>
      </c>
      <c r="K149" s="98">
        <f>SUMIF(ALIF_Y2022!$A:$A,$A149,ALIF_Y2022!$F:$F)</f>
        <v>-0.124</v>
      </c>
      <c r="L149" s="98">
        <f>SUMIF(ALIF_Y2023!$A:$A,$A149,ALIF_Y2023!$F:$F)</f>
        <v>1.2E-2</v>
      </c>
      <c r="M149" s="98">
        <f>SUMIF(ALIF_Y2024!$A:$A,$A149,ALIF_Y2024!$F:$F)</f>
        <v>-3.6999999999999998E-2</v>
      </c>
      <c r="N149" s="98">
        <f>SUMIF(ALIF_Y2025!$A:$A,$A149,ALIF_Y2025!$F:$F)</f>
        <v>-0.68500000000000005</v>
      </c>
      <c r="O149" t="str">
        <f>_xlfn.XLOOKUP(A149,Map!A:A,Map!E:E)</f>
        <v>Raw materials</v>
      </c>
      <c r="P149" t="str">
        <f>_xlfn.XLOOKUP(A149,Map!A:A,Map!D:D)</f>
        <v>Cost of sales</v>
      </c>
    </row>
    <row r="150" spans="1:16" x14ac:dyDescent="0.25">
      <c r="A150" s="101">
        <v>520037</v>
      </c>
      <c r="B150" t="s">
        <v>133</v>
      </c>
      <c r="C150" s="98">
        <f>SUMIF(ALIF_Y2014!$A:$A,$A150,ALIF_Y2014!$F:$F)</f>
        <v>41329.161</v>
      </c>
      <c r="D150" s="98">
        <f>SUMIF(ALIF_Y2015!$A:$A,$A150,ALIF_Y2015!$F:$F)</f>
        <v>0</v>
      </c>
      <c r="E150" s="98">
        <f>SUMIF(ALIF_Y2016!$A:$A,$A150,ALIF_Y2016!$F:$F)</f>
        <v>-53857.501000000004</v>
      </c>
      <c r="F150" s="98">
        <f>SUMIF(ALIF_Y2017!$A:$A,$A150,ALIF_Y2017!$F:$F)</f>
        <v>-161768.13</v>
      </c>
      <c r="G150" s="98">
        <f>SUMIF(ALIF_Y2018!$A:$A,$A150,ALIF_Y2018!$F:$F)</f>
        <v>180331.288</v>
      </c>
      <c r="H150" s="98">
        <f>SUMIF(ALIF_Y2019!$A:$A,$A150,ALIF_Y2019!$F:$F)</f>
        <v>922472.60699999996</v>
      </c>
      <c r="I150" s="98">
        <f>SUMIF(ALIF_Y2020!$A:$A,$A150,ALIF_Y2020!$F:$F)</f>
        <v>891090.79</v>
      </c>
      <c r="J150" s="98">
        <f>SUMIF(ALIF_Y2021!$A:$A,$A150,ALIF_Y2021!$F:$F)</f>
        <v>-3705.01</v>
      </c>
      <c r="K150" s="98">
        <f>SUMIF(ALIF_Y2022!$A:$A,$A150,ALIF_Y2022!$F:$F)</f>
        <v>-1.4320000000000002</v>
      </c>
      <c r="L150" s="98">
        <f>SUMIF(ALIF_Y2023!$A:$A,$A150,ALIF_Y2023!$F:$F)</f>
        <v>99002.95</v>
      </c>
      <c r="M150" s="98">
        <f>SUMIF(ALIF_Y2024!$A:$A,$A150,ALIF_Y2024!$F:$F)</f>
        <v>491473.29300000001</v>
      </c>
      <c r="N150" s="98">
        <f>SUMIF(ALIF_Y2025!$A:$A,$A150,ALIF_Y2025!$F:$F)</f>
        <v>1567396.0330000001</v>
      </c>
      <c r="O150" t="str">
        <f>_xlfn.XLOOKUP(A150,Map!A:A,Map!E:E)</f>
        <v>Raw materials</v>
      </c>
      <c r="P150" t="str">
        <f>_xlfn.XLOOKUP(A150,Map!A:A,Map!D:D)</f>
        <v>Cost of sales</v>
      </c>
    </row>
    <row r="151" spans="1:16" x14ac:dyDescent="0.25">
      <c r="A151" s="101">
        <v>520039</v>
      </c>
      <c r="B151" t="s">
        <v>492</v>
      </c>
      <c r="C151" s="98">
        <f>SUMIF(ALIF_Y2014!$A:$A,$A151,ALIF_Y2014!$F:$F)</f>
        <v>0</v>
      </c>
      <c r="D151" s="98">
        <f>SUMIF(ALIF_Y2015!$A:$A,$A151,ALIF_Y2015!$F:$F)</f>
        <v>0</v>
      </c>
      <c r="E151" s="98">
        <f>SUMIF(ALIF_Y2016!$A:$A,$A151,ALIF_Y2016!$F:$F)</f>
        <v>0</v>
      </c>
      <c r="F151" s="98">
        <f>SUMIF(ALIF_Y2017!$A:$A,$A151,ALIF_Y2017!$F:$F)</f>
        <v>0</v>
      </c>
      <c r="G151" s="98">
        <f>SUMIF(ALIF_Y2018!$A:$A,$A151,ALIF_Y2018!$F:$F)</f>
        <v>0</v>
      </c>
      <c r="H151" s="98">
        <f>SUMIF(ALIF_Y2019!$A:$A,$A151,ALIF_Y2019!$F:$F)</f>
        <v>0</v>
      </c>
      <c r="I151" s="98">
        <f>SUMIF(ALIF_Y2020!$A:$A,$A151,ALIF_Y2020!$F:$F)</f>
        <v>0</v>
      </c>
      <c r="J151" s="98">
        <f>SUMIF(ALIF_Y2021!$A:$A,$A151,ALIF_Y2021!$F:$F)</f>
        <v>0</v>
      </c>
      <c r="K151" s="98">
        <f>SUMIF(ALIF_Y2022!$A:$A,$A151,ALIF_Y2022!$F:$F)</f>
        <v>0</v>
      </c>
      <c r="L151" s="98">
        <f>SUMIF(ALIF_Y2023!$A:$A,$A151,ALIF_Y2023!$F:$F)</f>
        <v>0</v>
      </c>
      <c r="M151" s="98">
        <f>SUMIF(ALIF_Y2024!$A:$A,$A151,ALIF_Y2024!$F:$F)</f>
        <v>0</v>
      </c>
      <c r="N151" s="98">
        <f>SUMIF(ALIF_Y2025!$A:$A,$A151,ALIF_Y2025!$F:$F)</f>
        <v>-44270.525999999998</v>
      </c>
      <c r="O151" t="str">
        <f>_xlfn.XLOOKUP(A151,Map!A:A,Map!E:E)</f>
        <v>Direct Labor</v>
      </c>
      <c r="P151" t="str">
        <f>_xlfn.XLOOKUP(A151,Map!A:A,Map!D:D)</f>
        <v>Cost of sales</v>
      </c>
    </row>
    <row r="152" spans="1:16" x14ac:dyDescent="0.25">
      <c r="A152" s="101">
        <v>520040</v>
      </c>
      <c r="B152" t="s">
        <v>134</v>
      </c>
      <c r="C152" s="98">
        <f>SUMIF(ALIF_Y2014!$A:$A,$A152,ALIF_Y2014!$F:$F)</f>
        <v>-44940.302000000003</v>
      </c>
      <c r="D152" s="98">
        <f>SUMIF(ALIF_Y2015!$A:$A,$A152,ALIF_Y2015!$F:$F)</f>
        <v>0</v>
      </c>
      <c r="E152" s="98">
        <f>SUMIF(ALIF_Y2016!$A:$A,$A152,ALIF_Y2016!$F:$F)</f>
        <v>0</v>
      </c>
      <c r="F152" s="98">
        <f>SUMIF(ALIF_Y2017!$A:$A,$A152,ALIF_Y2017!$F:$F)</f>
        <v>0</v>
      </c>
      <c r="G152" s="98">
        <f>SUMIF(ALIF_Y2018!$A:$A,$A152,ALIF_Y2018!$F:$F)</f>
        <v>0</v>
      </c>
      <c r="H152" s="98">
        <f>SUMIF(ALIF_Y2019!$A:$A,$A152,ALIF_Y2019!$F:$F)</f>
        <v>0</v>
      </c>
      <c r="I152" s="98">
        <f>SUMIF(ALIF_Y2020!$A:$A,$A152,ALIF_Y2020!$F:$F)</f>
        <v>0</v>
      </c>
      <c r="J152" s="98">
        <f>SUMIF(ALIF_Y2021!$A:$A,$A152,ALIF_Y2021!$F:$F)</f>
        <v>126.342</v>
      </c>
      <c r="K152" s="98">
        <f>SUMIF(ALIF_Y2022!$A:$A,$A152,ALIF_Y2022!$F:$F)</f>
        <v>372.28899999999999</v>
      </c>
      <c r="L152" s="98">
        <f>SUMIF(ALIF_Y2023!$A:$A,$A152,ALIF_Y2023!$F:$F)</f>
        <v>0</v>
      </c>
      <c r="M152" s="98">
        <f>SUMIF(ALIF_Y2024!$A:$A,$A152,ALIF_Y2024!$F:$F)</f>
        <v>-78103.918000000005</v>
      </c>
      <c r="N152" s="98">
        <f>SUMIF(ALIF_Y2025!$A:$A,$A152,ALIF_Y2025!$F:$F)</f>
        <v>-332.78899999999999</v>
      </c>
      <c r="O152" t="str">
        <f>_xlfn.XLOOKUP(A152,Map!A:A,Map!E:E)</f>
        <v>Raw materials</v>
      </c>
      <c r="P152" t="str">
        <f>_xlfn.XLOOKUP(A152,Map!A:A,Map!D:D)</f>
        <v>Cost of sales</v>
      </c>
    </row>
    <row r="153" spans="1:16" x14ac:dyDescent="0.25">
      <c r="A153" s="101">
        <v>520041</v>
      </c>
      <c r="B153" t="s">
        <v>135</v>
      </c>
      <c r="C153" s="98">
        <f>SUMIF(ALIF_Y2014!$A:$A,$A153,ALIF_Y2014!$F:$F)</f>
        <v>-3951038.4169999999</v>
      </c>
      <c r="D153" s="98">
        <f>SUMIF(ALIF_Y2015!$A:$A,$A153,ALIF_Y2015!$F:$F)</f>
        <v>0</v>
      </c>
      <c r="E153" s="98">
        <f>SUMIF(ALIF_Y2016!$A:$A,$A153,ALIF_Y2016!$F:$F)</f>
        <v>-7273581.5319999997</v>
      </c>
      <c r="F153" s="98">
        <f>SUMIF(ALIF_Y2017!$A:$A,$A153,ALIF_Y2017!$F:$F)</f>
        <v>-9191982.3729999997</v>
      </c>
      <c r="G153" s="98">
        <f>SUMIF(ALIF_Y2018!$A:$A,$A153,ALIF_Y2018!$F:$F)</f>
        <v>-5083378.7910000002</v>
      </c>
      <c r="H153" s="98">
        <f>SUMIF(ALIF_Y2019!$A:$A,$A153,ALIF_Y2019!$F:$F)</f>
        <v>-13068657.573000001</v>
      </c>
      <c r="I153" s="98">
        <f>SUMIF(ALIF_Y2020!$A:$A,$A153,ALIF_Y2020!$F:$F)</f>
        <v>-9910741.7579999994</v>
      </c>
      <c r="J153" s="98">
        <f>SUMIF(ALIF_Y2021!$A:$A,$A153,ALIF_Y2021!$F:$F)</f>
        <v>-10520550.005000001</v>
      </c>
      <c r="K153" s="98">
        <f>SUMIF(ALIF_Y2022!$A:$A,$A153,ALIF_Y2022!$F:$F)</f>
        <v>-14000088.23</v>
      </c>
      <c r="L153" s="98">
        <f>SUMIF(ALIF_Y2023!$A:$A,$A153,ALIF_Y2023!$F:$F)</f>
        <v>-7931145.6780000003</v>
      </c>
      <c r="M153" s="98">
        <f>SUMIF(ALIF_Y2024!$A:$A,$A153,ALIF_Y2024!$F:$F)</f>
        <v>-9609341.4900000002</v>
      </c>
      <c r="N153" s="98">
        <f>SUMIF(ALIF_Y2025!$A:$A,$A153,ALIF_Y2025!$F:$F)</f>
        <v>-20001083.579999998</v>
      </c>
      <c r="O153" t="str">
        <f>_xlfn.XLOOKUP(A153,Map!A:A,Map!E:E)</f>
        <v>Raw materials</v>
      </c>
      <c r="P153" t="str">
        <f>_xlfn.XLOOKUP(A153,Map!A:A,Map!D:D)</f>
        <v>Cost of sales</v>
      </c>
    </row>
    <row r="154" spans="1:16" x14ac:dyDescent="0.25">
      <c r="A154" s="101">
        <v>520042</v>
      </c>
      <c r="B154" t="s">
        <v>136</v>
      </c>
      <c r="C154" s="98">
        <f>SUMIF(ALIF_Y2014!$A:$A,$A154,ALIF_Y2014!$F:$F)</f>
        <v>-360013.37099999998</v>
      </c>
      <c r="D154" s="98">
        <f>SUMIF(ALIF_Y2015!$A:$A,$A154,ALIF_Y2015!$F:$F)</f>
        <v>0</v>
      </c>
      <c r="E154" s="98">
        <f>SUMIF(ALIF_Y2016!$A:$A,$A154,ALIF_Y2016!$F:$F)</f>
        <v>-968797.83799999999</v>
      </c>
      <c r="F154" s="98">
        <f>SUMIF(ALIF_Y2017!$A:$A,$A154,ALIF_Y2017!$F:$F)</f>
        <v>-292322.451</v>
      </c>
      <c r="G154" s="98">
        <f>SUMIF(ALIF_Y2018!$A:$A,$A154,ALIF_Y2018!$F:$F)</f>
        <v>-1236741.0900000001</v>
      </c>
      <c r="H154" s="98">
        <f>SUMIF(ALIF_Y2019!$A:$A,$A154,ALIF_Y2019!$F:$F)</f>
        <v>829316.42799999996</v>
      </c>
      <c r="I154" s="98">
        <f>SUMIF(ALIF_Y2020!$A:$A,$A154,ALIF_Y2020!$F:$F)</f>
        <v>872205.701</v>
      </c>
      <c r="J154" s="98">
        <f>SUMIF(ALIF_Y2021!$A:$A,$A154,ALIF_Y2021!$F:$F)</f>
        <v>-1093533.372</v>
      </c>
      <c r="K154" s="98">
        <f>SUMIF(ALIF_Y2022!$A:$A,$A154,ALIF_Y2022!$F:$F)</f>
        <v>989833.52599999995</v>
      </c>
      <c r="L154" s="98">
        <f>SUMIF(ALIF_Y2023!$A:$A,$A154,ALIF_Y2023!$F:$F)</f>
        <v>-585646.31799999997</v>
      </c>
      <c r="M154" s="98">
        <f>SUMIF(ALIF_Y2024!$A:$A,$A154,ALIF_Y2024!$F:$F)</f>
        <v>-1172809.0619999999</v>
      </c>
      <c r="N154" s="98">
        <f>SUMIF(ALIF_Y2025!$A:$A,$A154,ALIF_Y2025!$F:$F)</f>
        <v>-3017361.92</v>
      </c>
      <c r="O154" t="str">
        <f>_xlfn.XLOOKUP(A154,Map!A:A,Map!E:E)</f>
        <v>Raw materials</v>
      </c>
      <c r="P154" t="str">
        <f>_xlfn.XLOOKUP(A154,Map!A:A,Map!D:D)</f>
        <v>Cost of sales</v>
      </c>
    </row>
    <row r="155" spans="1:16" x14ac:dyDescent="0.25">
      <c r="A155" s="101">
        <v>520043</v>
      </c>
      <c r="B155" t="s">
        <v>490</v>
      </c>
      <c r="C155" s="98">
        <f>SUMIF(ALIF_Y2014!$A:$A,$A155,ALIF_Y2014!$F:$F)</f>
        <v>0</v>
      </c>
      <c r="D155" s="98">
        <f>SUMIF(ALIF_Y2015!$A:$A,$A155,ALIF_Y2015!$F:$F)</f>
        <v>0</v>
      </c>
      <c r="E155" s="98">
        <f>SUMIF(ALIF_Y2016!$A:$A,$A155,ALIF_Y2016!$F:$F)</f>
        <v>0</v>
      </c>
      <c r="F155" s="98">
        <f>SUMIF(ALIF_Y2017!$A:$A,$A155,ALIF_Y2017!$F:$F)</f>
        <v>0</v>
      </c>
      <c r="G155" s="98">
        <f>SUMIF(ALIF_Y2018!$A:$A,$A155,ALIF_Y2018!$F:$F)</f>
        <v>0</v>
      </c>
      <c r="H155" s="98">
        <f>SUMIF(ALIF_Y2019!$A:$A,$A155,ALIF_Y2019!$F:$F)</f>
        <v>0</v>
      </c>
      <c r="I155" s="98">
        <f>SUMIF(ALIF_Y2020!$A:$A,$A155,ALIF_Y2020!$F:$F)</f>
        <v>0</v>
      </c>
      <c r="J155" s="98">
        <f>SUMIF(ALIF_Y2021!$A:$A,$A155,ALIF_Y2021!$F:$F)</f>
        <v>0</v>
      </c>
      <c r="K155" s="98">
        <f>SUMIF(ALIF_Y2022!$A:$A,$A155,ALIF_Y2022!$F:$F)</f>
        <v>0</v>
      </c>
      <c r="L155" s="98">
        <f>SUMIF(ALIF_Y2023!$A:$A,$A155,ALIF_Y2023!$F:$F)</f>
        <v>0</v>
      </c>
      <c r="M155" s="98">
        <f>SUMIF(ALIF_Y2024!$A:$A,$A155,ALIF_Y2024!$F:$F)</f>
        <v>0</v>
      </c>
      <c r="N155" s="98">
        <f>SUMIF(ALIF_Y2025!$A:$A,$A155,ALIF_Y2025!$F:$F)</f>
        <v>17700</v>
      </c>
      <c r="O155" t="str">
        <f>_xlfn.XLOOKUP(A155,Map!A:A,Map!E:E)</f>
        <v>Direct Labor</v>
      </c>
      <c r="P155" t="str">
        <f>_xlfn.XLOOKUP(A155,Map!A:A,Map!D:D)</f>
        <v>Cost of sales</v>
      </c>
    </row>
    <row r="156" spans="1:16" x14ac:dyDescent="0.25">
      <c r="A156" s="101">
        <v>520044</v>
      </c>
      <c r="B156" t="s">
        <v>493</v>
      </c>
      <c r="C156" s="98">
        <f>SUMIF(ALIF_Y2014!$A:$A,$A156,ALIF_Y2014!$F:$F)</f>
        <v>0</v>
      </c>
      <c r="D156" s="98">
        <f>SUMIF(ALIF_Y2015!$A:$A,$A156,ALIF_Y2015!$F:$F)</f>
        <v>0</v>
      </c>
      <c r="E156" s="98">
        <f>SUMIF(ALIF_Y2016!$A:$A,$A156,ALIF_Y2016!$F:$F)</f>
        <v>0</v>
      </c>
      <c r="F156" s="98">
        <f>SUMIF(ALIF_Y2017!$A:$A,$A156,ALIF_Y2017!$F:$F)</f>
        <v>0</v>
      </c>
      <c r="G156" s="98">
        <f>SUMIF(ALIF_Y2018!$A:$A,$A156,ALIF_Y2018!$F:$F)</f>
        <v>0</v>
      </c>
      <c r="H156" s="98">
        <f>SUMIF(ALIF_Y2019!$A:$A,$A156,ALIF_Y2019!$F:$F)</f>
        <v>0</v>
      </c>
      <c r="I156" s="98">
        <f>SUMIF(ALIF_Y2020!$A:$A,$A156,ALIF_Y2020!$F:$F)</f>
        <v>0</v>
      </c>
      <c r="J156" s="98">
        <f>SUMIF(ALIF_Y2021!$A:$A,$A156,ALIF_Y2021!$F:$F)</f>
        <v>0</v>
      </c>
      <c r="K156" s="98">
        <f>SUMIF(ALIF_Y2022!$A:$A,$A156,ALIF_Y2022!$F:$F)</f>
        <v>0</v>
      </c>
      <c r="L156" s="98">
        <f>SUMIF(ALIF_Y2023!$A:$A,$A156,ALIF_Y2023!$F:$F)</f>
        <v>0</v>
      </c>
      <c r="M156" s="98">
        <f>SUMIF(ALIF_Y2024!$A:$A,$A156,ALIF_Y2024!$F:$F)</f>
        <v>0</v>
      </c>
      <c r="N156" s="98">
        <f>SUMIF(ALIF_Y2025!$A:$A,$A156,ALIF_Y2025!$F:$F)</f>
        <v>5633012.2609999999</v>
      </c>
      <c r="O156" t="str">
        <f>_xlfn.XLOOKUP(A156,Map!A:A,Map!E:E)</f>
        <v>Direct Labor</v>
      </c>
      <c r="P156" t="str">
        <f>_xlfn.XLOOKUP(A156,Map!A:A,Map!D:D)</f>
        <v>Cost of sales</v>
      </c>
    </row>
    <row r="157" spans="1:16" x14ac:dyDescent="0.25">
      <c r="A157" s="101">
        <v>600001</v>
      </c>
      <c r="B157" t="s">
        <v>137</v>
      </c>
      <c r="C157" s="98">
        <f>SUMIF(ALIF_Y2014!$A:$A,$A157,ALIF_Y2014!$F:$F)</f>
        <v>1451238.39</v>
      </c>
      <c r="D157" s="98">
        <f>SUMIF(ALIF_Y2015!$A:$A,$A157,ALIF_Y2015!$F:$F)</f>
        <v>1313120.29</v>
      </c>
      <c r="E157" s="98">
        <f>SUMIF(ALIF_Y2016!$A:$A,$A157,ALIF_Y2016!$F:$F)</f>
        <v>1160327.1070000001</v>
      </c>
      <c r="F157" s="98">
        <f>SUMIF(ALIF_Y2017!$A:$A,$A157,ALIF_Y2017!$F:$F)</f>
        <v>988333.55</v>
      </c>
      <c r="G157" s="98">
        <f>SUMIF(ALIF_Y2018!$A:$A,$A157,ALIF_Y2018!$F:$F)</f>
        <v>529695.32999999996</v>
      </c>
      <c r="H157" s="98">
        <f>SUMIF(ALIF_Y2019!$A:$A,$A157,ALIF_Y2019!$F:$F)</f>
        <v>1785105.375</v>
      </c>
      <c r="I157" s="98">
        <f>SUMIF(ALIF_Y2020!$A:$A,$A157,ALIF_Y2020!$F:$F)</f>
        <v>2045805.402</v>
      </c>
      <c r="J157" s="98">
        <f>SUMIF(ALIF_Y2021!$A:$A,$A157,ALIF_Y2021!$F:$F)</f>
        <v>2864841</v>
      </c>
      <c r="K157" s="98">
        <f>SUMIF(ALIF_Y2022!$A:$A,$A157,ALIF_Y2022!$F:$F)</f>
        <v>3149563.7</v>
      </c>
      <c r="L157" s="98">
        <f>SUMIF(ALIF_Y2023!$A:$A,$A157,ALIF_Y2023!$F:$F)</f>
        <v>2259315.54</v>
      </c>
      <c r="M157" s="98">
        <f>SUMIF(ALIF_Y2024!$A:$A,$A157,ALIF_Y2024!$F:$F)</f>
        <v>2089830.56</v>
      </c>
      <c r="N157" s="98">
        <f>SUMIF(ALIF_Y2025!$A:$A,$A157,ALIF_Y2025!$F:$F)</f>
        <v>766294.07</v>
      </c>
      <c r="O157" t="str">
        <f>_xlfn.XLOOKUP(A157,Map!A:A,Map!E:E)</f>
        <v>Overhead - Labor Cost</v>
      </c>
      <c r="P157" t="str">
        <f>_xlfn.XLOOKUP(A157,Map!A:A,Map!D:D)</f>
        <v>Cost of sales</v>
      </c>
    </row>
    <row r="158" spans="1:16" x14ac:dyDescent="0.25">
      <c r="A158" s="101">
        <v>600002</v>
      </c>
      <c r="B158" t="s">
        <v>138</v>
      </c>
      <c r="C158" s="98">
        <f>SUMIF(ALIF_Y2014!$A:$A,$A158,ALIF_Y2014!$F:$F)</f>
        <v>283274</v>
      </c>
      <c r="D158" s="98">
        <f>SUMIF(ALIF_Y2015!$A:$A,$A158,ALIF_Y2015!$F:$F)</f>
        <v>295666</v>
      </c>
      <c r="E158" s="98">
        <f>SUMIF(ALIF_Y2016!$A:$A,$A158,ALIF_Y2016!$F:$F)</f>
        <v>160025</v>
      </c>
      <c r="F158" s="98">
        <f>SUMIF(ALIF_Y2017!$A:$A,$A158,ALIF_Y2017!$F:$F)</f>
        <v>222822</v>
      </c>
      <c r="G158" s="98">
        <f>SUMIF(ALIF_Y2018!$A:$A,$A158,ALIF_Y2018!$F:$F)</f>
        <v>98059</v>
      </c>
      <c r="H158" s="98">
        <f>SUMIF(ALIF_Y2019!$A:$A,$A158,ALIF_Y2019!$F:$F)</f>
        <v>397638</v>
      </c>
      <c r="I158" s="98">
        <f>SUMIF(ALIF_Y2020!$A:$A,$A158,ALIF_Y2020!$F:$F)</f>
        <v>335597.125</v>
      </c>
      <c r="J158" s="98">
        <f>SUMIF(ALIF_Y2021!$A:$A,$A158,ALIF_Y2021!$F:$F)</f>
        <v>586164</v>
      </c>
      <c r="K158" s="98">
        <f>SUMIF(ALIF_Y2022!$A:$A,$A158,ALIF_Y2022!$F:$F)</f>
        <v>399808.31</v>
      </c>
      <c r="L158" s="98">
        <f>SUMIF(ALIF_Y2023!$A:$A,$A158,ALIF_Y2023!$F:$F)</f>
        <v>74</v>
      </c>
      <c r="M158" s="98">
        <f>SUMIF(ALIF_Y2024!$A:$A,$A158,ALIF_Y2024!$F:$F)</f>
        <v>1029</v>
      </c>
      <c r="N158" s="98">
        <f>SUMIF(ALIF_Y2025!$A:$A,$A158,ALIF_Y2025!$F:$F)</f>
        <v>516747.24</v>
      </c>
      <c r="O158" t="str">
        <f>_xlfn.XLOOKUP(A158,Map!A:A,Map!E:E)</f>
        <v>Overhead - Labor Cost</v>
      </c>
      <c r="P158" t="str">
        <f>_xlfn.XLOOKUP(A158,Map!A:A,Map!D:D)</f>
        <v>Cost of sales</v>
      </c>
    </row>
    <row r="159" spans="1:16" x14ac:dyDescent="0.25">
      <c r="A159" s="101">
        <v>600003</v>
      </c>
      <c r="B159" t="s">
        <v>139</v>
      </c>
      <c r="C159" s="98">
        <f>SUMIF(ALIF_Y2014!$A:$A,$A159,ALIF_Y2014!$F:$F)</f>
        <v>65096</v>
      </c>
      <c r="D159" s="98">
        <f>SUMIF(ALIF_Y2015!$A:$A,$A159,ALIF_Y2015!$F:$F)</f>
        <v>78682</v>
      </c>
      <c r="E159" s="98">
        <f>SUMIF(ALIF_Y2016!$A:$A,$A159,ALIF_Y2016!$F:$F)</f>
        <v>40196</v>
      </c>
      <c r="F159" s="98">
        <f>SUMIF(ALIF_Y2017!$A:$A,$A159,ALIF_Y2017!$F:$F)</f>
        <v>51833</v>
      </c>
      <c r="G159" s="98">
        <f>SUMIF(ALIF_Y2018!$A:$A,$A159,ALIF_Y2018!$F:$F)</f>
        <v>25887</v>
      </c>
      <c r="H159" s="98">
        <f>SUMIF(ALIF_Y2019!$A:$A,$A159,ALIF_Y2019!$F:$F)</f>
        <v>406049.76</v>
      </c>
      <c r="I159" s="98">
        <f>SUMIF(ALIF_Y2020!$A:$A,$A159,ALIF_Y2020!$F:$F)</f>
        <v>559788</v>
      </c>
      <c r="J159" s="98">
        <f>SUMIF(ALIF_Y2021!$A:$A,$A159,ALIF_Y2021!$F:$F)</f>
        <v>1039923.953</v>
      </c>
      <c r="K159" s="98">
        <f>SUMIF(ALIF_Y2022!$A:$A,$A159,ALIF_Y2022!$F:$F)</f>
        <v>941816.5</v>
      </c>
      <c r="L159" s="98">
        <f>SUMIF(ALIF_Y2023!$A:$A,$A159,ALIF_Y2023!$F:$F)</f>
        <v>884347.2</v>
      </c>
      <c r="M159" s="98">
        <f>SUMIF(ALIF_Y2024!$A:$A,$A159,ALIF_Y2024!$F:$F)</f>
        <v>885849.52899999998</v>
      </c>
      <c r="N159" s="98">
        <f>SUMIF(ALIF_Y2025!$A:$A,$A159,ALIF_Y2025!$F:$F)</f>
        <v>148791.99799999999</v>
      </c>
      <c r="O159" t="str">
        <f>_xlfn.XLOOKUP(A159,Map!A:A,Map!E:E)</f>
        <v>Overhead - Labor Cost</v>
      </c>
      <c r="P159" t="str">
        <f>_xlfn.XLOOKUP(A159,Map!A:A,Map!D:D)</f>
        <v>Cost of sales</v>
      </c>
    </row>
    <row r="160" spans="1:16" x14ac:dyDescent="0.25">
      <c r="A160" s="101">
        <v>600004</v>
      </c>
      <c r="B160" t="s">
        <v>140</v>
      </c>
      <c r="C160" s="98">
        <f>SUMIF(ALIF_Y2014!$A:$A,$A160,ALIF_Y2014!$F:$F)</f>
        <v>105337.97</v>
      </c>
      <c r="D160" s="98">
        <f>SUMIF(ALIF_Y2015!$A:$A,$A160,ALIF_Y2015!$F:$F)</f>
        <v>121680.13099999999</v>
      </c>
      <c r="E160" s="98">
        <f>SUMIF(ALIF_Y2016!$A:$A,$A160,ALIF_Y2016!$F:$F)</f>
        <v>152237.85</v>
      </c>
      <c r="F160" s="98">
        <f>SUMIF(ALIF_Y2017!$A:$A,$A160,ALIF_Y2017!$F:$F)</f>
        <v>163641.56</v>
      </c>
      <c r="G160" s="98">
        <f>SUMIF(ALIF_Y2018!$A:$A,$A160,ALIF_Y2018!$F:$F)</f>
        <v>112574.704</v>
      </c>
      <c r="H160" s="98">
        <f>SUMIF(ALIF_Y2019!$A:$A,$A160,ALIF_Y2019!$F:$F)</f>
        <v>133520</v>
      </c>
      <c r="I160" s="98">
        <f>SUMIF(ALIF_Y2020!$A:$A,$A160,ALIF_Y2020!$F:$F)</f>
        <v>126933.814</v>
      </c>
      <c r="J160" s="98">
        <f>SUMIF(ALIF_Y2021!$A:$A,$A160,ALIF_Y2021!$F:$F)</f>
        <v>102651.15</v>
      </c>
      <c r="K160" s="98">
        <f>SUMIF(ALIF_Y2022!$A:$A,$A160,ALIF_Y2022!$F:$F)</f>
        <v>474558.39399999997</v>
      </c>
      <c r="L160" s="98">
        <f>SUMIF(ALIF_Y2023!$A:$A,$A160,ALIF_Y2023!$F:$F)</f>
        <v>209710.383</v>
      </c>
      <c r="M160" s="98">
        <f>SUMIF(ALIF_Y2024!$A:$A,$A160,ALIF_Y2024!$F:$F)</f>
        <v>152223.22399999999</v>
      </c>
      <c r="N160" s="98">
        <f>SUMIF(ALIF_Y2025!$A:$A,$A160,ALIF_Y2025!$F:$F)</f>
        <v>131782.098</v>
      </c>
      <c r="O160" t="str">
        <f>_xlfn.XLOOKUP(A160,Map!A:A,Map!E:E)</f>
        <v>Overhead - Labor Cost</v>
      </c>
      <c r="P160" t="str">
        <f>_xlfn.XLOOKUP(A160,Map!A:A,Map!D:D)</f>
        <v>Cost of sales</v>
      </c>
    </row>
    <row r="161" spans="1:16" x14ac:dyDescent="0.25">
      <c r="A161" s="101">
        <v>600005</v>
      </c>
      <c r="B161" t="s">
        <v>141</v>
      </c>
      <c r="C161" s="98">
        <f>SUMIF(ALIF_Y2014!$A:$A,$A161,ALIF_Y2014!$F:$F)</f>
        <v>294163</v>
      </c>
      <c r="D161" s="98">
        <f>SUMIF(ALIF_Y2015!$A:$A,$A161,ALIF_Y2015!$F:$F)</f>
        <v>261005.22</v>
      </c>
      <c r="E161" s="98">
        <f>SUMIF(ALIF_Y2016!$A:$A,$A161,ALIF_Y2016!$F:$F)</f>
        <v>570054</v>
      </c>
      <c r="F161" s="98">
        <f>SUMIF(ALIF_Y2017!$A:$A,$A161,ALIF_Y2017!$F:$F)</f>
        <v>665731</v>
      </c>
      <c r="G161" s="98">
        <f>SUMIF(ALIF_Y2018!$A:$A,$A161,ALIF_Y2018!$F:$F)</f>
        <v>450568</v>
      </c>
      <c r="H161" s="98">
        <f>SUMIF(ALIF_Y2019!$A:$A,$A161,ALIF_Y2019!$F:$F)</f>
        <v>418592.77899999998</v>
      </c>
      <c r="I161" s="98">
        <f>SUMIF(ALIF_Y2020!$A:$A,$A161,ALIF_Y2020!$F:$F)</f>
        <v>1625362.787</v>
      </c>
      <c r="J161" s="98">
        <f>SUMIF(ALIF_Y2021!$A:$A,$A161,ALIF_Y2021!$F:$F)</f>
        <v>675532.28</v>
      </c>
      <c r="K161" s="98">
        <f>SUMIF(ALIF_Y2022!$A:$A,$A161,ALIF_Y2022!$F:$F)</f>
        <v>172068.13</v>
      </c>
      <c r="L161" s="98">
        <f>SUMIF(ALIF_Y2023!$A:$A,$A161,ALIF_Y2023!$F:$F)</f>
        <v>166635.76</v>
      </c>
      <c r="M161" s="98">
        <f>SUMIF(ALIF_Y2024!$A:$A,$A161,ALIF_Y2024!$F:$F)</f>
        <v>229411</v>
      </c>
      <c r="N161" s="98">
        <f>SUMIF(ALIF_Y2025!$A:$A,$A161,ALIF_Y2025!$F:$F)</f>
        <v>101739.48</v>
      </c>
      <c r="O161" t="str">
        <f>_xlfn.XLOOKUP(A161,Map!A:A,Map!E:E)</f>
        <v>Govt license and fees (including modon)</v>
      </c>
      <c r="P161" t="str">
        <f>_xlfn.XLOOKUP(A161,Map!A:A,Map!D:D)</f>
        <v>General and Admin</v>
      </c>
    </row>
    <row r="162" spans="1:16" x14ac:dyDescent="0.25">
      <c r="A162" s="101">
        <v>600006</v>
      </c>
      <c r="B162" t="s">
        <v>142</v>
      </c>
      <c r="C162" s="98">
        <f>SUMIF(ALIF_Y2014!$A:$A,$A162,ALIF_Y2014!$F:$F)</f>
        <v>247184.5</v>
      </c>
      <c r="D162" s="98">
        <f>SUMIF(ALIF_Y2015!$A:$A,$A162,ALIF_Y2015!$F:$F)</f>
        <v>267141.60700000002</v>
      </c>
      <c r="E162" s="98">
        <f>SUMIF(ALIF_Y2016!$A:$A,$A162,ALIF_Y2016!$F:$F)</f>
        <v>330672.17</v>
      </c>
      <c r="F162" s="98">
        <f>SUMIF(ALIF_Y2017!$A:$A,$A162,ALIF_Y2017!$F:$F)</f>
        <v>247651.12</v>
      </c>
      <c r="G162" s="98">
        <f>SUMIF(ALIF_Y2018!$A:$A,$A162,ALIF_Y2018!$F:$F)</f>
        <v>176299.99799999999</v>
      </c>
      <c r="H162" s="98">
        <f>SUMIF(ALIF_Y2019!$A:$A,$A162,ALIF_Y2019!$F:$F)</f>
        <v>437489.97</v>
      </c>
      <c r="I162" s="98">
        <f>SUMIF(ALIF_Y2020!$A:$A,$A162,ALIF_Y2020!$F:$F)</f>
        <v>488042.99599999998</v>
      </c>
      <c r="J162" s="98">
        <f>SUMIF(ALIF_Y2021!$A:$A,$A162,ALIF_Y2021!$F:$F)</f>
        <v>1088432.7250000001</v>
      </c>
      <c r="K162" s="98">
        <f>SUMIF(ALIF_Y2022!$A:$A,$A162,ALIF_Y2022!$F:$F)</f>
        <v>1751226.83</v>
      </c>
      <c r="L162" s="98">
        <f>SUMIF(ALIF_Y2023!$A:$A,$A162,ALIF_Y2023!$F:$F)</f>
        <v>1093343.699</v>
      </c>
      <c r="M162" s="98">
        <f>SUMIF(ALIF_Y2024!$A:$A,$A162,ALIF_Y2024!$F:$F)</f>
        <v>1149242.409</v>
      </c>
      <c r="N162" s="98">
        <f>SUMIF(ALIF_Y2025!$A:$A,$A162,ALIF_Y2025!$F:$F)</f>
        <v>367770.09700000001</v>
      </c>
      <c r="O162" t="str">
        <f>_xlfn.XLOOKUP(A162,Map!A:A,Map!E:E)</f>
        <v>Overhead - Labor Cost</v>
      </c>
      <c r="P162" t="str">
        <f>_xlfn.XLOOKUP(A162,Map!A:A,Map!D:D)</f>
        <v>Cost of sales</v>
      </c>
    </row>
    <row r="163" spans="1:16" x14ac:dyDescent="0.25">
      <c r="A163" s="101">
        <v>600007</v>
      </c>
      <c r="B163" t="s">
        <v>143</v>
      </c>
      <c r="C163" s="98">
        <f>SUMIF(ALIF_Y2014!$A:$A,$A163,ALIF_Y2014!$F:$F)</f>
        <v>6367</v>
      </c>
      <c r="D163" s="98">
        <f>SUMIF(ALIF_Y2015!$A:$A,$A163,ALIF_Y2015!$F:$F)</f>
        <v>1000</v>
      </c>
      <c r="E163" s="98">
        <f>SUMIF(ALIF_Y2016!$A:$A,$A163,ALIF_Y2016!$F:$F)</f>
        <v>6402</v>
      </c>
      <c r="F163" s="98">
        <f>SUMIF(ALIF_Y2017!$A:$A,$A163,ALIF_Y2017!$F:$F)</f>
        <v>3700</v>
      </c>
      <c r="G163" s="98">
        <f>SUMIF(ALIF_Y2018!$A:$A,$A163,ALIF_Y2018!$F:$F)</f>
        <v>0</v>
      </c>
      <c r="H163" s="98">
        <f>SUMIF(ALIF_Y2019!$A:$A,$A163,ALIF_Y2019!$F:$F)</f>
        <v>160242</v>
      </c>
      <c r="I163" s="98">
        <f>SUMIF(ALIF_Y2020!$A:$A,$A163,ALIF_Y2020!$F:$F)</f>
        <v>112525.18</v>
      </c>
      <c r="J163" s="98">
        <f>SUMIF(ALIF_Y2021!$A:$A,$A163,ALIF_Y2021!$F:$F)</f>
        <v>72600</v>
      </c>
      <c r="K163" s="98">
        <f>SUMIF(ALIF_Y2022!$A:$A,$A163,ALIF_Y2022!$F:$F)</f>
        <v>2500</v>
      </c>
      <c r="L163" s="98">
        <f>SUMIF(ALIF_Y2023!$A:$A,$A163,ALIF_Y2023!$F:$F)</f>
        <v>0</v>
      </c>
      <c r="M163" s="98">
        <f>SUMIF(ALIF_Y2024!$A:$A,$A163,ALIF_Y2024!$F:$F)</f>
        <v>110166</v>
      </c>
      <c r="N163" s="98">
        <f>SUMIF(ALIF_Y2025!$A:$A,$A163,ALIF_Y2025!$F:$F)</f>
        <v>43384.9</v>
      </c>
      <c r="O163" t="str">
        <f>_xlfn.XLOOKUP(A163,Map!A:A,Map!E:E)</f>
        <v>Overhead - Labor Cost</v>
      </c>
      <c r="P163" t="str">
        <f>_xlfn.XLOOKUP(A163,Map!A:A,Map!D:D)</f>
        <v>Cost of sales</v>
      </c>
    </row>
    <row r="164" spans="1:16" x14ac:dyDescent="0.25">
      <c r="A164" s="101">
        <v>600008</v>
      </c>
      <c r="B164" t="s">
        <v>144</v>
      </c>
      <c r="C164" s="98">
        <f>SUMIF(ALIF_Y2014!$A:$A,$A164,ALIF_Y2014!$F:$F)</f>
        <v>97690</v>
      </c>
      <c r="D164" s="98">
        <f>SUMIF(ALIF_Y2015!$A:$A,$A164,ALIF_Y2015!$F:$F)</f>
        <v>166441</v>
      </c>
      <c r="E164" s="98">
        <f>SUMIF(ALIF_Y2016!$A:$A,$A164,ALIF_Y2016!$F:$F)</f>
        <v>194585</v>
      </c>
      <c r="F164" s="98">
        <f>SUMIF(ALIF_Y2017!$A:$A,$A164,ALIF_Y2017!$F:$F)</f>
        <v>144762.16</v>
      </c>
      <c r="G164" s="98">
        <f>SUMIF(ALIF_Y2018!$A:$A,$A164,ALIF_Y2018!$F:$F)</f>
        <v>84171.3</v>
      </c>
      <c r="H164" s="98">
        <f>SUMIF(ALIF_Y2019!$A:$A,$A164,ALIF_Y2019!$F:$F)</f>
        <v>421563.03</v>
      </c>
      <c r="I164" s="98">
        <f>SUMIF(ALIF_Y2020!$A:$A,$A164,ALIF_Y2020!$F:$F)</f>
        <v>133498.29</v>
      </c>
      <c r="J164" s="98">
        <f>SUMIF(ALIF_Y2021!$A:$A,$A164,ALIF_Y2021!$F:$F)</f>
        <v>419534.58600000001</v>
      </c>
      <c r="K164" s="98">
        <f>SUMIF(ALIF_Y2022!$A:$A,$A164,ALIF_Y2022!$F:$F)</f>
        <v>629537.38199999998</v>
      </c>
      <c r="L164" s="98">
        <f>SUMIF(ALIF_Y2023!$A:$A,$A164,ALIF_Y2023!$F:$F)</f>
        <v>313336.43599999999</v>
      </c>
      <c r="M164" s="98">
        <f>SUMIF(ALIF_Y2024!$A:$A,$A164,ALIF_Y2024!$F:$F)</f>
        <v>255864.21299999999</v>
      </c>
      <c r="N164" s="98">
        <f>SUMIF(ALIF_Y2025!$A:$A,$A164,ALIF_Y2025!$F:$F)</f>
        <v>383404.255</v>
      </c>
      <c r="O164" t="str">
        <f>_xlfn.XLOOKUP(A164,Map!A:A,Map!E:E)</f>
        <v>Overhead - Labor Cost</v>
      </c>
      <c r="P164" t="str">
        <f>_xlfn.XLOOKUP(A164,Map!A:A,Map!D:D)</f>
        <v>Cost of sales</v>
      </c>
    </row>
    <row r="165" spans="1:16" x14ac:dyDescent="0.25">
      <c r="A165" s="101">
        <v>600009</v>
      </c>
      <c r="B165" t="s">
        <v>145</v>
      </c>
      <c r="C165" s="98">
        <f>SUMIF(ALIF_Y2014!$A:$A,$A165,ALIF_Y2014!$F:$F)</f>
        <v>167209</v>
      </c>
      <c r="D165" s="98">
        <f>SUMIF(ALIF_Y2015!$A:$A,$A165,ALIF_Y2015!$F:$F)</f>
        <v>165183</v>
      </c>
      <c r="E165" s="98">
        <f>SUMIF(ALIF_Y2016!$A:$A,$A165,ALIF_Y2016!$F:$F)</f>
        <v>192000</v>
      </c>
      <c r="F165" s="98">
        <f>SUMIF(ALIF_Y2017!$A:$A,$A165,ALIF_Y2017!$F:$F)</f>
        <v>198243</v>
      </c>
      <c r="G165" s="98">
        <f>SUMIF(ALIF_Y2018!$A:$A,$A165,ALIF_Y2018!$F:$F)</f>
        <v>62460</v>
      </c>
      <c r="H165" s="98">
        <f>SUMIF(ALIF_Y2019!$A:$A,$A165,ALIF_Y2019!$F:$F)</f>
        <v>191436</v>
      </c>
      <c r="I165" s="98">
        <f>SUMIF(ALIF_Y2020!$A:$A,$A165,ALIF_Y2020!$F:$F)</f>
        <v>304164.17</v>
      </c>
      <c r="J165" s="98">
        <f>SUMIF(ALIF_Y2021!$A:$A,$A165,ALIF_Y2021!$F:$F)</f>
        <v>330456.03499999997</v>
      </c>
      <c r="K165" s="98">
        <f>SUMIF(ALIF_Y2022!$A:$A,$A165,ALIF_Y2022!$F:$F)</f>
        <v>96617.77</v>
      </c>
      <c r="L165" s="98">
        <f>SUMIF(ALIF_Y2023!$A:$A,$A165,ALIF_Y2023!$F:$F)</f>
        <v>327325.90000000002</v>
      </c>
      <c r="M165" s="98">
        <f>SUMIF(ALIF_Y2024!$A:$A,$A165,ALIF_Y2024!$F:$F)</f>
        <v>334236.91200000001</v>
      </c>
      <c r="N165" s="98">
        <f>SUMIF(ALIF_Y2025!$A:$A,$A165,ALIF_Y2025!$F:$F)</f>
        <v>119286.814</v>
      </c>
      <c r="O165" t="str">
        <f>_xlfn.XLOOKUP(A165,Map!A:A,Map!E:E)</f>
        <v>Overhead - Labor Cost</v>
      </c>
      <c r="P165" t="str">
        <f>_xlfn.XLOOKUP(A165,Map!A:A,Map!D:D)</f>
        <v>Cost of sales</v>
      </c>
    </row>
    <row r="166" spans="1:16" x14ac:dyDescent="0.25">
      <c r="A166" s="101">
        <v>600010</v>
      </c>
      <c r="B166" t="s">
        <v>146</v>
      </c>
      <c r="C166" s="98">
        <f>SUMIF(ALIF_Y2014!$A:$A,$A166,ALIF_Y2014!$F:$F)</f>
        <v>0</v>
      </c>
      <c r="D166" s="98">
        <f>SUMIF(ALIF_Y2015!$A:$A,$A166,ALIF_Y2015!$F:$F)</f>
        <v>0</v>
      </c>
      <c r="E166" s="98">
        <f>SUMIF(ALIF_Y2016!$A:$A,$A166,ALIF_Y2016!$F:$F)</f>
        <v>0</v>
      </c>
      <c r="F166" s="98">
        <f>SUMIF(ALIF_Y2017!$A:$A,$A166,ALIF_Y2017!$F:$F)</f>
        <v>0</v>
      </c>
      <c r="G166" s="98">
        <f>SUMIF(ALIF_Y2018!$A:$A,$A166,ALIF_Y2018!$F:$F)</f>
        <v>0</v>
      </c>
      <c r="H166" s="98">
        <f>SUMIF(ALIF_Y2019!$A:$A,$A166,ALIF_Y2019!$F:$F)</f>
        <v>0</v>
      </c>
      <c r="I166" s="98">
        <f>SUMIF(ALIF_Y2020!$A:$A,$A166,ALIF_Y2020!$F:$F)</f>
        <v>0</v>
      </c>
      <c r="J166" s="98">
        <f>SUMIF(ALIF_Y2021!$A:$A,$A166,ALIF_Y2021!$F:$F)</f>
        <v>20443</v>
      </c>
      <c r="K166" s="98">
        <f>SUMIF(ALIF_Y2022!$A:$A,$A166,ALIF_Y2022!$F:$F)</f>
        <v>4434</v>
      </c>
      <c r="L166" s="98">
        <f>SUMIF(ALIF_Y2023!$A:$A,$A166,ALIF_Y2023!$F:$F)</f>
        <v>22591</v>
      </c>
      <c r="M166" s="98">
        <f>SUMIF(ALIF_Y2024!$A:$A,$A166,ALIF_Y2024!$F:$F)</f>
        <v>0</v>
      </c>
      <c r="N166" s="98">
        <f>SUMIF(ALIF_Y2025!$A:$A,$A166,ALIF_Y2025!$F:$F)</f>
        <v>39416</v>
      </c>
      <c r="O166" t="str">
        <f>_xlfn.XLOOKUP(A166,Map!A:A,Map!E:E)</f>
        <v>Overhead - Labor Cost</v>
      </c>
      <c r="P166" t="str">
        <f>_xlfn.XLOOKUP(A166,Map!A:A,Map!D:D)</f>
        <v>Cost of sales</v>
      </c>
    </row>
    <row r="167" spans="1:16" x14ac:dyDescent="0.25">
      <c r="A167" s="101">
        <v>600011</v>
      </c>
      <c r="B167" t="s">
        <v>147</v>
      </c>
      <c r="C167" s="98">
        <f>SUMIF(ALIF_Y2014!$A:$A,$A167,ALIF_Y2014!$F:$F)</f>
        <v>10000</v>
      </c>
      <c r="D167" s="98">
        <f>SUMIF(ALIF_Y2015!$A:$A,$A167,ALIF_Y2015!$F:$F)</f>
        <v>11000</v>
      </c>
      <c r="E167" s="98">
        <f>SUMIF(ALIF_Y2016!$A:$A,$A167,ALIF_Y2016!$F:$F)</f>
        <v>16471</v>
      </c>
      <c r="F167" s="98">
        <f>SUMIF(ALIF_Y2017!$A:$A,$A167,ALIF_Y2017!$F:$F)</f>
        <v>12000</v>
      </c>
      <c r="G167" s="98">
        <f>SUMIF(ALIF_Y2018!$A:$A,$A167,ALIF_Y2018!$F:$F)</f>
        <v>6000</v>
      </c>
      <c r="H167" s="98">
        <f>SUMIF(ALIF_Y2019!$A:$A,$A167,ALIF_Y2019!$F:$F)</f>
        <v>14500</v>
      </c>
      <c r="I167" s="98">
        <f>SUMIF(ALIF_Y2020!$A:$A,$A167,ALIF_Y2020!$F:$F)</f>
        <v>12000</v>
      </c>
      <c r="J167" s="98">
        <f>SUMIF(ALIF_Y2021!$A:$A,$A167,ALIF_Y2021!$F:$F)</f>
        <v>23390</v>
      </c>
      <c r="K167" s="98">
        <f>SUMIF(ALIF_Y2022!$A:$A,$A167,ALIF_Y2022!$F:$F)</f>
        <v>13251</v>
      </c>
      <c r="L167" s="98">
        <f>SUMIF(ALIF_Y2023!$A:$A,$A167,ALIF_Y2023!$F:$F)</f>
        <v>12000</v>
      </c>
      <c r="M167" s="98">
        <f>SUMIF(ALIF_Y2024!$A:$A,$A167,ALIF_Y2024!$F:$F)</f>
        <v>12520.84</v>
      </c>
      <c r="N167" s="98">
        <f>SUMIF(ALIF_Y2025!$A:$A,$A167,ALIF_Y2025!$F:$F)</f>
        <v>1570.8330000000001</v>
      </c>
      <c r="O167" t="str">
        <f>_xlfn.XLOOKUP(A167,Map!A:A,Map!E:E)</f>
        <v>Overhead - Labor Cost</v>
      </c>
      <c r="P167" t="str">
        <f>_xlfn.XLOOKUP(A167,Map!A:A,Map!D:D)</f>
        <v>Cost of sales</v>
      </c>
    </row>
    <row r="168" spans="1:16" x14ac:dyDescent="0.25">
      <c r="A168" s="101">
        <v>600012</v>
      </c>
      <c r="B168" t="s">
        <v>148</v>
      </c>
      <c r="C168" s="98">
        <f>SUMIF(ALIF_Y2014!$A:$A,$A168,ALIF_Y2014!$F:$F)</f>
        <v>0</v>
      </c>
      <c r="D168" s="98">
        <f>SUMIF(ALIF_Y2015!$A:$A,$A168,ALIF_Y2015!$F:$F)</f>
        <v>0</v>
      </c>
      <c r="E168" s="98">
        <f>SUMIF(ALIF_Y2016!$A:$A,$A168,ALIF_Y2016!$F:$F)</f>
        <v>625</v>
      </c>
      <c r="F168" s="98">
        <f>SUMIF(ALIF_Y2017!$A:$A,$A168,ALIF_Y2017!$F:$F)</f>
        <v>1250</v>
      </c>
      <c r="G168" s="98">
        <f>SUMIF(ALIF_Y2018!$A:$A,$A168,ALIF_Y2018!$F:$F)</f>
        <v>0</v>
      </c>
      <c r="H168" s="98">
        <f>SUMIF(ALIF_Y2019!$A:$A,$A168,ALIF_Y2019!$F:$F)</f>
        <v>1535</v>
      </c>
      <c r="I168" s="98">
        <f>SUMIF(ALIF_Y2020!$A:$A,$A168,ALIF_Y2020!$F:$F)</f>
        <v>1650</v>
      </c>
      <c r="J168" s="98">
        <f>SUMIF(ALIF_Y2021!$A:$A,$A168,ALIF_Y2021!$F:$F)</f>
        <v>0</v>
      </c>
      <c r="K168" s="98">
        <f>SUMIF(ALIF_Y2022!$A:$A,$A168,ALIF_Y2022!$F:$F)</f>
        <v>0</v>
      </c>
      <c r="L168" s="98">
        <f>SUMIF(ALIF_Y2023!$A:$A,$A168,ALIF_Y2023!$F:$F)</f>
        <v>0</v>
      </c>
      <c r="M168" s="98">
        <f>SUMIF(ALIF_Y2024!$A:$A,$A168,ALIF_Y2024!$F:$F)</f>
        <v>0</v>
      </c>
      <c r="N168" s="98">
        <f>SUMIF(ALIF_Y2025!$A:$A,$A168,ALIF_Y2025!$F:$F)</f>
        <v>22536</v>
      </c>
      <c r="O168" t="str">
        <f>_xlfn.XLOOKUP(A168,Map!A:A,Map!E:E)</f>
        <v>Overhead - Labor Cost</v>
      </c>
      <c r="P168" t="str">
        <f>_xlfn.XLOOKUP(A168,Map!A:A,Map!D:D)</f>
        <v>Cost of sales</v>
      </c>
    </row>
    <row r="169" spans="1:16" x14ac:dyDescent="0.25">
      <c r="A169" s="101">
        <v>600013</v>
      </c>
      <c r="B169" t="s">
        <v>149</v>
      </c>
      <c r="C169" s="98">
        <f>SUMIF(ALIF_Y2014!$A:$A,$A169,ALIF_Y2014!$F:$F)</f>
        <v>924</v>
      </c>
      <c r="D169" s="98">
        <f>SUMIF(ALIF_Y2015!$A:$A,$A169,ALIF_Y2015!$F:$F)</f>
        <v>150</v>
      </c>
      <c r="E169" s="98">
        <f>SUMIF(ALIF_Y2016!$A:$A,$A169,ALIF_Y2016!$F:$F)</f>
        <v>1290</v>
      </c>
      <c r="F169" s="98">
        <f>SUMIF(ALIF_Y2017!$A:$A,$A169,ALIF_Y2017!$F:$F)</f>
        <v>50</v>
      </c>
      <c r="G169" s="98">
        <f>SUMIF(ALIF_Y2018!$A:$A,$A169,ALIF_Y2018!$F:$F)</f>
        <v>0</v>
      </c>
      <c r="H169" s="98">
        <f>SUMIF(ALIF_Y2019!$A:$A,$A169,ALIF_Y2019!$F:$F)</f>
        <v>0</v>
      </c>
      <c r="I169" s="98">
        <f>SUMIF(ALIF_Y2020!$A:$A,$A169,ALIF_Y2020!$F:$F)</f>
        <v>0</v>
      </c>
      <c r="J169" s="98">
        <f>SUMIF(ALIF_Y2021!$A:$A,$A169,ALIF_Y2021!$F:$F)</f>
        <v>150</v>
      </c>
      <c r="K169" s="98">
        <f>SUMIF(ALIF_Y2022!$A:$A,$A169,ALIF_Y2022!$F:$F)</f>
        <v>0</v>
      </c>
      <c r="L169" s="98">
        <f>SUMIF(ALIF_Y2023!$A:$A,$A169,ALIF_Y2023!$F:$F)</f>
        <v>0</v>
      </c>
      <c r="M169" s="98">
        <f>SUMIF(ALIF_Y2024!$A:$A,$A169,ALIF_Y2024!$F:$F)</f>
        <v>0</v>
      </c>
      <c r="N169" s="98">
        <f>SUMIF(ALIF_Y2025!$A:$A,$A169,ALIF_Y2025!$F:$F)</f>
        <v>10500</v>
      </c>
      <c r="O169" t="str">
        <f>_xlfn.XLOOKUP(A169,Map!A:A,Map!E:E)</f>
        <v>Overhead - Labor Cost</v>
      </c>
      <c r="P169" t="str">
        <f>_xlfn.XLOOKUP(A169,Map!A:A,Map!D:D)</f>
        <v>Cost of sales</v>
      </c>
    </row>
    <row r="170" spans="1:16" x14ac:dyDescent="0.25">
      <c r="A170" s="101">
        <v>600014</v>
      </c>
      <c r="B170" t="s">
        <v>60</v>
      </c>
      <c r="C170" s="98">
        <f>SUMIF(ALIF_Y2014!$A:$A,$A170,ALIF_Y2014!$F:$F)</f>
        <v>1204272.953</v>
      </c>
      <c r="D170" s="98">
        <f>SUMIF(ALIF_Y2015!$A:$A,$A170,ALIF_Y2015!$F:$F)</f>
        <v>1698167.2069999999</v>
      </c>
      <c r="E170" s="98">
        <f>SUMIF(ALIF_Y2016!$A:$A,$A170,ALIF_Y2016!$F:$F)</f>
        <v>1329664.919</v>
      </c>
      <c r="F170" s="98">
        <f>SUMIF(ALIF_Y2017!$A:$A,$A170,ALIF_Y2017!$F:$F)</f>
        <v>758582.11399999994</v>
      </c>
      <c r="G170" s="98">
        <f>SUMIF(ALIF_Y2018!$A:$A,$A170,ALIF_Y2018!$F:$F)</f>
        <v>889014.48899999994</v>
      </c>
      <c r="H170" s="98">
        <f>SUMIF(ALIF_Y2019!$A:$A,$A170,ALIF_Y2019!$F:$F)</f>
        <v>1642211.402</v>
      </c>
      <c r="I170" s="98">
        <f>SUMIF(ALIF_Y2020!$A:$A,$A170,ALIF_Y2020!$F:$F)</f>
        <v>2413846.3640000001</v>
      </c>
      <c r="J170" s="98">
        <f>SUMIF(ALIF_Y2021!$A:$A,$A170,ALIF_Y2021!$F:$F)</f>
        <v>1509545.075</v>
      </c>
      <c r="K170" s="98">
        <f>SUMIF(ALIF_Y2022!$A:$A,$A170,ALIF_Y2022!$F:$F)</f>
        <v>3117775.15</v>
      </c>
      <c r="L170" s="98">
        <f>SUMIF(ALIF_Y2023!$A:$A,$A170,ALIF_Y2023!$F:$F)</f>
        <v>2094755.1359999999</v>
      </c>
      <c r="M170" s="98">
        <f>SUMIF(ALIF_Y2024!$A:$A,$A170,ALIF_Y2024!$F:$F)</f>
        <v>1958284.0959999999</v>
      </c>
      <c r="N170" s="98">
        <f>SUMIF(ALIF_Y2025!$A:$A,$A170,ALIF_Y2025!$F:$F)</f>
        <v>1787653.601</v>
      </c>
      <c r="O170" t="str">
        <f>_xlfn.XLOOKUP(A170,Map!A:A,Map!E:E)</f>
        <v>Overhead - Consumables &amp; SP</v>
      </c>
      <c r="P170" t="str">
        <f>_xlfn.XLOOKUP(A170,Map!A:A,Map!D:D)</f>
        <v>Cost of sales</v>
      </c>
    </row>
    <row r="171" spans="1:16" x14ac:dyDescent="0.25">
      <c r="A171" s="101">
        <v>600015</v>
      </c>
      <c r="B171" t="s">
        <v>150</v>
      </c>
      <c r="C171" s="98">
        <f>SUMIF(ALIF_Y2014!$A:$A,$A171,ALIF_Y2014!$F:$F)</f>
        <v>143510.74</v>
      </c>
      <c r="D171" s="98">
        <f>SUMIF(ALIF_Y2015!$A:$A,$A171,ALIF_Y2015!$F:$F)</f>
        <v>48196.184999999998</v>
      </c>
      <c r="E171" s="98">
        <f>SUMIF(ALIF_Y2016!$A:$A,$A171,ALIF_Y2016!$F:$F)</f>
        <v>245263.00100000002</v>
      </c>
      <c r="F171" s="98">
        <f>SUMIF(ALIF_Y2017!$A:$A,$A171,ALIF_Y2017!$F:$F)</f>
        <v>90000</v>
      </c>
      <c r="G171" s="98">
        <f>SUMIF(ALIF_Y2018!$A:$A,$A171,ALIF_Y2018!$F:$F)</f>
        <v>14213.99</v>
      </c>
      <c r="H171" s="98">
        <f>SUMIF(ALIF_Y2019!$A:$A,$A171,ALIF_Y2019!$F:$F)</f>
        <v>0</v>
      </c>
      <c r="I171" s="98">
        <f>SUMIF(ALIF_Y2020!$A:$A,$A171,ALIF_Y2020!$F:$F)</f>
        <v>0</v>
      </c>
      <c r="J171" s="98">
        <f>SUMIF(ALIF_Y2021!$A:$A,$A171,ALIF_Y2021!$F:$F)</f>
        <v>0</v>
      </c>
      <c r="K171" s="98">
        <f>SUMIF(ALIF_Y2022!$A:$A,$A171,ALIF_Y2022!$F:$F)</f>
        <v>0</v>
      </c>
      <c r="L171" s="98">
        <f>SUMIF(ALIF_Y2023!$A:$A,$A171,ALIF_Y2023!$F:$F)</f>
        <v>0</v>
      </c>
      <c r="M171" s="98">
        <f>SUMIF(ALIF_Y2024!$A:$A,$A171,ALIF_Y2024!$F:$F)</f>
        <v>0</v>
      </c>
      <c r="N171" s="98">
        <f>SUMIF(ALIF_Y2025!$A:$A,$A171,ALIF_Y2025!$F:$F)</f>
        <v>0</v>
      </c>
      <c r="O171" t="str">
        <f>_xlfn.XLOOKUP(A171,Map!A:A,Map!E:E)</f>
        <v>Overhead - Consumables &amp; SP</v>
      </c>
      <c r="P171" t="str">
        <f>_xlfn.XLOOKUP(A171,Map!A:A,Map!D:D)</f>
        <v>Cost of sales</v>
      </c>
    </row>
    <row r="172" spans="1:16" x14ac:dyDescent="0.25">
      <c r="A172" s="101">
        <v>600016</v>
      </c>
      <c r="B172" t="s">
        <v>151</v>
      </c>
      <c r="C172" s="98">
        <f>SUMIF(ALIF_Y2014!$A:$A,$A172,ALIF_Y2014!$F:$F)</f>
        <v>2096529.4240000001</v>
      </c>
      <c r="D172" s="98">
        <f>SUMIF(ALIF_Y2015!$A:$A,$A172,ALIF_Y2015!$F:$F)</f>
        <v>2279828.9</v>
      </c>
      <c r="E172" s="98">
        <f>SUMIF(ALIF_Y2016!$A:$A,$A172,ALIF_Y2016!$F:$F)</f>
        <v>1420471.2549999999</v>
      </c>
      <c r="F172" s="98">
        <f>SUMIF(ALIF_Y2017!$A:$A,$A172,ALIF_Y2017!$F:$F)</f>
        <v>1406557.304</v>
      </c>
      <c r="G172" s="98">
        <f>SUMIF(ALIF_Y2018!$A:$A,$A172,ALIF_Y2018!$F:$F)</f>
        <v>546560.00600000005</v>
      </c>
      <c r="H172" s="98">
        <f>SUMIF(ALIF_Y2019!$A:$A,$A172,ALIF_Y2019!$F:$F)</f>
        <v>1872605.669</v>
      </c>
      <c r="I172" s="98">
        <f>SUMIF(ALIF_Y2020!$A:$A,$A172,ALIF_Y2020!$F:$F)</f>
        <v>1838713.0889999999</v>
      </c>
      <c r="J172" s="98">
        <f>SUMIF(ALIF_Y2021!$A:$A,$A172,ALIF_Y2021!$F:$F)</f>
        <v>4889495.5690000001</v>
      </c>
      <c r="K172" s="98">
        <f>SUMIF(ALIF_Y2022!$A:$A,$A172,ALIF_Y2022!$F:$F)</f>
        <v>6430636.7660000008</v>
      </c>
      <c r="L172" s="98">
        <f>SUMIF(ALIF_Y2023!$A:$A,$A172,ALIF_Y2023!$F:$F)</f>
        <v>2367059.1780000003</v>
      </c>
      <c r="M172" s="98">
        <f>SUMIF(ALIF_Y2024!$A:$A,$A172,ALIF_Y2024!$F:$F)</f>
        <v>571044.22600000002</v>
      </c>
      <c r="N172" s="98">
        <f>SUMIF(ALIF_Y2025!$A:$A,$A172,ALIF_Y2025!$F:$F)</f>
        <v>85777.53</v>
      </c>
      <c r="O172" t="str">
        <f>_xlfn.XLOOKUP(A172,Map!A:A,Map!E:E)</f>
        <v>Overhead - Consumables &amp; SP</v>
      </c>
      <c r="P172" t="str">
        <f>_xlfn.XLOOKUP(A172,Map!A:A,Map!D:D)</f>
        <v>Cost of sales</v>
      </c>
    </row>
    <row r="173" spans="1:16" x14ac:dyDescent="0.25">
      <c r="A173" s="101">
        <v>600017</v>
      </c>
      <c r="B173" t="s">
        <v>152</v>
      </c>
      <c r="C173" s="98">
        <f>SUMIF(ALIF_Y2014!$A:$A,$A173,ALIF_Y2014!$F:$F)</f>
        <v>1389817.8800000001</v>
      </c>
      <c r="D173" s="98">
        <f>SUMIF(ALIF_Y2015!$A:$A,$A173,ALIF_Y2015!$F:$F)</f>
        <v>1763155.58</v>
      </c>
      <c r="E173" s="98">
        <f>SUMIF(ALIF_Y2016!$A:$A,$A173,ALIF_Y2016!$F:$F)</f>
        <v>2004753.0770000003</v>
      </c>
      <c r="F173" s="98">
        <f>SUMIF(ALIF_Y2017!$A:$A,$A173,ALIF_Y2017!$F:$F)</f>
        <v>1855447.81</v>
      </c>
      <c r="G173" s="98">
        <f>SUMIF(ALIF_Y2018!$A:$A,$A173,ALIF_Y2018!$F:$F)</f>
        <v>702932.21</v>
      </c>
      <c r="H173" s="98">
        <f>SUMIF(ALIF_Y2019!$A:$A,$A173,ALIF_Y2019!$F:$F)</f>
        <v>2216881.2599999998</v>
      </c>
      <c r="I173" s="98">
        <f>SUMIF(ALIF_Y2020!$A:$A,$A173,ALIF_Y2020!$F:$F)</f>
        <v>2001568.209</v>
      </c>
      <c r="J173" s="98">
        <f>SUMIF(ALIF_Y2021!$A:$A,$A173,ALIF_Y2021!$F:$F)</f>
        <v>2408817.8130000001</v>
      </c>
      <c r="K173" s="98">
        <f>SUMIF(ALIF_Y2022!$A:$A,$A173,ALIF_Y2022!$F:$F)</f>
        <v>2358711.4180000001</v>
      </c>
      <c r="L173" s="98">
        <f>SUMIF(ALIF_Y2023!$A:$A,$A173,ALIF_Y2023!$F:$F)</f>
        <v>1446669.747</v>
      </c>
      <c r="M173" s="98">
        <f>SUMIF(ALIF_Y2024!$A:$A,$A173,ALIF_Y2024!$F:$F)</f>
        <v>1755690.162</v>
      </c>
      <c r="N173" s="98">
        <f>SUMIF(ALIF_Y2025!$A:$A,$A173,ALIF_Y2025!$F:$F)</f>
        <v>2560477.15</v>
      </c>
      <c r="O173" t="str">
        <f>_xlfn.XLOOKUP(A173,Map!A:A,Map!E:E)</f>
        <v>Overhead - Utility</v>
      </c>
      <c r="P173" t="str">
        <f>_xlfn.XLOOKUP(A173,Map!A:A,Map!D:D)</f>
        <v>Cost of sales</v>
      </c>
    </row>
    <row r="174" spans="1:16" x14ac:dyDescent="0.25">
      <c r="A174" s="101">
        <v>600018</v>
      </c>
      <c r="B174" t="s">
        <v>153</v>
      </c>
      <c r="C174" s="98">
        <f>SUMIF(ALIF_Y2014!$A:$A,$A174,ALIF_Y2014!$F:$F)</f>
        <v>67144</v>
      </c>
      <c r="D174" s="98">
        <f>SUMIF(ALIF_Y2015!$A:$A,$A174,ALIF_Y2015!$F:$F)</f>
        <v>68770</v>
      </c>
      <c r="E174" s="98">
        <f>SUMIF(ALIF_Y2016!$A:$A,$A174,ALIF_Y2016!$F:$F)</f>
        <v>73630</v>
      </c>
      <c r="F174" s="98">
        <f>SUMIF(ALIF_Y2017!$A:$A,$A174,ALIF_Y2017!$F:$F)</f>
        <v>84828</v>
      </c>
      <c r="G174" s="98">
        <f>SUMIF(ALIF_Y2018!$A:$A,$A174,ALIF_Y2018!$F:$F)</f>
        <v>128714.819</v>
      </c>
      <c r="H174" s="98">
        <f>SUMIF(ALIF_Y2019!$A:$A,$A174,ALIF_Y2019!$F:$F)</f>
        <v>216247</v>
      </c>
      <c r="I174" s="98">
        <f>SUMIF(ALIF_Y2020!$A:$A,$A174,ALIF_Y2020!$F:$F)</f>
        <v>270503</v>
      </c>
      <c r="J174" s="98">
        <f>SUMIF(ALIF_Y2021!$A:$A,$A174,ALIF_Y2021!$F:$F)</f>
        <v>206252.087</v>
      </c>
      <c r="K174" s="98">
        <f>SUMIF(ALIF_Y2022!$A:$A,$A174,ALIF_Y2022!$F:$F)</f>
        <v>190710</v>
      </c>
      <c r="L174" s="98">
        <f>SUMIF(ALIF_Y2023!$A:$A,$A174,ALIF_Y2023!$F:$F)</f>
        <v>135380.5</v>
      </c>
      <c r="M174" s="98">
        <f>SUMIF(ALIF_Y2024!$A:$A,$A174,ALIF_Y2024!$F:$F)</f>
        <v>208020.85</v>
      </c>
      <c r="N174" s="98">
        <f>SUMIF(ALIF_Y2025!$A:$A,$A174,ALIF_Y2025!$F:$F)</f>
        <v>244183.04399999999</v>
      </c>
      <c r="O174" t="str">
        <f>_xlfn.XLOOKUP(A174,Map!A:A,Map!E:E)</f>
        <v>Overhead - Utility</v>
      </c>
      <c r="P174" t="str">
        <f>_xlfn.XLOOKUP(A174,Map!A:A,Map!D:D)</f>
        <v>Cost of sales</v>
      </c>
    </row>
    <row r="175" spans="1:16" x14ac:dyDescent="0.25">
      <c r="A175" s="101">
        <v>600019</v>
      </c>
      <c r="B175" t="s">
        <v>154</v>
      </c>
      <c r="C175" s="98">
        <f>SUMIF(ALIF_Y2014!$A:$A,$A175,ALIF_Y2014!$F:$F)</f>
        <v>60129.05</v>
      </c>
      <c r="D175" s="98">
        <f>SUMIF(ALIF_Y2015!$A:$A,$A175,ALIF_Y2015!$F:$F)</f>
        <v>58315.35</v>
      </c>
      <c r="E175" s="98">
        <f>SUMIF(ALIF_Y2016!$A:$A,$A175,ALIF_Y2016!$F:$F)</f>
        <v>128287</v>
      </c>
      <c r="F175" s="98">
        <f>SUMIF(ALIF_Y2017!$A:$A,$A175,ALIF_Y2017!$F:$F)</f>
        <v>38839</v>
      </c>
      <c r="G175" s="98">
        <f>SUMIF(ALIF_Y2018!$A:$A,$A175,ALIF_Y2018!$F:$F)</f>
        <v>47050.004999999997</v>
      </c>
      <c r="H175" s="98">
        <f>SUMIF(ALIF_Y2019!$A:$A,$A175,ALIF_Y2019!$F:$F)</f>
        <v>118151.98299999999</v>
      </c>
      <c r="I175" s="98">
        <f>SUMIF(ALIF_Y2020!$A:$A,$A175,ALIF_Y2020!$F:$F)</f>
        <v>162035.36600000001</v>
      </c>
      <c r="J175" s="98">
        <f>SUMIF(ALIF_Y2021!$A:$A,$A175,ALIF_Y2021!$F:$F)</f>
        <v>213234.52900000001</v>
      </c>
      <c r="K175" s="98">
        <f>SUMIF(ALIF_Y2022!$A:$A,$A175,ALIF_Y2022!$F:$F)</f>
        <v>42545.82</v>
      </c>
      <c r="L175" s="98">
        <f>SUMIF(ALIF_Y2023!$A:$A,$A175,ALIF_Y2023!$F:$F)</f>
        <v>74965.739000000001</v>
      </c>
      <c r="M175" s="98">
        <f>SUMIF(ALIF_Y2024!$A:$A,$A175,ALIF_Y2024!$F:$F)</f>
        <v>106458</v>
      </c>
      <c r="N175" s="98">
        <f>SUMIF(ALIF_Y2025!$A:$A,$A175,ALIF_Y2025!$F:$F)</f>
        <v>76656.376999999993</v>
      </c>
      <c r="O175" t="str">
        <f>_xlfn.XLOOKUP(A175,Map!A:A,Map!E:E)</f>
        <v>Overhead - Utility</v>
      </c>
      <c r="P175" t="str">
        <f>_xlfn.XLOOKUP(A175,Map!A:A,Map!D:D)</f>
        <v>Cost of sales</v>
      </c>
    </row>
    <row r="176" spans="1:16" x14ac:dyDescent="0.25">
      <c r="A176" s="101">
        <v>600020</v>
      </c>
      <c r="B176" t="s">
        <v>155</v>
      </c>
      <c r="C176" s="98">
        <f>SUMIF(ALIF_Y2014!$A:$A,$A176,ALIF_Y2014!$F:$F)</f>
        <v>217684.95199999999</v>
      </c>
      <c r="D176" s="98">
        <f>SUMIF(ALIF_Y2015!$A:$A,$A176,ALIF_Y2015!$F:$F)</f>
        <v>134173.00200000001</v>
      </c>
      <c r="E176" s="98">
        <f>SUMIF(ALIF_Y2016!$A:$A,$A176,ALIF_Y2016!$F:$F)</f>
        <v>37555</v>
      </c>
      <c r="F176" s="98">
        <f>SUMIF(ALIF_Y2017!$A:$A,$A176,ALIF_Y2017!$F:$F)</f>
        <v>149977.74</v>
      </c>
      <c r="G176" s="98">
        <f>SUMIF(ALIF_Y2018!$A:$A,$A176,ALIF_Y2018!$F:$F)</f>
        <v>51226.521000000001</v>
      </c>
      <c r="H176" s="98">
        <f>SUMIF(ALIF_Y2019!$A:$A,$A176,ALIF_Y2019!$F:$F)</f>
        <v>211989.478</v>
      </c>
      <c r="I176" s="98">
        <f>SUMIF(ALIF_Y2020!$A:$A,$A176,ALIF_Y2020!$F:$F)</f>
        <v>241753.386</v>
      </c>
      <c r="J176" s="98">
        <f>SUMIF(ALIF_Y2021!$A:$A,$A176,ALIF_Y2021!$F:$F)</f>
        <v>1423670.814</v>
      </c>
      <c r="K176" s="98">
        <f>SUMIF(ALIF_Y2022!$A:$A,$A176,ALIF_Y2022!$F:$F)</f>
        <v>1707251.281</v>
      </c>
      <c r="L176" s="98">
        <f>SUMIF(ALIF_Y2023!$A:$A,$A176,ALIF_Y2023!$F:$F)</f>
        <v>278086.342</v>
      </c>
      <c r="M176" s="98">
        <f>SUMIF(ALIF_Y2024!$A:$A,$A176,ALIF_Y2024!$F:$F)</f>
        <v>1269104.669</v>
      </c>
      <c r="N176" s="98">
        <f>SUMIF(ALIF_Y2025!$A:$A,$A176,ALIF_Y2025!$F:$F)</f>
        <v>7226411.2560000001</v>
      </c>
      <c r="O176" t="str">
        <f>_xlfn.XLOOKUP(A176,Map!A:A,Map!E:E)</f>
        <v>Overhead - R&amp;M</v>
      </c>
      <c r="P176" t="str">
        <f>_xlfn.XLOOKUP(A176,Map!A:A,Map!D:D)</f>
        <v>Cost of sales</v>
      </c>
    </row>
    <row r="177" spans="1:16" x14ac:dyDescent="0.25">
      <c r="A177" s="101">
        <v>600021</v>
      </c>
      <c r="B177" t="s">
        <v>156</v>
      </c>
      <c r="C177" s="98">
        <f>SUMIF(ALIF_Y2014!$A:$A,$A177,ALIF_Y2014!$F:$F)</f>
        <v>38872</v>
      </c>
      <c r="D177" s="98">
        <f>SUMIF(ALIF_Y2015!$A:$A,$A177,ALIF_Y2015!$F:$F)</f>
        <v>0</v>
      </c>
      <c r="E177" s="98">
        <f>SUMIF(ALIF_Y2016!$A:$A,$A177,ALIF_Y2016!$F:$F)</f>
        <v>23463</v>
      </c>
      <c r="F177" s="98">
        <f>SUMIF(ALIF_Y2017!$A:$A,$A177,ALIF_Y2017!$F:$F)</f>
        <v>43973</v>
      </c>
      <c r="G177" s="98">
        <f>SUMIF(ALIF_Y2018!$A:$A,$A177,ALIF_Y2018!$F:$F)</f>
        <v>25450.32</v>
      </c>
      <c r="H177" s="98">
        <f>SUMIF(ALIF_Y2019!$A:$A,$A177,ALIF_Y2019!$F:$F)</f>
        <v>50408.18</v>
      </c>
      <c r="I177" s="98">
        <f>SUMIF(ALIF_Y2020!$A:$A,$A177,ALIF_Y2020!$F:$F)</f>
        <v>100491.51</v>
      </c>
      <c r="J177" s="98">
        <f>SUMIF(ALIF_Y2021!$A:$A,$A177,ALIF_Y2021!$F:$F)</f>
        <v>51658.334999999999</v>
      </c>
      <c r="K177" s="98">
        <f>SUMIF(ALIF_Y2022!$A:$A,$A177,ALIF_Y2022!$F:$F)</f>
        <v>34791.302000000003</v>
      </c>
      <c r="L177" s="98">
        <f>SUMIF(ALIF_Y2023!$A:$A,$A177,ALIF_Y2023!$F:$F)</f>
        <v>22187.22</v>
      </c>
      <c r="M177" s="98">
        <f>SUMIF(ALIF_Y2024!$A:$A,$A177,ALIF_Y2024!$F:$F)</f>
        <v>11674.16</v>
      </c>
      <c r="N177" s="98">
        <f>SUMIF(ALIF_Y2025!$A:$A,$A177,ALIF_Y2025!$F:$F)</f>
        <v>35160.987000000001</v>
      </c>
      <c r="O177" t="str">
        <f>_xlfn.XLOOKUP(A177,Map!A:A,Map!E:E)</f>
        <v>Overhead - R&amp;M</v>
      </c>
      <c r="P177" t="str">
        <f>_xlfn.XLOOKUP(A177,Map!A:A,Map!D:D)</f>
        <v>Cost of sales</v>
      </c>
    </row>
    <row r="178" spans="1:16" x14ac:dyDescent="0.25">
      <c r="A178" s="101">
        <v>600022</v>
      </c>
      <c r="B178" t="s">
        <v>157</v>
      </c>
      <c r="C178" s="98">
        <f>SUMIF(ALIF_Y2014!$A:$A,$A178,ALIF_Y2014!$F:$F)</f>
        <v>0</v>
      </c>
      <c r="D178" s="98">
        <f>SUMIF(ALIF_Y2015!$A:$A,$A178,ALIF_Y2015!$F:$F)</f>
        <v>700</v>
      </c>
      <c r="E178" s="98">
        <f>SUMIF(ALIF_Y2016!$A:$A,$A178,ALIF_Y2016!$F:$F)</f>
        <v>300</v>
      </c>
      <c r="F178" s="98">
        <f>SUMIF(ALIF_Y2017!$A:$A,$A178,ALIF_Y2017!$F:$F)</f>
        <v>9818</v>
      </c>
      <c r="G178" s="98">
        <f>SUMIF(ALIF_Y2018!$A:$A,$A178,ALIF_Y2018!$F:$F)</f>
        <v>2200</v>
      </c>
      <c r="H178" s="98">
        <f>SUMIF(ALIF_Y2019!$A:$A,$A178,ALIF_Y2019!$F:$F)</f>
        <v>40689.25</v>
      </c>
      <c r="I178" s="98">
        <f>SUMIF(ALIF_Y2020!$A:$A,$A178,ALIF_Y2020!$F:$F)</f>
        <v>122092.9</v>
      </c>
      <c r="J178" s="98">
        <f>SUMIF(ALIF_Y2021!$A:$A,$A178,ALIF_Y2021!$F:$F)</f>
        <v>188518.36600000001</v>
      </c>
      <c r="K178" s="98">
        <f>SUMIF(ALIF_Y2022!$A:$A,$A178,ALIF_Y2022!$F:$F)</f>
        <v>34835</v>
      </c>
      <c r="L178" s="98">
        <f>SUMIF(ALIF_Y2023!$A:$A,$A178,ALIF_Y2023!$F:$F)</f>
        <v>-14891.970000000001</v>
      </c>
      <c r="M178" s="98">
        <f>SUMIF(ALIF_Y2024!$A:$A,$A178,ALIF_Y2024!$F:$F)</f>
        <v>5123.9120000000003</v>
      </c>
      <c r="N178" s="98">
        <f>SUMIF(ALIF_Y2025!$A:$A,$A178,ALIF_Y2025!$F:$F)</f>
        <v>2680</v>
      </c>
      <c r="O178" t="str">
        <f>_xlfn.XLOOKUP(A178,Map!A:A,Map!E:E)</f>
        <v>Overhead - R&amp;M</v>
      </c>
      <c r="P178" t="str">
        <f>_xlfn.XLOOKUP(A178,Map!A:A,Map!D:D)</f>
        <v>Cost of sales</v>
      </c>
    </row>
    <row r="179" spans="1:16" x14ac:dyDescent="0.25">
      <c r="A179" s="101">
        <v>600023</v>
      </c>
      <c r="B179" t="s">
        <v>158</v>
      </c>
      <c r="C179" s="98">
        <f>SUMIF(ALIF_Y2014!$A:$A,$A179,ALIF_Y2014!$F:$F)</f>
        <v>880</v>
      </c>
      <c r="D179" s="98">
        <f>SUMIF(ALIF_Y2015!$A:$A,$A179,ALIF_Y2015!$F:$F)</f>
        <v>3377</v>
      </c>
      <c r="E179" s="98">
        <f>SUMIF(ALIF_Y2016!$A:$A,$A179,ALIF_Y2016!$F:$F)</f>
        <v>2100</v>
      </c>
      <c r="F179" s="98">
        <f>SUMIF(ALIF_Y2017!$A:$A,$A179,ALIF_Y2017!$F:$F)</f>
        <v>0</v>
      </c>
      <c r="G179" s="98">
        <f>SUMIF(ALIF_Y2018!$A:$A,$A179,ALIF_Y2018!$F:$F)</f>
        <v>0</v>
      </c>
      <c r="H179" s="98">
        <f>SUMIF(ALIF_Y2019!$A:$A,$A179,ALIF_Y2019!$F:$F)</f>
        <v>4014</v>
      </c>
      <c r="I179" s="98">
        <f>SUMIF(ALIF_Y2020!$A:$A,$A179,ALIF_Y2020!$F:$F)</f>
        <v>2528.75</v>
      </c>
      <c r="J179" s="98">
        <f>SUMIF(ALIF_Y2021!$A:$A,$A179,ALIF_Y2021!$F:$F)</f>
        <v>101452.5</v>
      </c>
      <c r="K179" s="98">
        <f>SUMIF(ALIF_Y2022!$A:$A,$A179,ALIF_Y2022!$F:$F)</f>
        <v>0</v>
      </c>
      <c r="L179" s="98">
        <f>SUMIF(ALIF_Y2023!$A:$A,$A179,ALIF_Y2023!$F:$F)</f>
        <v>0</v>
      </c>
      <c r="M179" s="98">
        <f>SUMIF(ALIF_Y2024!$A:$A,$A179,ALIF_Y2024!$F:$F)</f>
        <v>0</v>
      </c>
      <c r="N179" s="98">
        <f>SUMIF(ALIF_Y2025!$A:$A,$A179,ALIF_Y2025!$F:$F)</f>
        <v>0</v>
      </c>
      <c r="O179" t="str">
        <f>_xlfn.XLOOKUP(A179,Map!A:A,Map!E:E)</f>
        <v>Overhead - R&amp;M</v>
      </c>
      <c r="P179" t="str">
        <f>_xlfn.XLOOKUP(A179,Map!A:A,Map!D:D)</f>
        <v>Cost of sales</v>
      </c>
    </row>
    <row r="180" spans="1:16" x14ac:dyDescent="0.25">
      <c r="A180" s="101">
        <v>600024</v>
      </c>
      <c r="B180" t="s">
        <v>159</v>
      </c>
      <c r="C180" s="98">
        <f>SUMIF(ALIF_Y2014!$A:$A,$A180,ALIF_Y2014!$F:$F)</f>
        <v>70658.5</v>
      </c>
      <c r="D180" s="98">
        <f>SUMIF(ALIF_Y2015!$A:$A,$A180,ALIF_Y2015!$F:$F)</f>
        <v>111125</v>
      </c>
      <c r="E180" s="98">
        <f>SUMIF(ALIF_Y2016!$A:$A,$A180,ALIF_Y2016!$F:$F)</f>
        <v>93001.69</v>
      </c>
      <c r="F180" s="98">
        <f>SUMIF(ALIF_Y2017!$A:$A,$A180,ALIF_Y2017!$F:$F)</f>
        <v>33960.5</v>
      </c>
      <c r="G180" s="98">
        <f>SUMIF(ALIF_Y2018!$A:$A,$A180,ALIF_Y2018!$F:$F)</f>
        <v>4342.5</v>
      </c>
      <c r="H180" s="98">
        <f>SUMIF(ALIF_Y2019!$A:$A,$A180,ALIF_Y2019!$F:$F)</f>
        <v>7663.95</v>
      </c>
      <c r="I180" s="98">
        <f>SUMIF(ALIF_Y2020!$A:$A,$A180,ALIF_Y2020!$F:$F)</f>
        <v>14937.3</v>
      </c>
      <c r="J180" s="98">
        <f>SUMIF(ALIF_Y2021!$A:$A,$A180,ALIF_Y2021!$F:$F)</f>
        <v>0</v>
      </c>
      <c r="K180" s="98">
        <f>SUMIF(ALIF_Y2022!$A:$A,$A180,ALIF_Y2022!$F:$F)</f>
        <v>0</v>
      </c>
      <c r="L180" s="98">
        <f>SUMIF(ALIF_Y2023!$A:$A,$A180,ALIF_Y2023!$F:$F)</f>
        <v>0</v>
      </c>
      <c r="M180" s="98">
        <f>SUMIF(ALIF_Y2024!$A:$A,$A180,ALIF_Y2024!$F:$F)</f>
        <v>0</v>
      </c>
      <c r="N180" s="98">
        <f>SUMIF(ALIF_Y2025!$A:$A,$A180,ALIF_Y2025!$F:$F)</f>
        <v>0</v>
      </c>
      <c r="O180" t="str">
        <f>_xlfn.XLOOKUP(A180,Map!A:A,Map!E:E)</f>
        <v>Overhead - Rent</v>
      </c>
      <c r="P180" t="str">
        <f>_xlfn.XLOOKUP(A180,Map!A:A,Map!D:D)</f>
        <v>Cost of sales</v>
      </c>
    </row>
    <row r="181" spans="1:16" x14ac:dyDescent="0.25">
      <c r="A181" s="101">
        <v>600025</v>
      </c>
      <c r="B181" t="s">
        <v>160</v>
      </c>
      <c r="C181" s="98">
        <f>SUMIF(ALIF_Y2014!$A:$A,$A181,ALIF_Y2014!$F:$F)</f>
        <v>0</v>
      </c>
      <c r="D181" s="98">
        <f>SUMIF(ALIF_Y2015!$A:$A,$A181,ALIF_Y2015!$F:$F)</f>
        <v>0</v>
      </c>
      <c r="E181" s="98">
        <f>SUMIF(ALIF_Y2016!$A:$A,$A181,ALIF_Y2016!$F:$F)</f>
        <v>0</v>
      </c>
      <c r="F181" s="98">
        <f>SUMIF(ALIF_Y2017!$A:$A,$A181,ALIF_Y2017!$F:$F)</f>
        <v>0</v>
      </c>
      <c r="G181" s="98">
        <f>SUMIF(ALIF_Y2018!$A:$A,$A181,ALIF_Y2018!$F:$F)</f>
        <v>0</v>
      </c>
      <c r="H181" s="98">
        <f>SUMIF(ALIF_Y2019!$A:$A,$A181,ALIF_Y2019!$F:$F)</f>
        <v>320</v>
      </c>
      <c r="I181" s="98">
        <f>SUMIF(ALIF_Y2020!$A:$A,$A181,ALIF_Y2020!$F:$F)</f>
        <v>0</v>
      </c>
      <c r="J181" s="98">
        <f>SUMIF(ALIF_Y2021!$A:$A,$A181,ALIF_Y2021!$F:$F)</f>
        <v>0</v>
      </c>
      <c r="K181" s="98">
        <f>SUMIF(ALIF_Y2022!$A:$A,$A181,ALIF_Y2022!$F:$F)</f>
        <v>0</v>
      </c>
      <c r="L181" s="98">
        <f>SUMIF(ALIF_Y2023!$A:$A,$A181,ALIF_Y2023!$F:$F)</f>
        <v>0</v>
      </c>
      <c r="M181" s="98">
        <f>SUMIF(ALIF_Y2024!$A:$A,$A181,ALIF_Y2024!$F:$F)</f>
        <v>0</v>
      </c>
      <c r="N181" s="98">
        <f>SUMIF(ALIF_Y2025!$A:$A,$A181,ALIF_Y2025!$F:$F)</f>
        <v>0</v>
      </c>
      <c r="O181" t="str">
        <f>_xlfn.XLOOKUP(A181,Map!A:A,Map!E:E)</f>
        <v>Overhead - Insurance</v>
      </c>
      <c r="P181" t="str">
        <f>_xlfn.XLOOKUP(A181,Map!A:A,Map!D:D)</f>
        <v>Cost of sales</v>
      </c>
    </row>
    <row r="182" spans="1:16" x14ac:dyDescent="0.25">
      <c r="A182" s="101">
        <v>600026</v>
      </c>
      <c r="B182" t="s">
        <v>161</v>
      </c>
      <c r="C182" s="98">
        <f>SUMIF(ALIF_Y2014!$A:$A,$A182,ALIF_Y2014!$F:$F)</f>
        <v>0</v>
      </c>
      <c r="D182" s="98">
        <f>SUMIF(ALIF_Y2015!$A:$A,$A182,ALIF_Y2015!$F:$F)</f>
        <v>0</v>
      </c>
      <c r="E182" s="98">
        <f>SUMIF(ALIF_Y2016!$A:$A,$A182,ALIF_Y2016!$F:$F)</f>
        <v>0</v>
      </c>
      <c r="F182" s="98">
        <f>SUMIF(ALIF_Y2017!$A:$A,$A182,ALIF_Y2017!$F:$F)</f>
        <v>0</v>
      </c>
      <c r="G182" s="98">
        <f>SUMIF(ALIF_Y2018!$A:$A,$A182,ALIF_Y2018!$F:$F)</f>
        <v>0</v>
      </c>
      <c r="H182" s="98">
        <f>SUMIF(ALIF_Y2019!$A:$A,$A182,ALIF_Y2019!$F:$F)</f>
        <v>0</v>
      </c>
      <c r="I182" s="98">
        <f>SUMIF(ALIF_Y2020!$A:$A,$A182,ALIF_Y2020!$F:$F)</f>
        <v>0</v>
      </c>
      <c r="J182" s="98">
        <f>SUMIF(ALIF_Y2021!$A:$A,$A182,ALIF_Y2021!$F:$F)</f>
        <v>0</v>
      </c>
      <c r="K182" s="98">
        <f>SUMIF(ALIF_Y2022!$A:$A,$A182,ALIF_Y2022!$F:$F)</f>
        <v>0</v>
      </c>
      <c r="L182" s="98">
        <f>SUMIF(ALIF_Y2023!$A:$A,$A182,ALIF_Y2023!$F:$F)</f>
        <v>0</v>
      </c>
      <c r="M182" s="98">
        <f>SUMIF(ALIF_Y2024!$A:$A,$A182,ALIF_Y2024!$F:$F)</f>
        <v>0</v>
      </c>
      <c r="N182" s="98">
        <f>SUMIF(ALIF_Y2025!$A:$A,$A182,ALIF_Y2025!$F:$F)</f>
        <v>0</v>
      </c>
      <c r="O182" t="str">
        <f>_xlfn.XLOOKUP(A182,Map!A:A,Map!E:E)</f>
        <v>Overhead - Insurance</v>
      </c>
      <c r="P182" t="str">
        <f>_xlfn.XLOOKUP(A182,Map!A:A,Map!D:D)</f>
        <v>Cost of sales</v>
      </c>
    </row>
    <row r="183" spans="1:16" x14ac:dyDescent="0.25">
      <c r="A183" s="101">
        <v>600027</v>
      </c>
      <c r="B183" t="s">
        <v>162</v>
      </c>
      <c r="C183" s="98">
        <f>SUMIF(ALIF_Y2014!$A:$A,$A183,ALIF_Y2014!$F:$F)</f>
        <v>528700</v>
      </c>
      <c r="D183" s="98">
        <f>SUMIF(ALIF_Y2015!$A:$A,$A183,ALIF_Y2015!$F:$F)</f>
        <v>606615</v>
      </c>
      <c r="E183" s="98">
        <f>SUMIF(ALIF_Y2016!$A:$A,$A183,ALIF_Y2016!$F:$F)</f>
        <v>616000.07999999996</v>
      </c>
      <c r="F183" s="98">
        <f>SUMIF(ALIF_Y2017!$A:$A,$A183,ALIF_Y2017!$F:$F)</f>
        <v>308000.03999999998</v>
      </c>
      <c r="G183" s="98">
        <f>SUMIF(ALIF_Y2018!$A:$A,$A183,ALIF_Y2018!$F:$F)</f>
        <v>75357</v>
      </c>
      <c r="H183" s="98">
        <f>SUMIF(ALIF_Y2019!$A:$A,$A183,ALIF_Y2019!$F:$F)</f>
        <v>173594</v>
      </c>
      <c r="I183" s="98">
        <f>SUMIF(ALIF_Y2020!$A:$A,$A183,ALIF_Y2020!$F:$F)</f>
        <v>20884.348000000002</v>
      </c>
      <c r="J183" s="98">
        <f>SUMIF(ALIF_Y2021!$A:$A,$A183,ALIF_Y2021!$F:$F)</f>
        <v>0</v>
      </c>
      <c r="K183" s="98">
        <f>SUMIF(ALIF_Y2022!$A:$A,$A183,ALIF_Y2022!$F:$F)</f>
        <v>0</v>
      </c>
      <c r="L183" s="98">
        <f>SUMIF(ALIF_Y2023!$A:$A,$A183,ALIF_Y2023!$F:$F)</f>
        <v>0</v>
      </c>
      <c r="M183" s="98">
        <f>SUMIF(ALIF_Y2024!$A:$A,$A183,ALIF_Y2024!$F:$F)</f>
        <v>0</v>
      </c>
      <c r="N183" s="98">
        <f>SUMIF(ALIF_Y2025!$A:$A,$A183,ALIF_Y2025!$F:$F)</f>
        <v>0</v>
      </c>
      <c r="O183" t="str">
        <f>_xlfn.XLOOKUP(A183,Map!A:A,Map!E:E)</f>
        <v>Overhead - Rent</v>
      </c>
      <c r="P183" t="str">
        <f>_xlfn.XLOOKUP(A183,Map!A:A,Map!D:D)</f>
        <v>Cost of sales</v>
      </c>
    </row>
    <row r="184" spans="1:16" x14ac:dyDescent="0.25">
      <c r="A184" s="101">
        <v>600028</v>
      </c>
      <c r="B184" t="s">
        <v>163</v>
      </c>
      <c r="C184" s="98">
        <f>SUMIF(ALIF_Y2014!$A:$A,$A184,ALIF_Y2014!$F:$F)</f>
        <v>32121</v>
      </c>
      <c r="D184" s="98">
        <f>SUMIF(ALIF_Y2015!$A:$A,$A184,ALIF_Y2015!$F:$F)</f>
        <v>37601</v>
      </c>
      <c r="E184" s="98">
        <f>SUMIF(ALIF_Y2016!$A:$A,$A184,ALIF_Y2016!$F:$F)</f>
        <v>22558</v>
      </c>
      <c r="F184" s="98">
        <f>SUMIF(ALIF_Y2017!$A:$A,$A184,ALIF_Y2017!$F:$F)</f>
        <v>3483</v>
      </c>
      <c r="G184" s="98">
        <f>SUMIF(ALIF_Y2018!$A:$A,$A184,ALIF_Y2018!$F:$F)</f>
        <v>25229.200000000001</v>
      </c>
      <c r="H184" s="98">
        <f>SUMIF(ALIF_Y2019!$A:$A,$A184,ALIF_Y2019!$F:$F)</f>
        <v>118089.66</v>
      </c>
      <c r="I184" s="98">
        <f>SUMIF(ALIF_Y2020!$A:$A,$A184,ALIF_Y2020!$F:$F)</f>
        <v>38057.71</v>
      </c>
      <c r="J184" s="98">
        <f>SUMIF(ALIF_Y2021!$A:$A,$A184,ALIF_Y2021!$F:$F)</f>
        <v>11936.77</v>
      </c>
      <c r="K184" s="98">
        <f>SUMIF(ALIF_Y2022!$A:$A,$A184,ALIF_Y2022!$F:$F)</f>
        <v>0</v>
      </c>
      <c r="L184" s="98">
        <f>SUMIF(ALIF_Y2023!$A:$A,$A184,ALIF_Y2023!$F:$F)</f>
        <v>0</v>
      </c>
      <c r="M184" s="98">
        <f>SUMIF(ALIF_Y2024!$A:$A,$A184,ALIF_Y2024!$F:$F)</f>
        <v>0</v>
      </c>
      <c r="N184" s="98">
        <f>SUMIF(ALIF_Y2025!$A:$A,$A184,ALIF_Y2025!$F:$F)</f>
        <v>0</v>
      </c>
      <c r="O184" t="str">
        <f>_xlfn.XLOOKUP(A184,Map!A:A,Map!E:E)</f>
        <v>Overhead - Consumables &amp; SP</v>
      </c>
      <c r="P184" t="str">
        <f>_xlfn.XLOOKUP(A184,Map!A:A,Map!D:D)</f>
        <v>Cost of sales</v>
      </c>
    </row>
    <row r="185" spans="1:16" x14ac:dyDescent="0.25">
      <c r="A185" s="101">
        <v>600029</v>
      </c>
      <c r="B185" t="s">
        <v>164</v>
      </c>
      <c r="C185" s="98">
        <f>SUMIF(ALIF_Y2014!$A:$A,$A185,ALIF_Y2014!$F:$F)</f>
        <v>2954190.4589999998</v>
      </c>
      <c r="D185" s="98">
        <f>SUMIF(ALIF_Y2015!$A:$A,$A185,ALIF_Y2015!$F:$F)</f>
        <v>3165403.4010000001</v>
      </c>
      <c r="E185" s="98">
        <f>SUMIF(ALIF_Y2016!$A:$A,$A185,ALIF_Y2016!$F:$F)</f>
        <v>3435007.7499999995</v>
      </c>
      <c r="F185" s="98">
        <f>SUMIF(ALIF_Y2017!$A:$A,$A185,ALIF_Y2017!$F:$F)</f>
        <v>3533037.389</v>
      </c>
      <c r="G185" s="98">
        <f>SUMIF(ALIF_Y2018!$A:$A,$A185,ALIF_Y2018!$F:$F)</f>
        <v>2198098.9980000001</v>
      </c>
      <c r="H185" s="98">
        <f>SUMIF(ALIF_Y2019!$A:$A,$A185,ALIF_Y2019!$F:$F)</f>
        <v>3638104.1009999998</v>
      </c>
      <c r="I185" s="98">
        <f>SUMIF(ALIF_Y2020!$A:$A,$A185,ALIF_Y2020!$F:$F)</f>
        <v>3256640.844</v>
      </c>
      <c r="J185" s="98">
        <f>SUMIF(ALIF_Y2021!$A:$A,$A185,ALIF_Y2021!$F:$F)</f>
        <v>3446969.5830000001</v>
      </c>
      <c r="K185" s="98">
        <f>SUMIF(ALIF_Y2022!$A:$A,$A185,ALIF_Y2022!$F:$F)</f>
        <v>3787622.0819999999</v>
      </c>
      <c r="L185" s="98">
        <f>SUMIF(ALIF_Y2023!$A:$A,$A185,ALIF_Y2023!$F:$F)</f>
        <v>3892923.0929999999</v>
      </c>
      <c r="M185" s="98">
        <f>SUMIF(ALIF_Y2024!$A:$A,$A185,ALIF_Y2024!$F:$F)</f>
        <v>4522894.6119999997</v>
      </c>
      <c r="N185" s="98">
        <f>SUMIF(ALIF_Y2025!$A:$A,$A185,ALIF_Y2025!$F:$F)</f>
        <v>7355690.534</v>
      </c>
      <c r="O185" t="str">
        <f>_xlfn.XLOOKUP(A185,Map!A:A,Map!E:E)</f>
        <v>Depreciation - Machines</v>
      </c>
      <c r="P185" t="str">
        <f>_xlfn.XLOOKUP(A185,Map!A:A,Map!D:D)</f>
        <v>Cost of sales</v>
      </c>
    </row>
    <row r="186" spans="1:16" x14ac:dyDescent="0.25">
      <c r="A186" s="101">
        <v>600030</v>
      </c>
      <c r="B186" t="s">
        <v>165</v>
      </c>
      <c r="C186" s="98">
        <f>SUMIF(ALIF_Y2014!$A:$A,$A186,ALIF_Y2014!$F:$F)</f>
        <v>16978.21</v>
      </c>
      <c r="D186" s="98">
        <f>SUMIF(ALIF_Y2015!$A:$A,$A186,ALIF_Y2015!$F:$F)</f>
        <v>12131.503000000001</v>
      </c>
      <c r="E186" s="98">
        <f>SUMIF(ALIF_Y2016!$A:$A,$A186,ALIF_Y2016!$F:$F)</f>
        <v>8894.91</v>
      </c>
      <c r="F186" s="98">
        <f>SUMIF(ALIF_Y2017!$A:$A,$A186,ALIF_Y2017!$F:$F)</f>
        <v>5931.53</v>
      </c>
      <c r="G186" s="98">
        <f>SUMIF(ALIF_Y2018!$A:$A,$A186,ALIF_Y2018!$F:$F)</f>
        <v>19540.267</v>
      </c>
      <c r="H186" s="98">
        <f>SUMIF(ALIF_Y2019!$A:$A,$A186,ALIF_Y2019!$F:$F)</f>
        <v>43190.017999999996</v>
      </c>
      <c r="I186" s="98">
        <f>SUMIF(ALIF_Y2020!$A:$A,$A186,ALIF_Y2020!$F:$F)</f>
        <v>56147.614999999998</v>
      </c>
      <c r="J186" s="98">
        <f>SUMIF(ALIF_Y2021!$A:$A,$A186,ALIF_Y2021!$F:$F)</f>
        <v>76450.78</v>
      </c>
      <c r="K186" s="98">
        <f>SUMIF(ALIF_Y2022!$A:$A,$A186,ALIF_Y2022!$F:$F)</f>
        <v>82730.331999999995</v>
      </c>
      <c r="L186" s="98">
        <f>SUMIF(ALIF_Y2023!$A:$A,$A186,ALIF_Y2023!$F:$F)</f>
        <v>87931.763999999996</v>
      </c>
      <c r="M186" s="98">
        <f>SUMIF(ALIF_Y2024!$A:$A,$A186,ALIF_Y2024!$F:$F)</f>
        <v>89058.758000000002</v>
      </c>
      <c r="N186" s="98">
        <f>SUMIF(ALIF_Y2025!$A:$A,$A186,ALIF_Y2025!$F:$F)</f>
        <v>0</v>
      </c>
      <c r="O186" t="str">
        <f>_xlfn.XLOOKUP(A186,Map!A:A,Map!E:E)</f>
        <v>Depreciation expenses</v>
      </c>
      <c r="P186" t="str">
        <f>_xlfn.XLOOKUP(A186,Map!A:A,Map!D:D)</f>
        <v>Depreciation expenses</v>
      </c>
    </row>
    <row r="187" spans="1:16" x14ac:dyDescent="0.25">
      <c r="A187" s="101">
        <v>600031</v>
      </c>
      <c r="B187" t="s">
        <v>166</v>
      </c>
      <c r="C187" s="98">
        <f>SUMIF(ALIF_Y2014!$A:$A,$A187,ALIF_Y2014!$F:$F)</f>
        <v>99878.67</v>
      </c>
      <c r="D187" s="98">
        <f>SUMIF(ALIF_Y2015!$A:$A,$A187,ALIF_Y2015!$F:$F)</f>
        <v>43317.006000000001</v>
      </c>
      <c r="E187" s="98">
        <f>SUMIF(ALIF_Y2016!$A:$A,$A187,ALIF_Y2016!$F:$F)</f>
        <v>7359.9889999999987</v>
      </c>
      <c r="F187" s="98">
        <f>SUMIF(ALIF_Y2017!$A:$A,$A187,ALIF_Y2017!$F:$F)</f>
        <v>2409.9670000000001</v>
      </c>
      <c r="G187" s="98">
        <f>SUMIF(ALIF_Y2018!$A:$A,$A187,ALIF_Y2018!$F:$F)</f>
        <v>6188.76</v>
      </c>
      <c r="H187" s="98">
        <f>SUMIF(ALIF_Y2019!$A:$A,$A187,ALIF_Y2019!$F:$F)</f>
        <v>14498.33</v>
      </c>
      <c r="I187" s="98">
        <f>SUMIF(ALIF_Y2020!$A:$A,$A187,ALIF_Y2020!$F:$F)</f>
        <v>0</v>
      </c>
      <c r="J187" s="98">
        <f>SUMIF(ALIF_Y2021!$A:$A,$A187,ALIF_Y2021!$F:$F)</f>
        <v>0</v>
      </c>
      <c r="K187" s="98">
        <f>SUMIF(ALIF_Y2022!$A:$A,$A187,ALIF_Y2022!$F:$F)</f>
        <v>0</v>
      </c>
      <c r="L187" s="98">
        <f>SUMIF(ALIF_Y2023!$A:$A,$A187,ALIF_Y2023!$F:$F)</f>
        <v>0</v>
      </c>
      <c r="M187" s="98">
        <f>SUMIF(ALIF_Y2024!$A:$A,$A187,ALIF_Y2024!$F:$F)</f>
        <v>0</v>
      </c>
      <c r="N187" s="98">
        <f>SUMIF(ALIF_Y2025!$A:$A,$A187,ALIF_Y2025!$F:$F)</f>
        <v>0</v>
      </c>
      <c r="O187" t="str">
        <f>_xlfn.XLOOKUP(A187,Map!A:A,Map!E:E)</f>
        <v>Depreciation expenses</v>
      </c>
      <c r="P187" t="str">
        <f>_xlfn.XLOOKUP(A187,Map!A:A,Map!D:D)</f>
        <v>Depreciation expenses</v>
      </c>
    </row>
    <row r="188" spans="1:16" x14ac:dyDescent="0.25">
      <c r="A188" s="101">
        <v>600032</v>
      </c>
      <c r="B188" t="s">
        <v>167</v>
      </c>
      <c r="C188" s="98">
        <f>SUMIF(ALIF_Y2014!$A:$A,$A188,ALIF_Y2014!$F:$F)</f>
        <v>0</v>
      </c>
      <c r="D188" s="98">
        <f>SUMIF(ALIF_Y2015!$A:$A,$A188,ALIF_Y2015!$F:$F)</f>
        <v>0</v>
      </c>
      <c r="E188" s="98">
        <f>SUMIF(ALIF_Y2016!$A:$A,$A188,ALIF_Y2016!$F:$F)</f>
        <v>0</v>
      </c>
      <c r="F188" s="98">
        <f>SUMIF(ALIF_Y2017!$A:$A,$A188,ALIF_Y2017!$F:$F)</f>
        <v>0</v>
      </c>
      <c r="G188" s="98">
        <f>SUMIF(ALIF_Y2018!$A:$A,$A188,ALIF_Y2018!$F:$F)</f>
        <v>464769.54</v>
      </c>
      <c r="H188" s="98">
        <f>SUMIF(ALIF_Y2019!$A:$A,$A188,ALIF_Y2019!$F:$F)</f>
        <v>445185.70500000002</v>
      </c>
      <c r="I188" s="98">
        <f>SUMIF(ALIF_Y2020!$A:$A,$A188,ALIF_Y2020!$F:$F)</f>
        <v>1491578.6159999999</v>
      </c>
      <c r="J188" s="98">
        <f>SUMIF(ALIF_Y2021!$A:$A,$A188,ALIF_Y2021!$F:$F)</f>
        <v>1566844.1880000001</v>
      </c>
      <c r="K188" s="98">
        <f>SUMIF(ALIF_Y2022!$A:$A,$A188,ALIF_Y2022!$F:$F)</f>
        <v>1566844.2</v>
      </c>
      <c r="L188" s="98">
        <f>SUMIF(ALIF_Y2023!$A:$A,$A188,ALIF_Y2023!$F:$F)</f>
        <v>1566844.2</v>
      </c>
      <c r="M188" s="98">
        <f>SUMIF(ALIF_Y2024!$A:$A,$A188,ALIF_Y2024!$F:$F)</f>
        <v>1583327.5020000001</v>
      </c>
      <c r="N188" s="98">
        <f>SUMIF(ALIF_Y2025!$A:$A,$A188,ALIF_Y2025!$F:$F)</f>
        <v>1592884.561</v>
      </c>
      <c r="O188" t="str">
        <f>_xlfn.XLOOKUP(A188,Map!A:A,Map!E:E)</f>
        <v>Depreciation expenses</v>
      </c>
      <c r="P188" t="str">
        <f>_xlfn.XLOOKUP(A188,Map!A:A,Map!D:D)</f>
        <v>Depreciation expenses</v>
      </c>
    </row>
    <row r="189" spans="1:16" x14ac:dyDescent="0.25">
      <c r="A189" s="101">
        <v>600033</v>
      </c>
      <c r="B189" t="s">
        <v>168</v>
      </c>
      <c r="C189" s="98">
        <f>SUMIF(ALIF_Y2014!$A:$A,$A189,ALIF_Y2014!$F:$F)</f>
        <v>0</v>
      </c>
      <c r="D189" s="98">
        <f>SUMIF(ALIF_Y2015!$A:$A,$A189,ALIF_Y2015!$F:$F)</f>
        <v>0</v>
      </c>
      <c r="E189" s="98">
        <f>SUMIF(ALIF_Y2016!$A:$A,$A189,ALIF_Y2016!$F:$F)</f>
        <v>0</v>
      </c>
      <c r="F189" s="98">
        <f>SUMIF(ALIF_Y2017!$A:$A,$A189,ALIF_Y2017!$F:$F)</f>
        <v>0</v>
      </c>
      <c r="G189" s="98">
        <f>SUMIF(ALIF_Y2018!$A:$A,$A189,ALIF_Y2018!$F:$F)</f>
        <v>0</v>
      </c>
      <c r="H189" s="98">
        <f>SUMIF(ALIF_Y2019!$A:$A,$A189,ALIF_Y2019!$F:$F)</f>
        <v>0</v>
      </c>
      <c r="I189" s="98">
        <f>SUMIF(ALIF_Y2020!$A:$A,$A189,ALIF_Y2020!$F:$F)</f>
        <v>160112.508</v>
      </c>
      <c r="J189" s="98">
        <f>SUMIF(ALIF_Y2021!$A:$A,$A189,ALIF_Y2021!$F:$F)</f>
        <v>160113</v>
      </c>
      <c r="K189" s="98">
        <f>SUMIF(ALIF_Y2022!$A:$A,$A189,ALIF_Y2022!$F:$F)</f>
        <v>149331.413</v>
      </c>
      <c r="L189" s="98">
        <f>SUMIF(ALIF_Y2023!$A:$A,$A189,ALIF_Y2023!$F:$F)</f>
        <v>162906.99600000001</v>
      </c>
      <c r="M189" s="98">
        <f>SUMIF(ALIF_Y2024!$A:$A,$A189,ALIF_Y2024!$F:$F)</f>
        <v>148721.60399999999</v>
      </c>
      <c r="N189" s="98">
        <f>SUMIF(ALIF_Y2025!$A:$A,$A189,ALIF_Y2025!$F:$F)</f>
        <v>309351.69799999997</v>
      </c>
      <c r="O189" t="str">
        <f>_xlfn.XLOOKUP(A189,Map!A:A,Map!E:E)</f>
        <v>Depreciation expenses</v>
      </c>
      <c r="P189" t="str">
        <f>_xlfn.XLOOKUP(A189,Map!A:A,Map!D:D)</f>
        <v>Depreciation expenses</v>
      </c>
    </row>
    <row r="190" spans="1:16" x14ac:dyDescent="0.25">
      <c r="A190" s="101">
        <v>600034</v>
      </c>
      <c r="B190" t="s">
        <v>169</v>
      </c>
      <c r="C190" s="98">
        <f>SUMIF(ALIF_Y2014!$A:$A,$A190,ALIF_Y2014!$F:$F)</f>
        <v>0</v>
      </c>
      <c r="D190" s="98">
        <f>SUMIF(ALIF_Y2015!$A:$A,$A190,ALIF_Y2015!$F:$F)</f>
        <v>0</v>
      </c>
      <c r="E190" s="98">
        <f>SUMIF(ALIF_Y2016!$A:$A,$A190,ALIF_Y2016!$F:$F)</f>
        <v>0</v>
      </c>
      <c r="F190" s="98">
        <f>SUMIF(ALIF_Y2017!$A:$A,$A190,ALIF_Y2017!$F:$F)</f>
        <v>0</v>
      </c>
      <c r="G190" s="98">
        <f>SUMIF(ALIF_Y2018!$A:$A,$A190,ALIF_Y2018!$F:$F)</f>
        <v>0</v>
      </c>
      <c r="H190" s="98">
        <f>SUMIF(ALIF_Y2019!$A:$A,$A190,ALIF_Y2019!$F:$F)</f>
        <v>0</v>
      </c>
      <c r="I190" s="98">
        <f>SUMIF(ALIF_Y2020!$A:$A,$A190,ALIF_Y2020!$F:$F)</f>
        <v>0</v>
      </c>
      <c r="J190" s="98">
        <f>SUMIF(ALIF_Y2021!$A:$A,$A190,ALIF_Y2021!$F:$F)</f>
        <v>0</v>
      </c>
      <c r="K190" s="98">
        <f>SUMIF(ALIF_Y2022!$A:$A,$A190,ALIF_Y2022!$F:$F)</f>
        <v>0</v>
      </c>
      <c r="L190" s="98">
        <f>SUMIF(ALIF_Y2023!$A:$A,$A190,ALIF_Y2023!$F:$F)</f>
        <v>518207.99800000002</v>
      </c>
      <c r="M190" s="98">
        <f>SUMIF(ALIF_Y2024!$A:$A,$A190,ALIF_Y2024!$F:$F)</f>
        <v>0</v>
      </c>
      <c r="N190" s="98">
        <f>SUMIF(ALIF_Y2025!$A:$A,$A190,ALIF_Y2025!$F:$F)</f>
        <v>0</v>
      </c>
      <c r="O190" t="str">
        <f>_xlfn.XLOOKUP(A190,Map!A:A,Map!E:E)</f>
        <v>Overhead - Rent Labor</v>
      </c>
      <c r="P190" t="str">
        <f>_xlfn.XLOOKUP(A190,Map!A:A,Map!D:D)</f>
        <v>Cost of sales</v>
      </c>
    </row>
    <row r="191" spans="1:16" x14ac:dyDescent="0.25">
      <c r="A191" s="101">
        <v>600035</v>
      </c>
      <c r="B191" t="s">
        <v>252</v>
      </c>
      <c r="C191" s="98">
        <f>SUMIF(ALIF_Y2014!$A:$A,$A191,ALIF_Y2014!$F:$F)</f>
        <v>0</v>
      </c>
      <c r="D191" s="98">
        <f>SUMIF(ALIF_Y2015!$A:$A,$A191,ALIF_Y2015!$F:$F)</f>
        <v>0</v>
      </c>
      <c r="E191" s="98">
        <f>SUMIF(ALIF_Y2016!$A:$A,$A191,ALIF_Y2016!$F:$F)</f>
        <v>0</v>
      </c>
      <c r="F191" s="98">
        <f>SUMIF(ALIF_Y2017!$A:$A,$A191,ALIF_Y2017!$F:$F)</f>
        <v>0</v>
      </c>
      <c r="G191" s="98">
        <f>SUMIF(ALIF_Y2018!$A:$A,$A191,ALIF_Y2018!$F:$F)</f>
        <v>0</v>
      </c>
      <c r="H191" s="98">
        <f>SUMIF(ALIF_Y2019!$A:$A,$A191,ALIF_Y2019!$F:$F)</f>
        <v>0</v>
      </c>
      <c r="I191" s="98">
        <f>SUMIF(ALIF_Y2020!$A:$A,$A191,ALIF_Y2020!$F:$F)</f>
        <v>0</v>
      </c>
      <c r="J191" s="98">
        <f>SUMIF(ALIF_Y2021!$A:$A,$A191,ALIF_Y2021!$F:$F)</f>
        <v>0</v>
      </c>
      <c r="K191" s="98">
        <f>SUMIF(ALIF_Y2022!$A:$A,$A191,ALIF_Y2022!$F:$F)</f>
        <v>0</v>
      </c>
      <c r="L191" s="98">
        <f>SUMIF(ALIF_Y2023!$A:$A,$A191,ALIF_Y2023!$F:$F)</f>
        <v>0</v>
      </c>
      <c r="M191" s="98">
        <f>SUMIF(ALIF_Y2024!$A:$A,$A191,ALIF_Y2024!$F:$F)</f>
        <v>2924648.827</v>
      </c>
      <c r="N191" s="98">
        <f>SUMIF(ALIF_Y2025!$A:$A,$A191,ALIF_Y2025!$F:$F)</f>
        <v>3329353.625</v>
      </c>
      <c r="O191" t="str">
        <f>_xlfn.XLOOKUP(A191,Map!A:A,Map!E:E)</f>
        <v>Overhead - Rent Labor</v>
      </c>
      <c r="P191" t="str">
        <f>_xlfn.XLOOKUP(A191,Map!A:A,Map!D:D)</f>
        <v>Cost of sales</v>
      </c>
    </row>
    <row r="192" spans="1:16" x14ac:dyDescent="0.25">
      <c r="A192" s="101">
        <v>600036</v>
      </c>
      <c r="B192" t="s">
        <v>253</v>
      </c>
      <c r="C192" s="98">
        <f>SUMIF(ALIF_Y2014!$A:$A,$A192,ALIF_Y2014!$F:$F)</f>
        <v>0</v>
      </c>
      <c r="D192" s="98">
        <f>SUMIF(ALIF_Y2015!$A:$A,$A192,ALIF_Y2015!$F:$F)</f>
        <v>0</v>
      </c>
      <c r="E192" s="98">
        <f>SUMIF(ALIF_Y2016!$A:$A,$A192,ALIF_Y2016!$F:$F)</f>
        <v>0</v>
      </c>
      <c r="F192" s="98">
        <f>SUMIF(ALIF_Y2017!$A:$A,$A192,ALIF_Y2017!$F:$F)</f>
        <v>0</v>
      </c>
      <c r="G192" s="98">
        <f>SUMIF(ALIF_Y2018!$A:$A,$A192,ALIF_Y2018!$F:$F)</f>
        <v>0</v>
      </c>
      <c r="H192" s="98">
        <f>SUMIF(ALIF_Y2019!$A:$A,$A192,ALIF_Y2019!$F:$F)</f>
        <v>0</v>
      </c>
      <c r="I192" s="98">
        <f>SUMIF(ALIF_Y2020!$A:$A,$A192,ALIF_Y2020!$F:$F)</f>
        <v>0</v>
      </c>
      <c r="J192" s="98">
        <f>SUMIF(ALIF_Y2021!$A:$A,$A192,ALIF_Y2021!$F:$F)</f>
        <v>0</v>
      </c>
      <c r="K192" s="98">
        <f>SUMIF(ALIF_Y2022!$A:$A,$A192,ALIF_Y2022!$F:$F)</f>
        <v>0</v>
      </c>
      <c r="L192" s="98">
        <f>SUMIF(ALIF_Y2023!$A:$A,$A192,ALIF_Y2023!$F:$F)</f>
        <v>0</v>
      </c>
      <c r="M192" s="98">
        <f>SUMIF(ALIF_Y2024!$A:$A,$A192,ALIF_Y2024!$F:$F)</f>
        <v>158975.79500000001</v>
      </c>
      <c r="N192" s="98">
        <f>SUMIF(ALIF_Y2025!$A:$A,$A192,ALIF_Y2025!$F:$F)</f>
        <v>1641.952</v>
      </c>
      <c r="O192" t="str">
        <f>_xlfn.XLOOKUP(A192,Map!A:A,Map!E:E)</f>
        <v>Overhead - Consumables &amp; SP</v>
      </c>
      <c r="P192" t="str">
        <f>_xlfn.XLOOKUP(A192,Map!A:A,Map!D:D)</f>
        <v>Cost of sales</v>
      </c>
    </row>
    <row r="193" spans="1:16" x14ac:dyDescent="0.25">
      <c r="A193" s="101">
        <v>600060</v>
      </c>
      <c r="B193" t="s">
        <v>170</v>
      </c>
      <c r="C193" s="98">
        <f>SUMIF(ALIF_Y2014!$A:$A,$A193,ALIF_Y2014!$F:$F)</f>
        <v>0</v>
      </c>
      <c r="D193" s="98">
        <f>SUMIF(ALIF_Y2015!$A:$A,$A193,ALIF_Y2015!$F:$F)</f>
        <v>0</v>
      </c>
      <c r="E193" s="98">
        <f>SUMIF(ALIF_Y2016!$A:$A,$A193,ALIF_Y2016!$F:$F)</f>
        <v>0</v>
      </c>
      <c r="F193" s="98">
        <f>SUMIF(ALIF_Y2017!$A:$A,$A193,ALIF_Y2017!$F:$F)</f>
        <v>0</v>
      </c>
      <c r="G193" s="98">
        <f>SUMIF(ALIF_Y2018!$A:$A,$A193,ALIF_Y2018!$F:$F)</f>
        <v>0</v>
      </c>
      <c r="H193" s="98">
        <f>SUMIF(ALIF_Y2019!$A:$A,$A193,ALIF_Y2019!$F:$F)</f>
        <v>0</v>
      </c>
      <c r="I193" s="98">
        <f>SUMIF(ALIF_Y2020!$A:$A,$A193,ALIF_Y2020!$F:$F)</f>
        <v>0</v>
      </c>
      <c r="J193" s="98">
        <f>SUMIF(ALIF_Y2021!$A:$A,$A193,ALIF_Y2021!$F:$F)</f>
        <v>-751257.5</v>
      </c>
      <c r="K193" s="98">
        <f>SUMIF(ALIF_Y2022!$A:$A,$A193,ALIF_Y2022!$F:$F)</f>
        <v>-1290167.1000000001</v>
      </c>
      <c r="L193" s="98">
        <f>SUMIF(ALIF_Y2023!$A:$A,$A193,ALIF_Y2023!$F:$F)</f>
        <v>-776507.2</v>
      </c>
      <c r="M193" s="98">
        <f>SUMIF(ALIF_Y2024!$A:$A,$A193,ALIF_Y2024!$F:$F)</f>
        <v>-157172</v>
      </c>
      <c r="N193" s="98">
        <f>SUMIF(ALIF_Y2025!$A:$A,$A193,ALIF_Y2025!$F:$F)</f>
        <v>-193037.5</v>
      </c>
      <c r="O193" t="str">
        <f>_xlfn.XLOOKUP(A193,Map!A:A,Map!E:E)</f>
        <v>Other Income</v>
      </c>
      <c r="P193" t="str">
        <f>_xlfn.XLOOKUP(A193,Map!A:A,Map!D:D)</f>
        <v>Other Income</v>
      </c>
    </row>
    <row r="194" spans="1:16" x14ac:dyDescent="0.25">
      <c r="A194" s="101">
        <v>700001</v>
      </c>
      <c r="B194" t="s">
        <v>171</v>
      </c>
      <c r="C194" s="98">
        <f>SUMIF(ALIF_Y2014!$A:$A,$A194,ALIF_Y2014!$F:$F)</f>
        <v>2399562.33</v>
      </c>
      <c r="D194" s="98">
        <f>SUMIF(ALIF_Y2015!$A:$A,$A194,ALIF_Y2015!$F:$F)</f>
        <v>2480961</v>
      </c>
      <c r="E194" s="98">
        <f>SUMIF(ALIF_Y2016!$A:$A,$A194,ALIF_Y2016!$F:$F)</f>
        <v>2793901.4279999998</v>
      </c>
      <c r="F194" s="98">
        <f>SUMIF(ALIF_Y2017!$A:$A,$A194,ALIF_Y2017!$F:$F)</f>
        <v>3242017.68</v>
      </c>
      <c r="G194" s="98">
        <f>SUMIF(ALIF_Y2018!$A:$A,$A194,ALIF_Y2018!$F:$F)</f>
        <v>3623859.64</v>
      </c>
      <c r="H194" s="98">
        <f>SUMIF(ALIF_Y2019!$A:$A,$A194,ALIF_Y2019!$F:$F)</f>
        <v>4018092.53</v>
      </c>
      <c r="I194" s="98">
        <f>SUMIF(ALIF_Y2020!$A:$A,$A194,ALIF_Y2020!$F:$F)</f>
        <v>4824957.67</v>
      </c>
      <c r="J194" s="98">
        <f>SUMIF(ALIF_Y2021!$A:$A,$A194,ALIF_Y2021!$F:$F)</f>
        <v>5107249</v>
      </c>
      <c r="K194" s="98">
        <f>SUMIF(ALIF_Y2022!$A:$A,$A194,ALIF_Y2022!$F:$F)</f>
        <v>5703714.7999999998</v>
      </c>
      <c r="L194" s="98">
        <f>SUMIF(ALIF_Y2023!$A:$A,$A194,ALIF_Y2023!$F:$F)</f>
        <v>5017681.4000000004</v>
      </c>
      <c r="M194" s="98">
        <f>SUMIF(ALIF_Y2024!$A:$A,$A194,ALIF_Y2024!$F:$F)</f>
        <v>5476994.5410000002</v>
      </c>
      <c r="N194" s="98">
        <f>SUMIF(ALIF_Y2025!$A:$A,$A194,ALIF_Y2025!$F:$F)</f>
        <v>6522556.7599999998</v>
      </c>
      <c r="O194" t="str">
        <f>_xlfn.XLOOKUP(A194,Map!A:A,Map!E:E)</f>
        <v>Salaries and wages</v>
      </c>
      <c r="P194" t="str">
        <f>_xlfn.XLOOKUP(A194,Map!A:A,Map!D:D)</f>
        <v>General and Admin</v>
      </c>
    </row>
    <row r="195" spans="1:16" x14ac:dyDescent="0.25">
      <c r="A195" s="101">
        <v>700002</v>
      </c>
      <c r="B195" t="s">
        <v>172</v>
      </c>
      <c r="C195" s="98">
        <f>SUMIF(ALIF_Y2014!$A:$A,$A195,ALIF_Y2014!$F:$F)</f>
        <v>31119</v>
      </c>
      <c r="D195" s="98">
        <f>SUMIF(ALIF_Y2015!$A:$A,$A195,ALIF_Y2015!$F:$F)</f>
        <v>108666</v>
      </c>
      <c r="E195" s="98">
        <f>SUMIF(ALIF_Y2016!$A:$A,$A195,ALIF_Y2016!$F:$F)</f>
        <v>159960.32699999999</v>
      </c>
      <c r="F195" s="98">
        <f>SUMIF(ALIF_Y2017!$A:$A,$A195,ALIF_Y2017!$F:$F)</f>
        <v>97298</v>
      </c>
      <c r="G195" s="98">
        <f>SUMIF(ALIF_Y2018!$A:$A,$A195,ALIF_Y2018!$F:$F)</f>
        <v>47886</v>
      </c>
      <c r="H195" s="98">
        <f>SUMIF(ALIF_Y2019!$A:$A,$A195,ALIF_Y2019!$F:$F)</f>
        <v>131506.125</v>
      </c>
      <c r="I195" s="98">
        <f>SUMIF(ALIF_Y2020!$A:$A,$A195,ALIF_Y2020!$F:$F)</f>
        <v>276768.33299999998</v>
      </c>
      <c r="J195" s="98">
        <f>SUMIF(ALIF_Y2021!$A:$A,$A195,ALIF_Y2021!$F:$F)</f>
        <v>121114</v>
      </c>
      <c r="K195" s="98">
        <f>SUMIF(ALIF_Y2022!$A:$A,$A195,ALIF_Y2022!$F:$F)</f>
        <v>62087.839999999997</v>
      </c>
      <c r="L195" s="98">
        <f>SUMIF(ALIF_Y2023!$A:$A,$A195,ALIF_Y2023!$F:$F)</f>
        <v>5730.22</v>
      </c>
      <c r="M195" s="98">
        <f>SUMIF(ALIF_Y2024!$A:$A,$A195,ALIF_Y2024!$F:$F)</f>
        <v>0</v>
      </c>
      <c r="N195" s="98">
        <f>SUMIF(ALIF_Y2025!$A:$A,$A195,ALIF_Y2025!$F:$F)</f>
        <v>673815.19</v>
      </c>
      <c r="O195" t="str">
        <f>_xlfn.XLOOKUP(A195,Map!A:A,Map!E:E)</f>
        <v>Salaries and wages</v>
      </c>
      <c r="P195" t="str">
        <f>_xlfn.XLOOKUP(A195,Map!A:A,Map!D:D)</f>
        <v>General and Admin</v>
      </c>
    </row>
    <row r="196" spans="1:16" x14ac:dyDescent="0.25">
      <c r="A196" s="101">
        <v>700003</v>
      </c>
      <c r="B196" t="s">
        <v>173</v>
      </c>
      <c r="C196" s="98">
        <f>SUMIF(ALIF_Y2014!$A:$A,$A196,ALIF_Y2014!$F:$F)</f>
        <v>28154</v>
      </c>
      <c r="D196" s="98">
        <f>SUMIF(ALIF_Y2015!$A:$A,$A196,ALIF_Y2015!$F:$F)</f>
        <v>26420</v>
      </c>
      <c r="E196" s="98">
        <f>SUMIF(ALIF_Y2016!$A:$A,$A196,ALIF_Y2016!$F:$F)</f>
        <v>18795</v>
      </c>
      <c r="F196" s="98">
        <f>SUMIF(ALIF_Y2017!$A:$A,$A196,ALIF_Y2017!$F:$F)</f>
        <v>60003</v>
      </c>
      <c r="G196" s="98">
        <f>SUMIF(ALIF_Y2018!$A:$A,$A196,ALIF_Y2018!$F:$F)</f>
        <v>54943</v>
      </c>
      <c r="H196" s="98">
        <f>SUMIF(ALIF_Y2019!$A:$A,$A196,ALIF_Y2019!$F:$F)</f>
        <v>14774</v>
      </c>
      <c r="I196" s="98">
        <f>SUMIF(ALIF_Y2020!$A:$A,$A196,ALIF_Y2020!$F:$F)</f>
        <v>20070.75</v>
      </c>
      <c r="J196" s="98">
        <f>SUMIF(ALIF_Y2021!$A:$A,$A196,ALIF_Y2021!$F:$F)</f>
        <v>11200</v>
      </c>
      <c r="K196" s="98">
        <f>SUMIF(ALIF_Y2022!$A:$A,$A196,ALIF_Y2022!$F:$F)</f>
        <v>9704</v>
      </c>
      <c r="L196" s="98">
        <f>SUMIF(ALIF_Y2023!$A:$A,$A196,ALIF_Y2023!$F:$F)</f>
        <v>9600</v>
      </c>
      <c r="M196" s="98">
        <f>SUMIF(ALIF_Y2024!$A:$A,$A196,ALIF_Y2024!$F:$F)</f>
        <v>153</v>
      </c>
      <c r="N196" s="98">
        <f>SUMIF(ALIF_Y2025!$A:$A,$A196,ALIF_Y2025!$F:$F)</f>
        <v>231259.44099999999</v>
      </c>
      <c r="O196" t="str">
        <f>_xlfn.XLOOKUP(A196,Map!A:A,Map!E:E)</f>
        <v>Salaries and wages</v>
      </c>
      <c r="P196" t="str">
        <f>_xlfn.XLOOKUP(A196,Map!A:A,Map!D:D)</f>
        <v>General and Admin</v>
      </c>
    </row>
    <row r="197" spans="1:16" x14ac:dyDescent="0.25">
      <c r="A197" s="101">
        <v>700004</v>
      </c>
      <c r="B197" t="s">
        <v>174</v>
      </c>
      <c r="C197" s="98">
        <f>SUMIF(ALIF_Y2014!$A:$A,$A197,ALIF_Y2014!$F:$F)</f>
        <v>121006.25</v>
      </c>
      <c r="D197" s="98">
        <f>SUMIF(ALIF_Y2015!$A:$A,$A197,ALIF_Y2015!$F:$F)</f>
        <v>136979.53200000001</v>
      </c>
      <c r="E197" s="98">
        <f>SUMIF(ALIF_Y2016!$A:$A,$A197,ALIF_Y2016!$F:$F)</f>
        <v>171633.399</v>
      </c>
      <c r="F197" s="98">
        <f>SUMIF(ALIF_Y2017!$A:$A,$A197,ALIF_Y2017!$F:$F)</f>
        <v>269897.71000000002</v>
      </c>
      <c r="G197" s="98">
        <f>SUMIF(ALIF_Y2018!$A:$A,$A197,ALIF_Y2018!$F:$F)</f>
        <v>202885.31899999999</v>
      </c>
      <c r="H197" s="98">
        <f>SUMIF(ALIF_Y2019!$A:$A,$A197,ALIF_Y2019!$F:$F)</f>
        <v>218640</v>
      </c>
      <c r="I197" s="98">
        <f>SUMIF(ALIF_Y2020!$A:$A,$A197,ALIF_Y2020!$F:$F)</f>
        <v>258995.701</v>
      </c>
      <c r="J197" s="98">
        <f>SUMIF(ALIF_Y2021!$A:$A,$A197,ALIF_Y2021!$F:$F)</f>
        <v>284260.2</v>
      </c>
      <c r="K197" s="98">
        <f>SUMIF(ALIF_Y2022!$A:$A,$A197,ALIF_Y2022!$F:$F)</f>
        <v>280307.54399999999</v>
      </c>
      <c r="L197" s="98">
        <f>SUMIF(ALIF_Y2023!$A:$A,$A197,ALIF_Y2023!$F:$F)</f>
        <v>341975.08799999999</v>
      </c>
      <c r="M197" s="98">
        <f>SUMIF(ALIF_Y2024!$A:$A,$A197,ALIF_Y2024!$F:$F)</f>
        <v>306196.61300000001</v>
      </c>
      <c r="N197" s="98">
        <f>SUMIF(ALIF_Y2025!$A:$A,$A197,ALIF_Y2025!$F:$F)</f>
        <v>487368.45</v>
      </c>
      <c r="O197" t="str">
        <f>_xlfn.XLOOKUP(A197,Map!A:A,Map!E:E)</f>
        <v>Salaries and wages</v>
      </c>
      <c r="P197" t="str">
        <f>_xlfn.XLOOKUP(A197,Map!A:A,Map!D:D)</f>
        <v>General and Admin</v>
      </c>
    </row>
    <row r="198" spans="1:16" x14ac:dyDescent="0.25">
      <c r="A198" s="101">
        <v>700005</v>
      </c>
      <c r="B198" t="s">
        <v>175</v>
      </c>
      <c r="C198" s="98">
        <f>SUMIF(ALIF_Y2014!$A:$A,$A198,ALIF_Y2014!$F:$F)</f>
        <v>178284</v>
      </c>
      <c r="D198" s="98">
        <f>SUMIF(ALIF_Y2015!$A:$A,$A198,ALIF_Y2015!$F:$F)</f>
        <v>315938.51</v>
      </c>
      <c r="E198" s="98">
        <f>SUMIF(ALIF_Y2016!$A:$A,$A198,ALIF_Y2016!$F:$F)</f>
        <v>207349.43</v>
      </c>
      <c r="F198" s="98">
        <f>SUMIF(ALIF_Y2017!$A:$A,$A198,ALIF_Y2017!$F:$F)</f>
        <v>159082.32</v>
      </c>
      <c r="G198" s="98">
        <f>SUMIF(ALIF_Y2018!$A:$A,$A198,ALIF_Y2018!$F:$F)</f>
        <v>290193.32400000002</v>
      </c>
      <c r="H198" s="98">
        <f>SUMIF(ALIF_Y2019!$A:$A,$A198,ALIF_Y2019!$F:$F)</f>
        <v>154450.266</v>
      </c>
      <c r="I198" s="98">
        <f>SUMIF(ALIF_Y2020!$A:$A,$A198,ALIF_Y2020!$F:$F)</f>
        <v>362349.06300000002</v>
      </c>
      <c r="J198" s="98">
        <f>SUMIF(ALIF_Y2021!$A:$A,$A198,ALIF_Y2021!$F:$F)</f>
        <v>94225.58</v>
      </c>
      <c r="K198" s="98">
        <f>SUMIF(ALIF_Y2022!$A:$A,$A198,ALIF_Y2022!$F:$F)</f>
        <v>154303.54999999999</v>
      </c>
      <c r="L198" s="98">
        <f>SUMIF(ALIF_Y2023!$A:$A,$A198,ALIF_Y2023!$F:$F)</f>
        <v>132847.46</v>
      </c>
      <c r="M198" s="98">
        <f>SUMIF(ALIF_Y2024!$A:$A,$A198,ALIF_Y2024!$F:$F)</f>
        <v>199903.14</v>
      </c>
      <c r="N198" s="98">
        <f>SUMIF(ALIF_Y2025!$A:$A,$A198,ALIF_Y2025!$F:$F)</f>
        <v>708155.88500000001</v>
      </c>
      <c r="O198" t="str">
        <f>_xlfn.XLOOKUP(A198,Map!A:A,Map!E:E)</f>
        <v>Govt license and fees (including modon)</v>
      </c>
      <c r="P198" t="str">
        <f>_xlfn.XLOOKUP(A198,Map!A:A,Map!D:D)</f>
        <v>General and Admin</v>
      </c>
    </row>
    <row r="199" spans="1:16" x14ac:dyDescent="0.25">
      <c r="A199" s="101">
        <v>700006</v>
      </c>
      <c r="B199" t="s">
        <v>176</v>
      </c>
      <c r="C199" s="98">
        <f>SUMIF(ALIF_Y2014!$A:$A,$A199,ALIF_Y2014!$F:$F)</f>
        <v>578533.9</v>
      </c>
      <c r="D199" s="98">
        <f>SUMIF(ALIF_Y2015!$A:$A,$A199,ALIF_Y2015!$F:$F)</f>
        <v>611095.56099999999</v>
      </c>
      <c r="E199" s="98">
        <f>SUMIF(ALIF_Y2016!$A:$A,$A199,ALIF_Y2016!$F:$F)</f>
        <v>662352.22</v>
      </c>
      <c r="F199" s="98">
        <f>SUMIF(ALIF_Y2017!$A:$A,$A199,ALIF_Y2017!$F:$F)</f>
        <v>693670.78</v>
      </c>
      <c r="G199" s="98">
        <f>SUMIF(ALIF_Y2018!$A:$A,$A199,ALIF_Y2018!$F:$F)</f>
        <v>746475.65500000003</v>
      </c>
      <c r="H199" s="98">
        <f>SUMIF(ALIF_Y2019!$A:$A,$A199,ALIF_Y2019!$F:$F)</f>
        <v>834708.48600000003</v>
      </c>
      <c r="I199" s="98">
        <f>SUMIF(ALIF_Y2020!$A:$A,$A199,ALIF_Y2020!$F:$F)</f>
        <v>890317.75</v>
      </c>
      <c r="J199" s="98">
        <f>SUMIF(ALIF_Y2021!$A:$A,$A199,ALIF_Y2021!$F:$F)</f>
        <v>1152499.6040000001</v>
      </c>
      <c r="K199" s="98">
        <f>SUMIF(ALIF_Y2022!$A:$A,$A199,ALIF_Y2022!$F:$F)</f>
        <v>1035093.518</v>
      </c>
      <c r="L199" s="98">
        <f>SUMIF(ALIF_Y2023!$A:$A,$A199,ALIF_Y2023!$F:$F)</f>
        <v>988293.82900000003</v>
      </c>
      <c r="M199" s="98">
        <f>SUMIF(ALIF_Y2024!$A:$A,$A199,ALIF_Y2024!$F:$F)</f>
        <v>1108540.3019999999</v>
      </c>
      <c r="N199" s="98">
        <f>SUMIF(ALIF_Y2025!$A:$A,$A199,ALIF_Y2025!$F:$F)</f>
        <v>1573750.9210000001</v>
      </c>
      <c r="O199" t="str">
        <f>_xlfn.XLOOKUP(A199,Map!A:A,Map!E:E)</f>
        <v>Salaries and wages</v>
      </c>
      <c r="P199" t="str">
        <f>_xlfn.XLOOKUP(A199,Map!A:A,Map!D:D)</f>
        <v>General and Admin</v>
      </c>
    </row>
    <row r="200" spans="1:16" x14ac:dyDescent="0.25">
      <c r="A200" s="101">
        <v>700007</v>
      </c>
      <c r="B200" t="s">
        <v>177</v>
      </c>
      <c r="C200" s="98">
        <f>SUMIF(ALIF_Y2014!$A:$A,$A200,ALIF_Y2014!$F:$F)</f>
        <v>286506</v>
      </c>
      <c r="D200" s="98">
        <f>SUMIF(ALIF_Y2015!$A:$A,$A200,ALIF_Y2015!$F:$F)</f>
        <v>320415.255</v>
      </c>
      <c r="E200" s="98">
        <f>SUMIF(ALIF_Y2016!$A:$A,$A200,ALIF_Y2016!$F:$F)</f>
        <v>358426</v>
      </c>
      <c r="F200" s="98">
        <f>SUMIF(ALIF_Y2017!$A:$A,$A200,ALIF_Y2017!$F:$F)</f>
        <v>340220</v>
      </c>
      <c r="G200" s="98">
        <f>SUMIF(ALIF_Y2018!$A:$A,$A200,ALIF_Y2018!$F:$F)</f>
        <v>379762</v>
      </c>
      <c r="H200" s="98">
        <f>SUMIF(ALIF_Y2019!$A:$A,$A200,ALIF_Y2019!$F:$F)</f>
        <v>459183</v>
      </c>
      <c r="I200" s="98">
        <f>SUMIF(ALIF_Y2020!$A:$A,$A200,ALIF_Y2020!$F:$F)</f>
        <v>509336</v>
      </c>
      <c r="J200" s="98">
        <f>SUMIF(ALIF_Y2021!$A:$A,$A200,ALIF_Y2021!$F:$F)</f>
        <v>557335</v>
      </c>
      <c r="K200" s="98">
        <f>SUMIF(ALIF_Y2022!$A:$A,$A200,ALIF_Y2022!$F:$F)</f>
        <v>610058.86</v>
      </c>
      <c r="L200" s="98">
        <f>SUMIF(ALIF_Y2023!$A:$A,$A200,ALIF_Y2023!$F:$F)</f>
        <v>514862.5</v>
      </c>
      <c r="M200" s="98">
        <f>SUMIF(ALIF_Y2024!$A:$A,$A200,ALIF_Y2024!$F:$F)</f>
        <v>386325</v>
      </c>
      <c r="N200" s="98">
        <f>SUMIF(ALIF_Y2025!$A:$A,$A200,ALIF_Y2025!$F:$F)</f>
        <v>623544.65</v>
      </c>
      <c r="O200" t="str">
        <f>_xlfn.XLOOKUP(A200,Map!A:A,Map!E:E)</f>
        <v>Salaries and wages</v>
      </c>
      <c r="P200" t="str">
        <f>_xlfn.XLOOKUP(A200,Map!A:A,Map!D:D)</f>
        <v>General and Admin</v>
      </c>
    </row>
    <row r="201" spans="1:16" x14ac:dyDescent="0.25">
      <c r="A201" s="101">
        <v>700008</v>
      </c>
      <c r="B201" t="s">
        <v>178</v>
      </c>
      <c r="C201" s="98">
        <f>SUMIF(ALIF_Y2014!$A:$A,$A201,ALIF_Y2014!$F:$F)</f>
        <v>63347</v>
      </c>
      <c r="D201" s="98">
        <f>SUMIF(ALIF_Y2015!$A:$A,$A201,ALIF_Y2015!$F:$F)</f>
        <v>84210</v>
      </c>
      <c r="E201" s="98">
        <f>SUMIF(ALIF_Y2016!$A:$A,$A201,ALIF_Y2016!$F:$F)</f>
        <v>127689</v>
      </c>
      <c r="F201" s="98">
        <f>SUMIF(ALIF_Y2017!$A:$A,$A201,ALIF_Y2017!$F:$F)</f>
        <v>49605</v>
      </c>
      <c r="G201" s="98">
        <f>SUMIF(ALIF_Y2018!$A:$A,$A201,ALIF_Y2018!$F:$F)</f>
        <v>56821.824000000001</v>
      </c>
      <c r="H201" s="98">
        <f>SUMIF(ALIF_Y2019!$A:$A,$A201,ALIF_Y2019!$F:$F)</f>
        <v>87301.263000000006</v>
      </c>
      <c r="I201" s="98">
        <f>SUMIF(ALIF_Y2020!$A:$A,$A201,ALIF_Y2020!$F:$F)</f>
        <v>75366.650999999998</v>
      </c>
      <c r="J201" s="98">
        <f>SUMIF(ALIF_Y2021!$A:$A,$A201,ALIF_Y2021!$F:$F)</f>
        <v>12888</v>
      </c>
      <c r="K201" s="98">
        <f>SUMIF(ALIF_Y2022!$A:$A,$A201,ALIF_Y2022!$F:$F)</f>
        <v>61774.529000000002</v>
      </c>
      <c r="L201" s="98">
        <f>SUMIF(ALIF_Y2023!$A:$A,$A201,ALIF_Y2023!$F:$F)</f>
        <v>137986.23800000001</v>
      </c>
      <c r="M201" s="98">
        <f>SUMIF(ALIF_Y2024!$A:$A,$A201,ALIF_Y2024!$F:$F)</f>
        <v>86954.241999999998</v>
      </c>
      <c r="N201" s="98">
        <f>SUMIF(ALIF_Y2025!$A:$A,$A201,ALIF_Y2025!$F:$F)</f>
        <v>505674.46500000003</v>
      </c>
      <c r="O201" t="str">
        <f>_xlfn.XLOOKUP(A201,Map!A:A,Map!E:E)</f>
        <v>Salaries and wages</v>
      </c>
      <c r="P201" t="str">
        <f>_xlfn.XLOOKUP(A201,Map!A:A,Map!D:D)</f>
        <v>General and Admin</v>
      </c>
    </row>
    <row r="202" spans="1:16" x14ac:dyDescent="0.25">
      <c r="A202" s="101">
        <v>700009</v>
      </c>
      <c r="B202" t="s">
        <v>179</v>
      </c>
      <c r="C202" s="98">
        <f>SUMIF(ALIF_Y2014!$A:$A,$A202,ALIF_Y2014!$F:$F)</f>
        <v>225255</v>
      </c>
      <c r="D202" s="98">
        <f>SUMIF(ALIF_Y2015!$A:$A,$A202,ALIF_Y2015!$F:$F)</f>
        <v>180400</v>
      </c>
      <c r="E202" s="98">
        <f>SUMIF(ALIF_Y2016!$A:$A,$A202,ALIF_Y2016!$F:$F)</f>
        <v>215800</v>
      </c>
      <c r="F202" s="98">
        <f>SUMIF(ALIF_Y2017!$A:$A,$A202,ALIF_Y2017!$F:$F)</f>
        <v>257890</v>
      </c>
      <c r="G202" s="98">
        <f>SUMIF(ALIF_Y2018!$A:$A,$A202,ALIF_Y2018!$F:$F)</f>
        <v>266275</v>
      </c>
      <c r="H202" s="98">
        <f>SUMIF(ALIF_Y2019!$A:$A,$A202,ALIF_Y2019!$F:$F)</f>
        <v>319535.33</v>
      </c>
      <c r="I202" s="98">
        <f>SUMIF(ALIF_Y2020!$A:$A,$A202,ALIF_Y2020!$F:$F)</f>
        <v>455311.5</v>
      </c>
      <c r="J202" s="98">
        <f>SUMIF(ALIF_Y2021!$A:$A,$A202,ALIF_Y2021!$F:$F)</f>
        <v>94835</v>
      </c>
      <c r="K202" s="98">
        <f>SUMIF(ALIF_Y2022!$A:$A,$A202,ALIF_Y2022!$F:$F)</f>
        <v>20581.04</v>
      </c>
      <c r="L202" s="98">
        <f>SUMIF(ALIF_Y2023!$A:$A,$A202,ALIF_Y2023!$F:$F)</f>
        <v>207294.43</v>
      </c>
      <c r="M202" s="98">
        <f>SUMIF(ALIF_Y2024!$A:$A,$A202,ALIF_Y2024!$F:$F)</f>
        <v>233861.747</v>
      </c>
      <c r="N202" s="98">
        <f>SUMIF(ALIF_Y2025!$A:$A,$A202,ALIF_Y2025!$F:$F)</f>
        <v>483874.37099999998</v>
      </c>
      <c r="O202" t="str">
        <f>_xlfn.XLOOKUP(A202,Map!A:A,Map!E:E)</f>
        <v>Salaries and wages</v>
      </c>
      <c r="P202" t="str">
        <f>_xlfn.XLOOKUP(A202,Map!A:A,Map!D:D)</f>
        <v>General and Admin</v>
      </c>
    </row>
    <row r="203" spans="1:16" x14ac:dyDescent="0.25">
      <c r="A203" s="101">
        <v>700010</v>
      </c>
      <c r="B203" t="s">
        <v>180</v>
      </c>
      <c r="C203" s="98">
        <f>SUMIF(ALIF_Y2014!$A:$A,$A203,ALIF_Y2014!$F:$F)</f>
        <v>810000</v>
      </c>
      <c r="D203" s="98">
        <f>SUMIF(ALIF_Y2015!$A:$A,$A203,ALIF_Y2015!$F:$F)</f>
        <v>434064.761</v>
      </c>
      <c r="E203" s="98">
        <f>SUMIF(ALIF_Y2016!$A:$A,$A203,ALIF_Y2016!$F:$F)</f>
        <v>336550</v>
      </c>
      <c r="F203" s="98">
        <f>SUMIF(ALIF_Y2017!$A:$A,$A203,ALIF_Y2017!$F:$F)</f>
        <v>1362796</v>
      </c>
      <c r="G203" s="98">
        <f>SUMIF(ALIF_Y2018!$A:$A,$A203,ALIF_Y2018!$F:$F)</f>
        <v>568874</v>
      </c>
      <c r="H203" s="98">
        <f>SUMIF(ALIF_Y2019!$A:$A,$A203,ALIF_Y2019!$F:$F)</f>
        <v>540288.48</v>
      </c>
      <c r="I203" s="98">
        <f>SUMIF(ALIF_Y2020!$A:$A,$A203,ALIF_Y2020!$F:$F)</f>
        <v>707244</v>
      </c>
      <c r="J203" s="98">
        <f>SUMIF(ALIF_Y2021!$A:$A,$A203,ALIF_Y2021!$F:$F)</f>
        <v>703791.33</v>
      </c>
      <c r="K203" s="98">
        <f>SUMIF(ALIF_Y2022!$A:$A,$A203,ALIF_Y2022!$F:$F)</f>
        <v>737555</v>
      </c>
      <c r="L203" s="98">
        <f>SUMIF(ALIF_Y2023!$A:$A,$A203,ALIF_Y2023!$F:$F)</f>
        <v>735526.2</v>
      </c>
      <c r="M203" s="98">
        <f>SUMIF(ALIF_Y2024!$A:$A,$A203,ALIF_Y2024!$F:$F)</f>
        <v>776929</v>
      </c>
      <c r="N203" s="98">
        <f>SUMIF(ALIF_Y2025!$A:$A,$A203,ALIF_Y2025!$F:$F)</f>
        <v>1308000</v>
      </c>
      <c r="O203" t="str">
        <f>_xlfn.XLOOKUP(A203,Map!A:A,Map!E:E)</f>
        <v>Salaries and wages</v>
      </c>
      <c r="P203" t="str">
        <f>_xlfn.XLOOKUP(A203,Map!A:A,Map!D:D)</f>
        <v>General and Admin</v>
      </c>
    </row>
    <row r="204" spans="1:16" x14ac:dyDescent="0.25">
      <c r="A204" s="101">
        <v>700011</v>
      </c>
      <c r="B204" t="s">
        <v>181</v>
      </c>
      <c r="C204" s="98">
        <f>SUMIF(ALIF_Y2014!$A:$A,$A204,ALIF_Y2014!$F:$F)</f>
        <v>108000</v>
      </c>
      <c r="D204" s="98">
        <f>SUMIF(ALIF_Y2015!$A:$A,$A204,ALIF_Y2015!$F:$F)</f>
        <v>100050</v>
      </c>
      <c r="E204" s="98">
        <f>SUMIF(ALIF_Y2016!$A:$A,$A204,ALIF_Y2016!$F:$F)</f>
        <v>95600</v>
      </c>
      <c r="F204" s="98">
        <f>SUMIF(ALIF_Y2017!$A:$A,$A204,ALIF_Y2017!$F:$F)</f>
        <v>108607</v>
      </c>
      <c r="G204" s="98">
        <f>SUMIF(ALIF_Y2018!$A:$A,$A204,ALIF_Y2018!$F:$F)</f>
        <v>111332.989</v>
      </c>
      <c r="H204" s="98">
        <f>SUMIF(ALIF_Y2019!$A:$A,$A204,ALIF_Y2019!$F:$F)</f>
        <v>103177.996</v>
      </c>
      <c r="I204" s="98">
        <f>SUMIF(ALIF_Y2020!$A:$A,$A204,ALIF_Y2020!$F:$F)</f>
        <v>149715</v>
      </c>
      <c r="J204" s="98">
        <f>SUMIF(ALIF_Y2021!$A:$A,$A204,ALIF_Y2021!$F:$F)</f>
        <v>68517.156000000003</v>
      </c>
      <c r="K204" s="98">
        <f>SUMIF(ALIF_Y2022!$A:$A,$A204,ALIF_Y2022!$F:$F)</f>
        <v>63765.137999999999</v>
      </c>
      <c r="L204" s="98">
        <f>SUMIF(ALIF_Y2023!$A:$A,$A204,ALIF_Y2023!$F:$F)</f>
        <v>63667.002999999997</v>
      </c>
      <c r="M204" s="98">
        <f>SUMIF(ALIF_Y2024!$A:$A,$A204,ALIF_Y2024!$F:$F)</f>
        <v>18209.031999999999</v>
      </c>
      <c r="N204" s="98">
        <f>SUMIF(ALIF_Y2025!$A:$A,$A204,ALIF_Y2025!$F:$F)</f>
        <v>25012.69</v>
      </c>
      <c r="O204" t="str">
        <f>_xlfn.XLOOKUP(A204,Map!A:A,Map!E:E)</f>
        <v>Salaries and wages</v>
      </c>
      <c r="P204" t="str">
        <f>_xlfn.XLOOKUP(A204,Map!A:A,Map!D:D)</f>
        <v>General and Admin</v>
      </c>
    </row>
    <row r="205" spans="1:16" x14ac:dyDescent="0.25">
      <c r="A205" s="101">
        <v>700012</v>
      </c>
      <c r="B205" t="s">
        <v>182</v>
      </c>
      <c r="C205" s="98">
        <f>SUMIF(ALIF_Y2014!$A:$A,$A205,ALIF_Y2014!$F:$F)</f>
        <v>97732</v>
      </c>
      <c r="D205" s="98">
        <f>SUMIF(ALIF_Y2015!$A:$A,$A205,ALIF_Y2015!$F:$F)</f>
        <v>102203</v>
      </c>
      <c r="E205" s="98">
        <f>SUMIF(ALIF_Y2016!$A:$A,$A205,ALIF_Y2016!$F:$F)</f>
        <v>176913.83300000001</v>
      </c>
      <c r="F205" s="98">
        <f>SUMIF(ALIF_Y2017!$A:$A,$A205,ALIF_Y2017!$F:$F)</f>
        <v>217818</v>
      </c>
      <c r="G205" s="98">
        <f>SUMIF(ALIF_Y2018!$A:$A,$A205,ALIF_Y2018!$F:$F)</f>
        <v>214710</v>
      </c>
      <c r="H205" s="98">
        <f>SUMIF(ALIF_Y2019!$A:$A,$A205,ALIF_Y2019!$F:$F)</f>
        <v>243205</v>
      </c>
      <c r="I205" s="98">
        <f>SUMIF(ALIF_Y2020!$A:$A,$A205,ALIF_Y2020!$F:$F)</f>
        <v>257011</v>
      </c>
      <c r="J205" s="98">
        <f>SUMIF(ALIF_Y2021!$A:$A,$A205,ALIF_Y2021!$F:$F)</f>
        <v>298423</v>
      </c>
      <c r="K205" s="98">
        <f>SUMIF(ALIF_Y2022!$A:$A,$A205,ALIF_Y2022!$F:$F)</f>
        <v>318136.44</v>
      </c>
      <c r="L205" s="98">
        <f>SUMIF(ALIF_Y2023!$A:$A,$A205,ALIF_Y2023!$F:$F)</f>
        <v>275807.88</v>
      </c>
      <c r="M205" s="98">
        <f>SUMIF(ALIF_Y2024!$A:$A,$A205,ALIF_Y2024!$F:$F)</f>
        <v>8062</v>
      </c>
      <c r="N205" s="98">
        <f>SUMIF(ALIF_Y2025!$A:$A,$A205,ALIF_Y2025!$F:$F)</f>
        <v>183918.24</v>
      </c>
      <c r="O205" t="str">
        <f>_xlfn.XLOOKUP(A205,Map!A:A,Map!E:E)</f>
        <v>Salaries and wages</v>
      </c>
      <c r="P205" t="str">
        <f>_xlfn.XLOOKUP(A205,Map!A:A,Map!D:D)</f>
        <v>General and Admin</v>
      </c>
    </row>
    <row r="206" spans="1:16" x14ac:dyDescent="0.25">
      <c r="A206" s="101">
        <v>700013</v>
      </c>
      <c r="B206" t="s">
        <v>183</v>
      </c>
      <c r="C206" s="98">
        <f>SUMIF(ALIF_Y2014!$A:$A,$A206,ALIF_Y2014!$F:$F)</f>
        <v>70818</v>
      </c>
      <c r="D206" s="98">
        <f>SUMIF(ALIF_Y2015!$A:$A,$A206,ALIF_Y2015!$F:$F)</f>
        <v>87875</v>
      </c>
      <c r="E206" s="98">
        <f>SUMIF(ALIF_Y2016!$A:$A,$A206,ALIF_Y2016!$F:$F)</f>
        <v>90450.5</v>
      </c>
      <c r="F206" s="98">
        <f>SUMIF(ALIF_Y2017!$A:$A,$A206,ALIF_Y2017!$F:$F)</f>
        <v>87175</v>
      </c>
      <c r="G206" s="98">
        <f>SUMIF(ALIF_Y2018!$A:$A,$A206,ALIF_Y2018!$F:$F)</f>
        <v>118003</v>
      </c>
      <c r="H206" s="98">
        <f>SUMIF(ALIF_Y2019!$A:$A,$A206,ALIF_Y2019!$F:$F)</f>
        <v>108854</v>
      </c>
      <c r="I206" s="98">
        <f>SUMIF(ALIF_Y2020!$A:$A,$A206,ALIF_Y2020!$F:$F)</f>
        <v>52300</v>
      </c>
      <c r="J206" s="98">
        <f>SUMIF(ALIF_Y2021!$A:$A,$A206,ALIF_Y2021!$F:$F)</f>
        <v>45775</v>
      </c>
      <c r="K206" s="98">
        <f>SUMIF(ALIF_Y2022!$A:$A,$A206,ALIF_Y2022!$F:$F)</f>
        <v>43216.67</v>
      </c>
      <c r="L206" s="98">
        <f>SUMIF(ALIF_Y2023!$A:$A,$A206,ALIF_Y2023!$F:$F)</f>
        <v>34333</v>
      </c>
      <c r="M206" s="98">
        <f>SUMIF(ALIF_Y2024!$A:$A,$A206,ALIF_Y2024!$F:$F)</f>
        <v>50</v>
      </c>
      <c r="N206" s="98">
        <f>SUMIF(ALIF_Y2025!$A:$A,$A206,ALIF_Y2025!$F:$F)</f>
        <v>110400</v>
      </c>
      <c r="O206" t="str">
        <f>_xlfn.XLOOKUP(A206,Map!A:A,Map!E:E)</f>
        <v>Utilities</v>
      </c>
      <c r="P206" t="str">
        <f>_xlfn.XLOOKUP(A206,Map!A:A,Map!D:D)</f>
        <v>General and Admin</v>
      </c>
    </row>
    <row r="207" spans="1:16" x14ac:dyDescent="0.25">
      <c r="A207" s="101">
        <v>700014</v>
      </c>
      <c r="B207" t="s">
        <v>184</v>
      </c>
      <c r="C207" s="98">
        <f>SUMIF(ALIF_Y2014!$A:$A,$A207,ALIF_Y2014!$F:$F)</f>
        <v>0</v>
      </c>
      <c r="D207" s="98">
        <f>SUMIF(ALIF_Y2015!$A:$A,$A207,ALIF_Y2015!$F:$F)</f>
        <v>20500</v>
      </c>
      <c r="E207" s="98">
        <f>SUMIF(ALIF_Y2016!$A:$A,$A207,ALIF_Y2016!$F:$F)</f>
        <v>5000</v>
      </c>
      <c r="F207" s="98">
        <f>SUMIF(ALIF_Y2017!$A:$A,$A207,ALIF_Y2017!$F:$F)</f>
        <v>19000</v>
      </c>
      <c r="G207" s="98">
        <f>SUMIF(ALIF_Y2018!$A:$A,$A207,ALIF_Y2018!$F:$F)</f>
        <v>1500</v>
      </c>
      <c r="H207" s="98">
        <f>SUMIF(ALIF_Y2019!$A:$A,$A207,ALIF_Y2019!$F:$F)</f>
        <v>8000</v>
      </c>
      <c r="I207" s="98">
        <f>SUMIF(ALIF_Y2020!$A:$A,$A207,ALIF_Y2020!$F:$F)</f>
        <v>99360</v>
      </c>
      <c r="J207" s="98">
        <f>SUMIF(ALIF_Y2021!$A:$A,$A207,ALIF_Y2021!$F:$F)</f>
        <v>125709</v>
      </c>
      <c r="K207" s="98">
        <f>SUMIF(ALIF_Y2022!$A:$A,$A207,ALIF_Y2022!$F:$F)</f>
        <v>129680.003</v>
      </c>
      <c r="L207" s="98">
        <f>SUMIF(ALIF_Y2023!$A:$A,$A207,ALIF_Y2023!$F:$F)</f>
        <v>900</v>
      </c>
      <c r="M207" s="98">
        <f>SUMIF(ALIF_Y2024!$A:$A,$A207,ALIF_Y2024!$F:$F)</f>
        <v>955</v>
      </c>
      <c r="N207" s="98">
        <f>SUMIF(ALIF_Y2025!$A:$A,$A207,ALIF_Y2025!$F:$F)</f>
        <v>0</v>
      </c>
      <c r="O207" t="str">
        <f>_xlfn.XLOOKUP(A207,Map!A:A,Map!E:E)</f>
        <v>Salaries and wages</v>
      </c>
      <c r="P207" t="str">
        <f>_xlfn.XLOOKUP(A207,Map!A:A,Map!D:D)</f>
        <v>General and Admin</v>
      </c>
    </row>
    <row r="208" spans="1:16" x14ac:dyDescent="0.25">
      <c r="A208" s="101">
        <v>700015</v>
      </c>
      <c r="B208" t="s">
        <v>185</v>
      </c>
      <c r="C208" s="98">
        <f>SUMIF(ALIF_Y2014!$A:$A,$A208,ALIF_Y2014!$F:$F)</f>
        <v>5022</v>
      </c>
      <c r="D208" s="98">
        <f>SUMIF(ALIF_Y2015!$A:$A,$A208,ALIF_Y2015!$F:$F)</f>
        <v>13446</v>
      </c>
      <c r="E208" s="98">
        <f>SUMIF(ALIF_Y2016!$A:$A,$A208,ALIF_Y2016!$F:$F)</f>
        <v>6208</v>
      </c>
      <c r="F208" s="98">
        <f>SUMIF(ALIF_Y2017!$A:$A,$A208,ALIF_Y2017!$F:$F)</f>
        <v>6893</v>
      </c>
      <c r="G208" s="98">
        <f>SUMIF(ALIF_Y2018!$A:$A,$A208,ALIF_Y2018!$F:$F)</f>
        <v>25791.295999999998</v>
      </c>
      <c r="H208" s="98">
        <f>SUMIF(ALIF_Y2019!$A:$A,$A208,ALIF_Y2019!$F:$F)</f>
        <v>90044.5</v>
      </c>
      <c r="I208" s="98">
        <f>SUMIF(ALIF_Y2020!$A:$A,$A208,ALIF_Y2020!$F:$F)</f>
        <v>34526.199999999997</v>
      </c>
      <c r="J208" s="98">
        <f>SUMIF(ALIF_Y2021!$A:$A,$A208,ALIF_Y2021!$F:$F)</f>
        <v>43083.355000000003</v>
      </c>
      <c r="K208" s="98">
        <f>SUMIF(ALIF_Y2022!$A:$A,$A208,ALIF_Y2022!$F:$F)</f>
        <v>20387.061000000002</v>
      </c>
      <c r="L208" s="98">
        <f>SUMIF(ALIF_Y2023!$A:$A,$A208,ALIF_Y2023!$F:$F)</f>
        <v>56549.718999999997</v>
      </c>
      <c r="M208" s="98">
        <f>SUMIF(ALIF_Y2024!$A:$A,$A208,ALIF_Y2024!$F:$F)</f>
        <v>30583.517</v>
      </c>
      <c r="N208" s="98">
        <f>SUMIF(ALIF_Y2025!$A:$A,$A208,ALIF_Y2025!$F:$F)</f>
        <v>38545.877999999997</v>
      </c>
      <c r="O208" t="str">
        <f>_xlfn.XLOOKUP(A208,Map!A:A,Map!E:E)</f>
        <v>Business travel</v>
      </c>
      <c r="P208" t="str">
        <f>_xlfn.XLOOKUP(A208,Map!A:A,Map!D:D)</f>
        <v>General and Admin</v>
      </c>
    </row>
    <row r="209" spans="1:16" x14ac:dyDescent="0.25">
      <c r="A209" s="101">
        <v>700016</v>
      </c>
      <c r="B209" t="s">
        <v>186</v>
      </c>
      <c r="C209" s="98">
        <f>SUMIF(ALIF_Y2014!$A:$A,$A209,ALIF_Y2014!$F:$F)</f>
        <v>3117</v>
      </c>
      <c r="D209" s="98">
        <f>SUMIF(ALIF_Y2015!$A:$A,$A209,ALIF_Y2015!$F:$F)</f>
        <v>27389</v>
      </c>
      <c r="E209" s="98">
        <f>SUMIF(ALIF_Y2016!$A:$A,$A209,ALIF_Y2016!$F:$F)</f>
        <v>6269</v>
      </c>
      <c r="F209" s="98">
        <f>SUMIF(ALIF_Y2017!$A:$A,$A209,ALIF_Y2017!$F:$F)</f>
        <v>4941</v>
      </c>
      <c r="G209" s="98">
        <f>SUMIF(ALIF_Y2018!$A:$A,$A209,ALIF_Y2018!$F:$F)</f>
        <v>16410.990000000002</v>
      </c>
      <c r="H209" s="98">
        <f>SUMIF(ALIF_Y2019!$A:$A,$A209,ALIF_Y2019!$F:$F)</f>
        <v>8847.7800000000007</v>
      </c>
      <c r="I209" s="98">
        <f>SUMIF(ALIF_Y2020!$A:$A,$A209,ALIF_Y2020!$F:$F)</f>
        <v>12299</v>
      </c>
      <c r="J209" s="98">
        <f>SUMIF(ALIF_Y2021!$A:$A,$A209,ALIF_Y2021!$F:$F)</f>
        <v>18458.11</v>
      </c>
      <c r="K209" s="98">
        <f>SUMIF(ALIF_Y2022!$A:$A,$A209,ALIF_Y2022!$F:$F)</f>
        <v>36224.739000000001</v>
      </c>
      <c r="L209" s="98">
        <f>SUMIF(ALIF_Y2023!$A:$A,$A209,ALIF_Y2023!$F:$F)</f>
        <v>5411.4570000000003</v>
      </c>
      <c r="M209" s="98">
        <f>SUMIF(ALIF_Y2024!$A:$A,$A209,ALIF_Y2024!$F:$F)</f>
        <v>100610.38400000001</v>
      </c>
      <c r="N209" s="98">
        <f>SUMIF(ALIF_Y2025!$A:$A,$A209,ALIF_Y2025!$F:$F)</f>
        <v>259228.41</v>
      </c>
      <c r="O209" t="str">
        <f>_xlfn.XLOOKUP(A209,Map!A:A,Map!E:E)</f>
        <v>Buffet expenses</v>
      </c>
      <c r="P209" t="str">
        <f>_xlfn.XLOOKUP(A209,Map!A:A,Map!D:D)</f>
        <v>Selling and Marketing</v>
      </c>
    </row>
    <row r="210" spans="1:16" x14ac:dyDescent="0.25">
      <c r="A210" s="101">
        <v>700017</v>
      </c>
      <c r="B210" t="s">
        <v>187</v>
      </c>
      <c r="C210" s="98">
        <f>SUMIF(ALIF_Y2014!$A:$A,$A210,ALIF_Y2014!$F:$F)</f>
        <v>7663.78</v>
      </c>
      <c r="D210" s="98">
        <f>SUMIF(ALIF_Y2015!$A:$A,$A210,ALIF_Y2015!$F:$F)</f>
        <v>323</v>
      </c>
      <c r="E210" s="98">
        <f>SUMIF(ALIF_Y2016!$A:$A,$A210,ALIF_Y2016!$F:$F)</f>
        <v>27075</v>
      </c>
      <c r="F210" s="98">
        <f>SUMIF(ALIF_Y2017!$A:$A,$A210,ALIF_Y2017!$F:$F)</f>
        <v>5728</v>
      </c>
      <c r="G210" s="98">
        <f>SUMIF(ALIF_Y2018!$A:$A,$A210,ALIF_Y2018!$F:$F)</f>
        <v>360</v>
      </c>
      <c r="H210" s="98">
        <f>SUMIF(ALIF_Y2019!$A:$A,$A210,ALIF_Y2019!$F:$F)</f>
        <v>1420</v>
      </c>
      <c r="I210" s="98">
        <f>SUMIF(ALIF_Y2020!$A:$A,$A210,ALIF_Y2020!$F:$F)</f>
        <v>11713.6</v>
      </c>
      <c r="J210" s="98">
        <f>SUMIF(ALIF_Y2021!$A:$A,$A210,ALIF_Y2021!$F:$F)</f>
        <v>0</v>
      </c>
      <c r="K210" s="98">
        <f>SUMIF(ALIF_Y2022!$A:$A,$A210,ALIF_Y2022!$F:$F)</f>
        <v>0</v>
      </c>
      <c r="L210" s="98">
        <f>SUMIF(ALIF_Y2023!$A:$A,$A210,ALIF_Y2023!$F:$F)</f>
        <v>0</v>
      </c>
      <c r="M210" s="98">
        <f>SUMIF(ALIF_Y2024!$A:$A,$A210,ALIF_Y2024!$F:$F)</f>
        <v>0</v>
      </c>
      <c r="N210" s="98">
        <f>SUMIF(ALIF_Y2025!$A:$A,$A210,ALIF_Y2025!$F:$F)</f>
        <v>0</v>
      </c>
      <c r="O210" t="str">
        <f>_xlfn.XLOOKUP(A210,Map!A:A,Map!E:E)</f>
        <v>Salaries and wages</v>
      </c>
      <c r="P210" t="str">
        <f>_xlfn.XLOOKUP(A210,Map!A:A,Map!D:D)</f>
        <v>General and Admin</v>
      </c>
    </row>
    <row r="211" spans="1:16" x14ac:dyDescent="0.25">
      <c r="A211" s="101">
        <v>700018</v>
      </c>
      <c r="B211" t="s">
        <v>188</v>
      </c>
      <c r="C211" s="98">
        <f>SUMIF(ALIF_Y2014!$A:$A,$A211,ALIF_Y2014!$F:$F)</f>
        <v>58916.22</v>
      </c>
      <c r="D211" s="98">
        <f>SUMIF(ALIF_Y2015!$A:$A,$A211,ALIF_Y2015!$F:$F)</f>
        <v>58107.05</v>
      </c>
      <c r="E211" s="98">
        <f>SUMIF(ALIF_Y2016!$A:$A,$A211,ALIF_Y2016!$F:$F)</f>
        <v>75787</v>
      </c>
      <c r="F211" s="98">
        <f>SUMIF(ALIF_Y2017!$A:$A,$A211,ALIF_Y2017!$F:$F)</f>
        <v>49236.35</v>
      </c>
      <c r="G211" s="98">
        <f>SUMIF(ALIF_Y2018!$A:$A,$A211,ALIF_Y2018!$F:$F)</f>
        <v>54083.178999999996</v>
      </c>
      <c r="H211" s="98">
        <f>SUMIF(ALIF_Y2019!$A:$A,$A211,ALIF_Y2019!$F:$F)</f>
        <v>65416.53</v>
      </c>
      <c r="I211" s="98">
        <f>SUMIF(ALIF_Y2020!$A:$A,$A211,ALIF_Y2020!$F:$F)</f>
        <v>57590.44</v>
      </c>
      <c r="J211" s="98">
        <f>SUMIF(ALIF_Y2021!$A:$A,$A211,ALIF_Y2021!$F:$F)</f>
        <v>936</v>
      </c>
      <c r="K211" s="98">
        <f>SUMIF(ALIF_Y2022!$A:$A,$A211,ALIF_Y2022!$F:$F)</f>
        <v>0</v>
      </c>
      <c r="L211" s="98">
        <f>SUMIF(ALIF_Y2023!$A:$A,$A211,ALIF_Y2023!$F:$F)</f>
        <v>0</v>
      </c>
      <c r="M211" s="98">
        <f>SUMIF(ALIF_Y2024!$A:$A,$A211,ALIF_Y2024!$F:$F)</f>
        <v>138880.07999999999</v>
      </c>
      <c r="N211" s="98">
        <f>SUMIF(ALIF_Y2025!$A:$A,$A211,ALIF_Y2025!$F:$F)</f>
        <v>1255.05</v>
      </c>
      <c r="O211" t="str">
        <f>_xlfn.XLOOKUP(A211,Map!A:A,Map!E:E)</f>
        <v>Salaries and wages</v>
      </c>
      <c r="P211" t="str">
        <f>_xlfn.XLOOKUP(A211,Map!A:A,Map!D:D)</f>
        <v>General and Admin</v>
      </c>
    </row>
    <row r="212" spans="1:16" x14ac:dyDescent="0.25">
      <c r="A212" s="101">
        <v>700019</v>
      </c>
      <c r="B212" t="s">
        <v>189</v>
      </c>
      <c r="C212" s="98">
        <f>SUMIF(ALIF_Y2014!$A:$A,$A212,ALIF_Y2014!$F:$F)</f>
        <v>991531.43</v>
      </c>
      <c r="D212" s="98">
        <f>SUMIF(ALIF_Y2015!$A:$A,$A212,ALIF_Y2015!$F:$F)</f>
        <v>528872</v>
      </c>
      <c r="E212" s="98">
        <f>SUMIF(ALIF_Y2016!$A:$A,$A212,ALIF_Y2016!$F:$F)</f>
        <v>0</v>
      </c>
      <c r="F212" s="98">
        <f>SUMIF(ALIF_Y2017!$A:$A,$A212,ALIF_Y2017!$F:$F)</f>
        <v>356871</v>
      </c>
      <c r="G212" s="98">
        <f>SUMIF(ALIF_Y2018!$A:$A,$A212,ALIF_Y2018!$F:$F)</f>
        <v>165477</v>
      </c>
      <c r="H212" s="98">
        <f>SUMIF(ALIF_Y2019!$A:$A,$A212,ALIF_Y2019!$F:$F)</f>
        <v>139079</v>
      </c>
      <c r="I212" s="98">
        <f>SUMIF(ALIF_Y2020!$A:$A,$A212,ALIF_Y2020!$F:$F)</f>
        <v>589397.75100000005</v>
      </c>
      <c r="J212" s="98">
        <f>SUMIF(ALIF_Y2021!$A:$A,$A212,ALIF_Y2021!$F:$F)</f>
        <v>1108800</v>
      </c>
      <c r="K212" s="98">
        <f>SUMIF(ALIF_Y2022!$A:$A,$A212,ALIF_Y2022!$F:$F)</f>
        <v>0</v>
      </c>
      <c r="L212" s="98">
        <f>SUMIF(ALIF_Y2023!$A:$A,$A212,ALIF_Y2023!$F:$F)</f>
        <v>0</v>
      </c>
      <c r="M212" s="98">
        <f>SUMIF(ALIF_Y2024!$A:$A,$A212,ALIF_Y2024!$F:$F)</f>
        <v>236948</v>
      </c>
      <c r="N212" s="98">
        <f>SUMIF(ALIF_Y2025!$A:$A,$A212,ALIF_Y2025!$F:$F)</f>
        <v>868451.5</v>
      </c>
      <c r="O212" t="str">
        <f>_xlfn.XLOOKUP(A212,Map!A:A,Map!E:E)</f>
        <v>Salaries and wages</v>
      </c>
      <c r="P212" t="str">
        <f>_xlfn.XLOOKUP(A212,Map!A:A,Map!D:D)</f>
        <v>General and Admin</v>
      </c>
    </row>
    <row r="213" spans="1:16" x14ac:dyDescent="0.25">
      <c r="A213" s="101">
        <v>700020</v>
      </c>
      <c r="B213" t="s">
        <v>190</v>
      </c>
      <c r="C213" s="98">
        <f>SUMIF(ALIF_Y2014!$A:$A,$A213,ALIF_Y2014!$F:$F)</f>
        <v>41114.870000000003</v>
      </c>
      <c r="D213" s="98">
        <f>SUMIF(ALIF_Y2015!$A:$A,$A213,ALIF_Y2015!$F:$F)</f>
        <v>21065.21</v>
      </c>
      <c r="E213" s="98">
        <f>SUMIF(ALIF_Y2016!$A:$A,$A213,ALIF_Y2016!$F:$F)</f>
        <v>65360.21</v>
      </c>
      <c r="F213" s="98">
        <f>SUMIF(ALIF_Y2017!$A:$A,$A213,ALIF_Y2017!$F:$F)</f>
        <v>44604.561000000002</v>
      </c>
      <c r="G213" s="98">
        <f>SUMIF(ALIF_Y2018!$A:$A,$A213,ALIF_Y2018!$F:$F)</f>
        <v>69070.663</v>
      </c>
      <c r="H213" s="98">
        <f>SUMIF(ALIF_Y2019!$A:$A,$A213,ALIF_Y2019!$F:$F)</f>
        <v>95406.95</v>
      </c>
      <c r="I213" s="98">
        <f>SUMIF(ALIF_Y2020!$A:$A,$A213,ALIF_Y2020!$F:$F)</f>
        <v>106325.174</v>
      </c>
      <c r="J213" s="98">
        <f>SUMIF(ALIF_Y2021!$A:$A,$A213,ALIF_Y2021!$F:$F)</f>
        <v>69880.281000000003</v>
      </c>
      <c r="K213" s="98">
        <f>SUMIF(ALIF_Y2022!$A:$A,$A213,ALIF_Y2022!$F:$F)</f>
        <v>14540.282999999999</v>
      </c>
      <c r="L213" s="98">
        <f>SUMIF(ALIF_Y2023!$A:$A,$A213,ALIF_Y2023!$F:$F)</f>
        <v>29810</v>
      </c>
      <c r="M213" s="98">
        <f>SUMIF(ALIF_Y2024!$A:$A,$A213,ALIF_Y2024!$F:$F)</f>
        <v>514135.84899999999</v>
      </c>
      <c r="N213" s="98">
        <f>SUMIF(ALIF_Y2025!$A:$A,$A213,ALIF_Y2025!$F:$F)</f>
        <v>18433.776000000002</v>
      </c>
      <c r="O213" t="str">
        <f>_xlfn.XLOOKUP(A213,Map!A:A,Map!E:E)</f>
        <v>Utilities</v>
      </c>
      <c r="P213" t="str">
        <f>_xlfn.XLOOKUP(A213,Map!A:A,Map!D:D)</f>
        <v>General and Admin</v>
      </c>
    </row>
    <row r="214" spans="1:16" x14ac:dyDescent="0.25">
      <c r="A214" s="101">
        <v>700021</v>
      </c>
      <c r="B214" t="s">
        <v>191</v>
      </c>
      <c r="C214" s="98">
        <f>SUMIF(ALIF_Y2014!$A:$A,$A214,ALIF_Y2014!$F:$F)</f>
        <v>2761</v>
      </c>
      <c r="D214" s="98">
        <f>SUMIF(ALIF_Y2015!$A:$A,$A214,ALIF_Y2015!$F:$F)</f>
        <v>415</v>
      </c>
      <c r="E214" s="98">
        <f>SUMIF(ALIF_Y2016!$A:$A,$A214,ALIF_Y2016!$F:$F)</f>
        <v>12011</v>
      </c>
      <c r="F214" s="98">
        <f>SUMIF(ALIF_Y2017!$A:$A,$A214,ALIF_Y2017!$F:$F)</f>
        <v>33500</v>
      </c>
      <c r="G214" s="98">
        <f>SUMIF(ALIF_Y2018!$A:$A,$A214,ALIF_Y2018!$F:$F)</f>
        <v>18692.84</v>
      </c>
      <c r="H214" s="98">
        <f>SUMIF(ALIF_Y2019!$A:$A,$A214,ALIF_Y2019!$F:$F)</f>
        <v>24785</v>
      </c>
      <c r="I214" s="98">
        <f>SUMIF(ALIF_Y2020!$A:$A,$A214,ALIF_Y2020!$F:$F)</f>
        <v>15494.5</v>
      </c>
      <c r="J214" s="98">
        <f>SUMIF(ALIF_Y2021!$A:$A,$A214,ALIF_Y2021!$F:$F)</f>
        <v>27224</v>
      </c>
      <c r="K214" s="98">
        <f>SUMIF(ALIF_Y2022!$A:$A,$A214,ALIF_Y2022!$F:$F)</f>
        <v>28399</v>
      </c>
      <c r="L214" s="98">
        <f>SUMIF(ALIF_Y2023!$A:$A,$A214,ALIF_Y2023!$F:$F)</f>
        <v>1871</v>
      </c>
      <c r="M214" s="98">
        <f>SUMIF(ALIF_Y2024!$A:$A,$A214,ALIF_Y2024!$F:$F)</f>
        <v>8097</v>
      </c>
      <c r="N214" s="98">
        <f>SUMIF(ALIF_Y2025!$A:$A,$A214,ALIF_Y2025!$F:$F)</f>
        <v>35861.01</v>
      </c>
      <c r="O214" t="str">
        <f>_xlfn.XLOOKUP(A214,Map!A:A,Map!E:E)</f>
        <v>Utilities</v>
      </c>
      <c r="P214" t="str">
        <f>_xlfn.XLOOKUP(A214,Map!A:A,Map!D:D)</f>
        <v>General and Admin</v>
      </c>
    </row>
    <row r="215" spans="1:16" x14ac:dyDescent="0.25">
      <c r="A215" s="101">
        <v>700022</v>
      </c>
      <c r="B215" t="s">
        <v>192</v>
      </c>
      <c r="C215" s="98">
        <f>SUMIF(ALIF_Y2014!$A:$A,$A215,ALIF_Y2014!$F:$F)</f>
        <v>48452.04</v>
      </c>
      <c r="D215" s="98">
        <f>SUMIF(ALIF_Y2015!$A:$A,$A215,ALIF_Y2015!$F:$F)</f>
        <v>62805.05</v>
      </c>
      <c r="E215" s="98">
        <f>SUMIF(ALIF_Y2016!$A:$A,$A215,ALIF_Y2016!$F:$F)</f>
        <v>58006.17</v>
      </c>
      <c r="F215" s="98">
        <f>SUMIF(ALIF_Y2017!$A:$A,$A215,ALIF_Y2017!$F:$F)</f>
        <v>71028.179999999993</v>
      </c>
      <c r="G215" s="98">
        <f>SUMIF(ALIF_Y2018!$A:$A,$A215,ALIF_Y2018!$F:$F)</f>
        <v>61809.180999999997</v>
      </c>
      <c r="H215" s="98">
        <f>SUMIF(ALIF_Y2019!$A:$A,$A215,ALIF_Y2019!$F:$F)</f>
        <v>59905.19</v>
      </c>
      <c r="I215" s="98">
        <f>SUMIF(ALIF_Y2020!$A:$A,$A215,ALIF_Y2020!$F:$F)</f>
        <v>116096.121</v>
      </c>
      <c r="J215" s="98">
        <f>SUMIF(ALIF_Y2021!$A:$A,$A215,ALIF_Y2021!$F:$F)</f>
        <v>101594.4</v>
      </c>
      <c r="K215" s="98">
        <f>SUMIF(ALIF_Y2022!$A:$A,$A215,ALIF_Y2022!$F:$F)</f>
        <v>99293.07</v>
      </c>
      <c r="L215" s="98">
        <f>SUMIF(ALIF_Y2023!$A:$A,$A215,ALIF_Y2023!$F:$F)</f>
        <v>93087.872000000003</v>
      </c>
      <c r="M215" s="98">
        <f>SUMIF(ALIF_Y2024!$A:$A,$A215,ALIF_Y2024!$F:$F)</f>
        <v>78374.3</v>
      </c>
      <c r="N215" s="98">
        <f>SUMIF(ALIF_Y2025!$A:$A,$A215,ALIF_Y2025!$F:$F)</f>
        <v>85464.26</v>
      </c>
      <c r="O215" t="str">
        <f>_xlfn.XLOOKUP(A215,Map!A:A,Map!E:E)</f>
        <v>Utilities</v>
      </c>
      <c r="P215" t="str">
        <f>_xlfn.XLOOKUP(A215,Map!A:A,Map!D:D)</f>
        <v>General and Admin</v>
      </c>
    </row>
    <row r="216" spans="1:16" x14ac:dyDescent="0.25">
      <c r="A216" s="101">
        <v>700023</v>
      </c>
      <c r="B216" t="s">
        <v>193</v>
      </c>
      <c r="C216" s="98">
        <f>SUMIF(ALIF_Y2014!$A:$A,$A216,ALIF_Y2014!$F:$F)</f>
        <v>32574.240000000002</v>
      </c>
      <c r="D216" s="98">
        <f>SUMIF(ALIF_Y2015!$A:$A,$A216,ALIF_Y2015!$F:$F)</f>
        <v>21419.25</v>
      </c>
      <c r="E216" s="98">
        <f>SUMIF(ALIF_Y2016!$A:$A,$A216,ALIF_Y2016!$F:$F)</f>
        <v>28610.62</v>
      </c>
      <c r="F216" s="98">
        <f>SUMIF(ALIF_Y2017!$A:$A,$A216,ALIF_Y2017!$F:$F)</f>
        <v>23827</v>
      </c>
      <c r="G216" s="98">
        <f>SUMIF(ALIF_Y2018!$A:$A,$A216,ALIF_Y2018!$F:$F)</f>
        <v>32060.77</v>
      </c>
      <c r="H216" s="98">
        <f>SUMIF(ALIF_Y2019!$A:$A,$A216,ALIF_Y2019!$F:$F)</f>
        <v>50585.82</v>
      </c>
      <c r="I216" s="98">
        <f>SUMIF(ALIF_Y2020!$A:$A,$A216,ALIF_Y2020!$F:$F)</f>
        <v>44396.08</v>
      </c>
      <c r="J216" s="98">
        <f>SUMIF(ALIF_Y2021!$A:$A,$A216,ALIF_Y2021!$F:$F)</f>
        <v>32352.641</v>
      </c>
      <c r="K216" s="98">
        <f>SUMIF(ALIF_Y2022!$A:$A,$A216,ALIF_Y2022!$F:$F)</f>
        <v>25235.39</v>
      </c>
      <c r="L216" s="98">
        <f>SUMIF(ALIF_Y2023!$A:$A,$A216,ALIF_Y2023!$F:$F)</f>
        <v>34173.83</v>
      </c>
      <c r="M216" s="98">
        <f>SUMIF(ALIF_Y2024!$A:$A,$A216,ALIF_Y2024!$F:$F)</f>
        <v>12996.704</v>
      </c>
      <c r="N216" s="98">
        <f>SUMIF(ALIF_Y2025!$A:$A,$A216,ALIF_Y2025!$F:$F)</f>
        <v>44256.074999999997</v>
      </c>
      <c r="O216" t="str">
        <f>_xlfn.XLOOKUP(A216,Map!A:A,Map!E:E)</f>
        <v>Utilities</v>
      </c>
      <c r="P216" t="str">
        <f>_xlfn.XLOOKUP(A216,Map!A:A,Map!D:D)</f>
        <v>General and Admin</v>
      </c>
    </row>
    <row r="217" spans="1:16" x14ac:dyDescent="0.25">
      <c r="A217" s="101">
        <v>700024</v>
      </c>
      <c r="B217" t="s">
        <v>194</v>
      </c>
      <c r="C217" s="98">
        <f>SUMIF(ALIF_Y2014!$A:$A,$A217,ALIF_Y2014!$F:$F)</f>
        <v>47876.31</v>
      </c>
      <c r="D217" s="98">
        <f>SUMIF(ALIF_Y2015!$A:$A,$A217,ALIF_Y2015!$F:$F)</f>
        <v>61858.550999999999</v>
      </c>
      <c r="E217" s="98">
        <f>SUMIF(ALIF_Y2016!$A:$A,$A217,ALIF_Y2016!$F:$F)</f>
        <v>68446.898000000001</v>
      </c>
      <c r="F217" s="98">
        <f>SUMIF(ALIF_Y2017!$A:$A,$A217,ALIF_Y2017!$F:$F)</f>
        <v>83539.5</v>
      </c>
      <c r="G217" s="98">
        <f>SUMIF(ALIF_Y2018!$A:$A,$A217,ALIF_Y2018!$F:$F)</f>
        <v>193976.31200000001</v>
      </c>
      <c r="H217" s="98">
        <f>SUMIF(ALIF_Y2019!$A:$A,$A217,ALIF_Y2019!$F:$F)</f>
        <v>173017.55499999999</v>
      </c>
      <c r="I217" s="98">
        <f>SUMIF(ALIF_Y2020!$A:$A,$A217,ALIF_Y2020!$F:$F)</f>
        <v>347776.16200000001</v>
      </c>
      <c r="J217" s="98">
        <f>SUMIF(ALIF_Y2021!$A:$A,$A217,ALIF_Y2021!$F:$F)</f>
        <v>193144.22700000001</v>
      </c>
      <c r="K217" s="98">
        <f>SUMIF(ALIF_Y2022!$A:$A,$A217,ALIF_Y2022!$F:$F)</f>
        <v>699621.14199999999</v>
      </c>
      <c r="L217" s="98">
        <f>SUMIF(ALIF_Y2023!$A:$A,$A217,ALIF_Y2023!$F:$F)</f>
        <v>757807.59</v>
      </c>
      <c r="M217" s="98">
        <f>SUMIF(ALIF_Y2024!$A:$A,$A217,ALIF_Y2024!$F:$F)</f>
        <v>690317.46600000001</v>
      </c>
      <c r="N217" s="98">
        <f>SUMIF(ALIF_Y2025!$A:$A,$A217,ALIF_Y2025!$F:$F)</f>
        <v>706542.29</v>
      </c>
      <c r="O217" t="str">
        <f>_xlfn.XLOOKUP(A217,Map!A:A,Map!E:E)</f>
        <v>IT expenses</v>
      </c>
      <c r="P217" t="str">
        <f>_xlfn.XLOOKUP(A217,Map!A:A,Map!D:D)</f>
        <v>General and Admin</v>
      </c>
    </row>
    <row r="218" spans="1:16" x14ac:dyDescent="0.25">
      <c r="A218" s="101">
        <v>700025</v>
      </c>
      <c r="B218" t="s">
        <v>195</v>
      </c>
      <c r="C218" s="98">
        <f>SUMIF(ALIF_Y2014!$A:$A,$A218,ALIF_Y2014!$F:$F)</f>
        <v>50000</v>
      </c>
      <c r="D218" s="98">
        <f>SUMIF(ALIF_Y2015!$A:$A,$A218,ALIF_Y2015!$F:$F)</f>
        <v>86324</v>
      </c>
      <c r="E218" s="98">
        <f>SUMIF(ALIF_Y2016!$A:$A,$A218,ALIF_Y2016!$F:$F)</f>
        <v>50000</v>
      </c>
      <c r="F218" s="98">
        <f>SUMIF(ALIF_Y2017!$A:$A,$A218,ALIF_Y2017!$F:$F)</f>
        <v>55000</v>
      </c>
      <c r="G218" s="98">
        <f>SUMIF(ALIF_Y2018!$A:$A,$A218,ALIF_Y2018!$F:$F)</f>
        <v>121909</v>
      </c>
      <c r="H218" s="98">
        <f>SUMIF(ALIF_Y2019!$A:$A,$A218,ALIF_Y2019!$F:$F)</f>
        <v>160529.38099999999</v>
      </c>
      <c r="I218" s="98">
        <f>SUMIF(ALIF_Y2020!$A:$A,$A218,ALIF_Y2020!$F:$F)</f>
        <v>269954.47100000002</v>
      </c>
      <c r="J218" s="98">
        <f>SUMIF(ALIF_Y2021!$A:$A,$A218,ALIF_Y2021!$F:$F)</f>
        <v>240087.35</v>
      </c>
      <c r="K218" s="98">
        <f>SUMIF(ALIF_Y2022!$A:$A,$A218,ALIF_Y2022!$F:$F)</f>
        <v>235225</v>
      </c>
      <c r="L218" s="98">
        <f>SUMIF(ALIF_Y2023!$A:$A,$A218,ALIF_Y2023!$F:$F)</f>
        <v>1481214.6470000001</v>
      </c>
      <c r="M218" s="98">
        <f>SUMIF(ALIF_Y2024!$A:$A,$A218,ALIF_Y2024!$F:$F)</f>
        <v>777175.31</v>
      </c>
      <c r="N218" s="98">
        <f>SUMIF(ALIF_Y2025!$A:$A,$A218,ALIF_Y2025!$F:$F)</f>
        <v>4542217.3530000001</v>
      </c>
      <c r="O218" t="str">
        <f>_xlfn.XLOOKUP(A218,Map!A:A,Map!E:E)</f>
        <v>Salaries and wages</v>
      </c>
      <c r="P218" t="str">
        <f>_xlfn.XLOOKUP(A218,Map!A:A,Map!D:D)</f>
        <v>General and Admin</v>
      </c>
    </row>
    <row r="219" spans="1:16" x14ac:dyDescent="0.25">
      <c r="A219" s="101">
        <v>700026</v>
      </c>
      <c r="B219" t="s">
        <v>196</v>
      </c>
      <c r="C219" s="98">
        <f>SUMIF(ALIF_Y2014!$A:$A,$A219,ALIF_Y2014!$F:$F)</f>
        <v>9737.32</v>
      </c>
      <c r="D219" s="98">
        <f>SUMIF(ALIF_Y2015!$A:$A,$A219,ALIF_Y2015!$F:$F)</f>
        <v>596</v>
      </c>
      <c r="E219" s="98">
        <f>SUMIF(ALIF_Y2016!$A:$A,$A219,ALIF_Y2016!$F:$F)</f>
        <v>0</v>
      </c>
      <c r="F219" s="98">
        <f>SUMIF(ALIF_Y2017!$A:$A,$A219,ALIF_Y2017!$F:$F)</f>
        <v>0</v>
      </c>
      <c r="G219" s="98">
        <f>SUMIF(ALIF_Y2018!$A:$A,$A219,ALIF_Y2018!$F:$F)</f>
        <v>957</v>
      </c>
      <c r="H219" s="98">
        <f>SUMIF(ALIF_Y2019!$A:$A,$A219,ALIF_Y2019!$F:$F)</f>
        <v>0</v>
      </c>
      <c r="I219" s="98">
        <f>SUMIF(ALIF_Y2020!$A:$A,$A219,ALIF_Y2020!$F:$F)</f>
        <v>0</v>
      </c>
      <c r="J219" s="98">
        <f>SUMIF(ALIF_Y2021!$A:$A,$A219,ALIF_Y2021!$F:$F)</f>
        <v>0</v>
      </c>
      <c r="K219" s="98">
        <f>SUMIF(ALIF_Y2022!$A:$A,$A219,ALIF_Y2022!$F:$F)</f>
        <v>0</v>
      </c>
      <c r="L219" s="98">
        <f>SUMIF(ALIF_Y2023!$A:$A,$A219,ALIF_Y2023!$F:$F)</f>
        <v>0</v>
      </c>
      <c r="M219" s="98">
        <f>SUMIF(ALIF_Y2024!$A:$A,$A219,ALIF_Y2024!$F:$F)</f>
        <v>0</v>
      </c>
      <c r="N219" s="98">
        <f>SUMIF(ALIF_Y2025!$A:$A,$A219,ALIF_Y2025!$F:$F)</f>
        <v>8809.4599999999991</v>
      </c>
      <c r="O219" t="str">
        <f>_xlfn.XLOOKUP(A219,Map!A:A,Map!E:E)</f>
        <v>Utilities</v>
      </c>
      <c r="P219" t="str">
        <f>_xlfn.XLOOKUP(A219,Map!A:A,Map!D:D)</f>
        <v>General and Admin</v>
      </c>
    </row>
    <row r="220" spans="1:16" x14ac:dyDescent="0.25">
      <c r="A220" s="101">
        <v>700027</v>
      </c>
      <c r="B220" t="s">
        <v>197</v>
      </c>
      <c r="C220" s="98">
        <f>SUMIF(ALIF_Y2014!$A:$A,$A220,ALIF_Y2014!$F:$F)</f>
        <v>0</v>
      </c>
      <c r="D220" s="98">
        <f>SUMIF(ALIF_Y2015!$A:$A,$A220,ALIF_Y2015!$F:$F)</f>
        <v>5707.643</v>
      </c>
      <c r="E220" s="98">
        <f>SUMIF(ALIF_Y2016!$A:$A,$A220,ALIF_Y2016!$F:$F)</f>
        <v>0</v>
      </c>
      <c r="F220" s="98">
        <f>SUMIF(ALIF_Y2017!$A:$A,$A220,ALIF_Y2017!$F:$F)</f>
        <v>0</v>
      </c>
      <c r="G220" s="98">
        <f>SUMIF(ALIF_Y2018!$A:$A,$A220,ALIF_Y2018!$F:$F)</f>
        <v>0</v>
      </c>
      <c r="H220" s="98">
        <f>SUMIF(ALIF_Y2019!$A:$A,$A220,ALIF_Y2019!$F:$F)</f>
        <v>38300</v>
      </c>
      <c r="I220" s="98">
        <f>SUMIF(ALIF_Y2020!$A:$A,$A220,ALIF_Y2020!$F:$F)</f>
        <v>40087</v>
      </c>
      <c r="J220" s="98">
        <f>SUMIF(ALIF_Y2021!$A:$A,$A220,ALIF_Y2021!$F:$F)</f>
        <v>121235.63</v>
      </c>
      <c r="K220" s="98">
        <f>SUMIF(ALIF_Y2022!$A:$A,$A220,ALIF_Y2022!$F:$F)</f>
        <v>74764</v>
      </c>
      <c r="L220" s="98">
        <f>SUMIF(ALIF_Y2023!$A:$A,$A220,ALIF_Y2023!$F:$F)</f>
        <v>3329</v>
      </c>
      <c r="M220" s="98">
        <f>SUMIF(ALIF_Y2024!$A:$A,$A220,ALIF_Y2024!$F:$F)</f>
        <v>441573.53</v>
      </c>
      <c r="N220" s="98">
        <f>SUMIF(ALIF_Y2025!$A:$A,$A220,ALIF_Y2025!$F:$F)</f>
        <v>95706.072</v>
      </c>
      <c r="O220" t="str">
        <f>_xlfn.XLOOKUP(A220,Map!A:A,Map!E:E)</f>
        <v>Training</v>
      </c>
      <c r="P220" t="str">
        <f>_xlfn.XLOOKUP(A220,Map!A:A,Map!D:D)</f>
        <v>General and Admin</v>
      </c>
    </row>
    <row r="221" spans="1:16" x14ac:dyDescent="0.25">
      <c r="A221" s="101">
        <v>700028</v>
      </c>
      <c r="B221" t="s">
        <v>198</v>
      </c>
      <c r="C221" s="98">
        <f>SUMIF(ALIF_Y2014!$A:$A,$A221,ALIF_Y2014!$F:$F)</f>
        <v>8628</v>
      </c>
      <c r="D221" s="98">
        <f>SUMIF(ALIF_Y2015!$A:$A,$A221,ALIF_Y2015!$F:$F)</f>
        <v>2063</v>
      </c>
      <c r="E221" s="98">
        <f>SUMIF(ALIF_Y2016!$A:$A,$A221,ALIF_Y2016!$F:$F)</f>
        <v>23015</v>
      </c>
      <c r="F221" s="98">
        <f>SUMIF(ALIF_Y2017!$A:$A,$A221,ALIF_Y2017!$F:$F)</f>
        <v>12580</v>
      </c>
      <c r="G221" s="98">
        <f>SUMIF(ALIF_Y2018!$A:$A,$A221,ALIF_Y2018!$F:$F)</f>
        <v>20235.133000000002</v>
      </c>
      <c r="H221" s="98">
        <f>SUMIF(ALIF_Y2019!$A:$A,$A221,ALIF_Y2019!$F:$F)</f>
        <v>8892.16</v>
      </c>
      <c r="I221" s="98">
        <f>SUMIF(ALIF_Y2020!$A:$A,$A221,ALIF_Y2020!$F:$F)</f>
        <v>7251.1610000000001</v>
      </c>
      <c r="J221" s="98">
        <f>SUMIF(ALIF_Y2021!$A:$A,$A221,ALIF_Y2021!$F:$F)</f>
        <v>9845.5910000000003</v>
      </c>
      <c r="K221" s="98">
        <f>SUMIF(ALIF_Y2022!$A:$A,$A221,ALIF_Y2022!$F:$F)</f>
        <v>573</v>
      </c>
      <c r="L221" s="98">
        <f>SUMIF(ALIF_Y2023!$A:$A,$A221,ALIF_Y2023!$F:$F)</f>
        <v>1388.7</v>
      </c>
      <c r="M221" s="98">
        <f>SUMIF(ALIF_Y2024!$A:$A,$A221,ALIF_Y2024!$F:$F)</f>
        <v>2463.23</v>
      </c>
      <c r="N221" s="98">
        <f>SUMIF(ALIF_Y2025!$A:$A,$A221,ALIF_Y2025!$F:$F)</f>
        <v>9284.85</v>
      </c>
      <c r="O221" t="str">
        <f>_xlfn.XLOOKUP(A221,Map!A:A,Map!E:E)</f>
        <v xml:space="preserve">Back office Support </v>
      </c>
      <c r="P221" t="str">
        <f>_xlfn.XLOOKUP(A221,Map!A:A,Map!D:D)</f>
        <v>General and Admin</v>
      </c>
    </row>
    <row r="222" spans="1:16" x14ac:dyDescent="0.25">
      <c r="A222" s="101">
        <v>700029</v>
      </c>
      <c r="B222" t="s">
        <v>199</v>
      </c>
      <c r="C222" s="98">
        <f>SUMIF(ALIF_Y2014!$A:$A,$A222,ALIF_Y2014!$F:$F)</f>
        <v>30959</v>
      </c>
      <c r="D222" s="98">
        <f>SUMIF(ALIF_Y2015!$A:$A,$A222,ALIF_Y2015!$F:$F)</f>
        <v>30140</v>
      </c>
      <c r="E222" s="98">
        <f>SUMIF(ALIF_Y2016!$A:$A,$A222,ALIF_Y2016!$F:$F)</f>
        <v>22205</v>
      </c>
      <c r="F222" s="98">
        <f>SUMIF(ALIF_Y2017!$A:$A,$A222,ALIF_Y2017!$F:$F)</f>
        <v>6287</v>
      </c>
      <c r="G222" s="98">
        <f>SUMIF(ALIF_Y2018!$A:$A,$A222,ALIF_Y2018!$F:$F)</f>
        <v>6438</v>
      </c>
      <c r="H222" s="98">
        <f>SUMIF(ALIF_Y2019!$A:$A,$A222,ALIF_Y2019!$F:$F)</f>
        <v>9137.875</v>
      </c>
      <c r="I222" s="98">
        <f>SUMIF(ALIF_Y2020!$A:$A,$A222,ALIF_Y2020!$F:$F)</f>
        <v>11451.5</v>
      </c>
      <c r="J222" s="98">
        <f>SUMIF(ALIF_Y2021!$A:$A,$A222,ALIF_Y2021!$F:$F)</f>
        <v>3402.741</v>
      </c>
      <c r="K222" s="98">
        <f>SUMIF(ALIF_Y2022!$A:$A,$A222,ALIF_Y2022!$F:$F)</f>
        <v>6122.5</v>
      </c>
      <c r="L222" s="98">
        <f>SUMIF(ALIF_Y2023!$A:$A,$A222,ALIF_Y2023!$F:$F)</f>
        <v>1191.6199999999999</v>
      </c>
      <c r="M222" s="98">
        <f>SUMIF(ALIF_Y2024!$A:$A,$A222,ALIF_Y2024!$F:$F)</f>
        <v>5568.5</v>
      </c>
      <c r="N222" s="98">
        <f>SUMIF(ALIF_Y2025!$A:$A,$A222,ALIF_Y2025!$F:$F)</f>
        <v>3067.37</v>
      </c>
      <c r="O222" t="str">
        <f>_xlfn.XLOOKUP(A222,Map!A:A,Map!E:E)</f>
        <v>Utilities</v>
      </c>
      <c r="P222" t="str">
        <f>_xlfn.XLOOKUP(A222,Map!A:A,Map!D:D)</f>
        <v>General and Admin</v>
      </c>
    </row>
    <row r="223" spans="1:16" x14ac:dyDescent="0.25">
      <c r="A223" s="101">
        <v>700030</v>
      </c>
      <c r="B223" t="s">
        <v>200</v>
      </c>
      <c r="C223" s="98">
        <f>SUMIF(ALIF_Y2014!$A:$A,$A223,ALIF_Y2014!$F:$F)</f>
        <v>33912</v>
      </c>
      <c r="D223" s="98">
        <f>SUMIF(ALIF_Y2015!$A:$A,$A223,ALIF_Y2015!$F:$F)</f>
        <v>5247</v>
      </c>
      <c r="E223" s="98">
        <f>SUMIF(ALIF_Y2016!$A:$A,$A223,ALIF_Y2016!$F:$F)</f>
        <v>25997</v>
      </c>
      <c r="F223" s="98">
        <f>SUMIF(ALIF_Y2017!$A:$A,$A223,ALIF_Y2017!$F:$F)</f>
        <v>643</v>
      </c>
      <c r="G223" s="98">
        <f>SUMIF(ALIF_Y2018!$A:$A,$A223,ALIF_Y2018!$F:$F)</f>
        <v>63031.26</v>
      </c>
      <c r="H223" s="98">
        <f>SUMIF(ALIF_Y2019!$A:$A,$A223,ALIF_Y2019!$F:$F)</f>
        <v>18503.849999999999</v>
      </c>
      <c r="I223" s="98">
        <f>SUMIF(ALIF_Y2020!$A:$A,$A223,ALIF_Y2020!$F:$F)</f>
        <v>25473</v>
      </c>
      <c r="J223" s="98">
        <f>SUMIF(ALIF_Y2021!$A:$A,$A223,ALIF_Y2021!$F:$F)</f>
        <v>41310.536999999997</v>
      </c>
      <c r="K223" s="98">
        <f>SUMIF(ALIF_Y2022!$A:$A,$A223,ALIF_Y2022!$F:$F)</f>
        <v>6043</v>
      </c>
      <c r="L223" s="98">
        <f>SUMIF(ALIF_Y2023!$A:$A,$A223,ALIF_Y2023!$F:$F)</f>
        <v>12567</v>
      </c>
      <c r="M223" s="98">
        <f>SUMIF(ALIF_Y2024!$A:$A,$A223,ALIF_Y2024!$F:$F)</f>
        <v>10329</v>
      </c>
      <c r="N223" s="98">
        <f>SUMIF(ALIF_Y2025!$A:$A,$A223,ALIF_Y2025!$F:$F)</f>
        <v>4958.8999999999996</v>
      </c>
      <c r="O223" t="str">
        <f>_xlfn.XLOOKUP(A223,Map!A:A,Map!E:E)</f>
        <v>Utilities</v>
      </c>
      <c r="P223" t="str">
        <f>_xlfn.XLOOKUP(A223,Map!A:A,Map!D:D)</f>
        <v>General and Admin</v>
      </c>
    </row>
    <row r="224" spans="1:16" x14ac:dyDescent="0.25">
      <c r="A224" s="101">
        <v>700031</v>
      </c>
      <c r="B224" t="s">
        <v>201</v>
      </c>
      <c r="C224" s="98">
        <f>SUMIF(ALIF_Y2014!$A:$A,$A224,ALIF_Y2014!$F:$F)</f>
        <v>19018</v>
      </c>
      <c r="D224" s="98">
        <f>SUMIF(ALIF_Y2015!$A:$A,$A224,ALIF_Y2015!$F:$F)</f>
        <v>56235</v>
      </c>
      <c r="E224" s="98">
        <f>SUMIF(ALIF_Y2016!$A:$A,$A224,ALIF_Y2016!$F:$F)</f>
        <v>38573</v>
      </c>
      <c r="F224" s="98">
        <f>SUMIF(ALIF_Y2017!$A:$A,$A224,ALIF_Y2017!$F:$F)</f>
        <v>9678</v>
      </c>
      <c r="G224" s="98">
        <f>SUMIF(ALIF_Y2018!$A:$A,$A224,ALIF_Y2018!$F:$F)</f>
        <v>49078.25</v>
      </c>
      <c r="H224" s="98">
        <f>SUMIF(ALIF_Y2019!$A:$A,$A224,ALIF_Y2019!$F:$F)</f>
        <v>12017.14</v>
      </c>
      <c r="I224" s="98">
        <f>SUMIF(ALIF_Y2020!$A:$A,$A224,ALIF_Y2020!$F:$F)</f>
        <v>40810.51</v>
      </c>
      <c r="J224" s="98">
        <f>SUMIF(ALIF_Y2021!$A:$A,$A224,ALIF_Y2021!$F:$F)</f>
        <v>1705</v>
      </c>
      <c r="K224" s="98">
        <f>SUMIF(ALIF_Y2022!$A:$A,$A224,ALIF_Y2022!$F:$F)</f>
        <v>400</v>
      </c>
      <c r="L224" s="98">
        <f>SUMIF(ALIF_Y2023!$A:$A,$A224,ALIF_Y2023!$F:$F)</f>
        <v>600</v>
      </c>
      <c r="M224" s="98">
        <f>SUMIF(ALIF_Y2024!$A:$A,$A224,ALIF_Y2024!$F:$F)</f>
        <v>7586</v>
      </c>
      <c r="N224" s="98">
        <f>SUMIF(ALIF_Y2025!$A:$A,$A224,ALIF_Y2025!$F:$F)</f>
        <v>10375.5</v>
      </c>
      <c r="O224" t="str">
        <f>_xlfn.XLOOKUP(A224,Map!A:A,Map!E:E)</f>
        <v>Utilities</v>
      </c>
      <c r="P224" t="str">
        <f>_xlfn.XLOOKUP(A224,Map!A:A,Map!D:D)</f>
        <v>General and Admin</v>
      </c>
    </row>
    <row r="225" spans="1:16" x14ac:dyDescent="0.25">
      <c r="A225" s="101">
        <v>700032</v>
      </c>
      <c r="B225" t="s">
        <v>202</v>
      </c>
      <c r="C225" s="98">
        <f>SUMIF(ALIF_Y2014!$A:$A,$A225,ALIF_Y2014!$F:$F)</f>
        <v>79421</v>
      </c>
      <c r="D225" s="98">
        <f>SUMIF(ALIF_Y2015!$A:$A,$A225,ALIF_Y2015!$F:$F)</f>
        <v>96071</v>
      </c>
      <c r="E225" s="98">
        <f>SUMIF(ALIF_Y2016!$A:$A,$A225,ALIF_Y2016!$F:$F)</f>
        <v>94312</v>
      </c>
      <c r="F225" s="98">
        <f>SUMIF(ALIF_Y2017!$A:$A,$A225,ALIF_Y2017!$F:$F)</f>
        <v>81963</v>
      </c>
      <c r="G225" s="98">
        <f>SUMIF(ALIF_Y2018!$A:$A,$A225,ALIF_Y2018!$F:$F)</f>
        <v>150743.85200000001</v>
      </c>
      <c r="H225" s="98">
        <f>SUMIF(ALIF_Y2019!$A:$A,$A225,ALIF_Y2019!$F:$F)</f>
        <v>123024.21</v>
      </c>
      <c r="I225" s="98">
        <f>SUMIF(ALIF_Y2020!$A:$A,$A225,ALIF_Y2020!$F:$F)</f>
        <v>92073.933000000005</v>
      </c>
      <c r="J225" s="98">
        <f>SUMIF(ALIF_Y2021!$A:$A,$A225,ALIF_Y2021!$F:$F)</f>
        <v>96886.959000000003</v>
      </c>
      <c r="K225" s="98">
        <f>SUMIF(ALIF_Y2022!$A:$A,$A225,ALIF_Y2022!$F:$F)</f>
        <v>99505.52</v>
      </c>
      <c r="L225" s="98">
        <f>SUMIF(ALIF_Y2023!$A:$A,$A225,ALIF_Y2023!$F:$F)</f>
        <v>92753.231</v>
      </c>
      <c r="M225" s="98">
        <f>SUMIF(ALIF_Y2024!$A:$A,$A225,ALIF_Y2024!$F:$F)</f>
        <v>75896.013000000006</v>
      </c>
      <c r="N225" s="98">
        <f>SUMIF(ALIF_Y2025!$A:$A,$A225,ALIF_Y2025!$F:$F)</f>
        <v>96139.027000000002</v>
      </c>
      <c r="O225" t="str">
        <f>_xlfn.XLOOKUP(A225,Map!A:A,Map!E:E)</f>
        <v>Utilities</v>
      </c>
      <c r="P225" t="str">
        <f>_xlfn.XLOOKUP(A225,Map!A:A,Map!D:D)</f>
        <v>General and Admin</v>
      </c>
    </row>
    <row r="226" spans="1:16" x14ac:dyDescent="0.25">
      <c r="A226" s="101">
        <v>700033</v>
      </c>
      <c r="B226" t="s">
        <v>203</v>
      </c>
      <c r="C226" s="98">
        <f>SUMIF(ALIF_Y2014!$A:$A,$A226,ALIF_Y2014!$F:$F)</f>
        <v>25324.95</v>
      </c>
      <c r="D226" s="98">
        <f>SUMIF(ALIF_Y2015!$A:$A,$A226,ALIF_Y2015!$F:$F)</f>
        <v>27166.5</v>
      </c>
      <c r="E226" s="98">
        <f>SUMIF(ALIF_Y2016!$A:$A,$A226,ALIF_Y2016!$F:$F)</f>
        <v>49367</v>
      </c>
      <c r="F226" s="98">
        <f>SUMIF(ALIF_Y2017!$A:$A,$A226,ALIF_Y2017!$F:$F)</f>
        <v>43524</v>
      </c>
      <c r="G226" s="98">
        <f>SUMIF(ALIF_Y2018!$A:$A,$A226,ALIF_Y2018!$F:$F)</f>
        <v>20614.094000000001</v>
      </c>
      <c r="H226" s="98">
        <f>SUMIF(ALIF_Y2019!$A:$A,$A226,ALIF_Y2019!$F:$F)</f>
        <v>45847.616999999998</v>
      </c>
      <c r="I226" s="98">
        <f>SUMIF(ALIF_Y2020!$A:$A,$A226,ALIF_Y2020!$F:$F)</f>
        <v>33469.355000000003</v>
      </c>
      <c r="J226" s="98">
        <f>SUMIF(ALIF_Y2021!$A:$A,$A226,ALIF_Y2021!$F:$F)</f>
        <v>18216.55</v>
      </c>
      <c r="K226" s="98">
        <f>SUMIF(ALIF_Y2022!$A:$A,$A226,ALIF_Y2022!$F:$F)</f>
        <v>19260.34</v>
      </c>
      <c r="L226" s="98">
        <f>SUMIF(ALIF_Y2023!$A:$A,$A226,ALIF_Y2023!$F:$F)</f>
        <v>11587.82</v>
      </c>
      <c r="M226" s="98">
        <f>SUMIF(ALIF_Y2024!$A:$A,$A226,ALIF_Y2024!$F:$F)</f>
        <v>57659.377999999997</v>
      </c>
      <c r="N226" s="98">
        <f>SUMIF(ALIF_Y2025!$A:$A,$A226,ALIF_Y2025!$F:$F)</f>
        <v>114327.95600000001</v>
      </c>
      <c r="O226" t="str">
        <f>_xlfn.XLOOKUP(A226,Map!A:A,Map!E:E)</f>
        <v>Utilities</v>
      </c>
      <c r="P226" t="str">
        <f>_xlfn.XLOOKUP(A226,Map!A:A,Map!D:D)</f>
        <v>General and Admin</v>
      </c>
    </row>
    <row r="227" spans="1:16" x14ac:dyDescent="0.25">
      <c r="A227" s="101">
        <v>700034</v>
      </c>
      <c r="B227" t="s">
        <v>204</v>
      </c>
      <c r="C227" s="98">
        <f>SUMIF(ALIF_Y2014!$A:$A,$A227,ALIF_Y2014!$F:$F)</f>
        <v>8606.6</v>
      </c>
      <c r="D227" s="98">
        <f>SUMIF(ALIF_Y2015!$A:$A,$A227,ALIF_Y2015!$F:$F)</f>
        <v>3138</v>
      </c>
      <c r="E227" s="98">
        <f>SUMIF(ALIF_Y2016!$A:$A,$A227,ALIF_Y2016!$F:$F)</f>
        <v>29039</v>
      </c>
      <c r="F227" s="98">
        <f>SUMIF(ALIF_Y2017!$A:$A,$A227,ALIF_Y2017!$F:$F)</f>
        <v>28183.3</v>
      </c>
      <c r="G227" s="98">
        <f>SUMIF(ALIF_Y2018!$A:$A,$A227,ALIF_Y2018!$F:$F)</f>
        <v>80205.861999999994</v>
      </c>
      <c r="H227" s="98">
        <f>SUMIF(ALIF_Y2019!$A:$A,$A227,ALIF_Y2019!$F:$F)</f>
        <v>25959.58</v>
      </c>
      <c r="I227" s="98">
        <f>SUMIF(ALIF_Y2020!$A:$A,$A227,ALIF_Y2020!$F:$F)</f>
        <v>17875.099999999999</v>
      </c>
      <c r="J227" s="98">
        <f>SUMIF(ALIF_Y2021!$A:$A,$A227,ALIF_Y2021!$F:$F)</f>
        <v>24134.670999999998</v>
      </c>
      <c r="K227" s="98">
        <f>SUMIF(ALIF_Y2022!$A:$A,$A227,ALIF_Y2022!$F:$F)</f>
        <v>11158.84</v>
      </c>
      <c r="L227" s="98">
        <f>SUMIF(ALIF_Y2023!$A:$A,$A227,ALIF_Y2023!$F:$F)</f>
        <v>7565.26</v>
      </c>
      <c r="M227" s="98">
        <f>SUMIF(ALIF_Y2024!$A:$A,$A227,ALIF_Y2024!$F:$F)</f>
        <v>39400.057999999997</v>
      </c>
      <c r="N227" s="98">
        <f>SUMIF(ALIF_Y2025!$A:$A,$A227,ALIF_Y2025!$F:$F)</f>
        <v>49491.796999999999</v>
      </c>
      <c r="O227" t="str">
        <f>_xlfn.XLOOKUP(A227,Map!A:A,Map!E:E)</f>
        <v xml:space="preserve">Back office Support </v>
      </c>
      <c r="P227" t="str">
        <f>_xlfn.XLOOKUP(A227,Map!A:A,Map!D:D)</f>
        <v>General and Admin</v>
      </c>
    </row>
    <row r="228" spans="1:16" x14ac:dyDescent="0.25">
      <c r="A228" s="101">
        <v>700035</v>
      </c>
      <c r="B228" t="s">
        <v>205</v>
      </c>
      <c r="C228" s="98">
        <f>SUMIF(ALIF_Y2014!$A:$A,$A228,ALIF_Y2014!$F:$F)</f>
        <v>0</v>
      </c>
      <c r="D228" s="98">
        <f>SUMIF(ALIF_Y2015!$A:$A,$A228,ALIF_Y2015!$F:$F)</f>
        <v>0</v>
      </c>
      <c r="E228" s="98">
        <f>SUMIF(ALIF_Y2016!$A:$A,$A228,ALIF_Y2016!$F:$F)</f>
        <v>0</v>
      </c>
      <c r="F228" s="98">
        <f>SUMIF(ALIF_Y2017!$A:$A,$A228,ALIF_Y2017!$F:$F)</f>
        <v>0</v>
      </c>
      <c r="G228" s="98">
        <f>SUMIF(ALIF_Y2018!$A:$A,$A228,ALIF_Y2018!$F:$F)</f>
        <v>0</v>
      </c>
      <c r="H228" s="98">
        <f>SUMIF(ALIF_Y2019!$A:$A,$A228,ALIF_Y2019!$F:$F)</f>
        <v>-608441</v>
      </c>
      <c r="I228" s="98">
        <f>SUMIF(ALIF_Y2020!$A:$A,$A228,ALIF_Y2020!$F:$F)</f>
        <v>180079</v>
      </c>
      <c r="J228" s="98">
        <f>SUMIF(ALIF_Y2021!$A:$A,$A228,ALIF_Y2021!$F:$F)</f>
        <v>-25921</v>
      </c>
      <c r="K228" s="98">
        <f>SUMIF(ALIF_Y2022!$A:$A,$A228,ALIF_Y2022!$F:$F)</f>
        <v>35621</v>
      </c>
      <c r="L228" s="98">
        <f>SUMIF(ALIF_Y2023!$A:$A,$A228,ALIF_Y2023!$F:$F)</f>
        <v>1151975.32</v>
      </c>
      <c r="M228" s="98">
        <f>SUMIF(ALIF_Y2024!$A:$A,$A228,ALIF_Y2024!$F:$F)</f>
        <v>-1573353</v>
      </c>
      <c r="N228" s="98">
        <f>SUMIF(ALIF_Y2025!$A:$A,$A228,ALIF_Y2025!$F:$F)</f>
        <v>0</v>
      </c>
      <c r="O228" t="str">
        <f>_xlfn.XLOOKUP(A228,Map!A:A,Map!E:E)</f>
        <v>Actuarial gains and losses</v>
      </c>
      <c r="P228" t="str">
        <f>_xlfn.XLOOKUP(A228,Map!A:A,Map!D:D)</f>
        <v>General and Admin</v>
      </c>
    </row>
    <row r="229" spans="1:16" x14ac:dyDescent="0.25">
      <c r="A229" s="101">
        <v>700036</v>
      </c>
      <c r="B229" t="s">
        <v>206</v>
      </c>
      <c r="C229" s="98">
        <f>SUMIF(ALIF_Y2014!$A:$A,$A229,ALIF_Y2014!$F:$F)</f>
        <v>24393</v>
      </c>
      <c r="D229" s="98">
        <f>SUMIF(ALIF_Y2015!$A:$A,$A229,ALIF_Y2015!$F:$F)</f>
        <v>49639.040000000001</v>
      </c>
      <c r="E229" s="98">
        <f>SUMIF(ALIF_Y2016!$A:$A,$A229,ALIF_Y2016!$F:$F)</f>
        <v>34003.040000000001</v>
      </c>
      <c r="F229" s="98">
        <f>SUMIF(ALIF_Y2017!$A:$A,$A229,ALIF_Y2017!$F:$F)</f>
        <v>82707</v>
      </c>
      <c r="G229" s="98">
        <f>SUMIF(ALIF_Y2018!$A:$A,$A229,ALIF_Y2018!$F:$F)</f>
        <v>14981</v>
      </c>
      <c r="H229" s="98">
        <f>SUMIF(ALIF_Y2019!$A:$A,$A229,ALIF_Y2019!$F:$F)</f>
        <v>55653.146000000001</v>
      </c>
      <c r="I229" s="98">
        <f>SUMIF(ALIF_Y2020!$A:$A,$A229,ALIF_Y2020!$F:$F)</f>
        <v>67452.846000000005</v>
      </c>
      <c r="J229" s="98">
        <f>SUMIF(ALIF_Y2021!$A:$A,$A229,ALIF_Y2021!$F:$F)</f>
        <v>74763</v>
      </c>
      <c r="K229" s="98">
        <f>SUMIF(ALIF_Y2022!$A:$A,$A229,ALIF_Y2022!$F:$F)</f>
        <v>3169.8</v>
      </c>
      <c r="L229" s="98">
        <f>SUMIF(ALIF_Y2023!$A:$A,$A229,ALIF_Y2023!$F:$F)</f>
        <v>40368.449999999997</v>
      </c>
      <c r="M229" s="98">
        <f>SUMIF(ALIF_Y2024!$A:$A,$A229,ALIF_Y2024!$F:$F)</f>
        <v>55533.06</v>
      </c>
      <c r="N229" s="98">
        <f>SUMIF(ALIF_Y2025!$A:$A,$A229,ALIF_Y2025!$F:$F)</f>
        <v>15692.819</v>
      </c>
      <c r="O229" t="str">
        <f>_xlfn.XLOOKUP(A229,Map!A:A,Map!E:E)</f>
        <v>Utilities</v>
      </c>
      <c r="P229" t="str">
        <f>_xlfn.XLOOKUP(A229,Map!A:A,Map!D:D)</f>
        <v>General and Admin</v>
      </c>
    </row>
    <row r="230" spans="1:16" x14ac:dyDescent="0.25">
      <c r="A230" s="101">
        <v>700037</v>
      </c>
      <c r="B230" t="s">
        <v>207</v>
      </c>
      <c r="C230" s="98">
        <f>SUMIF(ALIF_Y2014!$A:$A,$A230,ALIF_Y2014!$F:$F)</f>
        <v>27168</v>
      </c>
      <c r="D230" s="98">
        <f>SUMIF(ALIF_Y2015!$A:$A,$A230,ALIF_Y2015!$F:$F)</f>
        <v>0</v>
      </c>
      <c r="E230" s="98">
        <f>SUMIF(ALIF_Y2016!$A:$A,$A230,ALIF_Y2016!$F:$F)</f>
        <v>0</v>
      </c>
      <c r="F230" s="98">
        <f>SUMIF(ALIF_Y2017!$A:$A,$A230,ALIF_Y2017!$F:$F)</f>
        <v>0</v>
      </c>
      <c r="G230" s="98">
        <f>SUMIF(ALIF_Y2018!$A:$A,$A230,ALIF_Y2018!$F:$F)</f>
        <v>0</v>
      </c>
      <c r="H230" s="98">
        <f>SUMIF(ALIF_Y2019!$A:$A,$A230,ALIF_Y2019!$F:$F)</f>
        <v>9639</v>
      </c>
      <c r="I230" s="98">
        <f>SUMIF(ALIF_Y2020!$A:$A,$A230,ALIF_Y2020!$F:$F)</f>
        <v>0</v>
      </c>
      <c r="J230" s="98">
        <f>SUMIF(ALIF_Y2021!$A:$A,$A230,ALIF_Y2021!$F:$F)</f>
        <v>0</v>
      </c>
      <c r="K230" s="98">
        <f>SUMIF(ALIF_Y2022!$A:$A,$A230,ALIF_Y2022!$F:$F)</f>
        <v>0</v>
      </c>
      <c r="L230" s="98">
        <f>SUMIF(ALIF_Y2023!$A:$A,$A230,ALIF_Y2023!$F:$F)</f>
        <v>0</v>
      </c>
      <c r="M230" s="98">
        <f>SUMIF(ALIF_Y2024!$A:$A,$A230,ALIF_Y2024!$F:$F)</f>
        <v>0</v>
      </c>
      <c r="N230" s="98">
        <f>SUMIF(ALIF_Y2025!$A:$A,$A230,ALIF_Y2025!$F:$F)</f>
        <v>0</v>
      </c>
      <c r="O230" t="str">
        <f>_xlfn.XLOOKUP(A230,Map!A:A,Map!E:E)</f>
        <v>Finance cost</v>
      </c>
      <c r="P230" t="str">
        <f>_xlfn.XLOOKUP(A230,Map!A:A,Map!D:D)</f>
        <v>Finance cost</v>
      </c>
    </row>
    <row r="231" spans="1:16" x14ac:dyDescent="0.25">
      <c r="A231" s="101">
        <v>700038</v>
      </c>
      <c r="B231" t="s">
        <v>208</v>
      </c>
      <c r="C231" s="98">
        <f>SUMIF(ALIF_Y2014!$A:$A,$A231,ALIF_Y2014!$F:$F)</f>
        <v>319477</v>
      </c>
      <c r="D231" s="98">
        <f>SUMIF(ALIF_Y2015!$A:$A,$A231,ALIF_Y2015!$F:$F)</f>
        <v>199982</v>
      </c>
      <c r="E231" s="98">
        <f>SUMIF(ALIF_Y2016!$A:$A,$A231,ALIF_Y2016!$F:$F)</f>
        <v>91676.22</v>
      </c>
      <c r="F231" s="98">
        <f>SUMIF(ALIF_Y2017!$A:$A,$A231,ALIF_Y2017!$F:$F)</f>
        <v>91595.72</v>
      </c>
      <c r="G231" s="98">
        <f>SUMIF(ALIF_Y2018!$A:$A,$A231,ALIF_Y2018!$F:$F)</f>
        <v>308257.93</v>
      </c>
      <c r="H231" s="98">
        <f>SUMIF(ALIF_Y2019!$A:$A,$A231,ALIF_Y2019!$F:$F)</f>
        <v>252830.18</v>
      </c>
      <c r="I231" s="98">
        <f>SUMIF(ALIF_Y2020!$A:$A,$A231,ALIF_Y2020!$F:$F)</f>
        <v>43576.03</v>
      </c>
      <c r="J231" s="98">
        <f>SUMIF(ALIF_Y2021!$A:$A,$A231,ALIF_Y2021!$F:$F)</f>
        <v>21990.956999999999</v>
      </c>
      <c r="K231" s="98">
        <f>SUMIF(ALIF_Y2022!$A:$A,$A231,ALIF_Y2022!$F:$F)</f>
        <v>142689.21</v>
      </c>
      <c r="L231" s="98">
        <f>SUMIF(ALIF_Y2023!$A:$A,$A231,ALIF_Y2023!$F:$F)</f>
        <v>270394.35800000001</v>
      </c>
      <c r="M231" s="98">
        <f>SUMIF(ALIF_Y2024!$A:$A,$A231,ALIF_Y2024!$F:$F)</f>
        <v>1146191.956</v>
      </c>
      <c r="N231" s="98">
        <f>SUMIF(ALIF_Y2025!$A:$A,$A231,ALIF_Y2025!$F:$F)</f>
        <v>698180.527</v>
      </c>
      <c r="O231" t="str">
        <f>_xlfn.XLOOKUP(A231,Map!A:A,Map!E:E)</f>
        <v>Business travel</v>
      </c>
      <c r="P231" t="str">
        <f>_xlfn.XLOOKUP(A231,Map!A:A,Map!D:D)</f>
        <v>General and Admin</v>
      </c>
    </row>
    <row r="232" spans="1:16" x14ac:dyDescent="0.25">
      <c r="A232" s="101">
        <v>700039</v>
      </c>
      <c r="B232" t="s">
        <v>209</v>
      </c>
      <c r="C232" s="98">
        <f>SUMIF(ALIF_Y2014!$A:$A,$A232,ALIF_Y2014!$F:$F)</f>
        <v>21019</v>
      </c>
      <c r="D232" s="98">
        <f>SUMIF(ALIF_Y2015!$A:$A,$A232,ALIF_Y2015!$F:$F)</f>
        <v>22033</v>
      </c>
      <c r="E232" s="98">
        <f>SUMIF(ALIF_Y2016!$A:$A,$A232,ALIF_Y2016!$F:$F)</f>
        <v>17348</v>
      </c>
      <c r="F232" s="98">
        <f>SUMIF(ALIF_Y2017!$A:$A,$A232,ALIF_Y2017!$F:$F)</f>
        <v>7787.2</v>
      </c>
      <c r="G232" s="98">
        <f>SUMIF(ALIF_Y2018!$A:$A,$A232,ALIF_Y2018!$F:$F)</f>
        <v>22134.133999999998</v>
      </c>
      <c r="H232" s="98">
        <f>SUMIF(ALIF_Y2019!$A:$A,$A232,ALIF_Y2019!$F:$F)</f>
        <v>21843.77</v>
      </c>
      <c r="I232" s="98">
        <f>SUMIF(ALIF_Y2020!$A:$A,$A232,ALIF_Y2020!$F:$F)</f>
        <v>32688.73</v>
      </c>
      <c r="J232" s="98">
        <f>SUMIF(ALIF_Y2021!$A:$A,$A232,ALIF_Y2021!$F:$F)</f>
        <v>26050.937000000002</v>
      </c>
      <c r="K232" s="98">
        <f>SUMIF(ALIF_Y2022!$A:$A,$A232,ALIF_Y2022!$F:$F)</f>
        <v>10504.65</v>
      </c>
      <c r="L232" s="98">
        <f>SUMIF(ALIF_Y2023!$A:$A,$A232,ALIF_Y2023!$F:$F)</f>
        <v>3358.87</v>
      </c>
      <c r="M232" s="98">
        <f>SUMIF(ALIF_Y2024!$A:$A,$A232,ALIF_Y2024!$F:$F)</f>
        <v>11762.34</v>
      </c>
      <c r="N232" s="98">
        <f>SUMIF(ALIF_Y2025!$A:$A,$A232,ALIF_Y2025!$F:$F)</f>
        <v>20259.638999999999</v>
      </c>
      <c r="O232" t="str">
        <f>_xlfn.XLOOKUP(A232,Map!A:A,Map!E:E)</f>
        <v>Buffet expenses</v>
      </c>
      <c r="P232" t="str">
        <f>_xlfn.XLOOKUP(A232,Map!A:A,Map!D:D)</f>
        <v>Selling and Marketing</v>
      </c>
    </row>
    <row r="233" spans="1:16" x14ac:dyDescent="0.25">
      <c r="A233" s="101">
        <v>700040</v>
      </c>
      <c r="B233" t="s">
        <v>210</v>
      </c>
      <c r="C233" s="98">
        <f>SUMIF(ALIF_Y2014!$A:$A,$A233,ALIF_Y2014!$F:$F)</f>
        <v>33518</v>
      </c>
      <c r="D233" s="98">
        <f>SUMIF(ALIF_Y2015!$A:$A,$A233,ALIF_Y2015!$F:$F)</f>
        <v>24040</v>
      </c>
      <c r="E233" s="98">
        <f>SUMIF(ALIF_Y2016!$A:$A,$A233,ALIF_Y2016!$F:$F)</f>
        <v>31477</v>
      </c>
      <c r="F233" s="98">
        <f>SUMIF(ALIF_Y2017!$A:$A,$A233,ALIF_Y2017!$F:$F)</f>
        <v>28017</v>
      </c>
      <c r="G233" s="98">
        <f>SUMIF(ALIF_Y2018!$A:$A,$A233,ALIF_Y2018!$F:$F)</f>
        <v>374014.14500000002</v>
      </c>
      <c r="H233" s="98">
        <f>SUMIF(ALIF_Y2019!$A:$A,$A233,ALIF_Y2019!$F:$F)</f>
        <v>463312.95</v>
      </c>
      <c r="I233" s="98">
        <f>SUMIF(ALIF_Y2020!$A:$A,$A233,ALIF_Y2020!$F:$F)</f>
        <v>785732.58</v>
      </c>
      <c r="J233" s="98">
        <f>SUMIF(ALIF_Y2021!$A:$A,$A233,ALIF_Y2021!$F:$F)</f>
        <v>659323.45200000005</v>
      </c>
      <c r="K233" s="98">
        <f>SUMIF(ALIF_Y2022!$A:$A,$A233,ALIF_Y2022!$F:$F)</f>
        <v>1005761.147</v>
      </c>
      <c r="L233" s="98">
        <f>SUMIF(ALIF_Y2023!$A:$A,$A233,ALIF_Y2023!$F:$F)</f>
        <v>253965.70199999999</v>
      </c>
      <c r="M233" s="98">
        <f>SUMIF(ALIF_Y2024!$A:$A,$A233,ALIF_Y2024!$F:$F)</f>
        <v>187744.17</v>
      </c>
      <c r="N233" s="98">
        <f>SUMIF(ALIF_Y2025!$A:$A,$A233,ALIF_Y2025!$F:$F)</f>
        <v>150953.1</v>
      </c>
      <c r="O233" t="str">
        <f>_xlfn.XLOOKUP(A233,Map!A:A,Map!E:E)</f>
        <v>Utilities</v>
      </c>
      <c r="P233" t="str">
        <f>_xlfn.XLOOKUP(A233,Map!A:A,Map!D:D)</f>
        <v>General and Admin</v>
      </c>
    </row>
    <row r="234" spans="1:16" x14ac:dyDescent="0.25">
      <c r="A234" s="101">
        <v>700041</v>
      </c>
      <c r="B234" t="s">
        <v>211</v>
      </c>
      <c r="C234" s="98">
        <f>SUMIF(ALIF_Y2014!$A:$A,$A234,ALIF_Y2014!$F:$F)</f>
        <v>34539.24</v>
      </c>
      <c r="D234" s="98">
        <f>SUMIF(ALIF_Y2015!$A:$A,$A234,ALIF_Y2015!$F:$F)</f>
        <v>11202.25</v>
      </c>
      <c r="E234" s="98">
        <f>SUMIF(ALIF_Y2016!$A:$A,$A234,ALIF_Y2016!$F:$F)</f>
        <v>4509</v>
      </c>
      <c r="F234" s="98">
        <f>SUMIF(ALIF_Y2017!$A:$A,$A234,ALIF_Y2017!$F:$F)</f>
        <v>30254.87</v>
      </c>
      <c r="G234" s="98">
        <f>SUMIF(ALIF_Y2018!$A:$A,$A234,ALIF_Y2018!$F:$F)</f>
        <v>234866.552</v>
      </c>
      <c r="H234" s="98">
        <f>SUMIF(ALIF_Y2019!$A:$A,$A234,ALIF_Y2019!$F:$F)</f>
        <v>377993.37900000002</v>
      </c>
      <c r="I234" s="98">
        <f>SUMIF(ALIF_Y2020!$A:$A,$A234,ALIF_Y2020!$F:$F)</f>
        <v>144243.25</v>
      </c>
      <c r="J234" s="98">
        <f>SUMIF(ALIF_Y2021!$A:$A,$A234,ALIF_Y2021!$F:$F)</f>
        <v>385214.50799999997</v>
      </c>
      <c r="K234" s="98">
        <f>SUMIF(ALIF_Y2022!$A:$A,$A234,ALIF_Y2022!$F:$F)</f>
        <v>204356.34299999999</v>
      </c>
      <c r="L234" s="98">
        <f>SUMIF(ALIF_Y2023!$A:$A,$A234,ALIF_Y2023!$F:$F)</f>
        <v>0</v>
      </c>
      <c r="M234" s="98">
        <f>SUMIF(ALIF_Y2024!$A:$A,$A234,ALIF_Y2024!$F:$F)</f>
        <v>47849.550999999999</v>
      </c>
      <c r="N234" s="98">
        <f>SUMIF(ALIF_Y2025!$A:$A,$A234,ALIF_Y2025!$F:$F)</f>
        <v>72690.202999999994</v>
      </c>
      <c r="O234" t="str">
        <f>_xlfn.XLOOKUP(A234,Map!A:A,Map!E:E)</f>
        <v>Salaries and wages</v>
      </c>
      <c r="P234" t="str">
        <f>_xlfn.XLOOKUP(A234,Map!A:A,Map!D:D)</f>
        <v>General and Admin</v>
      </c>
    </row>
    <row r="235" spans="1:16" x14ac:dyDescent="0.25">
      <c r="A235" s="101">
        <v>700042</v>
      </c>
      <c r="B235" t="s">
        <v>212</v>
      </c>
      <c r="C235" s="98">
        <f>SUMIF(ALIF_Y2014!$A:$A,$A235,ALIF_Y2014!$F:$F)</f>
        <v>0</v>
      </c>
      <c r="D235" s="98">
        <f>SUMIF(ALIF_Y2015!$A:$A,$A235,ALIF_Y2015!$F:$F)</f>
        <v>0</v>
      </c>
      <c r="E235" s="98">
        <f>SUMIF(ALIF_Y2016!$A:$A,$A235,ALIF_Y2016!$F:$F)</f>
        <v>0</v>
      </c>
      <c r="F235" s="98">
        <f>SUMIF(ALIF_Y2017!$A:$A,$A235,ALIF_Y2017!$F:$F)</f>
        <v>0</v>
      </c>
      <c r="G235" s="98">
        <f>SUMIF(ALIF_Y2018!$A:$A,$A235,ALIF_Y2018!$F:$F)</f>
        <v>0</v>
      </c>
      <c r="H235" s="98">
        <f>SUMIF(ALIF_Y2019!$A:$A,$A235,ALIF_Y2019!$F:$F)</f>
        <v>-522898</v>
      </c>
      <c r="I235" s="98">
        <f>SUMIF(ALIF_Y2020!$A:$A,$A235,ALIF_Y2020!$F:$F)</f>
        <v>2000000</v>
      </c>
      <c r="J235" s="98">
        <f>SUMIF(ALIF_Y2021!$A:$A,$A235,ALIF_Y2021!$F:$F)</f>
        <v>150000</v>
      </c>
      <c r="K235" s="98">
        <f>SUMIF(ALIF_Y2022!$A:$A,$A235,ALIF_Y2022!$F:$F)</f>
        <v>158333.32999999999</v>
      </c>
      <c r="L235" s="98">
        <f>SUMIF(ALIF_Y2023!$A:$A,$A235,ALIF_Y2023!$F:$F)</f>
        <v>0</v>
      </c>
      <c r="M235" s="98">
        <f>SUMIF(ALIF_Y2024!$A:$A,$A235,ALIF_Y2024!$F:$F)</f>
        <v>0</v>
      </c>
      <c r="N235" s="98">
        <f>SUMIF(ALIF_Y2025!$A:$A,$A235,ALIF_Y2025!$F:$F)</f>
        <v>0</v>
      </c>
      <c r="O235" t="str">
        <f>_xlfn.XLOOKUP(A235,Map!A:A,Map!E:E)</f>
        <v xml:space="preserve">Back office Support </v>
      </c>
      <c r="P235" t="str">
        <f>_xlfn.XLOOKUP(A235,Map!A:A,Map!D:D)</f>
        <v>General and Admin</v>
      </c>
    </row>
    <row r="236" spans="1:16" x14ac:dyDescent="0.25">
      <c r="A236" s="101">
        <v>700043</v>
      </c>
      <c r="B236" t="s">
        <v>213</v>
      </c>
      <c r="C236" s="98">
        <f>SUMIF(ALIF_Y2014!$A:$A,$A236,ALIF_Y2014!$F:$F)</f>
        <v>8381</v>
      </c>
      <c r="D236" s="98">
        <f>SUMIF(ALIF_Y2015!$A:$A,$A236,ALIF_Y2015!$F:$F)</f>
        <v>848</v>
      </c>
      <c r="E236" s="98">
        <f>SUMIF(ALIF_Y2016!$A:$A,$A236,ALIF_Y2016!$F:$F)</f>
        <v>59265</v>
      </c>
      <c r="F236" s="98">
        <f>SUMIF(ALIF_Y2017!$A:$A,$A236,ALIF_Y2017!$F:$F)</f>
        <v>15650</v>
      </c>
      <c r="G236" s="98">
        <f>SUMIF(ALIF_Y2018!$A:$A,$A236,ALIF_Y2018!$F:$F)</f>
        <v>11186.05</v>
      </c>
      <c r="H236" s="98">
        <f>SUMIF(ALIF_Y2019!$A:$A,$A236,ALIF_Y2019!$F:$F)</f>
        <v>108824</v>
      </c>
      <c r="I236" s="98">
        <f>SUMIF(ALIF_Y2020!$A:$A,$A236,ALIF_Y2020!$F:$F)</f>
        <v>14025.3</v>
      </c>
      <c r="J236" s="98">
        <f>SUMIF(ALIF_Y2021!$A:$A,$A236,ALIF_Y2021!$F:$F)</f>
        <v>1071</v>
      </c>
      <c r="K236" s="98">
        <f>SUMIF(ALIF_Y2022!$A:$A,$A236,ALIF_Y2022!$F:$F)</f>
        <v>11613</v>
      </c>
      <c r="L236" s="98">
        <f>SUMIF(ALIF_Y2023!$A:$A,$A236,ALIF_Y2023!$F:$F)</f>
        <v>8134</v>
      </c>
      <c r="M236" s="98">
        <f>SUMIF(ALIF_Y2024!$A:$A,$A236,ALIF_Y2024!$F:$F)</f>
        <v>111808.7</v>
      </c>
      <c r="N236" s="98">
        <f>SUMIF(ALIF_Y2025!$A:$A,$A236,ALIF_Y2025!$F:$F)</f>
        <v>0</v>
      </c>
      <c r="O236" t="str">
        <f>_xlfn.XLOOKUP(A236,Map!A:A,Map!E:E)</f>
        <v>Govt license and fees (including modon)</v>
      </c>
      <c r="P236" t="str">
        <f>_xlfn.XLOOKUP(A236,Map!A:A,Map!D:D)</f>
        <v>General and Admin</v>
      </c>
    </row>
    <row r="237" spans="1:16" x14ac:dyDescent="0.25">
      <c r="A237" s="101">
        <v>700044</v>
      </c>
      <c r="B237" t="s">
        <v>214</v>
      </c>
      <c r="C237" s="98">
        <f>SUMIF(ALIF_Y2014!$A:$A,$A237,ALIF_Y2014!$F:$F)</f>
        <v>16379</v>
      </c>
      <c r="D237" s="98">
        <f>SUMIF(ALIF_Y2015!$A:$A,$A237,ALIF_Y2015!$F:$F)</f>
        <v>16279</v>
      </c>
      <c r="E237" s="98">
        <f>SUMIF(ALIF_Y2016!$A:$A,$A237,ALIF_Y2016!$F:$F)</f>
        <v>44959.61</v>
      </c>
      <c r="F237" s="98">
        <f>SUMIF(ALIF_Y2017!$A:$A,$A237,ALIF_Y2017!$F:$F)</f>
        <v>37940.697999999997</v>
      </c>
      <c r="G237" s="98">
        <f>SUMIF(ALIF_Y2018!$A:$A,$A237,ALIF_Y2018!$F:$F)</f>
        <v>46607.356</v>
      </c>
      <c r="H237" s="98">
        <f>SUMIF(ALIF_Y2019!$A:$A,$A237,ALIF_Y2019!$F:$F)</f>
        <v>39739.51</v>
      </c>
      <c r="I237" s="98">
        <f>SUMIF(ALIF_Y2020!$A:$A,$A237,ALIF_Y2020!$F:$F)</f>
        <v>75919.839999999997</v>
      </c>
      <c r="J237" s="98">
        <f>SUMIF(ALIF_Y2021!$A:$A,$A237,ALIF_Y2021!$F:$F)</f>
        <v>66228.25</v>
      </c>
      <c r="K237" s="98">
        <f>SUMIF(ALIF_Y2022!$A:$A,$A237,ALIF_Y2022!$F:$F)</f>
        <v>83699.47</v>
      </c>
      <c r="L237" s="98">
        <f>SUMIF(ALIF_Y2023!$A:$A,$A237,ALIF_Y2023!$F:$F)</f>
        <v>80839.509999999995</v>
      </c>
      <c r="M237" s="98">
        <f>SUMIF(ALIF_Y2024!$A:$A,$A237,ALIF_Y2024!$F:$F)</f>
        <v>38658</v>
      </c>
      <c r="N237" s="98">
        <f>SUMIF(ALIF_Y2025!$A:$A,$A237,ALIF_Y2025!$F:$F)</f>
        <v>116259.2</v>
      </c>
      <c r="O237" t="str">
        <f>_xlfn.XLOOKUP(A237,Map!A:A,Map!E:E)</f>
        <v>Govt license and fees (including modon)</v>
      </c>
      <c r="P237" t="str">
        <f>_xlfn.XLOOKUP(A237,Map!A:A,Map!D:D)</f>
        <v>General and Admin</v>
      </c>
    </row>
    <row r="238" spans="1:16" x14ac:dyDescent="0.25">
      <c r="A238" s="101">
        <v>700045</v>
      </c>
      <c r="B238" t="s">
        <v>215</v>
      </c>
      <c r="C238" s="98">
        <f>SUMIF(ALIF_Y2014!$A:$A,$A238,ALIF_Y2014!$F:$F)</f>
        <v>1959367.067</v>
      </c>
      <c r="D238" s="98">
        <f>SUMIF(ALIF_Y2015!$A:$A,$A238,ALIF_Y2015!$F:$F)</f>
        <v>1159554.7420000001</v>
      </c>
      <c r="E238" s="98">
        <f>SUMIF(ALIF_Y2016!$A:$A,$A238,ALIF_Y2016!$F:$F)</f>
        <v>1539704.35</v>
      </c>
      <c r="F238" s="98">
        <f>SUMIF(ALIF_Y2017!$A:$A,$A238,ALIF_Y2017!$F:$F)</f>
        <v>1568335.0009999999</v>
      </c>
      <c r="G238" s="98">
        <f>SUMIF(ALIF_Y2018!$A:$A,$A238,ALIF_Y2018!$F:$F)</f>
        <v>2338864.71</v>
      </c>
      <c r="H238" s="98">
        <f>SUMIF(ALIF_Y2019!$A:$A,$A238,ALIF_Y2019!$F:$F)</f>
        <v>3359613.03</v>
      </c>
      <c r="I238" s="98">
        <f>SUMIF(ALIF_Y2020!$A:$A,$A238,ALIF_Y2020!$F:$F)</f>
        <v>3077659.0019999999</v>
      </c>
      <c r="J238" s="98">
        <f>SUMIF(ALIF_Y2021!$A:$A,$A238,ALIF_Y2021!$F:$F)</f>
        <v>3963692.7140000002</v>
      </c>
      <c r="K238" s="98">
        <f>SUMIF(ALIF_Y2022!$A:$A,$A238,ALIF_Y2022!$F:$F)</f>
        <v>4605626.1399999997</v>
      </c>
      <c r="L238" s="98">
        <f>SUMIF(ALIF_Y2023!$A:$A,$A238,ALIF_Y2023!$F:$F)</f>
        <v>5815645.551</v>
      </c>
      <c r="M238" s="98">
        <f>SUMIF(ALIF_Y2024!$A:$A,$A238,ALIF_Y2024!$F:$F)</f>
        <v>7672207.142</v>
      </c>
      <c r="N238" s="98">
        <f>SUMIF(ALIF_Y2025!$A:$A,$A238,ALIF_Y2025!$F:$F)</f>
        <v>11542281.335000001</v>
      </c>
      <c r="O238" t="str">
        <f>_xlfn.XLOOKUP(A238,Map!A:A,Map!E:E)</f>
        <v>Finance cost</v>
      </c>
      <c r="P238" t="str">
        <f>_xlfn.XLOOKUP(A238,Map!A:A,Map!D:D)</f>
        <v>Finance cost</v>
      </c>
    </row>
    <row r="239" spans="1:16" x14ac:dyDescent="0.25">
      <c r="A239" s="101">
        <v>700048</v>
      </c>
      <c r="B239" t="s">
        <v>216</v>
      </c>
      <c r="C239" s="98">
        <f>SUMIF(ALIF_Y2014!$A:$A,$A239,ALIF_Y2014!$F:$F)</f>
        <v>1537200</v>
      </c>
      <c r="D239" s="98">
        <f>SUMIF(ALIF_Y2015!$A:$A,$A239,ALIF_Y2015!$F:$F)</f>
        <v>1363871</v>
      </c>
      <c r="E239" s="98">
        <f>SUMIF(ALIF_Y2016!$A:$A,$A239,ALIF_Y2016!$F:$F)</f>
        <v>1221311.1000000001</v>
      </c>
      <c r="F239" s="98">
        <f>SUMIF(ALIF_Y2017!$A:$A,$A239,ALIF_Y2017!$F:$F)</f>
        <v>994649.23</v>
      </c>
      <c r="G239" s="98">
        <f>SUMIF(ALIF_Y2018!$A:$A,$A239,ALIF_Y2018!$F:$F)</f>
        <v>1150000</v>
      </c>
      <c r="H239" s="98">
        <f>SUMIF(ALIF_Y2019!$A:$A,$A239,ALIF_Y2019!$F:$F)</f>
        <v>954424.53</v>
      </c>
      <c r="I239" s="98">
        <f>SUMIF(ALIF_Y2020!$A:$A,$A239,ALIF_Y2020!$F:$F)</f>
        <v>644385.89</v>
      </c>
      <c r="J239" s="98">
        <f>SUMIF(ALIF_Y2021!$A:$A,$A239,ALIF_Y2021!$F:$F)</f>
        <v>146434.87</v>
      </c>
      <c r="K239" s="98">
        <f>SUMIF(ALIF_Y2022!$A:$A,$A239,ALIF_Y2022!$F:$F)</f>
        <v>672246.94</v>
      </c>
      <c r="L239" s="98">
        <f>SUMIF(ALIF_Y2023!$A:$A,$A239,ALIF_Y2023!$F:$F)</f>
        <v>235302.94</v>
      </c>
      <c r="M239" s="98">
        <f>SUMIF(ALIF_Y2024!$A:$A,$A239,ALIF_Y2024!$F:$F)</f>
        <v>9561.0400000000009</v>
      </c>
      <c r="N239" s="98">
        <f>SUMIF(ALIF_Y2025!$A:$A,$A239,ALIF_Y2025!$F:$F)</f>
        <v>0</v>
      </c>
      <c r="O239" t="str">
        <f>_xlfn.XLOOKUP(A239,Map!A:A,Map!E:E)</f>
        <v>Zakat expenses</v>
      </c>
      <c r="P239" t="str">
        <f>_xlfn.XLOOKUP(A239,Map!A:A,Map!D:D)</f>
        <v>Zakat</v>
      </c>
    </row>
    <row r="240" spans="1:16" x14ac:dyDescent="0.25">
      <c r="A240" s="101">
        <v>700049</v>
      </c>
      <c r="B240" t="s">
        <v>217</v>
      </c>
      <c r="C240" s="98">
        <f>SUMIF(ALIF_Y2014!$A:$A,$A240,ALIF_Y2014!$F:$F)</f>
        <v>0</v>
      </c>
      <c r="D240" s="98">
        <f>SUMIF(ALIF_Y2015!$A:$A,$A240,ALIF_Y2015!$F:$F)</f>
        <v>0</v>
      </c>
      <c r="E240" s="98">
        <f>SUMIF(ALIF_Y2016!$A:$A,$A240,ALIF_Y2016!$F:$F)</f>
        <v>0</v>
      </c>
      <c r="F240" s="98">
        <f>SUMIF(ALIF_Y2017!$A:$A,$A240,ALIF_Y2017!$F:$F)</f>
        <v>0</v>
      </c>
      <c r="G240" s="98">
        <f>SUMIF(ALIF_Y2018!$A:$A,$A240,ALIF_Y2018!$F:$F)</f>
        <v>0</v>
      </c>
      <c r="H240" s="98">
        <f>SUMIF(ALIF_Y2019!$A:$A,$A240,ALIF_Y2019!$F:$F)</f>
        <v>0</v>
      </c>
      <c r="I240" s="98">
        <f>SUMIF(ALIF_Y2020!$A:$A,$A240,ALIF_Y2020!$F:$F)</f>
        <v>0</v>
      </c>
      <c r="J240" s="98">
        <f>SUMIF(ALIF_Y2021!$A:$A,$A240,ALIF_Y2021!$F:$F)</f>
        <v>0</v>
      </c>
      <c r="K240" s="98">
        <f>SUMIF(ALIF_Y2022!$A:$A,$A240,ALIF_Y2022!$F:$F)</f>
        <v>0</v>
      </c>
      <c r="L240" s="98">
        <f>SUMIF(ALIF_Y2023!$A:$A,$A240,ALIF_Y2023!$F:$F)</f>
        <v>0</v>
      </c>
      <c r="M240" s="98">
        <f>SUMIF(ALIF_Y2024!$A:$A,$A240,ALIF_Y2024!$F:$F)</f>
        <v>0</v>
      </c>
      <c r="N240" s="98">
        <f>SUMIF(ALIF_Y2025!$A:$A,$A240,ALIF_Y2025!$F:$F)</f>
        <v>117654</v>
      </c>
      <c r="O240" t="str">
        <f>_xlfn.XLOOKUP(A240,Map!A:A,Map!E:E)</f>
        <v>Salaries and wages</v>
      </c>
      <c r="P240" t="str">
        <f>_xlfn.XLOOKUP(A240,Map!A:A,Map!D:D)</f>
        <v>General and Admin</v>
      </c>
    </row>
    <row r="241" spans="1:16" x14ac:dyDescent="0.25">
      <c r="A241" s="101">
        <v>700050</v>
      </c>
      <c r="B241" t="s">
        <v>218</v>
      </c>
      <c r="C241" s="98">
        <f>SUMIF(ALIF_Y2014!$A:$A,$A241,ALIF_Y2014!$F:$F)</f>
        <v>24968.16</v>
      </c>
      <c r="D241" s="98">
        <f>SUMIF(ALIF_Y2015!$A:$A,$A241,ALIF_Y2015!$F:$F)</f>
        <v>15012.481</v>
      </c>
      <c r="E241" s="98">
        <f>SUMIF(ALIF_Y2016!$A:$A,$A241,ALIF_Y2016!$F:$F)</f>
        <v>6455.0259999999998</v>
      </c>
      <c r="F241" s="98">
        <f>SUMIF(ALIF_Y2017!$A:$A,$A241,ALIF_Y2017!$F:$F)</f>
        <v>531.66999999999996</v>
      </c>
      <c r="G241" s="98">
        <f>SUMIF(ALIF_Y2018!$A:$A,$A241,ALIF_Y2018!$F:$F)</f>
        <v>0</v>
      </c>
      <c r="H241" s="98">
        <f>SUMIF(ALIF_Y2019!$A:$A,$A241,ALIF_Y2019!$F:$F)</f>
        <v>0.01</v>
      </c>
      <c r="I241" s="98">
        <f>SUMIF(ALIF_Y2020!$A:$A,$A241,ALIF_Y2020!$F:$F)</f>
        <v>0</v>
      </c>
      <c r="J241" s="98">
        <f>SUMIF(ALIF_Y2021!$A:$A,$A241,ALIF_Y2021!$F:$F)</f>
        <v>0</v>
      </c>
      <c r="K241" s="98">
        <f>SUMIF(ALIF_Y2022!$A:$A,$A241,ALIF_Y2022!$F:$F)</f>
        <v>0</v>
      </c>
      <c r="L241" s="98">
        <f>SUMIF(ALIF_Y2023!$A:$A,$A241,ALIF_Y2023!$F:$F)</f>
        <v>0</v>
      </c>
      <c r="M241" s="98">
        <f>SUMIF(ALIF_Y2024!$A:$A,$A241,ALIF_Y2024!$F:$F)</f>
        <v>0</v>
      </c>
      <c r="N241" s="98">
        <f>SUMIF(ALIF_Y2025!$A:$A,$A241,ALIF_Y2025!$F:$F)</f>
        <v>0</v>
      </c>
      <c r="O241" t="str">
        <f>_xlfn.XLOOKUP(A241,Map!A:A,Map!E:E)</f>
        <v>Depreciation expenses</v>
      </c>
      <c r="P241" t="str">
        <f>_xlfn.XLOOKUP(A241,Map!A:A,Map!D:D)</f>
        <v>Depreciation expenses</v>
      </c>
    </row>
    <row r="242" spans="1:16" x14ac:dyDescent="0.25">
      <c r="A242" s="101">
        <v>700051</v>
      </c>
      <c r="B242" t="s">
        <v>243</v>
      </c>
      <c r="C242" s="98">
        <f>SUMIF(ALIF_Y2014!$A:$A,$A242,ALIF_Y2014!$F:$F)</f>
        <v>0</v>
      </c>
      <c r="D242" s="98">
        <f>SUMIF(ALIF_Y2015!$A:$A,$A242,ALIF_Y2015!$F:$F)</f>
        <v>0</v>
      </c>
      <c r="E242" s="98">
        <f>SUMIF(ALIF_Y2016!$A:$A,$A242,ALIF_Y2016!$F:$F)</f>
        <v>0</v>
      </c>
      <c r="F242" s="98">
        <f>SUMIF(ALIF_Y2017!$A:$A,$A242,ALIF_Y2017!$F:$F)</f>
        <v>0</v>
      </c>
      <c r="G242" s="98">
        <f>SUMIF(ALIF_Y2018!$A:$A,$A242,ALIF_Y2018!$F:$F)</f>
        <v>0</v>
      </c>
      <c r="H242" s="98">
        <f>SUMIF(ALIF_Y2019!$A:$A,$A242,ALIF_Y2019!$F:$F)</f>
        <v>0</v>
      </c>
      <c r="I242" s="98">
        <f>SUMIF(ALIF_Y2020!$A:$A,$A242,ALIF_Y2020!$F:$F)</f>
        <v>0</v>
      </c>
      <c r="J242" s="98">
        <f>SUMIF(ALIF_Y2021!$A:$A,$A242,ALIF_Y2021!$F:$F)</f>
        <v>0</v>
      </c>
      <c r="K242" s="98">
        <f>SUMIF(ALIF_Y2022!$A:$A,$A242,ALIF_Y2022!$F:$F)</f>
        <v>0</v>
      </c>
      <c r="L242" s="98">
        <f>SUMIF(ALIF_Y2023!$A:$A,$A242,ALIF_Y2023!$F:$F)</f>
        <v>0</v>
      </c>
      <c r="M242" s="98">
        <f>SUMIF(ALIF_Y2024!$A:$A,$A242,ALIF_Y2024!$F:$F)</f>
        <v>0</v>
      </c>
      <c r="N242" s="98">
        <f>SUMIF(ALIF_Y2025!$A:$A,$A242,ALIF_Y2025!$F:$F)</f>
        <v>17680.077000000001</v>
      </c>
      <c r="O242" t="str">
        <f>_xlfn.XLOOKUP(A242,Map!A:A,Map!E:E)</f>
        <v>Depreciation expenses</v>
      </c>
      <c r="P242" t="str">
        <f>_xlfn.XLOOKUP(A242,Map!A:A,Map!D:D)</f>
        <v>Depreciation expenses</v>
      </c>
    </row>
    <row r="243" spans="1:16" x14ac:dyDescent="0.25">
      <c r="A243" s="101">
        <v>700052</v>
      </c>
      <c r="B243" t="s">
        <v>219</v>
      </c>
      <c r="C243" s="98">
        <f>SUMIF(ALIF_Y2014!$A:$A,$A243,ALIF_Y2014!$F:$F)</f>
        <v>0</v>
      </c>
      <c r="D243" s="98">
        <f>SUMIF(ALIF_Y2015!$A:$A,$A243,ALIF_Y2015!$F:$F)</f>
        <v>0</v>
      </c>
      <c r="E243" s="98">
        <f>SUMIF(ALIF_Y2016!$A:$A,$A243,ALIF_Y2016!$F:$F)</f>
        <v>0</v>
      </c>
      <c r="F243" s="98">
        <f>SUMIF(ALIF_Y2017!$A:$A,$A243,ALIF_Y2017!$F:$F)</f>
        <v>0</v>
      </c>
      <c r="G243" s="98">
        <f>SUMIF(ALIF_Y2018!$A:$A,$A243,ALIF_Y2018!$F:$F)</f>
        <v>0</v>
      </c>
      <c r="H243" s="98">
        <f>SUMIF(ALIF_Y2019!$A:$A,$A243,ALIF_Y2019!$F:$F)</f>
        <v>0</v>
      </c>
      <c r="I243" s="98">
        <f>SUMIF(ALIF_Y2020!$A:$A,$A243,ALIF_Y2020!$F:$F)</f>
        <v>0</v>
      </c>
      <c r="J243" s="98">
        <f>SUMIF(ALIF_Y2021!$A:$A,$A243,ALIF_Y2021!$F:$F)</f>
        <v>0</v>
      </c>
      <c r="K243" s="98">
        <f>SUMIF(ALIF_Y2022!$A:$A,$A243,ALIF_Y2022!$F:$F)</f>
        <v>0</v>
      </c>
      <c r="L243" s="98">
        <f>SUMIF(ALIF_Y2023!$A:$A,$A243,ALIF_Y2023!$F:$F)</f>
        <v>0</v>
      </c>
      <c r="M243" s="98">
        <f>SUMIF(ALIF_Y2024!$A:$A,$A243,ALIF_Y2024!$F:$F)</f>
        <v>0</v>
      </c>
      <c r="N243" s="98">
        <f>SUMIF(ALIF_Y2025!$A:$A,$A243,ALIF_Y2025!$F:$F)</f>
        <v>0</v>
      </c>
      <c r="O243" t="str">
        <f>_xlfn.XLOOKUP(A243,Map!A:A,Map!E:E)</f>
        <v>Depreciation expenses</v>
      </c>
      <c r="P243" t="str">
        <f>_xlfn.XLOOKUP(A243,Map!A:A,Map!D:D)</f>
        <v>Depreciation expenses</v>
      </c>
    </row>
    <row r="244" spans="1:16" x14ac:dyDescent="0.25">
      <c r="A244" s="101">
        <v>700053</v>
      </c>
      <c r="B244" t="s">
        <v>220</v>
      </c>
      <c r="C244" s="98">
        <f>SUMIF(ALIF_Y2014!$A:$A,$A244,ALIF_Y2014!$F:$F)</f>
        <v>305</v>
      </c>
      <c r="D244" s="98">
        <f>SUMIF(ALIF_Y2015!$A:$A,$A244,ALIF_Y2015!$F:$F)</f>
        <v>0</v>
      </c>
      <c r="E244" s="98">
        <f>SUMIF(ALIF_Y2016!$A:$A,$A244,ALIF_Y2016!$F:$F)</f>
        <v>0</v>
      </c>
      <c r="F244" s="98">
        <f>SUMIF(ALIF_Y2017!$A:$A,$A244,ALIF_Y2017!$F:$F)</f>
        <v>0</v>
      </c>
      <c r="G244" s="98">
        <f>SUMIF(ALIF_Y2018!$A:$A,$A244,ALIF_Y2018!$F:$F)</f>
        <v>0</v>
      </c>
      <c r="H244" s="98">
        <f>SUMIF(ALIF_Y2019!$A:$A,$A244,ALIF_Y2019!$F:$F)</f>
        <v>0</v>
      </c>
      <c r="I244" s="98">
        <f>SUMIF(ALIF_Y2020!$A:$A,$A244,ALIF_Y2020!$F:$F)</f>
        <v>0</v>
      </c>
      <c r="J244" s="98">
        <f>SUMIF(ALIF_Y2021!$A:$A,$A244,ALIF_Y2021!$F:$F)</f>
        <v>0</v>
      </c>
      <c r="K244" s="98">
        <f>SUMIF(ALIF_Y2022!$A:$A,$A244,ALIF_Y2022!$F:$F)</f>
        <v>0</v>
      </c>
      <c r="L244" s="98">
        <f>SUMIF(ALIF_Y2023!$A:$A,$A244,ALIF_Y2023!$F:$F)</f>
        <v>0</v>
      </c>
      <c r="M244" s="98">
        <f>SUMIF(ALIF_Y2024!$A:$A,$A244,ALIF_Y2024!$F:$F)</f>
        <v>0</v>
      </c>
      <c r="N244" s="98">
        <f>SUMIF(ALIF_Y2025!$A:$A,$A244,ALIF_Y2025!$F:$F)</f>
        <v>2964.86</v>
      </c>
      <c r="O244" t="str">
        <f>_xlfn.XLOOKUP(A244,Map!A:A,Map!E:E)</f>
        <v>Depreciation expenses</v>
      </c>
      <c r="P244" t="str">
        <f>_xlfn.XLOOKUP(A244,Map!A:A,Map!D:D)</f>
        <v>Depreciation expenses</v>
      </c>
    </row>
    <row r="245" spans="1:16" x14ac:dyDescent="0.25">
      <c r="A245" s="101">
        <v>700054</v>
      </c>
      <c r="B245" t="s">
        <v>221</v>
      </c>
      <c r="C245" s="98">
        <f>SUMIF(ALIF_Y2014!$A:$A,$A245,ALIF_Y2014!$F:$F)</f>
        <v>252150.81</v>
      </c>
      <c r="D245" s="98">
        <f>SUMIF(ALIF_Y2015!$A:$A,$A245,ALIF_Y2015!$F:$F)</f>
        <v>189935.41</v>
      </c>
      <c r="E245" s="98">
        <f>SUMIF(ALIF_Y2016!$A:$A,$A245,ALIF_Y2016!$F:$F)</f>
        <v>89083.34</v>
      </c>
      <c r="F245" s="98">
        <f>SUMIF(ALIF_Y2017!$A:$A,$A245,ALIF_Y2017!$F:$F)</f>
        <v>189670.83</v>
      </c>
      <c r="G245" s="98">
        <f>SUMIF(ALIF_Y2018!$A:$A,$A245,ALIF_Y2018!$F:$F)</f>
        <v>220120.47200000001</v>
      </c>
      <c r="H245" s="98">
        <f>SUMIF(ALIF_Y2019!$A:$A,$A245,ALIF_Y2019!$F:$F)</f>
        <v>196135.345</v>
      </c>
      <c r="I245" s="98">
        <f>SUMIF(ALIF_Y2020!$A:$A,$A245,ALIF_Y2020!$F:$F)</f>
        <v>211518.88099999999</v>
      </c>
      <c r="J245" s="98">
        <f>SUMIF(ALIF_Y2021!$A:$A,$A245,ALIF_Y2021!$F:$F)</f>
        <v>200986.11199999999</v>
      </c>
      <c r="K245" s="98">
        <f>SUMIF(ALIF_Y2022!$A:$A,$A245,ALIF_Y2022!$F:$F)</f>
        <v>160023.08199999999</v>
      </c>
      <c r="L245" s="98">
        <f>SUMIF(ALIF_Y2023!$A:$A,$A245,ALIF_Y2023!$F:$F)</f>
        <v>193147.36</v>
      </c>
      <c r="M245" s="98">
        <f>SUMIF(ALIF_Y2024!$A:$A,$A245,ALIF_Y2024!$F:$F)</f>
        <v>164512.57</v>
      </c>
      <c r="N245" s="98">
        <f>SUMIF(ALIF_Y2025!$A:$A,$A245,ALIF_Y2025!$F:$F)</f>
        <v>261925.77100000001</v>
      </c>
      <c r="O245" t="str">
        <f>_xlfn.XLOOKUP(A245,Map!A:A,Map!E:E)</f>
        <v>Depreciation expenses</v>
      </c>
      <c r="P245" t="str">
        <f>_xlfn.XLOOKUP(A245,Map!A:A,Map!D:D)</f>
        <v>Depreciation expenses</v>
      </c>
    </row>
    <row r="246" spans="1:16" x14ac:dyDescent="0.25">
      <c r="A246" s="101">
        <v>700055</v>
      </c>
      <c r="B246" t="s">
        <v>222</v>
      </c>
      <c r="C246" s="98">
        <f>SUMIF(ALIF_Y2014!$A:$A,$A246,ALIF_Y2014!$F:$F)</f>
        <v>13107.32</v>
      </c>
      <c r="D246" s="98">
        <f>SUMIF(ALIF_Y2015!$A:$A,$A246,ALIF_Y2015!$F:$F)</f>
        <v>186728.13</v>
      </c>
      <c r="E246" s="98">
        <f>SUMIF(ALIF_Y2016!$A:$A,$A246,ALIF_Y2016!$F:$F)</f>
        <v>184067.12599999999</v>
      </c>
      <c r="F246" s="98">
        <f>SUMIF(ALIF_Y2017!$A:$A,$A246,ALIF_Y2017!$F:$F)</f>
        <v>179702.46100000001</v>
      </c>
      <c r="G246" s="98">
        <f>SUMIF(ALIF_Y2018!$A:$A,$A246,ALIF_Y2018!$F:$F)</f>
        <v>193120.68799999999</v>
      </c>
      <c r="H246" s="98">
        <f>SUMIF(ALIF_Y2019!$A:$A,$A246,ALIF_Y2019!$F:$F)</f>
        <v>19498.400000000001</v>
      </c>
      <c r="I246" s="98">
        <f>SUMIF(ALIF_Y2020!$A:$A,$A246,ALIF_Y2020!$F:$F)</f>
        <v>65055.127</v>
      </c>
      <c r="J246" s="98">
        <f>SUMIF(ALIF_Y2021!$A:$A,$A246,ALIF_Y2021!$F:$F)</f>
        <v>119516.042</v>
      </c>
      <c r="K246" s="98">
        <f>SUMIF(ALIF_Y2022!$A:$A,$A246,ALIF_Y2022!$F:$F)</f>
        <v>290261.74900000001</v>
      </c>
      <c r="L246" s="98">
        <f>SUMIF(ALIF_Y2023!$A:$A,$A246,ALIF_Y2023!$F:$F)</f>
        <v>290954.66800000001</v>
      </c>
      <c r="M246" s="98">
        <f>SUMIF(ALIF_Y2024!$A:$A,$A246,ALIF_Y2024!$F:$F)</f>
        <v>263879.48499999999</v>
      </c>
      <c r="N246" s="98">
        <f>SUMIF(ALIF_Y2025!$A:$A,$A246,ALIF_Y2025!$F:$F)</f>
        <v>327256.08500000002</v>
      </c>
      <c r="O246" t="str">
        <f>_xlfn.XLOOKUP(A246,Map!A:A,Map!E:E)</f>
        <v>Depreciation expenses</v>
      </c>
      <c r="P246" t="str">
        <f>_xlfn.XLOOKUP(A246,Map!A:A,Map!D:D)</f>
        <v>Depreciation expenses</v>
      </c>
    </row>
    <row r="247" spans="1:16" x14ac:dyDescent="0.25">
      <c r="A247" s="101">
        <v>700056</v>
      </c>
      <c r="B247" t="s">
        <v>223</v>
      </c>
      <c r="C247" s="98">
        <f>SUMIF(ALIF_Y2014!$A:$A,$A247,ALIF_Y2014!$F:$F)</f>
        <v>3360</v>
      </c>
      <c r="D247" s="98">
        <f>SUMIF(ALIF_Y2015!$A:$A,$A247,ALIF_Y2015!$F:$F)</f>
        <v>0</v>
      </c>
      <c r="E247" s="98">
        <f>SUMIF(ALIF_Y2016!$A:$A,$A247,ALIF_Y2016!$F:$F)</f>
        <v>0</v>
      </c>
      <c r="F247" s="98">
        <f>SUMIF(ALIF_Y2017!$A:$A,$A247,ALIF_Y2017!$F:$F)</f>
        <v>0</v>
      </c>
      <c r="G247" s="98">
        <f>SUMIF(ALIF_Y2018!$A:$A,$A247,ALIF_Y2018!$F:$F)</f>
        <v>0</v>
      </c>
      <c r="H247" s="98">
        <f>SUMIF(ALIF_Y2019!$A:$A,$A247,ALIF_Y2019!$F:$F)</f>
        <v>0</v>
      </c>
      <c r="I247" s="98">
        <f>SUMIF(ALIF_Y2020!$A:$A,$A247,ALIF_Y2020!$F:$F)</f>
        <v>0</v>
      </c>
      <c r="J247" s="98">
        <f>SUMIF(ALIF_Y2021!$A:$A,$A247,ALIF_Y2021!$F:$F)</f>
        <v>0</v>
      </c>
      <c r="K247" s="98">
        <f>SUMIF(ALIF_Y2022!$A:$A,$A247,ALIF_Y2022!$F:$F)</f>
        <v>0</v>
      </c>
      <c r="L247" s="98">
        <f>SUMIF(ALIF_Y2023!$A:$A,$A247,ALIF_Y2023!$F:$F)</f>
        <v>0</v>
      </c>
      <c r="M247" s="98">
        <f>SUMIF(ALIF_Y2024!$A:$A,$A247,ALIF_Y2024!$F:$F)</f>
        <v>0</v>
      </c>
      <c r="N247" s="98">
        <f>SUMIF(ALIF_Y2025!$A:$A,$A247,ALIF_Y2025!$F:$F)</f>
        <v>91762.504000000001</v>
      </c>
      <c r="O247" t="str">
        <f>_xlfn.XLOOKUP(A247,Map!A:A,Map!E:E)</f>
        <v>Depreciation expenses</v>
      </c>
      <c r="P247" t="str">
        <f>_xlfn.XLOOKUP(A247,Map!A:A,Map!D:D)</f>
        <v>Depreciation expenses</v>
      </c>
    </row>
    <row r="248" spans="1:16" x14ac:dyDescent="0.25">
      <c r="A248" s="101">
        <v>700057</v>
      </c>
      <c r="B248" t="s">
        <v>224</v>
      </c>
      <c r="C248" s="98">
        <f>SUMIF(ALIF_Y2014!$A:$A,$A248,ALIF_Y2014!$F:$F)</f>
        <v>771759.88</v>
      </c>
      <c r="D248" s="98">
        <f>SUMIF(ALIF_Y2015!$A:$A,$A248,ALIF_Y2015!$F:$F)</f>
        <v>798000.4</v>
      </c>
      <c r="E248" s="98">
        <f>SUMIF(ALIF_Y2016!$A:$A,$A248,ALIF_Y2016!$F:$F)</f>
        <v>782083.53</v>
      </c>
      <c r="F248" s="98">
        <f>SUMIF(ALIF_Y2017!$A:$A,$A248,ALIF_Y2017!$F:$F)</f>
        <v>448839.05900000001</v>
      </c>
      <c r="G248" s="98">
        <f>SUMIF(ALIF_Y2018!$A:$A,$A248,ALIF_Y2018!$F:$F)</f>
        <v>131694.39999999999</v>
      </c>
      <c r="H248" s="98">
        <f>SUMIF(ALIF_Y2019!$A:$A,$A248,ALIF_Y2019!$F:$F)</f>
        <v>284000.00400000002</v>
      </c>
      <c r="I248" s="98">
        <f>SUMIF(ALIF_Y2020!$A:$A,$A248,ALIF_Y2020!$F:$F)</f>
        <v>284000.00400000002</v>
      </c>
      <c r="J248" s="98">
        <f>SUMIF(ALIF_Y2021!$A:$A,$A248,ALIF_Y2021!$F:$F)</f>
        <v>265999.92</v>
      </c>
      <c r="K248" s="98">
        <f>SUMIF(ALIF_Y2022!$A:$A,$A248,ALIF_Y2022!$F:$F)</f>
        <v>275000</v>
      </c>
      <c r="L248" s="98">
        <f>SUMIF(ALIF_Y2023!$A:$A,$A248,ALIF_Y2023!$F:$F)</f>
        <v>277040</v>
      </c>
      <c r="M248" s="98">
        <f>SUMIF(ALIF_Y2024!$A:$A,$A248,ALIF_Y2024!$F:$F)</f>
        <v>244841.60399999999</v>
      </c>
      <c r="N248" s="98">
        <f>SUMIF(ALIF_Y2025!$A:$A,$A248,ALIF_Y2025!$F:$F)</f>
        <v>413654.01400000002</v>
      </c>
      <c r="O248" t="str">
        <f>_xlfn.XLOOKUP(A248,Map!A:A,Map!E:E)</f>
        <v>Overhead - Rent</v>
      </c>
      <c r="P248" t="str">
        <f>_xlfn.XLOOKUP(A248,Map!A:A,Map!D:D)</f>
        <v>Cost of sales</v>
      </c>
    </row>
    <row r="249" spans="1:16" x14ac:dyDescent="0.25">
      <c r="A249" s="101">
        <v>700058</v>
      </c>
      <c r="B249" t="s">
        <v>225</v>
      </c>
      <c r="C249" s="98">
        <f>SUMIF(ALIF_Y2014!$A:$A,$A249,ALIF_Y2014!$F:$F)</f>
        <v>10844</v>
      </c>
      <c r="D249" s="98">
        <f>SUMIF(ALIF_Y2015!$A:$A,$A249,ALIF_Y2015!$F:$F)</f>
        <v>67555</v>
      </c>
      <c r="E249" s="98">
        <f>SUMIF(ALIF_Y2016!$A:$A,$A249,ALIF_Y2016!$F:$F)</f>
        <v>5162</v>
      </c>
      <c r="F249" s="98">
        <f>SUMIF(ALIF_Y2017!$A:$A,$A249,ALIF_Y2017!$F:$F)</f>
        <v>35415.370000000003</v>
      </c>
      <c r="G249" s="98">
        <f>SUMIF(ALIF_Y2018!$A:$A,$A249,ALIF_Y2018!$F:$F)</f>
        <v>82674.032000000007</v>
      </c>
      <c r="H249" s="98">
        <f>SUMIF(ALIF_Y2019!$A:$A,$A249,ALIF_Y2019!$F:$F)</f>
        <v>48665.419000000002</v>
      </c>
      <c r="I249" s="98">
        <f>SUMIF(ALIF_Y2020!$A:$A,$A249,ALIF_Y2020!$F:$F)</f>
        <v>4000</v>
      </c>
      <c r="J249" s="98">
        <f>SUMIF(ALIF_Y2021!$A:$A,$A249,ALIF_Y2021!$F:$F)</f>
        <v>245</v>
      </c>
      <c r="K249" s="98">
        <f>SUMIF(ALIF_Y2022!$A:$A,$A249,ALIF_Y2022!$F:$F)</f>
        <v>95633.99</v>
      </c>
      <c r="L249" s="98">
        <f>SUMIF(ALIF_Y2023!$A:$A,$A249,ALIF_Y2023!$F:$F)</f>
        <v>127136.29300000001</v>
      </c>
      <c r="M249" s="98">
        <f>SUMIF(ALIF_Y2024!$A:$A,$A249,ALIF_Y2024!$F:$F)</f>
        <v>173026.78700000001</v>
      </c>
      <c r="N249" s="98">
        <f>SUMIF(ALIF_Y2025!$A:$A,$A249,ALIF_Y2025!$F:$F)</f>
        <v>52325.74</v>
      </c>
      <c r="O249" t="str">
        <f>_xlfn.XLOOKUP(A249,Map!A:A,Map!E:E)</f>
        <v>Advertising and promotion expenses</v>
      </c>
      <c r="P249" t="str">
        <f>_xlfn.XLOOKUP(A249,Map!A:A,Map!D:D)</f>
        <v>Selling and Marketing</v>
      </c>
    </row>
    <row r="250" spans="1:16" x14ac:dyDescent="0.25">
      <c r="A250" s="101">
        <v>700059</v>
      </c>
      <c r="B250" t="s">
        <v>226</v>
      </c>
      <c r="C250" s="98">
        <f>SUMIF(ALIF_Y2014!$A:$A,$A250,ALIF_Y2014!$F:$F)</f>
        <v>0</v>
      </c>
      <c r="D250" s="98">
        <f>SUMIF(ALIF_Y2015!$A:$A,$A250,ALIF_Y2015!$F:$F)</f>
        <v>0</v>
      </c>
      <c r="E250" s="98">
        <f>SUMIF(ALIF_Y2016!$A:$A,$A250,ALIF_Y2016!$F:$F)</f>
        <v>0</v>
      </c>
      <c r="F250" s="98">
        <f>SUMIF(ALIF_Y2017!$A:$A,$A250,ALIF_Y2017!$F:$F)</f>
        <v>0</v>
      </c>
      <c r="G250" s="98">
        <f>SUMIF(ALIF_Y2018!$A:$A,$A250,ALIF_Y2018!$F:$F)</f>
        <v>0</v>
      </c>
      <c r="H250" s="98">
        <f>SUMIF(ALIF_Y2019!$A:$A,$A250,ALIF_Y2019!$F:$F)</f>
        <v>38150</v>
      </c>
      <c r="I250" s="98">
        <f>SUMIF(ALIF_Y2020!$A:$A,$A250,ALIF_Y2020!$F:$F)</f>
        <v>0</v>
      </c>
      <c r="J250" s="98">
        <f>SUMIF(ALIF_Y2021!$A:$A,$A250,ALIF_Y2021!$F:$F)</f>
        <v>1315</v>
      </c>
      <c r="K250" s="98">
        <f>SUMIF(ALIF_Y2022!$A:$A,$A250,ALIF_Y2022!$F:$F)</f>
        <v>96132.78</v>
      </c>
      <c r="L250" s="98">
        <f>SUMIF(ALIF_Y2023!$A:$A,$A250,ALIF_Y2023!$F:$F)</f>
        <v>61539</v>
      </c>
      <c r="M250" s="98">
        <f>SUMIF(ALIF_Y2024!$A:$A,$A250,ALIF_Y2024!$F:$F)</f>
        <v>656254.10499999998</v>
      </c>
      <c r="N250" s="98">
        <f>SUMIF(ALIF_Y2025!$A:$A,$A250,ALIF_Y2025!$F:$F)</f>
        <v>1276853.53</v>
      </c>
      <c r="O250" t="str">
        <f>_xlfn.XLOOKUP(A250,Map!A:A,Map!E:E)</f>
        <v>Exhibitions</v>
      </c>
      <c r="P250" t="str">
        <f>_xlfn.XLOOKUP(A250,Map!A:A,Map!D:D)</f>
        <v>Selling and Marketing</v>
      </c>
    </row>
    <row r="251" spans="1:16" x14ac:dyDescent="0.25">
      <c r="A251" s="101">
        <v>700060</v>
      </c>
      <c r="B251" t="s">
        <v>227</v>
      </c>
      <c r="C251" s="98">
        <f>SUMIF(ALIF_Y2014!$A:$A,$A251,ALIF_Y2014!$F:$F)</f>
        <v>2673874.8450000002</v>
      </c>
      <c r="D251" s="98">
        <f>SUMIF(ALIF_Y2015!$A:$A,$A251,ALIF_Y2015!$F:$F)</f>
        <v>2734734.3369999998</v>
      </c>
      <c r="E251" s="98">
        <f>SUMIF(ALIF_Y2016!$A:$A,$A251,ALIF_Y2016!$F:$F)</f>
        <v>2666816.54</v>
      </c>
      <c r="F251" s="98">
        <f>SUMIF(ALIF_Y2017!$A:$A,$A251,ALIF_Y2017!$F:$F)</f>
        <v>2233233.64</v>
      </c>
      <c r="G251" s="98">
        <f>SUMIF(ALIF_Y2018!$A:$A,$A251,ALIF_Y2018!$F:$F)</f>
        <v>3256415.537</v>
      </c>
      <c r="H251" s="98">
        <f>SUMIF(ALIF_Y2019!$A:$A,$A251,ALIF_Y2019!$F:$F)</f>
        <v>3483379.7140000002</v>
      </c>
      <c r="I251" s="98">
        <f>SUMIF(ALIF_Y2020!$A:$A,$A251,ALIF_Y2020!$F:$F)</f>
        <v>2692057.3369999998</v>
      </c>
      <c r="J251" s="98">
        <f>SUMIF(ALIF_Y2021!$A:$A,$A251,ALIF_Y2021!$F:$F)</f>
        <v>2800211.2489999998</v>
      </c>
      <c r="K251" s="98">
        <f>SUMIF(ALIF_Y2022!$A:$A,$A251,ALIF_Y2022!$F:$F)</f>
        <v>2728489.39</v>
      </c>
      <c r="L251" s="98">
        <f>SUMIF(ALIF_Y2023!$A:$A,$A251,ALIF_Y2023!$F:$F)</f>
        <v>2639487.4509999999</v>
      </c>
      <c r="M251" s="98">
        <f>SUMIF(ALIF_Y2024!$A:$A,$A251,ALIF_Y2024!$F:$F)</f>
        <v>2003043.5549999999</v>
      </c>
      <c r="N251" s="98">
        <f>SUMIF(ALIF_Y2025!$A:$A,$A251,ALIF_Y2025!$F:$F)</f>
        <v>1685753.328</v>
      </c>
      <c r="O251" t="str">
        <f>_xlfn.XLOOKUP(A251,Map!A:A,Map!E:E)</f>
        <v>Freight expenses</v>
      </c>
      <c r="P251" t="str">
        <f>_xlfn.XLOOKUP(A251,Map!A:A,Map!D:D)</f>
        <v>Cost of sales</v>
      </c>
    </row>
    <row r="252" spans="1:16" x14ac:dyDescent="0.25">
      <c r="A252" s="101">
        <v>700061</v>
      </c>
      <c r="B252" t="s">
        <v>228</v>
      </c>
      <c r="C252" s="98">
        <f>SUMIF(ALIF_Y2014!$A:$A,$A252,ALIF_Y2014!$F:$F)</f>
        <v>221073.86</v>
      </c>
      <c r="D252" s="98">
        <f>SUMIF(ALIF_Y2015!$A:$A,$A252,ALIF_Y2015!$F:$F)</f>
        <v>211475.23</v>
      </c>
      <c r="E252" s="98">
        <f>SUMIF(ALIF_Y2016!$A:$A,$A252,ALIF_Y2016!$F:$F)</f>
        <v>170392</v>
      </c>
      <c r="F252" s="98">
        <f>SUMIF(ALIF_Y2017!$A:$A,$A252,ALIF_Y2017!$F:$F)</f>
        <v>239089.318</v>
      </c>
      <c r="G252" s="98">
        <f>SUMIF(ALIF_Y2018!$A:$A,$A252,ALIF_Y2018!$F:$F)</f>
        <v>184849.25</v>
      </c>
      <c r="H252" s="98">
        <f>SUMIF(ALIF_Y2019!$A:$A,$A252,ALIF_Y2019!$F:$F)</f>
        <v>222802.948</v>
      </c>
      <c r="I252" s="98">
        <f>SUMIF(ALIF_Y2020!$A:$A,$A252,ALIF_Y2020!$F:$F)</f>
        <v>254893.24</v>
      </c>
      <c r="J252" s="98">
        <f>SUMIF(ALIF_Y2021!$A:$A,$A252,ALIF_Y2021!$F:$F)</f>
        <v>332942.77</v>
      </c>
      <c r="K252" s="98">
        <f>SUMIF(ALIF_Y2022!$A:$A,$A252,ALIF_Y2022!$F:$F)</f>
        <v>262263</v>
      </c>
      <c r="L252" s="98">
        <f>SUMIF(ALIF_Y2023!$A:$A,$A252,ALIF_Y2023!$F:$F)</f>
        <v>43952.72</v>
      </c>
      <c r="M252" s="98">
        <f>SUMIF(ALIF_Y2024!$A:$A,$A252,ALIF_Y2024!$F:$F)</f>
        <v>38359.550000000003</v>
      </c>
      <c r="N252" s="98">
        <f>SUMIF(ALIF_Y2025!$A:$A,$A252,ALIF_Y2025!$F:$F)</f>
        <v>5036</v>
      </c>
      <c r="O252" t="str">
        <f>_xlfn.XLOOKUP(A252,Map!A:A,Map!E:E)</f>
        <v>Commission expenses</v>
      </c>
      <c r="P252" t="str">
        <f>_xlfn.XLOOKUP(A252,Map!A:A,Map!D:D)</f>
        <v>Selling and Marketing</v>
      </c>
    </row>
    <row r="253" spans="1:16" x14ac:dyDescent="0.25">
      <c r="A253" s="101">
        <v>700062</v>
      </c>
      <c r="B253" t="s">
        <v>229</v>
      </c>
      <c r="C253" s="98">
        <f>SUMIF(ALIF_Y2014!$A:$A,$A253,ALIF_Y2014!$F:$F)</f>
        <v>700005.97</v>
      </c>
      <c r="D253" s="98">
        <f>SUMIF(ALIF_Y2015!$A:$A,$A253,ALIF_Y2015!$F:$F)</f>
        <v>133917.81899999999</v>
      </c>
      <c r="E253" s="98">
        <f>SUMIF(ALIF_Y2016!$A:$A,$A253,ALIF_Y2016!$F:$F)</f>
        <v>0</v>
      </c>
      <c r="F253" s="98">
        <f>SUMIF(ALIF_Y2017!$A:$A,$A253,ALIF_Y2017!$F:$F)</f>
        <v>0</v>
      </c>
      <c r="G253" s="98">
        <f>SUMIF(ALIF_Y2018!$A:$A,$A253,ALIF_Y2018!$F:$F)</f>
        <v>0</v>
      </c>
      <c r="H253" s="98">
        <f>SUMIF(ALIF_Y2019!$A:$A,$A253,ALIF_Y2019!$F:$F)</f>
        <v>0</v>
      </c>
      <c r="I253" s="98">
        <f>SUMIF(ALIF_Y2020!$A:$A,$A253,ALIF_Y2020!$F:$F)</f>
        <v>325461.00400000002</v>
      </c>
      <c r="J253" s="98">
        <f>SUMIF(ALIF_Y2021!$A:$A,$A253,ALIF_Y2021!$F:$F)</f>
        <v>248775</v>
      </c>
      <c r="K253" s="98">
        <f>SUMIF(ALIF_Y2022!$A:$A,$A253,ALIF_Y2022!$F:$F)</f>
        <v>103333.326</v>
      </c>
      <c r="L253" s="98">
        <f>SUMIF(ALIF_Y2023!$A:$A,$A253,ALIF_Y2023!$F:$F)</f>
        <v>8931099.4389999993</v>
      </c>
      <c r="M253" s="98">
        <f>SUMIF(ALIF_Y2024!$A:$A,$A253,ALIF_Y2024!$F:$F)</f>
        <v>-5119898.58</v>
      </c>
      <c r="N253" s="98">
        <f>SUMIF(ALIF_Y2025!$A:$A,$A253,ALIF_Y2025!$F:$F)</f>
        <v>-678521.16</v>
      </c>
      <c r="O253" t="str">
        <f>_xlfn.XLOOKUP(A253,Map!A:A,Map!E:E)</f>
        <v>Bad debts expense</v>
      </c>
      <c r="P253" t="str">
        <f>_xlfn.XLOOKUP(A253,Map!A:A,Map!D:D)</f>
        <v>Revised provision on Bad Debts</v>
      </c>
    </row>
    <row r="254" spans="1:16" x14ac:dyDescent="0.25">
      <c r="A254" s="101">
        <v>700063</v>
      </c>
      <c r="B254" t="s">
        <v>230</v>
      </c>
      <c r="C254" s="98">
        <f>SUMIF(ALIF_Y2014!$A:$A,$A254,ALIF_Y2014!$F:$F)</f>
        <v>471737.65</v>
      </c>
      <c r="D254" s="98">
        <f>SUMIF(ALIF_Y2015!$A:$A,$A254,ALIF_Y2015!$F:$F)</f>
        <v>441023.31</v>
      </c>
      <c r="E254" s="98">
        <f>SUMIF(ALIF_Y2016!$A:$A,$A254,ALIF_Y2016!$F:$F)</f>
        <v>420251.39</v>
      </c>
      <c r="F254" s="98">
        <f>SUMIF(ALIF_Y2017!$A:$A,$A254,ALIF_Y2017!$F:$F)</f>
        <v>526237.43000000005</v>
      </c>
      <c r="G254" s="98">
        <f>SUMIF(ALIF_Y2018!$A:$A,$A254,ALIF_Y2018!$F:$F)</f>
        <v>671595.6</v>
      </c>
      <c r="H254" s="98">
        <f>SUMIF(ALIF_Y2019!$A:$A,$A254,ALIF_Y2019!$F:$F)</f>
        <v>816511.87</v>
      </c>
      <c r="I254" s="98">
        <f>SUMIF(ALIF_Y2020!$A:$A,$A254,ALIF_Y2020!$F:$F)</f>
        <v>910553.72</v>
      </c>
      <c r="J254" s="98">
        <f>SUMIF(ALIF_Y2021!$A:$A,$A254,ALIF_Y2021!$F:$F)</f>
        <v>1003382.1</v>
      </c>
      <c r="K254" s="98">
        <f>SUMIF(ALIF_Y2022!$A:$A,$A254,ALIF_Y2022!$F:$F)</f>
        <v>1195319.6000000001</v>
      </c>
      <c r="L254" s="98">
        <f>SUMIF(ALIF_Y2023!$A:$A,$A254,ALIF_Y2023!$F:$F)</f>
        <v>892862.87</v>
      </c>
      <c r="M254" s="98">
        <f>SUMIF(ALIF_Y2024!$A:$A,$A254,ALIF_Y2024!$F:$F)</f>
        <v>579987.57999999996</v>
      </c>
      <c r="N254" s="98">
        <f>SUMIF(ALIF_Y2025!$A:$A,$A254,ALIF_Y2025!$F:$F)</f>
        <v>1174506.8999999999</v>
      </c>
      <c r="O254" t="str">
        <f>_xlfn.XLOOKUP(A254,Map!A:A,Map!E:E)</f>
        <v>Salaries and wages</v>
      </c>
      <c r="P254" t="str">
        <f>_xlfn.XLOOKUP(A254,Map!A:A,Map!D:D)</f>
        <v>General and Admin</v>
      </c>
    </row>
    <row r="255" spans="1:16" x14ac:dyDescent="0.25">
      <c r="A255" s="101">
        <v>700064</v>
      </c>
      <c r="B255" t="s">
        <v>231</v>
      </c>
      <c r="C255" s="98">
        <f>SUMIF(ALIF_Y2014!$A:$A,$A255,ALIF_Y2014!$F:$F)</f>
        <v>0</v>
      </c>
      <c r="D255" s="98">
        <f>SUMIF(ALIF_Y2015!$A:$A,$A255,ALIF_Y2015!$F:$F)</f>
        <v>0</v>
      </c>
      <c r="E255" s="98">
        <f>SUMIF(ALIF_Y2016!$A:$A,$A255,ALIF_Y2016!$F:$F)</f>
        <v>0</v>
      </c>
      <c r="F255" s="98">
        <f>SUMIF(ALIF_Y2017!$A:$A,$A255,ALIF_Y2017!$F:$F)</f>
        <v>5663951</v>
      </c>
      <c r="G255" s="98">
        <f>SUMIF(ALIF_Y2018!$A:$A,$A255,ALIF_Y2018!$F:$F)</f>
        <v>0</v>
      </c>
      <c r="H255" s="98">
        <f>SUMIF(ALIF_Y2019!$A:$A,$A255,ALIF_Y2019!$F:$F)</f>
        <v>0</v>
      </c>
      <c r="I255" s="98">
        <f>SUMIF(ALIF_Y2020!$A:$A,$A255,ALIF_Y2020!$F:$F)</f>
        <v>0</v>
      </c>
      <c r="J255" s="98">
        <f>SUMIF(ALIF_Y2021!$A:$A,$A255,ALIF_Y2021!$F:$F)</f>
        <v>0</v>
      </c>
      <c r="K255" s="98">
        <f>SUMIF(ALIF_Y2022!$A:$A,$A255,ALIF_Y2022!$F:$F)</f>
        <v>0</v>
      </c>
      <c r="L255" s="98">
        <f>SUMIF(ALIF_Y2023!$A:$A,$A255,ALIF_Y2023!$F:$F)</f>
        <v>0</v>
      </c>
      <c r="M255" s="98">
        <f>SUMIF(ALIF_Y2024!$A:$A,$A255,ALIF_Y2024!$F:$F)</f>
        <v>0</v>
      </c>
      <c r="N255" s="98">
        <f>SUMIF(ALIF_Y2025!$A:$A,$A255,ALIF_Y2025!$F:$F)</f>
        <v>0</v>
      </c>
      <c r="O255" t="str">
        <f>_xlfn.XLOOKUP(A255,Map!A:A,Map!E:E)</f>
        <v>Pre-operating expenses</v>
      </c>
      <c r="P255" t="str">
        <f>_xlfn.XLOOKUP(A255,Map!A:A,Map!D:D)</f>
        <v>Pre-operating expenses</v>
      </c>
    </row>
    <row r="256" spans="1:16" x14ac:dyDescent="0.25">
      <c r="A256" s="101">
        <v>700065</v>
      </c>
      <c r="B256" t="s">
        <v>245</v>
      </c>
      <c r="C256" s="98">
        <f>SUMIF(ALIF_Y2014!$A:$A,$A256,ALIF_Y2014!$F:$F)</f>
        <v>0</v>
      </c>
      <c r="D256" s="98">
        <f>SUMIF(ALIF_Y2015!$A:$A,$A256,ALIF_Y2015!$F:$F)</f>
        <v>0</v>
      </c>
      <c r="E256" s="98">
        <f>SUMIF(ALIF_Y2016!$A:$A,$A256,ALIF_Y2016!$F:$F)</f>
        <v>0</v>
      </c>
      <c r="F256" s="98">
        <f>SUMIF(ALIF_Y2017!$A:$A,$A256,ALIF_Y2017!$F:$F)</f>
        <v>0</v>
      </c>
      <c r="G256" s="98">
        <f>SUMIF(ALIF_Y2018!$A:$A,$A256,ALIF_Y2018!$F:$F)</f>
        <v>0</v>
      </c>
      <c r="H256" s="98">
        <f>SUMIF(ALIF_Y2019!$A:$A,$A256,ALIF_Y2019!$F:$F)</f>
        <v>0</v>
      </c>
      <c r="I256" s="98">
        <f>SUMIF(ALIF_Y2020!$A:$A,$A256,ALIF_Y2020!$F:$F)</f>
        <v>61904.565999999999</v>
      </c>
      <c r="J256" s="98">
        <f>SUMIF(ALIF_Y2021!$A:$A,$A256,ALIF_Y2021!$F:$F)</f>
        <v>61904.56</v>
      </c>
      <c r="K256" s="98">
        <f>SUMIF(ALIF_Y2022!$A:$A,$A256,ALIF_Y2022!$F:$F)</f>
        <v>35684</v>
      </c>
      <c r="L256" s="98">
        <f>SUMIF(ALIF_Y2023!$A:$A,$A256,ALIF_Y2023!$F:$F)</f>
        <v>78479</v>
      </c>
      <c r="M256" s="98">
        <f>SUMIF(ALIF_Y2024!$A:$A,$A256,ALIF_Y2024!$F:$F)</f>
        <v>44700</v>
      </c>
      <c r="N256" s="98">
        <f>SUMIF(ALIF_Y2025!$A:$A,$A256,ALIF_Y2025!$F:$F)</f>
        <v>76652.009000000005</v>
      </c>
      <c r="O256" t="str">
        <f>_xlfn.XLOOKUP(A256,Map!A:A,Map!E:E)</f>
        <v>Finance cost</v>
      </c>
      <c r="P256" t="str">
        <f>_xlfn.XLOOKUP(A256,Map!A:A,Map!D:D)</f>
        <v>Finance cost</v>
      </c>
    </row>
    <row r="257" spans="1:16" x14ac:dyDescent="0.25">
      <c r="A257" s="101">
        <v>700066</v>
      </c>
      <c r="B257" t="s">
        <v>233</v>
      </c>
      <c r="C257" s="98">
        <f>SUMIF(ALIF_Y2014!$A:$A,$A257,ALIF_Y2014!$F:$F)</f>
        <v>0</v>
      </c>
      <c r="D257" s="98">
        <f>SUMIF(ALIF_Y2015!$A:$A,$A257,ALIF_Y2015!$F:$F)</f>
        <v>0</v>
      </c>
      <c r="E257" s="98">
        <f>SUMIF(ALIF_Y2016!$A:$A,$A257,ALIF_Y2016!$F:$F)</f>
        <v>0</v>
      </c>
      <c r="F257" s="98">
        <f>SUMIF(ALIF_Y2017!$A:$A,$A257,ALIF_Y2017!$F:$F)</f>
        <v>0</v>
      </c>
      <c r="G257" s="98">
        <f>SUMIF(ALIF_Y2018!$A:$A,$A257,ALIF_Y2018!$F:$F)</f>
        <v>0</v>
      </c>
      <c r="H257" s="98">
        <f>SUMIF(ALIF_Y2019!$A:$A,$A257,ALIF_Y2019!$F:$F)</f>
        <v>0</v>
      </c>
      <c r="I257" s="98">
        <f>SUMIF(ALIF_Y2020!$A:$A,$A257,ALIF_Y2020!$F:$F)</f>
        <v>94760</v>
      </c>
      <c r="J257" s="98">
        <f>SUMIF(ALIF_Y2021!$A:$A,$A257,ALIF_Y2021!$F:$F)</f>
        <v>115133.194</v>
      </c>
      <c r="K257" s="98">
        <f>SUMIF(ALIF_Y2022!$A:$A,$A257,ALIF_Y2022!$F:$F)</f>
        <v>96686.520999999993</v>
      </c>
      <c r="L257" s="98">
        <f>SUMIF(ALIF_Y2023!$A:$A,$A257,ALIF_Y2023!$F:$F)</f>
        <v>271791.99400000001</v>
      </c>
      <c r="M257" s="98">
        <f>SUMIF(ALIF_Y2024!$A:$A,$A257,ALIF_Y2024!$F:$F)</f>
        <v>109284.12</v>
      </c>
      <c r="N257" s="98">
        <f>SUMIF(ALIF_Y2025!$A:$A,$A257,ALIF_Y2025!$F:$F)</f>
        <v>109284.12</v>
      </c>
      <c r="O257" t="str">
        <f>_xlfn.XLOOKUP(A257,Map!A:A,Map!E:E)</f>
        <v>Govt license and fees (including modon)</v>
      </c>
      <c r="P257" t="str">
        <f>_xlfn.XLOOKUP(A257,Map!A:A,Map!D:D)</f>
        <v>General and Admin</v>
      </c>
    </row>
    <row r="258" spans="1:16" x14ac:dyDescent="0.25">
      <c r="A258" s="101">
        <v>700067</v>
      </c>
      <c r="B258" t="s">
        <v>234</v>
      </c>
      <c r="C258" s="98">
        <f>SUMIF(ALIF_Y2014!$A:$A,$A258,ALIF_Y2014!$F:$F)</f>
        <v>0</v>
      </c>
      <c r="D258" s="98">
        <f>SUMIF(ALIF_Y2015!$A:$A,$A258,ALIF_Y2015!$F:$F)</f>
        <v>0</v>
      </c>
      <c r="E258" s="98">
        <f>SUMIF(ALIF_Y2016!$A:$A,$A258,ALIF_Y2016!$F:$F)</f>
        <v>0</v>
      </c>
      <c r="F258" s="98">
        <f>SUMIF(ALIF_Y2017!$A:$A,$A258,ALIF_Y2017!$F:$F)</f>
        <v>0</v>
      </c>
      <c r="G258" s="98">
        <f>SUMIF(ALIF_Y2018!$A:$A,$A258,ALIF_Y2018!$F:$F)</f>
        <v>0</v>
      </c>
      <c r="H258" s="98">
        <f>SUMIF(ALIF_Y2019!$A:$A,$A258,ALIF_Y2019!$F:$F)</f>
        <v>0</v>
      </c>
      <c r="I258" s="98">
        <f>SUMIF(ALIF_Y2020!$A:$A,$A258,ALIF_Y2020!$F:$F)</f>
        <v>0</v>
      </c>
      <c r="J258" s="98">
        <f>SUMIF(ALIF_Y2021!$A:$A,$A258,ALIF_Y2021!$F:$F)</f>
        <v>0</v>
      </c>
      <c r="K258" s="98">
        <f>SUMIF(ALIF_Y2022!$A:$A,$A258,ALIF_Y2022!$F:$F)</f>
        <v>0</v>
      </c>
      <c r="L258" s="98">
        <f>SUMIF(ALIF_Y2023!$A:$A,$A258,ALIF_Y2023!$F:$F)</f>
        <v>73088.985000000001</v>
      </c>
      <c r="M258" s="98">
        <f>SUMIF(ALIF_Y2024!$A:$A,$A258,ALIF_Y2024!$F:$F)</f>
        <v>0</v>
      </c>
      <c r="N258" s="98">
        <f>SUMIF(ALIF_Y2025!$A:$A,$A258,ALIF_Y2025!$F:$F)</f>
        <v>0</v>
      </c>
      <c r="O258" t="str">
        <f>_xlfn.XLOOKUP(A258,Map!A:A,Map!E:E)</f>
        <v>Freight expenses</v>
      </c>
      <c r="P258" t="str">
        <f>_xlfn.XLOOKUP(A258,Map!A:A,Map!D:D)</f>
        <v>Cost of sales</v>
      </c>
    </row>
    <row r="259" spans="1:16" x14ac:dyDescent="0.25">
      <c r="A259" s="101">
        <v>700068</v>
      </c>
      <c r="B259" t="s">
        <v>254</v>
      </c>
      <c r="C259" s="98">
        <f>SUMIF(ALIF_Y2014!$A:$A,$A259,ALIF_Y2014!$F:$F)</f>
        <v>0</v>
      </c>
      <c r="D259" s="98">
        <f>SUMIF(ALIF_Y2015!$A:$A,$A259,ALIF_Y2015!$F:$F)</f>
        <v>0</v>
      </c>
      <c r="E259" s="98">
        <f>SUMIF(ALIF_Y2016!$A:$A,$A259,ALIF_Y2016!$F:$F)</f>
        <v>0</v>
      </c>
      <c r="F259" s="98">
        <f>SUMIF(ALIF_Y2017!$A:$A,$A259,ALIF_Y2017!$F:$F)</f>
        <v>0</v>
      </c>
      <c r="G259" s="98">
        <f>SUMIF(ALIF_Y2018!$A:$A,$A259,ALIF_Y2018!$F:$F)</f>
        <v>0</v>
      </c>
      <c r="H259" s="98">
        <f>SUMIF(ALIF_Y2019!$A:$A,$A259,ALIF_Y2019!$F:$F)</f>
        <v>0</v>
      </c>
      <c r="I259" s="98">
        <f>SUMIF(ALIF_Y2020!$A:$A,$A259,ALIF_Y2020!$F:$F)</f>
        <v>0</v>
      </c>
      <c r="J259" s="98">
        <f>SUMIF(ALIF_Y2021!$A:$A,$A259,ALIF_Y2021!$F:$F)</f>
        <v>0</v>
      </c>
      <c r="K259" s="98">
        <f>SUMIF(ALIF_Y2022!$A:$A,$A259,ALIF_Y2022!$F:$F)</f>
        <v>0</v>
      </c>
      <c r="L259" s="98">
        <f>SUMIF(ALIF_Y2023!$A:$A,$A259,ALIF_Y2023!$F:$F)</f>
        <v>0</v>
      </c>
      <c r="M259" s="98">
        <f>SUMIF(ALIF_Y2024!$A:$A,$A259,ALIF_Y2024!$F:$F)</f>
        <v>0</v>
      </c>
      <c r="N259" s="98">
        <f>SUMIF(ALIF_Y2025!$A:$A,$A259,ALIF_Y2025!$F:$F)</f>
        <v>0</v>
      </c>
      <c r="O259" t="str">
        <f>_xlfn.XLOOKUP(A259,Map!A:A,Map!E:E)</f>
        <v>Freight expenses</v>
      </c>
      <c r="P259" t="str">
        <f>_xlfn.XLOOKUP(A259,Map!A:A,Map!D:D)</f>
        <v>Cost of sales</v>
      </c>
    </row>
    <row r="260" spans="1:16" x14ac:dyDescent="0.25">
      <c r="A260" s="101">
        <v>700069</v>
      </c>
      <c r="B260" t="s">
        <v>232</v>
      </c>
      <c r="C260" s="98">
        <f>SUMIF(ALIF_Y2014!$A:$A,$A260,ALIF_Y2014!$F:$F)</f>
        <v>0</v>
      </c>
      <c r="D260" s="98">
        <f>SUMIF(ALIF_Y2015!$A:$A,$A260,ALIF_Y2015!$F:$F)</f>
        <v>0</v>
      </c>
      <c r="E260" s="98">
        <f>SUMIF(ALIF_Y2016!$A:$A,$A260,ALIF_Y2016!$F:$F)</f>
        <v>0</v>
      </c>
      <c r="F260" s="98">
        <f>SUMIF(ALIF_Y2017!$A:$A,$A260,ALIF_Y2017!$F:$F)</f>
        <v>0</v>
      </c>
      <c r="G260" s="98">
        <f>SUMIF(ALIF_Y2018!$A:$A,$A260,ALIF_Y2018!$F:$F)</f>
        <v>0</v>
      </c>
      <c r="H260" s="98">
        <f>SUMIF(ALIF_Y2019!$A:$A,$A260,ALIF_Y2019!$F:$F)</f>
        <v>0</v>
      </c>
      <c r="I260" s="98">
        <f>SUMIF(ALIF_Y2020!$A:$A,$A260,ALIF_Y2020!$F:$F)</f>
        <v>0</v>
      </c>
      <c r="J260" s="98">
        <f>SUMIF(ALIF_Y2021!$A:$A,$A260,ALIF_Y2021!$F:$F)</f>
        <v>0</v>
      </c>
      <c r="K260" s="98">
        <f>SUMIF(ALIF_Y2022!$A:$A,$A260,ALIF_Y2022!$F:$F)</f>
        <v>0</v>
      </c>
      <c r="L260" s="98">
        <f>SUMIF(ALIF_Y2023!$A:$A,$A260,ALIF_Y2023!$F:$F)</f>
        <v>0</v>
      </c>
      <c r="M260" s="98">
        <f>SUMIF(ALIF_Y2024!$A:$A,$A260,ALIF_Y2024!$F:$F)</f>
        <v>24243.5</v>
      </c>
      <c r="N260" s="98">
        <f>SUMIF(ALIF_Y2025!$A:$A,$A260,ALIF_Y2025!$F:$F)</f>
        <v>147339.15700000001</v>
      </c>
      <c r="O260" t="str">
        <f>_xlfn.XLOOKUP(A260,Map!A:A,Map!E:E)</f>
        <v>Rent</v>
      </c>
      <c r="P260" t="str">
        <f>_xlfn.XLOOKUP(A260,Map!A:A,Map!D:D)</f>
        <v>General and Admin</v>
      </c>
    </row>
    <row r="261" spans="1:16" x14ac:dyDescent="0.25">
      <c r="A261" s="101">
        <v>700070</v>
      </c>
      <c r="B261" t="s">
        <v>452</v>
      </c>
      <c r="C261" s="98">
        <f>SUMIF(ALIF_Y2014!$A:$A,$A261,ALIF_Y2014!$F:$F)</f>
        <v>0</v>
      </c>
      <c r="D261" s="98">
        <f>SUMIF(ALIF_Y2015!$A:$A,$A261,ALIF_Y2015!$F:$F)</f>
        <v>0</v>
      </c>
      <c r="E261" s="98">
        <f>SUMIF(ALIF_Y2016!$A:$A,$A261,ALIF_Y2016!$F:$F)</f>
        <v>0</v>
      </c>
      <c r="F261" s="98">
        <f>SUMIF(ALIF_Y2017!$A:$A,$A261,ALIF_Y2017!$F:$F)</f>
        <v>0</v>
      </c>
      <c r="G261" s="98">
        <f>SUMIF(ALIF_Y2018!$A:$A,$A261,ALIF_Y2018!$F:$F)</f>
        <v>0</v>
      </c>
      <c r="H261" s="98">
        <f>SUMIF(ALIF_Y2019!$A:$A,$A261,ALIF_Y2019!$F:$F)</f>
        <v>0</v>
      </c>
      <c r="I261" s="98">
        <f>SUMIF(ALIF_Y2020!$A:$A,$A261,ALIF_Y2020!$F:$F)</f>
        <v>0</v>
      </c>
      <c r="J261" s="98">
        <f>SUMIF(ALIF_Y2021!$A:$A,$A261,ALIF_Y2021!$F:$F)</f>
        <v>0</v>
      </c>
      <c r="K261" s="98">
        <f>SUMIF(ALIF_Y2022!$A:$A,$A261,ALIF_Y2022!$F:$F)</f>
        <v>0</v>
      </c>
      <c r="L261" s="98">
        <f>SUMIF(ALIF_Y2023!$A:$A,$A261,ALIF_Y2023!$F:$F)</f>
        <v>0</v>
      </c>
      <c r="M261" s="98">
        <f>SUMIF(ALIF_Y2024!$A:$A,$A261,ALIF_Y2024!$F:$F)</f>
        <v>0</v>
      </c>
      <c r="N261" s="98">
        <f>SUMIF(ALIF_Y2025!$A:$A,$A261,ALIF_Y2025!$F:$F)</f>
        <v>0</v>
      </c>
      <c r="O261" t="str">
        <f>_xlfn.XLOOKUP(A261,Map!A:A,Map!E:E)</f>
        <v>Customs duties and clearances</v>
      </c>
      <c r="P261" t="str">
        <f>_xlfn.XLOOKUP(A261,Map!A:A,Map!D:D)</f>
        <v>Cost of sales</v>
      </c>
    </row>
    <row r="262" spans="1:16" x14ac:dyDescent="0.25">
      <c r="A262" s="101">
        <v>700071</v>
      </c>
      <c r="B262" t="s">
        <v>453</v>
      </c>
      <c r="C262" s="98">
        <f>SUMIF(ALIF_Y2014!$A:$A,$A262,ALIF_Y2014!$F:$F)</f>
        <v>0</v>
      </c>
      <c r="D262" s="98">
        <f>SUMIF(ALIF_Y2015!$A:$A,$A262,ALIF_Y2015!$F:$F)</f>
        <v>0</v>
      </c>
      <c r="E262" s="98">
        <f>SUMIF(ALIF_Y2016!$A:$A,$A262,ALIF_Y2016!$F:$F)</f>
        <v>0</v>
      </c>
      <c r="F262" s="98">
        <f>SUMIF(ALIF_Y2017!$A:$A,$A262,ALIF_Y2017!$F:$F)</f>
        <v>0</v>
      </c>
      <c r="G262" s="98">
        <f>SUMIF(ALIF_Y2018!$A:$A,$A262,ALIF_Y2018!$F:$F)</f>
        <v>0</v>
      </c>
      <c r="H262" s="98">
        <f>SUMIF(ALIF_Y2019!$A:$A,$A262,ALIF_Y2019!$F:$F)</f>
        <v>0</v>
      </c>
      <c r="I262" s="98">
        <f>SUMIF(ALIF_Y2020!$A:$A,$A262,ALIF_Y2020!$F:$F)</f>
        <v>0</v>
      </c>
      <c r="J262" s="98">
        <f>SUMIF(ALIF_Y2021!$A:$A,$A262,ALIF_Y2021!$F:$F)</f>
        <v>0</v>
      </c>
      <c r="K262" s="98">
        <f>SUMIF(ALIF_Y2022!$A:$A,$A262,ALIF_Y2022!$F:$F)</f>
        <v>0</v>
      </c>
      <c r="L262" s="98">
        <f>SUMIF(ALIF_Y2023!$A:$A,$A262,ALIF_Y2023!$F:$F)</f>
        <v>0</v>
      </c>
      <c r="M262" s="98">
        <f>SUMIF(ALIF_Y2024!$A:$A,$A262,ALIF_Y2024!$F:$F)</f>
        <v>0</v>
      </c>
      <c r="N262" s="98">
        <f>SUMIF(ALIF_Y2025!$A:$A,$A262,ALIF_Y2025!$F:$F)</f>
        <v>0</v>
      </c>
      <c r="O262" t="str">
        <f>_xlfn.XLOOKUP(A262,Map!A:A,Map!E:E)</f>
        <v>Customs duties and clearances</v>
      </c>
      <c r="P262" t="str">
        <f>_xlfn.XLOOKUP(A262,Map!A:A,Map!D:D)</f>
        <v>Cost of sales</v>
      </c>
    </row>
    <row r="263" spans="1:16" x14ac:dyDescent="0.25">
      <c r="A263" s="101">
        <v>700072</v>
      </c>
      <c r="B263" t="s">
        <v>454</v>
      </c>
      <c r="C263" s="98">
        <f>SUMIF(ALIF_Y2014!$A:$A,$A263,ALIF_Y2014!$F:$F)</f>
        <v>0</v>
      </c>
      <c r="D263" s="98">
        <f>SUMIF(ALIF_Y2015!$A:$A,$A263,ALIF_Y2015!$F:$F)</f>
        <v>0</v>
      </c>
      <c r="E263" s="98">
        <f>SUMIF(ALIF_Y2016!$A:$A,$A263,ALIF_Y2016!$F:$F)</f>
        <v>0</v>
      </c>
      <c r="F263" s="98">
        <f>SUMIF(ALIF_Y2017!$A:$A,$A263,ALIF_Y2017!$F:$F)</f>
        <v>0</v>
      </c>
      <c r="G263" s="98">
        <f>SUMIF(ALIF_Y2018!$A:$A,$A263,ALIF_Y2018!$F:$F)</f>
        <v>0</v>
      </c>
      <c r="H263" s="98">
        <f>SUMIF(ALIF_Y2019!$A:$A,$A263,ALIF_Y2019!$F:$F)</f>
        <v>0</v>
      </c>
      <c r="I263" s="98">
        <f>SUMIF(ALIF_Y2020!$A:$A,$A263,ALIF_Y2020!$F:$F)</f>
        <v>0</v>
      </c>
      <c r="J263" s="98">
        <f>SUMIF(ALIF_Y2021!$A:$A,$A263,ALIF_Y2021!$F:$F)</f>
        <v>0</v>
      </c>
      <c r="K263" s="98">
        <f>SUMIF(ALIF_Y2022!$A:$A,$A263,ALIF_Y2022!$F:$F)</f>
        <v>0</v>
      </c>
      <c r="L263" s="98">
        <f>SUMIF(ALIF_Y2023!$A:$A,$A263,ALIF_Y2023!$F:$F)</f>
        <v>0</v>
      </c>
      <c r="M263" s="98">
        <f>SUMIF(ALIF_Y2024!$A:$A,$A263,ALIF_Y2024!$F:$F)</f>
        <v>0</v>
      </c>
      <c r="N263" s="98">
        <f>SUMIF(ALIF_Y2025!$A:$A,$A263,ALIF_Y2025!$F:$F)</f>
        <v>3988412.1549999998</v>
      </c>
      <c r="O263" t="str">
        <f>_xlfn.XLOOKUP(A263,Map!A:A,Map!E:E)</f>
        <v>Salaries and wages</v>
      </c>
      <c r="P263" t="str">
        <f>_xlfn.XLOOKUP(A263,Map!A:A,Map!D:D)</f>
        <v>General and Admin</v>
      </c>
    </row>
    <row r="264" spans="1:16" x14ac:dyDescent="0.25">
      <c r="A264" s="101">
        <v>700074</v>
      </c>
      <c r="B264" t="s">
        <v>457</v>
      </c>
      <c r="C264" s="98">
        <f>SUMIF(ALIF_Y2014!$A:$A,$A264,ALIF_Y2014!$F:$F)</f>
        <v>0</v>
      </c>
      <c r="D264" s="98">
        <f>SUMIF(ALIF_Y2015!$A:$A,$A264,ALIF_Y2015!$F:$F)</f>
        <v>0</v>
      </c>
      <c r="E264" s="98">
        <f>SUMIF(ALIF_Y2016!$A:$A,$A264,ALIF_Y2016!$F:$F)</f>
        <v>0</v>
      </c>
      <c r="F264" s="98">
        <f>SUMIF(ALIF_Y2017!$A:$A,$A264,ALIF_Y2017!$F:$F)</f>
        <v>0</v>
      </c>
      <c r="G264" s="98">
        <f>SUMIF(ALIF_Y2018!$A:$A,$A264,ALIF_Y2018!$F:$F)</f>
        <v>0</v>
      </c>
      <c r="H264" s="98">
        <f>SUMIF(ALIF_Y2019!$A:$A,$A264,ALIF_Y2019!$F:$F)</f>
        <v>0</v>
      </c>
      <c r="I264" s="98">
        <f>SUMIF(ALIF_Y2020!$A:$A,$A264,ALIF_Y2020!$F:$F)</f>
        <v>0</v>
      </c>
      <c r="J264" s="98">
        <f>SUMIF(ALIF_Y2021!$A:$A,$A264,ALIF_Y2021!$F:$F)</f>
        <v>0</v>
      </c>
      <c r="K264" s="98">
        <f>SUMIF(ALIF_Y2022!$A:$A,$A264,ALIF_Y2022!$F:$F)</f>
        <v>0</v>
      </c>
      <c r="L264" s="98">
        <f>SUMIF(ALIF_Y2023!$A:$A,$A264,ALIF_Y2023!$F:$F)</f>
        <v>0</v>
      </c>
      <c r="M264" s="98">
        <f>SUMIF(ALIF_Y2024!$A:$A,$A264,ALIF_Y2024!$F:$F)</f>
        <v>3148512.298</v>
      </c>
      <c r="N264" s="98">
        <f>SUMIF(ALIF_Y2025!$A:$A,$A264,ALIF_Y2025!$F:$F)</f>
        <v>0</v>
      </c>
      <c r="O264" t="str">
        <f>_xlfn.XLOOKUP(A264,Map!A:A,Map!E:E)</f>
        <v>Inventory Adjustment Expense</v>
      </c>
      <c r="P264" t="str">
        <f>_xlfn.XLOOKUP(A264,Map!A:A,Map!D:D)</f>
        <v>General and Admin</v>
      </c>
    </row>
    <row r="265" spans="1:16" x14ac:dyDescent="0.25">
      <c r="A265" s="101">
        <v>700075</v>
      </c>
      <c r="B265" t="s">
        <v>545</v>
      </c>
      <c r="C265" s="98">
        <f>SUMIF(ALIF_Y2014!$A:$A,$A265,ALIF_Y2014!$F:$F)</f>
        <v>0</v>
      </c>
      <c r="D265" s="98">
        <f>SUMIF(ALIF_Y2015!$A:$A,$A265,ALIF_Y2015!$F:$F)</f>
        <v>0</v>
      </c>
      <c r="E265" s="98">
        <f>SUMIF(ALIF_Y2016!$A:$A,$A265,ALIF_Y2016!$F:$F)</f>
        <v>0</v>
      </c>
      <c r="F265" s="98">
        <f>SUMIF(ALIF_Y2017!$A:$A,$A265,ALIF_Y2017!$F:$F)</f>
        <v>0</v>
      </c>
      <c r="G265" s="98">
        <f>SUMIF(ALIF_Y2018!$A:$A,$A265,ALIF_Y2018!$F:$F)</f>
        <v>0</v>
      </c>
      <c r="H265" s="98">
        <f>SUMIF(ALIF_Y2019!$A:$A,$A265,ALIF_Y2019!$F:$F)</f>
        <v>0</v>
      </c>
      <c r="I265" s="98">
        <f>SUMIF(ALIF_Y2020!$A:$A,$A265,ALIF_Y2020!$F:$F)</f>
        <v>0</v>
      </c>
      <c r="J265" s="98">
        <f>SUMIF(ALIF_Y2021!$A:$A,$A265,ALIF_Y2021!$F:$F)</f>
        <v>0</v>
      </c>
      <c r="K265" s="98">
        <f>SUMIF(ALIF_Y2022!$A:$A,$A265,ALIF_Y2022!$F:$F)</f>
        <v>0</v>
      </c>
      <c r="L265" s="98">
        <f>SUMIF(ALIF_Y2023!$A:$A,$A265,ALIF_Y2023!$F:$F)</f>
        <v>0</v>
      </c>
      <c r="M265" s="98">
        <f>SUMIF(ALIF_Y2024!$A:$A,$A265,ALIF_Y2024!$F:$F)</f>
        <v>0</v>
      </c>
      <c r="N265" s="98">
        <f>SUMIF(ALIF_Y2025!$A:$A,$A265,ALIF_Y2025!$F:$F)</f>
        <v>48402.084000000003</v>
      </c>
      <c r="O265" t="str">
        <f>_xlfn.XLOOKUP(A265,Map!A:A,Map!E:E)</f>
        <v>Utilities</v>
      </c>
      <c r="P265" t="str">
        <f>_xlfn.XLOOKUP(A265,Map!A:A,Map!D:D)</f>
        <v>General and Admin</v>
      </c>
    </row>
    <row r="266" spans="1:16" x14ac:dyDescent="0.25">
      <c r="A266" s="101">
        <v>700076</v>
      </c>
      <c r="B266" t="s">
        <v>548</v>
      </c>
      <c r="C266" s="98">
        <f>SUMIF(ALIF_Y2014!$A:$A,$A266,ALIF_Y2014!$F:$F)</f>
        <v>0</v>
      </c>
      <c r="D266" s="98">
        <f>SUMIF(ALIF_Y2015!$A:$A,$A266,ALIF_Y2015!$F:$F)</f>
        <v>0</v>
      </c>
      <c r="E266" s="98">
        <f>SUMIF(ALIF_Y2016!$A:$A,$A266,ALIF_Y2016!$F:$F)</f>
        <v>0</v>
      </c>
      <c r="F266" s="98">
        <f>SUMIF(ALIF_Y2017!$A:$A,$A266,ALIF_Y2017!$F:$F)</f>
        <v>0</v>
      </c>
      <c r="G266" s="98">
        <f>SUMIF(ALIF_Y2018!$A:$A,$A266,ALIF_Y2018!$F:$F)</f>
        <v>0</v>
      </c>
      <c r="H266" s="98">
        <f>SUMIF(ALIF_Y2019!$A:$A,$A266,ALIF_Y2019!$F:$F)</f>
        <v>0</v>
      </c>
      <c r="I266" s="98">
        <f>SUMIF(ALIF_Y2020!$A:$A,$A266,ALIF_Y2020!$F:$F)</f>
        <v>0</v>
      </c>
      <c r="J266" s="98">
        <f>SUMIF(ALIF_Y2021!$A:$A,$A266,ALIF_Y2021!$F:$F)</f>
        <v>0</v>
      </c>
      <c r="K266" s="98">
        <f>SUMIF(ALIF_Y2022!$A:$A,$A266,ALIF_Y2022!$F:$F)</f>
        <v>0</v>
      </c>
      <c r="L266" s="98">
        <f>SUMIF(ALIF_Y2023!$A:$A,$A266,ALIF_Y2023!$F:$F)</f>
        <v>0</v>
      </c>
      <c r="M266" s="98">
        <f>SUMIF(ALIF_Y2024!$A:$A,$A266,ALIF_Y2024!$F:$F)</f>
        <v>0</v>
      </c>
      <c r="N266" s="98">
        <f>SUMIF(ALIF_Y2025!$A:$A,$A266,ALIF_Y2025!$F:$F)</f>
        <v>5955.22</v>
      </c>
      <c r="O266" t="str">
        <f>_xlfn.XLOOKUP(A266,Map!A:A,Map!E:E)</f>
        <v>Utilities</v>
      </c>
      <c r="P266" t="str">
        <f>_xlfn.XLOOKUP(A266,Map!A:A,Map!D:D)</f>
        <v>General and Admin</v>
      </c>
    </row>
    <row r="267" spans="1:16" x14ac:dyDescent="0.25">
      <c r="A267" s="101">
        <v>700077</v>
      </c>
      <c r="B267" t="s">
        <v>569</v>
      </c>
      <c r="C267" s="98">
        <f>SUMIF(ALIF_Y2014!$A:$A,$A267,ALIF_Y2014!$F:$F)</f>
        <v>0</v>
      </c>
      <c r="D267" s="98">
        <f>SUMIF(ALIF_Y2015!$A:$A,$A267,ALIF_Y2015!$F:$F)</f>
        <v>0</v>
      </c>
      <c r="E267" s="98">
        <f>SUMIF(ALIF_Y2016!$A:$A,$A267,ALIF_Y2016!$F:$F)</f>
        <v>0</v>
      </c>
      <c r="F267" s="98">
        <f>SUMIF(ALIF_Y2017!$A:$A,$A267,ALIF_Y2017!$F:$F)</f>
        <v>0</v>
      </c>
      <c r="G267" s="98">
        <f>SUMIF(ALIF_Y2018!$A:$A,$A267,ALIF_Y2018!$F:$F)</f>
        <v>0</v>
      </c>
      <c r="H267" s="98">
        <f>SUMIF(ALIF_Y2019!$A:$A,$A267,ALIF_Y2019!$F:$F)</f>
        <v>0</v>
      </c>
      <c r="I267" s="98">
        <f>SUMIF(ALIF_Y2020!$A:$A,$A267,ALIF_Y2020!$F:$F)</f>
        <v>0</v>
      </c>
      <c r="J267" s="98">
        <f>SUMIF(ALIF_Y2021!$A:$A,$A267,ALIF_Y2021!$F:$F)</f>
        <v>0</v>
      </c>
      <c r="K267" s="98">
        <f>SUMIF(ALIF_Y2022!$A:$A,$A267,ALIF_Y2022!$F:$F)</f>
        <v>0</v>
      </c>
      <c r="L267" s="98">
        <f>SUMIF(ALIF_Y2023!$A:$A,$A267,ALIF_Y2023!$F:$F)</f>
        <v>0</v>
      </c>
      <c r="M267" s="98">
        <f>SUMIF(ALIF_Y2024!$A:$A,$A267,ALIF_Y2024!$F:$F)</f>
        <v>0</v>
      </c>
      <c r="N267" s="98">
        <f>SUMIF(ALIF_Y2025!$A:$A,$A267,ALIF_Y2025!$F:$F)</f>
        <v>547824.87899999996</v>
      </c>
      <c r="O267" t="str">
        <f>_xlfn.XLOOKUP(A267,Map!A:A,Map!E:E)</f>
        <v>Freight expenses</v>
      </c>
      <c r="P267" t="str">
        <f>_xlfn.XLOOKUP(A267,Map!A:A,Map!D:D)</f>
        <v>Cost of sales</v>
      </c>
    </row>
    <row r="268" spans="1:16" x14ac:dyDescent="0.25">
      <c r="A268" s="101">
        <v>800001</v>
      </c>
      <c r="B268" t="s">
        <v>235</v>
      </c>
      <c r="C268" s="98">
        <f>SUMIF(ALIF_Y2014!$A:$A,$A268,ALIF_Y2014!$F:$F)</f>
        <v>0</v>
      </c>
      <c r="D268" s="98">
        <f>SUMIF(ALIF_Y2015!$A:$A,$A268,ALIF_Y2015!$F:$F)</f>
        <v>0</v>
      </c>
      <c r="E268" s="98">
        <f>SUMIF(ALIF_Y2016!$A:$A,$A268,ALIF_Y2016!$F:$F)</f>
        <v>0</v>
      </c>
      <c r="F268" s="98">
        <f>SUMIF(ALIF_Y2017!$A:$A,$A268,ALIF_Y2017!$F:$F)</f>
        <v>0</v>
      </c>
      <c r="G268" s="98">
        <f>SUMIF(ALIF_Y2018!$A:$A,$A268,ALIF_Y2018!$F:$F)</f>
        <v>0</v>
      </c>
      <c r="H268" s="98">
        <f>SUMIF(ALIF_Y2019!$A:$A,$A268,ALIF_Y2019!$F:$F)</f>
        <v>0</v>
      </c>
      <c r="I268" s="98">
        <f>SUMIF(ALIF_Y2020!$A:$A,$A268,ALIF_Y2020!$F:$F)</f>
        <v>-444285</v>
      </c>
      <c r="J268" s="98">
        <f>SUMIF(ALIF_Y2021!$A:$A,$A268,ALIF_Y2021!$F:$F)</f>
        <v>0</v>
      </c>
      <c r="K268" s="98">
        <f>SUMIF(ALIF_Y2022!$A:$A,$A268,ALIF_Y2022!$F:$F)</f>
        <v>0</v>
      </c>
      <c r="L268" s="98">
        <f>SUMIF(ALIF_Y2023!$A:$A,$A268,ALIF_Y2023!$F:$F)</f>
        <v>0</v>
      </c>
      <c r="M268" s="98">
        <f>SUMIF(ALIF_Y2024!$A:$A,$A268,ALIF_Y2024!$F:$F)</f>
        <v>0</v>
      </c>
      <c r="N268" s="98">
        <f>SUMIF(ALIF_Y2025!$A:$A,$A268,ALIF_Y2025!$F:$F)</f>
        <v>0</v>
      </c>
      <c r="O268" t="str">
        <f>_xlfn.XLOOKUP(A268,Map!A:A,Map!E:E)</f>
        <v xml:space="preserve">Due to related parties </v>
      </c>
      <c r="P268" t="str">
        <f>_xlfn.XLOOKUP(A268,Map!A:A,Map!D:D)</f>
        <v>Non-Current Liabilities</v>
      </c>
    </row>
    <row r="269" spans="1:16" x14ac:dyDescent="0.25">
      <c r="A269" s="101">
        <v>800002</v>
      </c>
      <c r="B269" t="s">
        <v>236</v>
      </c>
      <c r="C269" s="98">
        <f>SUMIF(ALIF_Y2014!$A:$A,$A269,ALIF_Y2014!$F:$F)</f>
        <v>0</v>
      </c>
      <c r="D269" s="98">
        <f>SUMIF(ALIF_Y2015!$A:$A,$A269,ALIF_Y2015!$F:$F)</f>
        <v>0</v>
      </c>
      <c r="E269" s="98">
        <f>SUMIF(ALIF_Y2016!$A:$A,$A269,ALIF_Y2016!$F:$F)</f>
        <v>0</v>
      </c>
      <c r="F269" s="98">
        <f>SUMIF(ALIF_Y2017!$A:$A,$A269,ALIF_Y2017!$F:$F)</f>
        <v>0</v>
      </c>
      <c r="G269" s="98">
        <f>SUMIF(ALIF_Y2018!$A:$A,$A269,ALIF_Y2018!$F:$F)</f>
        <v>0</v>
      </c>
      <c r="H269" s="98">
        <f>SUMIF(ALIF_Y2019!$A:$A,$A269,ALIF_Y2019!$F:$F)</f>
        <v>0</v>
      </c>
      <c r="I269" s="98">
        <f>SUMIF(ALIF_Y2020!$A:$A,$A269,ALIF_Y2020!$F:$F)</f>
        <v>0</v>
      </c>
      <c r="J269" s="98">
        <f>SUMIF(ALIF_Y2021!$A:$A,$A269,ALIF_Y2021!$F:$F)</f>
        <v>0</v>
      </c>
      <c r="K269" s="98">
        <f>SUMIF(ALIF_Y2022!$A:$A,$A269,ALIF_Y2022!$F:$F)</f>
        <v>700886</v>
      </c>
      <c r="L269" s="98">
        <f>SUMIF(ALIF_Y2023!$A:$A,$A269,ALIF_Y2023!$F:$F)</f>
        <v>0</v>
      </c>
      <c r="M269" s="98">
        <f>SUMIF(ALIF_Y2024!$A:$A,$A269,ALIF_Y2024!$F:$F)</f>
        <v>0</v>
      </c>
      <c r="N269" s="98">
        <f>SUMIF(ALIF_Y2025!$A:$A,$A269,ALIF_Y2025!$F:$F)</f>
        <v>0</v>
      </c>
      <c r="O269" t="str">
        <f>_xlfn.XLOOKUP(A269,Map!A:A,Map!E:E)</f>
        <v>AIMS expenses</v>
      </c>
      <c r="P269" t="str">
        <f>_xlfn.XLOOKUP(A269,Map!A:A,Map!D:D)</f>
        <v>General and Admin</v>
      </c>
    </row>
    <row r="270" spans="1:16" x14ac:dyDescent="0.25"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</row>
    <row r="271" spans="1:16" s="99" customFormat="1" x14ac:dyDescent="0.25">
      <c r="A271" s="100"/>
      <c r="C271" s="102">
        <f>SUBTOTAL(9,C4:C270)</f>
        <v>3603438.4757386544</v>
      </c>
      <c r="D271" s="102">
        <f t="shared" ref="D271:N271" si="0">SUBTOTAL(9,D4:D270)</f>
        <v>1318911.1681678605</v>
      </c>
      <c r="E271" s="102">
        <f t="shared" si="0"/>
        <v>3619649.0155236372</v>
      </c>
      <c r="F271" s="102">
        <f t="shared" si="0"/>
        <v>3261022.8177456744</v>
      </c>
      <c r="G271" s="102">
        <f t="shared" si="0"/>
        <v>485044.32859635341</v>
      </c>
      <c r="H271" s="102">
        <f t="shared" si="0"/>
        <v>1089346.1037622602</v>
      </c>
      <c r="I271" s="102">
        <f t="shared" si="0"/>
        <v>1237901.2930186887</v>
      </c>
      <c r="J271" s="102">
        <f t="shared" si="0"/>
        <v>1339380.2474531156</v>
      </c>
      <c r="K271" s="102">
        <f t="shared" si="0"/>
        <v>425547.77936471795</v>
      </c>
      <c r="L271" s="102">
        <f t="shared" si="0"/>
        <v>76050.679642981457</v>
      </c>
      <c r="M271" s="102">
        <f t="shared" si="0"/>
        <v>-4393628.9131689668</v>
      </c>
      <c r="N271" s="102">
        <f t="shared" si="0"/>
        <v>-1566334.3801694426</v>
      </c>
    </row>
  </sheetData>
  <autoFilter ref="A3:P269" xr:uid="{5527167B-4F37-4902-92DE-5F13A99CF0A3}"/>
  <phoneticPr fontId="4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52F8-A8C0-420D-BA0B-2D6A61D0CE7D}">
  <sheetPr>
    <tabColor rgb="FFFFFF00"/>
  </sheetPr>
  <dimension ref="A1:O56"/>
  <sheetViews>
    <sheetView showGridLines="0" zoomScale="90" zoomScaleNormal="90" workbookViewId="0">
      <pane ySplit="5" topLeftCell="A18" activePane="bottomLeft" state="frozen"/>
      <selection pane="bottomLeft" activeCell="Q40" sqref="Q40"/>
    </sheetView>
  </sheetViews>
  <sheetFormatPr defaultColWidth="9.42578125" defaultRowHeight="12.75" x14ac:dyDescent="0.2"/>
  <cols>
    <col min="1" max="1" width="2.5703125" style="22" customWidth="1"/>
    <col min="2" max="2" width="26.7109375" style="22" customWidth="1"/>
    <col min="3" max="3" width="1.28515625" style="22" customWidth="1"/>
    <col min="4" max="4" width="12" style="27" bestFit="1" customWidth="1"/>
    <col min="5" max="5" width="12" style="28" bestFit="1" customWidth="1"/>
    <col min="6" max="7" width="12" style="22" bestFit="1" customWidth="1"/>
    <col min="8" max="8" width="12" style="46" bestFit="1" customWidth="1"/>
    <col min="9" max="10" width="12" style="22" bestFit="1" customWidth="1"/>
    <col min="11" max="11" width="12" style="28" bestFit="1" customWidth="1"/>
    <col min="12" max="13" width="12" style="22" bestFit="1" customWidth="1"/>
    <col min="14" max="14" width="12" style="46" bestFit="1" customWidth="1"/>
    <col min="15" max="15" width="12" style="22" bestFit="1" customWidth="1"/>
    <col min="16" max="16384" width="9.42578125" style="22"/>
  </cols>
  <sheetData>
    <row r="1" spans="1:15" x14ac:dyDescent="0.2">
      <c r="A1" s="64" t="s">
        <v>547</v>
      </c>
      <c r="B1" s="23"/>
      <c r="D1" s="24"/>
      <c r="E1" s="24"/>
      <c r="K1" s="24"/>
    </row>
    <row r="2" spans="1:15" x14ac:dyDescent="0.2">
      <c r="A2" s="64" t="s">
        <v>386</v>
      </c>
      <c r="B2" s="26"/>
    </row>
    <row r="3" spans="1:15" x14ac:dyDescent="0.2">
      <c r="A3" s="65" t="s">
        <v>580</v>
      </c>
      <c r="B3" s="26"/>
      <c r="D3" s="141"/>
      <c r="E3" s="142"/>
      <c r="F3" s="143">
        <v>1</v>
      </c>
      <c r="G3" s="143"/>
      <c r="H3" s="143"/>
      <c r="I3" s="143"/>
      <c r="J3" s="143"/>
      <c r="K3" s="144"/>
      <c r="L3" s="143">
        <v>2</v>
      </c>
      <c r="M3" s="143"/>
      <c r="N3" s="143"/>
      <c r="O3" s="143"/>
    </row>
    <row r="4" spans="1:15" x14ac:dyDescent="0.2">
      <c r="B4" s="26"/>
      <c r="D4" s="30"/>
      <c r="E4" s="95"/>
      <c r="F4" s="66"/>
      <c r="G4" s="66"/>
      <c r="K4" s="95"/>
      <c r="L4" s="66"/>
      <c r="M4" s="66"/>
    </row>
    <row r="5" spans="1:15" ht="15" x14ac:dyDescent="0.2">
      <c r="B5" s="26"/>
      <c r="D5" s="158" t="s">
        <v>592</v>
      </c>
      <c r="E5" s="158" t="s">
        <v>591</v>
      </c>
      <c r="F5" s="158" t="s">
        <v>590</v>
      </c>
      <c r="G5" s="158" t="s">
        <v>589</v>
      </c>
      <c r="H5" s="158" t="s">
        <v>588</v>
      </c>
      <c r="I5" s="158" t="s">
        <v>587</v>
      </c>
      <c r="J5" s="158" t="s">
        <v>586</v>
      </c>
      <c r="K5" s="158" t="s">
        <v>585</v>
      </c>
      <c r="L5" s="158" t="s">
        <v>584</v>
      </c>
      <c r="M5" s="158" t="s">
        <v>583</v>
      </c>
      <c r="N5" s="158" t="s">
        <v>581</v>
      </c>
      <c r="O5" s="158" t="s">
        <v>593</v>
      </c>
    </row>
    <row r="6" spans="1:15" x14ac:dyDescent="0.2">
      <c r="B6" s="26" t="s">
        <v>387</v>
      </c>
      <c r="D6" s="24"/>
      <c r="E6" s="31"/>
      <c r="F6" s="31"/>
      <c r="G6" s="31"/>
      <c r="K6" s="31"/>
      <c r="L6" s="31"/>
      <c r="M6" s="31"/>
    </row>
    <row r="7" spans="1:15" x14ac:dyDescent="0.2">
      <c r="B7" s="25" t="s">
        <v>272</v>
      </c>
      <c r="D7" s="81">
        <f>SUMIF(ALIF_Y2014!$I:$I,$B7,ALIF_Y2014!$F:$F)</f>
        <v>11085979.221000001</v>
      </c>
      <c r="E7" s="81">
        <f>SUMIF(ALIF_Y2015!$I:$I,$B7,ALIF_Y2015!$F:$F)</f>
        <v>4470130.79</v>
      </c>
      <c r="F7" s="81">
        <f>SUMIF(ALIF_Y2016!$I:$I,$B7,ALIF_Y2016!$F:$F)</f>
        <v>4689654.82</v>
      </c>
      <c r="G7" s="81">
        <f>SUMIF(ALIF_Y2017!$I:$I,$B7,ALIF_Y2017!$F:$F)</f>
        <v>7257276.1430000011</v>
      </c>
      <c r="H7" s="81">
        <f>SUMIF(ALIF_Y2018!$I:$I,$B7,ALIF_Y2018!$F:$F)</f>
        <v>8817544.4199999999</v>
      </c>
      <c r="I7" s="81">
        <f>SUMIF(ALIF_Y2019!$I:$I,$B7,ALIF_Y2019!$F:$F)</f>
        <v>6590029.9899999993</v>
      </c>
      <c r="J7" s="81">
        <f>SUMIF(ALIF_Y2020!$I:$I,$B7,ALIF_Y2020!$F:$F)</f>
        <v>40745293.011</v>
      </c>
      <c r="K7" s="81">
        <f>SUMIF(ALIF_Y2021!$I:$I,$B7,ALIF_Y2021!$F:$F)</f>
        <v>10651132.045</v>
      </c>
      <c r="L7" s="81">
        <f>SUMIF(ALIF_Y2022!$I:$I,$B7,ALIF_Y2022!$F:$F)</f>
        <v>13695028.931</v>
      </c>
      <c r="M7" s="81">
        <f>SUMIF(ALIF_Y2023!$I:$I,$B7,ALIF_Y2023!$F:$F)</f>
        <v>4063524.3990000007</v>
      </c>
      <c r="N7" s="81">
        <f>SUMIF(ALIF_Y2024!$I:$I,$B7,ALIF_Y2024!$F:$F)</f>
        <v>1103703.8669999999</v>
      </c>
      <c r="O7" s="81">
        <f>SUMIF(ALIF_Y2025!$I:$I,$B7,ALIF_Y2025!$F:$F)</f>
        <v>1510704.9779999997</v>
      </c>
    </row>
    <row r="8" spans="1:15" x14ac:dyDescent="0.2">
      <c r="B8" s="25" t="s">
        <v>280</v>
      </c>
      <c r="D8" s="32">
        <f>SUMIF(ALIF_Y2014!$I:$I,$B8,ALIF_Y2014!$F:$F)</f>
        <v>34778327.274999999</v>
      </c>
      <c r="E8" s="32">
        <f>SUMIF(ALIF_Y2015!$I:$I,$B8,ALIF_Y2015!$F:$F)</f>
        <v>35513977.460000001</v>
      </c>
      <c r="F8" s="32">
        <f>SUMIF(ALIF_Y2016!$I:$I,$B8,ALIF_Y2016!$F:$F)</f>
        <v>36110502.079999998</v>
      </c>
      <c r="G8" s="32">
        <f>SUMIF(ALIF_Y2017!$I:$I,$B8,ALIF_Y2017!$F:$F)</f>
        <v>35801104.203000002</v>
      </c>
      <c r="H8" s="32">
        <f>SUMIF(ALIF_Y2018!$I:$I,$B8,ALIF_Y2018!$F:$F)</f>
        <v>34900865.947999999</v>
      </c>
      <c r="I8" s="32">
        <f>SUMIF(ALIF_Y2019!$I:$I,$B8,ALIF_Y2019!$F:$F)</f>
        <v>40286632.229000002</v>
      </c>
      <c r="J8" s="32">
        <f>SUMIF(ALIF_Y2020!$I:$I,$B8,ALIF_Y2020!$F:$F)</f>
        <v>35451876.857000001</v>
      </c>
      <c r="K8" s="32">
        <f>SUMIF(ALIF_Y2021!$I:$I,$B8,ALIF_Y2021!$F:$F)</f>
        <v>59814194.835000001</v>
      </c>
      <c r="L8" s="32">
        <f>SUMIF(ALIF_Y2022!$I:$I,$B8,ALIF_Y2022!$F:$F)</f>
        <v>69444422.419</v>
      </c>
      <c r="M8" s="32">
        <f>SUMIF(ALIF_Y2023!$I:$I,$B8,ALIF_Y2023!$F:$F)</f>
        <v>32974816.363000002</v>
      </c>
      <c r="N8" s="32">
        <f>SUMIF(ALIF_Y2024!$I:$I,$B8,ALIF_Y2024!$F:$F)</f>
        <v>45208932.280000001</v>
      </c>
      <c r="O8" s="32">
        <f>SUMIF(ALIF_Y2025!$I:$I,$B8,ALIF_Y2025!$F:$F)</f>
        <v>34614827.501000002</v>
      </c>
    </row>
    <row r="9" spans="1:15" x14ac:dyDescent="0.2">
      <c r="B9" s="25" t="s">
        <v>277</v>
      </c>
      <c r="D9" s="32">
        <f>SUMIF(ALIF_Y2014!$I:$I,$B9,ALIF_Y2014!$F:$F)</f>
        <v>8670708.6090000011</v>
      </c>
      <c r="E9" s="32">
        <f>SUMIF(ALIF_Y2015!$I:$I,$B9,ALIF_Y2015!$F:$F)</f>
        <v>7700042.426</v>
      </c>
      <c r="F9" s="32">
        <f>SUMIF(ALIF_Y2016!$I:$I,$B9,ALIF_Y2016!$F:$F)</f>
        <v>6566761.4589999998</v>
      </c>
      <c r="G9" s="32">
        <f>SUMIF(ALIF_Y2017!$I:$I,$B9,ALIF_Y2017!$F:$F)</f>
        <v>13100547.521</v>
      </c>
      <c r="H9" s="32">
        <f>SUMIF(ALIF_Y2018!$I:$I,$B9,ALIF_Y2018!$F:$F)</f>
        <v>10942639.300000001</v>
      </c>
      <c r="I9" s="32">
        <f>SUMIF(ALIF_Y2019!$I:$I,$B9,ALIF_Y2019!$F:$F)</f>
        <v>8522666.029000001</v>
      </c>
      <c r="J9" s="32">
        <f>SUMIF(ALIF_Y2020!$I:$I,$B9,ALIF_Y2020!$F:$F)</f>
        <v>3692329.5420000004</v>
      </c>
      <c r="K9" s="32">
        <f>SUMIF(ALIF_Y2021!$I:$I,$B9,ALIF_Y2021!$F:$F)</f>
        <v>5210137.9289999995</v>
      </c>
      <c r="L9" s="32">
        <f>SUMIF(ALIF_Y2022!$I:$I,$B9,ALIF_Y2022!$F:$F)</f>
        <v>1107166.024</v>
      </c>
      <c r="M9" s="32">
        <f>SUMIF(ALIF_Y2023!$I:$I,$B9,ALIF_Y2023!$F:$F)</f>
        <v>4772239.2369999997</v>
      </c>
      <c r="N9" s="32">
        <f>SUMIF(ALIF_Y2024!$I:$I,$B9,ALIF_Y2024!$F:$F)</f>
        <v>14758203.785</v>
      </c>
      <c r="O9" s="32">
        <f>SUMIF(ALIF_Y2025!$I:$I,$B9,ALIF_Y2025!$F:$F)</f>
        <v>10384902.995000001</v>
      </c>
    </row>
    <row r="10" spans="1:15" x14ac:dyDescent="0.2">
      <c r="B10" s="25" t="s">
        <v>301</v>
      </c>
      <c r="D10" s="32">
        <f>SUMIF(ALIF_Y2014!$I:$I,$B10,ALIF_Y2014!$F:$F)</f>
        <v>34065376.359000005</v>
      </c>
      <c r="E10" s="32">
        <f>SUMIF(ALIF_Y2015!$I:$I,$B10,ALIF_Y2015!$F:$F)</f>
        <v>28412734</v>
      </c>
      <c r="F10" s="32">
        <f>SUMIF(ALIF_Y2016!$I:$I,$B10,ALIF_Y2016!$F:$F)</f>
        <v>31557770.992000006</v>
      </c>
      <c r="G10" s="32">
        <f>SUMIF(ALIF_Y2017!$I:$I,$B10,ALIF_Y2017!$F:$F)</f>
        <v>25847130.508000001</v>
      </c>
      <c r="H10" s="32">
        <f>SUMIF(ALIF_Y2018!$I:$I,$B10,ALIF_Y2018!$F:$F)</f>
        <v>65632733.660999998</v>
      </c>
      <c r="I10" s="32">
        <f>SUMIF(ALIF_Y2019!$I:$I,$B10,ALIF_Y2019!$F:$F)</f>
        <v>63336467.600999996</v>
      </c>
      <c r="J10" s="32">
        <f>SUMIF(ALIF_Y2020!$I:$I,$B10,ALIF_Y2020!$F:$F)</f>
        <v>45810720.601000004</v>
      </c>
      <c r="K10" s="32">
        <f>SUMIF(ALIF_Y2021!$I:$I,$B10,ALIF_Y2021!$F:$F)</f>
        <v>60639675.158</v>
      </c>
      <c r="L10" s="32">
        <f>SUMIF(ALIF_Y2022!$I:$I,$B10,ALIF_Y2022!$F:$F)</f>
        <v>93415465.147000015</v>
      </c>
      <c r="M10" s="32">
        <f>SUMIF(ALIF_Y2023!$I:$I,$B10,ALIF_Y2023!$F:$F)</f>
        <v>45411604.563999996</v>
      </c>
      <c r="N10" s="32">
        <f>SUMIF(ALIF_Y2024!$I:$I,$B10,ALIF_Y2024!$F:$F)</f>
        <v>59932684.778999999</v>
      </c>
      <c r="O10" s="32">
        <f>SUMIF(ALIF_Y2025!$I:$I,$B10,ALIF_Y2025!$F:$F)</f>
        <v>118029748.70999999</v>
      </c>
    </row>
    <row r="11" spans="1:15" x14ac:dyDescent="0.2">
      <c r="B11" s="26" t="s">
        <v>389</v>
      </c>
      <c r="D11" s="33">
        <f t="shared" ref="D11" si="0">SUM(D7:D10)</f>
        <v>88600391.464000016</v>
      </c>
      <c r="E11" s="33">
        <f>SUM(E7:E10)</f>
        <v>76096884.675999999</v>
      </c>
      <c r="F11" s="33">
        <f t="shared" ref="F11" si="1">SUM(F7:F10)</f>
        <v>78924689.351000011</v>
      </c>
      <c r="G11" s="33">
        <f t="shared" ref="G11" si="2">SUM(G7:G10)</f>
        <v>82006058.375</v>
      </c>
      <c r="H11" s="33">
        <f t="shared" ref="H11" si="3">SUM(H7:H10)</f>
        <v>120293783.329</v>
      </c>
      <c r="I11" s="33">
        <f t="shared" ref="I11" si="4">SUM(I7:I10)</f>
        <v>118735795.84900001</v>
      </c>
      <c r="J11" s="33">
        <f t="shared" ref="J11" si="5">SUM(J7:J10)</f>
        <v>125700220.01100001</v>
      </c>
      <c r="K11" s="33">
        <f t="shared" ref="K11" si="6">SUM(K7:K10)</f>
        <v>136315139.96700001</v>
      </c>
      <c r="L11" s="33">
        <f t="shared" ref="L11" si="7">SUM(L7:L10)</f>
        <v>177662082.52100003</v>
      </c>
      <c r="M11" s="33">
        <f t="shared" ref="M11" si="8">SUM(M7:M10)</f>
        <v>87222184.562999994</v>
      </c>
      <c r="N11" s="33">
        <f t="shared" ref="N11" si="9">SUM(N7:N10)</f>
        <v>121003524.711</v>
      </c>
      <c r="O11" s="33">
        <f t="shared" ref="O11" si="10">SUM(O7:O10)</f>
        <v>164540184.18400002</v>
      </c>
    </row>
    <row r="12" spans="1:15" x14ac:dyDescent="0.2">
      <c r="B12" s="2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x14ac:dyDescent="0.2">
      <c r="B13" s="26" t="s">
        <v>390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1:15" hidden="1" x14ac:dyDescent="0.2">
      <c r="B14" s="25" t="s">
        <v>388</v>
      </c>
      <c r="D14" s="32">
        <f>SUMIF(ALIF_Y2014!$I:$I,$B14,ALIF_Y2014!$F:$F)</f>
        <v>0</v>
      </c>
      <c r="E14" s="32">
        <f>SUMIF(ALIF_Y2015!$I:$I,$B14,ALIF_Y2015!$F:$F)</f>
        <v>0</v>
      </c>
      <c r="F14" s="32">
        <f>SUMIF(ALIF_Y2016!$I:$I,$B14,ALIF_Y2016!$F:$F)</f>
        <v>0</v>
      </c>
      <c r="G14" s="32">
        <f>SUMIF(ALIF_Y2017!$I:$I,$B14,ALIF_Y2017!$F:$F)</f>
        <v>0</v>
      </c>
      <c r="H14" s="32">
        <f>SUMIF(ALIF_Y2018!$I:$I,$B14,ALIF_Y2018!$F:$F)</f>
        <v>0</v>
      </c>
      <c r="I14" s="32">
        <f>SUMIF(ALIF_Y2019!$I:$I,$B14,ALIF_Y2019!$F:$F)</f>
        <v>0</v>
      </c>
      <c r="J14" s="32">
        <f>SUMIF(ALIF_Y2020!$I:$I,$B14,ALIF_Y2020!$F:$F)</f>
        <v>0</v>
      </c>
      <c r="K14" s="32">
        <f>SUMIF(ALIF_Y2021!$I:$I,$B14,ALIF_Y2021!$F:$F)</f>
        <v>0</v>
      </c>
      <c r="L14" s="32">
        <f>SUMIF(ALIF_Y2022!$I:$I,$B14,ALIF_Y2022!$F:$F)</f>
        <v>0</v>
      </c>
      <c r="M14" s="32">
        <f>SUMIF(ALIF_Y2023!$I:$I,$B14,ALIF_Y2023!$F:$F)</f>
        <v>0</v>
      </c>
      <c r="N14" s="32">
        <f>SUMIF(ALIF_Y2024!$I:$I,$B14,ALIF_Y2024!$F:$F)</f>
        <v>0</v>
      </c>
      <c r="O14" s="32">
        <f>SUMIF(ALIF_Y2025!$I:$I,$B14,ALIF_Y2025!$F:$F)</f>
        <v>0</v>
      </c>
    </row>
    <row r="15" spans="1:15" x14ac:dyDescent="0.2">
      <c r="B15" s="25" t="s">
        <v>271</v>
      </c>
      <c r="D15" s="32">
        <f>SUMIF(ALIF_Y2014!$I:$I,$B15,ALIF_Y2014!$F:$F)</f>
        <v>19388806.166000009</v>
      </c>
      <c r="E15" s="32">
        <f>SUMIF(ALIF_Y2015!$I:$I,$B15,ALIF_Y2015!$F:$F)</f>
        <v>27222645.847000003</v>
      </c>
      <c r="F15" s="32">
        <f>SUMIF(ALIF_Y2016!$I:$I,$B15,ALIF_Y2016!$F:$F)</f>
        <v>113167188.12099999</v>
      </c>
      <c r="G15" s="32">
        <f>SUMIF(ALIF_Y2017!$I:$I,$B15,ALIF_Y2017!$F:$F)</f>
        <v>116002902.86300002</v>
      </c>
      <c r="H15" s="32">
        <f>SUMIF(ALIF_Y2018!$I:$I,$B15,ALIF_Y2018!$F:$F)</f>
        <v>140385357.215</v>
      </c>
      <c r="I15" s="32">
        <f>SUMIF(ALIF_Y2019!$I:$I,$B15,ALIF_Y2019!$F:$F)</f>
        <v>142788671.16799995</v>
      </c>
      <c r="J15" s="32">
        <f>SUMIF(ALIF_Y2020!$I:$I,$B15,ALIF_Y2020!$F:$F)</f>
        <v>138880518.40299997</v>
      </c>
      <c r="K15" s="32">
        <f>SUMIF(ALIF_Y2021!$I:$I,$B15,ALIF_Y2021!$F:$F)</f>
        <v>135639533.60699999</v>
      </c>
      <c r="L15" s="32">
        <f>SUMIF(ALIF_Y2022!$I:$I,$B15,ALIF_Y2022!$F:$F)</f>
        <v>138263240.44300002</v>
      </c>
      <c r="M15" s="32">
        <f>SUMIF(ALIF_Y2023!$I:$I,$B15,ALIF_Y2023!$F:$F)</f>
        <v>131286930.59299996</v>
      </c>
      <c r="N15" s="32">
        <f>SUMIF(ALIF_Y2024!$I:$I,$B15,ALIF_Y2024!$F:$F)</f>
        <v>138640617.66499999</v>
      </c>
      <c r="O15" s="32">
        <f>SUMIF(ALIF_Y2025!$I:$I,$B15,ALIF_Y2025!$F:$F)</f>
        <v>158139746.32000002</v>
      </c>
    </row>
    <row r="16" spans="1:15" x14ac:dyDescent="0.2">
      <c r="B16" s="25" t="s">
        <v>391</v>
      </c>
      <c r="D16" s="32">
        <f>SUMIF(ALIF_Y2014!$I:$I,$B16,ALIF_Y2014!$F:$F)</f>
        <v>0</v>
      </c>
      <c r="E16" s="32">
        <f>SUMIF(ALIF_Y2015!$I:$I,$B16,ALIF_Y2015!$F:$F)</f>
        <v>0</v>
      </c>
      <c r="F16" s="32">
        <f>SUMIF(ALIF_Y2016!$I:$I,$B16,ALIF_Y2016!$F:$F)</f>
        <v>0</v>
      </c>
      <c r="G16" s="32">
        <f>SUMIF(ALIF_Y2017!$I:$I,$B16,ALIF_Y2017!$F:$F)</f>
        <v>0</v>
      </c>
      <c r="H16" s="32">
        <f>SUMIF(ALIF_Y2018!$I:$I,$B16,ALIF_Y2018!$F:$F)</f>
        <v>0</v>
      </c>
      <c r="I16" s="32">
        <f>SUMIF(ALIF_Y2019!$I:$I,$B16,ALIF_Y2019!$F:$F)</f>
        <v>1995348</v>
      </c>
      <c r="J16" s="32">
        <f>SUMIF(ALIF_Y2020!$I:$I,$B16,ALIF_Y2020!$F:$F)</f>
        <v>1846625.4920000001</v>
      </c>
      <c r="K16" s="32">
        <f>SUMIF(ALIF_Y2021!$I:$I,$B16,ALIF_Y2021!$F:$F)</f>
        <v>1686512.4920000001</v>
      </c>
      <c r="L16" s="32">
        <f>SUMIF(ALIF_Y2022!$I:$I,$B16,ALIF_Y2022!$F:$F)</f>
        <v>1537181.0789999999</v>
      </c>
      <c r="M16" s="32">
        <f>SUMIF(ALIF_Y2023!$I:$I,$B16,ALIF_Y2023!$F:$F)</f>
        <v>1374274.0830000001</v>
      </c>
      <c r="N16" s="32">
        <f>SUMIF(ALIF_Y2024!$I:$I,$B16,ALIF_Y2024!$F:$F)</f>
        <v>1225552.4790000001</v>
      </c>
      <c r="O16" s="32">
        <f>SUMIF(ALIF_Y2025!$I:$I,$B16,ALIF_Y2025!$F:$F)</f>
        <v>2545644.352</v>
      </c>
    </row>
    <row r="17" spans="2:15" x14ac:dyDescent="0.2">
      <c r="B17" s="26" t="s">
        <v>392</v>
      </c>
      <c r="D17" s="33">
        <f t="shared" ref="D17" si="11">SUM(D14:D16)</f>
        <v>19388806.166000009</v>
      </c>
      <c r="E17" s="33">
        <f t="shared" ref="E17" si="12">SUM(E14:E16)</f>
        <v>27222645.847000003</v>
      </c>
      <c r="F17" s="33">
        <f t="shared" ref="F17" si="13">SUM(F14:F16)</f>
        <v>113167188.12099999</v>
      </c>
      <c r="G17" s="33">
        <f t="shared" ref="G17" si="14">SUM(G14:G16)</f>
        <v>116002902.86300002</v>
      </c>
      <c r="H17" s="33">
        <f t="shared" ref="H17" si="15">SUM(H14:H16)</f>
        <v>140385357.215</v>
      </c>
      <c r="I17" s="33">
        <f t="shared" ref="I17" si="16">SUM(I14:I16)</f>
        <v>144784019.16799995</v>
      </c>
      <c r="J17" s="33">
        <f t="shared" ref="J17" si="17">SUM(J14:J16)</f>
        <v>140727143.89499998</v>
      </c>
      <c r="K17" s="33">
        <f t="shared" ref="K17" si="18">SUM(K14:K16)</f>
        <v>137326046.09900001</v>
      </c>
      <c r="L17" s="33">
        <f t="shared" ref="L17" si="19">SUM(L14:L16)</f>
        <v>139800421.52200001</v>
      </c>
      <c r="M17" s="33">
        <f t="shared" ref="M17" si="20">SUM(M14:M16)</f>
        <v>132661204.67599997</v>
      </c>
      <c r="N17" s="33">
        <f t="shared" ref="N17" si="21">SUM(N14:N16)</f>
        <v>139866170.14399999</v>
      </c>
      <c r="O17" s="33">
        <f t="shared" ref="O17" si="22">SUM(O14:O16)</f>
        <v>160685390.67200002</v>
      </c>
    </row>
    <row r="18" spans="2:15" x14ac:dyDescent="0.2">
      <c r="B18" s="2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spans="2:15" ht="13.5" thickBot="1" x14ac:dyDescent="0.25">
      <c r="B19" s="26" t="s">
        <v>393</v>
      </c>
      <c r="D19" s="140">
        <f t="shared" ref="D19" si="23">D11+D17</f>
        <v>107989197.63000003</v>
      </c>
      <c r="E19" s="140">
        <f>E11+E17</f>
        <v>103319530.523</v>
      </c>
      <c r="F19" s="140">
        <f t="shared" ref="F19:O19" si="24">F11+F17</f>
        <v>192091877.472</v>
      </c>
      <c r="G19" s="140">
        <f t="shared" si="24"/>
        <v>198008961.23800004</v>
      </c>
      <c r="H19" s="140">
        <f t="shared" si="24"/>
        <v>260679140.544</v>
      </c>
      <c r="I19" s="140">
        <f t="shared" si="24"/>
        <v>263519815.01699996</v>
      </c>
      <c r="J19" s="140">
        <f t="shared" si="24"/>
        <v>266427363.90599999</v>
      </c>
      <c r="K19" s="140">
        <f t="shared" si="24"/>
        <v>273641186.06599998</v>
      </c>
      <c r="L19" s="140">
        <f t="shared" si="24"/>
        <v>317462504.04300004</v>
      </c>
      <c r="M19" s="140">
        <f t="shared" si="24"/>
        <v>219883389.23899996</v>
      </c>
      <c r="N19" s="140">
        <f t="shared" si="24"/>
        <v>260869694.85499999</v>
      </c>
      <c r="O19" s="140">
        <f t="shared" si="24"/>
        <v>325225574.85600007</v>
      </c>
    </row>
    <row r="20" spans="2:15" ht="13.5" thickTop="1" x14ac:dyDescent="0.2">
      <c r="B20" s="26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2:15" x14ac:dyDescent="0.2">
      <c r="B21" s="26" t="s">
        <v>394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spans="2:15" x14ac:dyDescent="0.2">
      <c r="B22" s="26" t="s">
        <v>395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2:15" x14ac:dyDescent="0.2">
      <c r="B23" s="25" t="s">
        <v>290</v>
      </c>
      <c r="D23" s="32">
        <f>-SUMIF(ALIF_Y2014!$I:$I,$B23,ALIF_Y2014!$F:$F)</f>
        <v>24897662.395</v>
      </c>
      <c r="E23" s="32">
        <f>-SUMIF(ALIF_Y2015!$I:$I,$B23,ALIF_Y2015!$F:$F)</f>
        <v>11975998.512</v>
      </c>
      <c r="F23" s="32">
        <f>-SUMIF(ALIF_Y2016!$I:$I,$B23,ALIF_Y2016!$F:$F)</f>
        <v>26152571.23</v>
      </c>
      <c r="G23" s="32">
        <f>-SUMIF(ALIF_Y2017!$I:$I,$B23,ALIF_Y2017!$F:$F)</f>
        <v>0</v>
      </c>
      <c r="H23" s="32">
        <f>-SUMIF(ALIF_Y2018!$I:$I,$B23,ALIF_Y2018!$F:$F)</f>
        <v>60835098.295000002</v>
      </c>
      <c r="I23" s="32">
        <f>-SUMIF(ALIF_Y2019!$I:$I,$B23,ALIF_Y2019!$F:$F)</f>
        <v>67558356.840000004</v>
      </c>
      <c r="J23" s="32">
        <f>-SUMIF(ALIF_Y2020!$I:$I,$B23,ALIF_Y2020!$F:$F)</f>
        <v>87069638.245000005</v>
      </c>
      <c r="K23" s="32">
        <f>-SUMIF(ALIF_Y2021!$I:$I,$B23,ALIF_Y2021!$F:$F)</f>
        <v>93444858.009000003</v>
      </c>
      <c r="L23" s="32">
        <f>-SUMIF(ALIF_Y2022!$I:$I,$B23,ALIF_Y2022!$F:$F)</f>
        <v>129181162.92999998</v>
      </c>
      <c r="M23" s="32">
        <f>-SUMIF(ALIF_Y2023!$I:$I,$B23,ALIF_Y2023!$F:$F)</f>
        <v>83699243.261999995</v>
      </c>
      <c r="N23" s="32">
        <f>-SUMIF(ALIF_Y2024!$I:$I,$B23,ALIF_Y2024!$F:$F)</f>
        <v>111392465.919</v>
      </c>
      <c r="O23" s="32">
        <f>-SUMIF(ALIF_Y2025!$I:$I,$B23,ALIF_Y2025!$F:$F)</f>
        <v>193396818.67900002</v>
      </c>
    </row>
    <row r="24" spans="2:15" hidden="1" x14ac:dyDescent="0.2">
      <c r="B24" s="25" t="s">
        <v>396</v>
      </c>
      <c r="D24" s="32">
        <f>-SUMIF(ALIF_Y2014!$I:$I,$B24,ALIF_Y2014!$F:$F)</f>
        <v>0</v>
      </c>
      <c r="E24" s="32">
        <f>-SUMIF(ALIF_Y2015!$I:$I,$B24,ALIF_Y2015!$F:$F)</f>
        <v>0</v>
      </c>
      <c r="F24" s="32">
        <f>-SUMIF(ALIF_Y2016!$I:$I,$B24,ALIF_Y2016!$F:$F)</f>
        <v>0</v>
      </c>
      <c r="G24" s="32">
        <f>-SUMIF(ALIF_Y2017!$I:$I,$B24,ALIF_Y2017!$F:$F)</f>
        <v>0</v>
      </c>
      <c r="H24" s="32">
        <f>-SUMIF(ALIF_Y2018!$I:$I,$B24,ALIF_Y2018!$F:$F)</f>
        <v>0</v>
      </c>
      <c r="I24" s="32">
        <f>-SUMIF(ALIF_Y2019!$I:$I,$B24,ALIF_Y2019!$F:$F)</f>
        <v>0</v>
      </c>
      <c r="J24" s="32">
        <f>-SUMIF(ALIF_Y2020!$I:$I,$B24,ALIF_Y2020!$F:$F)</f>
        <v>0</v>
      </c>
      <c r="K24" s="32">
        <f>-SUMIF(ALIF_Y2021!$I:$I,$B24,ALIF_Y2021!$F:$F)</f>
        <v>0</v>
      </c>
      <c r="L24" s="32">
        <f>-SUMIF(ALIF_Y2022!$I:$I,$B24,ALIF_Y2022!$F:$F)</f>
        <v>0</v>
      </c>
      <c r="M24" s="32">
        <f>-SUMIF(ALIF_Y2023!$I:$I,$B24,ALIF_Y2023!$F:$F)</f>
        <v>0</v>
      </c>
      <c r="N24" s="32">
        <f>-SUMIF(ALIF_Y2024!$I:$I,$B24,ALIF_Y2024!$F:$F)</f>
        <v>0</v>
      </c>
      <c r="O24" s="32">
        <f>-SUMIF(ALIF_Y2025!$I:$I,$B24,ALIF_Y2025!$F:$F)</f>
        <v>0</v>
      </c>
    </row>
    <row r="25" spans="2:15" x14ac:dyDescent="0.2">
      <c r="B25" s="25" t="s">
        <v>318</v>
      </c>
      <c r="D25" s="32">
        <f>-SUMIF(ALIF_Y2014!$I:$I,$B25,ALIF_Y2014!$F:$F)</f>
        <v>1537200</v>
      </c>
      <c r="E25" s="32">
        <f>-SUMIF(ALIF_Y2015!$I:$I,$B25,ALIF_Y2015!$F:$F)</f>
        <v>1365110</v>
      </c>
      <c r="F25" s="32">
        <f>-SUMIF(ALIF_Y2016!$I:$I,$B25,ALIF_Y2016!$F:$F)</f>
        <v>1200000</v>
      </c>
      <c r="G25" s="32">
        <f>-SUMIF(ALIF_Y2017!$I:$I,$B25,ALIF_Y2017!$F:$F)</f>
        <v>1119039</v>
      </c>
      <c r="H25" s="32">
        <f>-SUMIF(ALIF_Y2018!$I:$I,$B25,ALIF_Y2018!$F:$F)</f>
        <v>1150000.5</v>
      </c>
      <c r="I25" s="32">
        <f>-SUMIF(ALIF_Y2019!$I:$I,$B25,ALIF_Y2019!$F:$F)</f>
        <v>983057</v>
      </c>
      <c r="J25" s="32">
        <f>-SUMIF(ALIF_Y2020!$I:$I,$B25,ALIF_Y2020!$F:$F)</f>
        <v>644386</v>
      </c>
      <c r="K25" s="32">
        <f>-SUMIF(ALIF_Y2021!$I:$I,$B25,ALIF_Y2021!$F:$F)</f>
        <v>0</v>
      </c>
      <c r="L25" s="32">
        <f>-SUMIF(ALIF_Y2022!$I:$I,$B25,ALIF_Y2022!$F:$F)</f>
        <v>0</v>
      </c>
      <c r="M25" s="32">
        <f>-SUMIF(ALIF_Y2023!$I:$I,$B25,ALIF_Y2023!$F:$F)</f>
        <v>968047.97</v>
      </c>
      <c r="N25" s="32">
        <f>-SUMIF(ALIF_Y2024!$I:$I,$B25,ALIF_Y2024!$F:$F)</f>
        <v>0</v>
      </c>
      <c r="O25" s="32">
        <f>-SUMIF(ALIF_Y2025!$I:$I,$B25,ALIF_Y2025!$F:$F)</f>
        <v>0</v>
      </c>
    </row>
    <row r="26" spans="2:15" x14ac:dyDescent="0.2">
      <c r="B26" s="25" t="s">
        <v>308</v>
      </c>
      <c r="D26" s="81">
        <f>-SUMIF(ALIF_Y2014!$I:$I,$B26,ALIF_Y2014!$F:$F)</f>
        <v>2507260.9959999998</v>
      </c>
      <c r="E26" s="81">
        <f>-SUMIF(ALIF_Y2015!$I:$I,$B26,ALIF_Y2015!$F:$F)</f>
        <v>6283439</v>
      </c>
      <c r="F26" s="81">
        <f>-SUMIF(ALIF_Y2016!$I:$I,$B26,ALIF_Y2016!$F:$F)</f>
        <v>5444461</v>
      </c>
      <c r="G26" s="81">
        <f>-SUMIF(ALIF_Y2017!$I:$I,$B26,ALIF_Y2017!$F:$F)</f>
        <v>6914828.9979999997</v>
      </c>
      <c r="H26" s="81">
        <f>-SUMIF(ALIF_Y2018!$I:$I,$B26,ALIF_Y2018!$F:$F)</f>
        <v>8339706.9970000004</v>
      </c>
      <c r="I26" s="81">
        <f>-SUMIF(ALIF_Y2019!$I:$I,$B26,ALIF_Y2019!$F:$F)</f>
        <v>6947242.0020000003</v>
      </c>
      <c r="J26" s="81">
        <f>-SUMIF(ALIF_Y2020!$I:$I,$B26,ALIF_Y2020!$F:$F)</f>
        <v>9755293.0020000003</v>
      </c>
      <c r="K26" s="81">
        <f>-SUMIF(ALIF_Y2021!$I:$I,$B26,ALIF_Y2021!$F:$F)</f>
        <v>6517602.182</v>
      </c>
      <c r="L26" s="81">
        <f>-SUMIF(ALIF_Y2022!$I:$I,$B26,ALIF_Y2022!$F:$F)</f>
        <v>6436834.9169999994</v>
      </c>
      <c r="M26" s="81">
        <f>-SUMIF(ALIF_Y2023!$I:$I,$B26,ALIF_Y2023!$F:$F)</f>
        <v>6572651.0020000003</v>
      </c>
      <c r="N26" s="81">
        <f>-SUMIF(ALIF_Y2024!$I:$I,$B26,ALIF_Y2024!$F:$F)</f>
        <v>13430272.994999999</v>
      </c>
      <c r="O26" s="81">
        <f>-SUMIF(ALIF_Y2025!$I:$I,$B26,ALIF_Y2025!$F:$F)</f>
        <v>24407375.57</v>
      </c>
    </row>
    <row r="27" spans="2:15" x14ac:dyDescent="0.2">
      <c r="B27" s="26" t="s">
        <v>397</v>
      </c>
      <c r="D27" s="33">
        <f t="shared" ref="D27" si="25">SUM(D23:D26)</f>
        <v>28942123.390999999</v>
      </c>
      <c r="E27" s="33">
        <f t="shared" ref="E27" si="26">SUM(E23:E26)</f>
        <v>19624547.512000002</v>
      </c>
      <c r="F27" s="33">
        <f t="shared" ref="F27" si="27">SUM(F23:F26)</f>
        <v>32797032.23</v>
      </c>
      <c r="G27" s="33">
        <f t="shared" ref="G27" si="28">SUM(G23:G26)</f>
        <v>8033867.9979999997</v>
      </c>
      <c r="H27" s="33">
        <f t="shared" ref="H27" si="29">SUM(H23:H26)</f>
        <v>70324805.791999996</v>
      </c>
      <c r="I27" s="33">
        <f t="shared" ref="I27" si="30">SUM(I23:I26)</f>
        <v>75488655.842000008</v>
      </c>
      <c r="J27" s="33">
        <f t="shared" ref="J27" si="31">SUM(J23:J26)</f>
        <v>97469317.247000009</v>
      </c>
      <c r="K27" s="33">
        <f t="shared" ref="K27" si="32">SUM(K23:K26)</f>
        <v>99962460.191</v>
      </c>
      <c r="L27" s="33">
        <f t="shared" ref="L27" si="33">SUM(L23:L26)</f>
        <v>135617997.84699997</v>
      </c>
      <c r="M27" s="33">
        <f t="shared" ref="M27" si="34">SUM(M23:M26)</f>
        <v>91239942.233999997</v>
      </c>
      <c r="N27" s="33">
        <f t="shared" ref="N27" si="35">SUM(N23:N26)</f>
        <v>124822738.914</v>
      </c>
      <c r="O27" s="33">
        <f t="shared" ref="O27" si="36">SUM(O23:O26)</f>
        <v>217804194.24900001</v>
      </c>
    </row>
    <row r="28" spans="2:15" x14ac:dyDescent="0.2">
      <c r="B28" s="2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spans="2:15" x14ac:dyDescent="0.2">
      <c r="B29" s="26" t="s">
        <v>398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2:15" x14ac:dyDescent="0.2">
      <c r="B30" s="25" t="s">
        <v>314</v>
      </c>
      <c r="D30" s="32">
        <f>-SUMIF(ALIF_Y2014!$I:$I,$B30,ALIF_Y2014!$F:$F)</f>
        <v>0</v>
      </c>
      <c r="E30" s="32">
        <f>-SUMIF(ALIF_Y2015!$I:$I,$B30,ALIF_Y2015!$F:$F)</f>
        <v>0</v>
      </c>
      <c r="F30" s="32">
        <f>-SUMIF(ALIF_Y2016!$I:$I,$B30,ALIF_Y2016!$F:$F)</f>
        <v>0</v>
      </c>
      <c r="G30" s="32">
        <f>-SUMIF(ALIF_Y2017!$I:$I,$B30,ALIF_Y2017!$F:$F)</f>
        <v>0</v>
      </c>
      <c r="H30" s="32">
        <f>-SUMIF(ALIF_Y2018!$I:$I,$B30,ALIF_Y2018!$F:$F)</f>
        <v>0</v>
      </c>
      <c r="I30" s="32">
        <f>-SUMIF(ALIF_Y2019!$I:$I,$B30,ALIF_Y2019!$F:$F)</f>
        <v>1874374</v>
      </c>
      <c r="J30" s="32">
        <f>-SUMIF(ALIF_Y2020!$I:$I,$B30,ALIF_Y2020!$F:$F)</f>
        <v>1823243.5660000001</v>
      </c>
      <c r="K30" s="32">
        <f>-SUMIF(ALIF_Y2021!$I:$I,$B30,ALIF_Y2021!$F:$F)</f>
        <v>1711827.0260000001</v>
      </c>
      <c r="L30" s="32">
        <f>-SUMIF(ALIF_Y2022!$I:$I,$B30,ALIF_Y2022!$F:$F)</f>
        <v>1596797.0260000001</v>
      </c>
      <c r="M30" s="32">
        <f>-SUMIF(ALIF_Y2023!$I:$I,$B30,ALIF_Y2023!$F:$F)</f>
        <v>1505845.0689999999</v>
      </c>
      <c r="N30" s="32">
        <f>-SUMIF(ALIF_Y2024!$I:$I,$B30,ALIF_Y2024!$F:$F)</f>
        <v>1399831.0689999999</v>
      </c>
      <c r="O30" s="32">
        <f>-SUMIF(ALIF_Y2025!$I:$I,$B30,ALIF_Y2025!$F:$F)</f>
        <v>2585822.0490000001</v>
      </c>
    </row>
    <row r="31" spans="2:15" x14ac:dyDescent="0.2">
      <c r="B31" s="25" t="s">
        <v>327</v>
      </c>
      <c r="D31" s="32">
        <f>-SUMIF(ALIF_Y2014!$I:$I,$B31,ALIF_Y2014!$F:$F)</f>
        <v>0</v>
      </c>
      <c r="E31" s="32">
        <f>-SUMIF(ALIF_Y2015!$I:$I,$B31,ALIF_Y2015!$F:$F)</f>
        <v>0</v>
      </c>
      <c r="F31" s="32">
        <f>-SUMIF(ALIF_Y2016!$I:$I,$B31,ALIF_Y2016!$F:$F)</f>
        <v>0</v>
      </c>
      <c r="G31" s="32">
        <f>-SUMIF(ALIF_Y2017!$I:$I,$B31,ALIF_Y2017!$F:$F)</f>
        <v>31714781.920000002</v>
      </c>
      <c r="H31" s="32">
        <f>-SUMIF(ALIF_Y2018!$I:$I,$B31,ALIF_Y2018!$F:$F)</f>
        <v>7696296.1699999999</v>
      </c>
      <c r="I31" s="32">
        <f>-SUMIF(ALIF_Y2019!$I:$I,$B31,ALIF_Y2019!$F:$F)</f>
        <v>502289.05</v>
      </c>
      <c r="J31" s="32">
        <f>-SUMIF(ALIF_Y2020!$I:$I,$B31,ALIF_Y2020!$F:$F)</f>
        <v>277914.95</v>
      </c>
      <c r="K31" s="32">
        <f>-SUMIF(ALIF_Y2021!$I:$I,$B31,ALIF_Y2021!$F:$F)</f>
        <v>-146154.65599999999</v>
      </c>
      <c r="L31" s="32">
        <f>-SUMIF(ALIF_Y2022!$I:$I,$B31,ALIF_Y2022!$F:$F)</f>
        <v>1098996.6040000001</v>
      </c>
      <c r="M31" s="32">
        <f>-SUMIF(ALIF_Y2023!$I:$I,$B31,ALIF_Y2023!$F:$F)</f>
        <v>-16923359.736000001</v>
      </c>
      <c r="N31" s="32">
        <f>-SUMIF(ALIF_Y2024!$I:$I,$B31,ALIF_Y2024!$F:$F)</f>
        <v>16103933.331</v>
      </c>
      <c r="O31" s="32">
        <f>-SUMIF(ALIF_Y2025!$I:$I,$B31,ALIF_Y2025!$F:$F)</f>
        <v>30600617.371999998</v>
      </c>
    </row>
    <row r="32" spans="2:15" x14ac:dyDescent="0.2">
      <c r="B32" s="25" t="s">
        <v>287</v>
      </c>
      <c r="D32" s="32">
        <f>-SUMIF(ALIF_Y2014!$I:$I,$B32,ALIF_Y2014!$F:$F)</f>
        <v>2925857.71</v>
      </c>
      <c r="E32" s="32">
        <f>-SUMIF(ALIF_Y2015!$I:$I,$B32,ALIF_Y2015!$F:$F)</f>
        <v>2992687.9419999998</v>
      </c>
      <c r="F32" s="32">
        <f>-SUMIF(ALIF_Y2016!$I:$I,$B32,ALIF_Y2016!$F:$F)</f>
        <v>4649375</v>
      </c>
      <c r="G32" s="32">
        <f>-SUMIF(ALIF_Y2017!$I:$I,$B32,ALIF_Y2017!$F:$F)</f>
        <v>4847761</v>
      </c>
      <c r="H32" s="32">
        <f>-SUMIF(ALIF_Y2018!$I:$I,$B32,ALIF_Y2018!$F:$F)</f>
        <v>4633898</v>
      </c>
      <c r="I32" s="32">
        <f>-SUMIF(ALIF_Y2019!$I:$I,$B32,ALIF_Y2019!$F:$F)</f>
        <v>4294641</v>
      </c>
      <c r="J32" s="32">
        <f>-SUMIF(ALIF_Y2020!$I:$I,$B32,ALIF_Y2020!$F:$F)</f>
        <v>4405440</v>
      </c>
      <c r="K32" s="32">
        <f>-SUMIF(ALIF_Y2021!$I:$I,$B32,ALIF_Y2021!$F:$F)</f>
        <v>3891962</v>
      </c>
      <c r="L32" s="32">
        <f>-SUMIF(ALIF_Y2022!$I:$I,$B32,ALIF_Y2022!$F:$F)</f>
        <v>4434767</v>
      </c>
      <c r="M32" s="32">
        <f>-SUMIF(ALIF_Y2023!$I:$I,$B32,ALIF_Y2023!$F:$F)</f>
        <v>5799270.3200000003</v>
      </c>
      <c r="N32" s="32">
        <f>-SUMIF(ALIF_Y2024!$I:$I,$B32,ALIF_Y2024!$F:$F)</f>
        <v>3409950.92</v>
      </c>
      <c r="O32" s="32">
        <f>-SUMIF(ALIF_Y2025!$I:$I,$B32,ALIF_Y2025!$F:$F)</f>
        <v>4431984.92</v>
      </c>
    </row>
    <row r="33" spans="2:15" x14ac:dyDescent="0.2">
      <c r="B33" s="25" t="s">
        <v>326</v>
      </c>
      <c r="D33" s="32">
        <f>-SUMIF(ALIF_Y2014!$I:$I,$B33,ALIF_Y2014!$F:$F)</f>
        <v>0</v>
      </c>
      <c r="E33" s="32">
        <f>-SUMIF(ALIF_Y2015!$I:$I,$B33,ALIF_Y2015!$F:$F)</f>
        <v>0</v>
      </c>
      <c r="F33" s="32">
        <f>-SUMIF(ALIF_Y2016!$I:$I,$B33,ALIF_Y2016!$F:$F)</f>
        <v>0</v>
      </c>
      <c r="G33" s="32">
        <f>-SUMIF(ALIF_Y2017!$I:$I,$B33,ALIF_Y2017!$F:$F)</f>
        <v>0</v>
      </c>
      <c r="H33" s="32">
        <f>-SUMIF(ALIF_Y2018!$I:$I,$B33,ALIF_Y2018!$F:$F)</f>
        <v>4000000</v>
      </c>
      <c r="I33" s="32">
        <f>-SUMIF(ALIF_Y2019!$I:$I,$B33,ALIF_Y2019!$F:$F)</f>
        <v>4120000</v>
      </c>
      <c r="J33" s="32">
        <f>-SUMIF(ALIF_Y2020!$I:$I,$B33,ALIF_Y2020!$F:$F)</f>
        <v>4214760</v>
      </c>
      <c r="K33" s="32">
        <f>-SUMIF(ALIF_Y2021!$I:$I,$B33,ALIF_Y2021!$F:$F)</f>
        <v>4329893.1940000001</v>
      </c>
      <c r="L33" s="32">
        <f>-SUMIF(ALIF_Y2022!$I:$I,$B33,ALIF_Y2022!$F:$F)</f>
        <v>4426579.7149999999</v>
      </c>
      <c r="M33" s="32">
        <f>-SUMIF(ALIF_Y2023!$I:$I,$B33,ALIF_Y2023!$F:$F)</f>
        <v>4698371.7089999998</v>
      </c>
      <c r="N33" s="32">
        <f>-SUMIF(ALIF_Y2024!$I:$I,$B33,ALIF_Y2024!$F:$F)</f>
        <v>4807655.8289999999</v>
      </c>
      <c r="O33" s="32">
        <f>-SUMIF(ALIF_Y2025!$I:$I,$B33,ALIF_Y2025!$F:$F)</f>
        <v>4862172.949</v>
      </c>
    </row>
    <row r="34" spans="2:15" x14ac:dyDescent="0.2">
      <c r="B34" s="26" t="s">
        <v>399</v>
      </c>
      <c r="D34" s="33">
        <f t="shared" ref="D34" si="37">SUM(D30:D33)</f>
        <v>2925857.71</v>
      </c>
      <c r="E34" s="33">
        <f t="shared" ref="E34" si="38">SUM(E30:E33)</f>
        <v>2992687.9419999998</v>
      </c>
      <c r="F34" s="33">
        <f t="shared" ref="F34" si="39">SUM(F30:F33)</f>
        <v>4649375</v>
      </c>
      <c r="G34" s="33">
        <f t="shared" ref="G34" si="40">SUM(G30:G33)</f>
        <v>36562542.920000002</v>
      </c>
      <c r="H34" s="33">
        <f t="shared" ref="H34" si="41">SUM(H30:H33)</f>
        <v>16330194.17</v>
      </c>
      <c r="I34" s="33">
        <f t="shared" ref="I34" si="42">SUM(I30:I33)</f>
        <v>10791304.050000001</v>
      </c>
      <c r="J34" s="33">
        <f t="shared" ref="J34" si="43">SUM(J30:J33)</f>
        <v>10721358.516000001</v>
      </c>
      <c r="K34" s="33">
        <f t="shared" ref="K34" si="44">SUM(K30:K33)</f>
        <v>9787527.5639999993</v>
      </c>
      <c r="L34" s="33">
        <f t="shared" ref="L34" si="45">SUM(L30:L33)</f>
        <v>11557140.344999999</v>
      </c>
      <c r="M34" s="33">
        <f t="shared" ref="M34" si="46">SUM(M30:M33)</f>
        <v>-4919872.6380000012</v>
      </c>
      <c r="N34" s="33">
        <f t="shared" ref="N34" si="47">SUM(N30:N33)</f>
        <v>25721371.149</v>
      </c>
      <c r="O34" s="33">
        <f t="shared" ref="O34" si="48">SUM(O30:O33)</f>
        <v>42480597.289999999</v>
      </c>
    </row>
    <row r="35" spans="2:15" ht="19.149999999999999" customHeight="1" x14ac:dyDescent="0.2">
      <c r="B35" s="26" t="s">
        <v>408</v>
      </c>
      <c r="D35" s="36">
        <f t="shared" ref="D35" si="49">D34+D27</f>
        <v>31867981.101</v>
      </c>
      <c r="E35" s="36">
        <f t="shared" ref="E35" si="50">E34+E27</f>
        <v>22617235.454000004</v>
      </c>
      <c r="F35" s="36">
        <f t="shared" ref="F35" si="51">F34+F27</f>
        <v>37446407.230000004</v>
      </c>
      <c r="G35" s="36">
        <f t="shared" ref="G35" si="52">G34+G27</f>
        <v>44596410.917999998</v>
      </c>
      <c r="H35" s="36">
        <f t="shared" ref="H35" si="53">H34+H27</f>
        <v>86654999.961999997</v>
      </c>
      <c r="I35" s="36">
        <f t="shared" ref="I35" si="54">I34+I27</f>
        <v>86279959.892000005</v>
      </c>
      <c r="J35" s="36">
        <f t="shared" ref="J35" si="55">J34+J27</f>
        <v>108190675.76300001</v>
      </c>
      <c r="K35" s="36">
        <f t="shared" ref="K35" si="56">K34+K27</f>
        <v>109749987.755</v>
      </c>
      <c r="L35" s="36">
        <f t="shared" ref="L35" si="57">L34+L27</f>
        <v>147175138.19199997</v>
      </c>
      <c r="M35" s="36">
        <f t="shared" ref="M35" si="58">M34+M27</f>
        <v>86320069.596000001</v>
      </c>
      <c r="N35" s="36">
        <f t="shared" ref="N35" si="59">N34+N27</f>
        <v>150544110.06299999</v>
      </c>
      <c r="O35" s="36">
        <f t="shared" ref="O35" si="60">O34+O27</f>
        <v>260284791.539</v>
      </c>
    </row>
    <row r="36" spans="2:15" x14ac:dyDescent="0.2">
      <c r="B36" s="25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spans="2:15" x14ac:dyDescent="0.2">
      <c r="B37" s="26" t="s">
        <v>400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2:15" x14ac:dyDescent="0.2">
      <c r="B38" s="25" t="s">
        <v>333</v>
      </c>
      <c r="D38" s="32">
        <f>-SUMIF(ALIF_Y2014!$I:$I,$B38,ALIF_Y2014!$F:$F)</f>
        <v>33568250</v>
      </c>
      <c r="E38" s="32">
        <f>-SUMIF(ALIF_Y2015!$I:$I,$B38,ALIF_Y2015!$F:$F)</f>
        <v>33568250</v>
      </c>
      <c r="F38" s="32">
        <f>-SUMIF(ALIF_Y2016!$I:$I,$B38,ALIF_Y2016!$F:$F)</f>
        <v>33568250</v>
      </c>
      <c r="G38" s="32">
        <f>-SUMIF(ALIF_Y2017!$I:$I,$B38,ALIF_Y2017!$F:$F)</f>
        <v>33568250</v>
      </c>
      <c r="H38" s="32">
        <f>-SUMIF(ALIF_Y2018!$I:$I,$B38,ALIF_Y2018!$F:$F)</f>
        <v>33568250</v>
      </c>
      <c r="I38" s="32">
        <f>-SUMIF(ALIF_Y2019!$I:$I,$B38,ALIF_Y2019!$F:$F)</f>
        <v>33568250</v>
      </c>
      <c r="J38" s="32">
        <f>-SUMIF(ALIF_Y2020!$I:$I,$B38,ALIF_Y2020!$F:$F)</f>
        <v>35335000</v>
      </c>
      <c r="K38" s="32">
        <f>-SUMIF(ALIF_Y2021!$I:$I,$B38,ALIF_Y2021!$F:$F)</f>
        <v>35335000</v>
      </c>
      <c r="L38" s="32">
        <f>-SUMIF(ALIF_Y2022!$I:$I,$B38,ALIF_Y2022!$F:$F)</f>
        <v>35335000</v>
      </c>
      <c r="M38" s="32">
        <f>-SUMIF(ALIF_Y2023!$I:$I,$B38,ALIF_Y2023!$F:$F)</f>
        <v>35335000</v>
      </c>
      <c r="N38" s="32">
        <f>-SUMIF(ALIF_Y2024!$I:$I,$B38,ALIF_Y2024!$F:$F)</f>
        <v>35335000</v>
      </c>
      <c r="O38" s="32">
        <f>-SUMIF(ALIF_Y2025!$I:$I,$B38,ALIF_Y2025!$F:$F)</f>
        <v>35335000</v>
      </c>
    </row>
    <row r="39" spans="2:15" x14ac:dyDescent="0.2">
      <c r="B39" s="25" t="s">
        <v>323</v>
      </c>
      <c r="D39" s="32">
        <f>-SUMIF(ALIF_Y2014!$I:$I,$B39,ALIF_Y2014!$F:$F)</f>
        <v>3512480</v>
      </c>
      <c r="E39" s="32">
        <f>-SUMIF(ALIF_Y2015!$I:$I,$B39,ALIF_Y2015!$F:$F)</f>
        <v>4856327</v>
      </c>
      <c r="F39" s="32">
        <f>-SUMIF(ALIF_Y2016!$I:$I,$B39,ALIF_Y2016!$F:$F)</f>
        <v>5627620</v>
      </c>
      <c r="G39" s="32">
        <f>-SUMIF(ALIF_Y2017!$I:$I,$B39,ALIF_Y2017!$F:$F)</f>
        <v>5627620</v>
      </c>
      <c r="H39" s="32">
        <f>-SUMIF(ALIF_Y2018!$I:$I,$B39,ALIF_Y2018!$F:$F)</f>
        <v>6053397</v>
      </c>
      <c r="I39" s="32">
        <f>-SUMIF(ALIF_Y2019!$I:$I,$B39,ALIF_Y2019!$F:$F)</f>
        <v>6684528</v>
      </c>
      <c r="J39" s="32">
        <f>-SUMIF(ALIF_Y2020!$I:$I,$B39,ALIF_Y2020!$F:$F)</f>
        <v>6684528</v>
      </c>
      <c r="K39" s="32">
        <f>-SUMIF(ALIF_Y2021!$I:$I,$B39,ALIF_Y2021!$F:$F)</f>
        <v>7202958</v>
      </c>
      <c r="L39" s="32">
        <f>-SUMIF(ALIF_Y2022!$I:$I,$B39,ALIF_Y2022!$F:$F)</f>
        <v>7846137</v>
      </c>
      <c r="M39" s="32">
        <f>-SUMIF(ALIF_Y2023!$I:$I,$B39,ALIF_Y2023!$F:$F)</f>
        <v>7846137</v>
      </c>
      <c r="N39" s="32">
        <f>-SUMIF(ALIF_Y2024!$I:$I,$B39,ALIF_Y2024!$F:$F)</f>
        <v>7846137</v>
      </c>
      <c r="O39" s="32">
        <f>-SUMIF(ALIF_Y2025!$I:$I,$B39,ALIF_Y2025!$F:$F)</f>
        <v>7846137</v>
      </c>
    </row>
    <row r="40" spans="2:15" x14ac:dyDescent="0.2">
      <c r="B40" s="25" t="s">
        <v>332</v>
      </c>
      <c r="D40" s="32">
        <f>-SUMIF(ALIF_Y2014!$I:$I,$B40,ALIF_Y2014!$F:$F)-SUMIF(ALIF_Y2014!$G:$G,"IS",ALIF_Y2014!$F:$F)</f>
        <v>35437048.05326134</v>
      </c>
      <c r="E40" s="32">
        <f>-SUMIF(ALIF_Y2015!$I:$I,$B40,ALIF_Y2015!$F:$F)-SUMIF(ALIF_Y2015!$G:$G,"IS",ALIF_Y2015!$F:$F)</f>
        <v>40958806.900832146</v>
      </c>
      <c r="F40" s="32">
        <f>-SUMIF(ALIF_Y2016!$I:$I,$B40,ALIF_Y2016!$F:$F)-SUMIF(ALIF_Y2016!$G:$G,"IS",ALIF_Y2016!$F:$F)</f>
        <v>25963820.786476329</v>
      </c>
      <c r="G40" s="32">
        <f>-SUMIF(ALIF_Y2017!$I:$I,$B40,ALIF_Y2017!$F:$F)-SUMIF(ALIF_Y2017!$G:$G,"IS",ALIF_Y2017!$F:$F)</f>
        <v>25089527.062254377</v>
      </c>
      <c r="H40" s="32">
        <f>-SUMIF(ALIF_Y2018!$I:$I,$B40,ALIF_Y2018!$F:$F)-SUMIF(ALIF_Y2018!$G:$G,"IS",ALIF_Y2018!$F:$F)</f>
        <v>31662134.243403755</v>
      </c>
      <c r="I40" s="32">
        <f>-SUMIF(ALIF_Y2019!$I:$I,$B40,ALIF_Y2019!$F:$F)-SUMIF(ALIF_Y2019!$G:$G,"IS",ALIF_Y2019!$F:$F)</f>
        <v>33642416.011237688</v>
      </c>
      <c r="J40" s="32">
        <f>-SUMIF(ALIF_Y2020!$I:$I,$B40,ALIF_Y2020!$F:$F)-SUMIF(ALIF_Y2020!$G:$G,"IS",ALIF_Y2020!$F:$F)</f>
        <v>12723943.839981362</v>
      </c>
      <c r="K40" s="32">
        <f>-SUMIF(ALIF_Y2021!$I:$I,$B40,ALIF_Y2021!$F:$F)-SUMIF(ALIF_Y2021!$G:$G,"IS",ALIF_Y2021!$F:$F)</f>
        <v>17758545.053546965</v>
      </c>
      <c r="L40" s="32">
        <f>-SUMIF(ALIF_Y2022!$I:$I,$B40,ALIF_Y2022!$F:$F)-SUMIF(ALIF_Y2022!$G:$G,"IS",ALIF_Y2022!$F:$F)</f>
        <v>24425366.061635222</v>
      </c>
      <c r="M40" s="32">
        <f>-SUMIF(ALIF_Y2023!$I:$I,$B40,ALIF_Y2023!$F:$F)-SUMIF(ALIF_Y2023!$G:$G,"IS",ALIF_Y2023!$F:$F)</f>
        <v>-11949183.046643011</v>
      </c>
      <c r="N40" s="32">
        <f>-SUMIF(ALIF_Y2024!$I:$I,$B40,ALIF_Y2024!$F:$F)-SUMIF(ALIF_Y2024!$G:$G,"IS",ALIF_Y2024!$F:$F)</f>
        <v>-30717238.304831021</v>
      </c>
      <c r="O40" s="32">
        <f>-SUMIF(ALIF_Y2025!$I:$I,$B40,ALIF_Y2025!$F:$F)-SUMIF(ALIF_Y2025!$G:$G,"IS",ALIF_Y2025!$F:$F)</f>
        <v>-78929334.312830552</v>
      </c>
    </row>
    <row r="41" spans="2:15" x14ac:dyDescent="0.2">
      <c r="B41" s="25" t="s">
        <v>334</v>
      </c>
      <c r="D41" s="32">
        <f>-SUMIF(ALIF_Y2014!$I:$I,$B41,ALIF_Y2014!$F:$F)</f>
        <v>0</v>
      </c>
      <c r="E41" s="32">
        <f>-SUMIF(ALIF_Y2015!$I:$I,$B41,ALIF_Y2015!$F:$F)</f>
        <v>0</v>
      </c>
      <c r="F41" s="32">
        <f>-SUMIF(ALIF_Y2016!$I:$I,$B41,ALIF_Y2016!$F:$F)</f>
        <v>85866130.439999998</v>
      </c>
      <c r="G41" s="32">
        <f>-SUMIF(ALIF_Y2017!$I:$I,$B41,ALIF_Y2017!$F:$F)</f>
        <v>85866130.439999998</v>
      </c>
      <c r="H41" s="32">
        <f>-SUMIF(ALIF_Y2018!$I:$I,$B41,ALIF_Y2018!$F:$F)</f>
        <v>102255315.01000001</v>
      </c>
      <c r="I41" s="32">
        <f>-SUMIF(ALIF_Y2019!$I:$I,$B41,ALIF_Y2019!$F:$F)</f>
        <v>102255315.01000001</v>
      </c>
      <c r="J41" s="32">
        <f>-SUMIF(ALIF_Y2020!$I:$I,$B41,ALIF_Y2020!$F:$F)</f>
        <v>102255315.01000001</v>
      </c>
      <c r="K41" s="32">
        <f>-SUMIF(ALIF_Y2021!$I:$I,$B41,ALIF_Y2021!$F:$F)</f>
        <v>102255315.01000001</v>
      </c>
      <c r="L41" s="32">
        <f>-SUMIF(ALIF_Y2022!$I:$I,$B41,ALIF_Y2022!$F:$F)</f>
        <v>102255315.01000001</v>
      </c>
      <c r="M41" s="32">
        <f>-SUMIF(ALIF_Y2023!$I:$I,$B41,ALIF_Y2023!$F:$F)</f>
        <v>102255315.01000001</v>
      </c>
      <c r="N41" s="32">
        <f>-SUMIF(ALIF_Y2024!$I:$I,$B41,ALIF_Y2024!$F:$F)</f>
        <v>102255315.01000001</v>
      </c>
      <c r="O41" s="32">
        <f>-SUMIF(ALIF_Y2025!$I:$I,$B41,ALIF_Y2025!$F:$F)</f>
        <v>102255315.01000001</v>
      </c>
    </row>
    <row r="42" spans="2:15" x14ac:dyDescent="0.2">
      <c r="B42" s="26" t="s">
        <v>401</v>
      </c>
      <c r="D42" s="33">
        <f>SUM(D38:D41)</f>
        <v>72517778.05326134</v>
      </c>
      <c r="E42" s="33">
        <f>SUM(E38:E41)</f>
        <v>79383383.900832146</v>
      </c>
      <c r="F42" s="33">
        <f t="shared" ref="F42" si="61">SUM(F38:F41)</f>
        <v>151025821.22647631</v>
      </c>
      <c r="G42" s="33">
        <f t="shared" ref="G42" si="62">SUM(G38:G41)</f>
        <v>150151527.50225437</v>
      </c>
      <c r="H42" s="33">
        <f t="shared" ref="H42" si="63">SUM(H38:H41)</f>
        <v>173539096.25340378</v>
      </c>
      <c r="I42" s="33">
        <f t="shared" ref="I42" si="64">SUM(I38:I41)</f>
        <v>176150509.02123767</v>
      </c>
      <c r="J42" s="33">
        <f t="shared" ref="J42" si="65">SUM(J38:J41)</f>
        <v>156998786.84998137</v>
      </c>
      <c r="K42" s="33">
        <f t="shared" ref="K42" si="66">SUM(K38:K41)</f>
        <v>162551818.06354696</v>
      </c>
      <c r="L42" s="33">
        <f t="shared" ref="L42" si="67">SUM(L38:L41)</f>
        <v>169861818.07163525</v>
      </c>
      <c r="M42" s="33">
        <f t="shared" ref="M42" si="68">SUM(M38:M41)</f>
        <v>133487268.963357</v>
      </c>
      <c r="N42" s="33">
        <f t="shared" ref="N42" si="69">SUM(N38:N41)</f>
        <v>114719213.70516899</v>
      </c>
      <c r="O42" s="33">
        <f t="shared" ref="O42" si="70">SUM(O38:O41)</f>
        <v>66507117.697169453</v>
      </c>
    </row>
    <row r="43" spans="2:15" x14ac:dyDescent="0.2">
      <c r="B43" s="2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spans="2:15" ht="13.5" thickBot="1" x14ac:dyDescent="0.25">
      <c r="B44" s="26" t="s">
        <v>402</v>
      </c>
      <c r="D44" s="140">
        <f t="shared" ref="D44" si="71">D27+D34+D42</f>
        <v>104385759.15426134</v>
      </c>
      <c r="E44" s="140">
        <f>E27+E34+E42</f>
        <v>102000619.35483214</v>
      </c>
      <c r="F44" s="140">
        <f t="shared" ref="F44:O44" si="72">F27+F34+F42</f>
        <v>188472228.45647633</v>
      </c>
      <c r="G44" s="140">
        <f t="shared" si="72"/>
        <v>194747938.42025435</v>
      </c>
      <c r="H44" s="140">
        <f t="shared" si="72"/>
        <v>260194096.2154038</v>
      </c>
      <c r="I44" s="140">
        <f t="shared" si="72"/>
        <v>262430468.91323769</v>
      </c>
      <c r="J44" s="140">
        <f t="shared" si="72"/>
        <v>265189462.61298138</v>
      </c>
      <c r="K44" s="140">
        <f t="shared" si="72"/>
        <v>272301805.81854695</v>
      </c>
      <c r="L44" s="140">
        <f t="shared" si="72"/>
        <v>317036956.26363522</v>
      </c>
      <c r="M44" s="140">
        <f t="shared" si="72"/>
        <v>219807338.55935699</v>
      </c>
      <c r="N44" s="140">
        <f t="shared" si="72"/>
        <v>265263323.76816899</v>
      </c>
      <c r="O44" s="140">
        <f t="shared" si="72"/>
        <v>326791909.23616946</v>
      </c>
    </row>
    <row r="45" spans="2:15" ht="13.5" thickTop="1" x14ac:dyDescent="0.2"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2:15" x14ac:dyDescent="0.2">
      <c r="D46" s="38">
        <f t="shared" ref="D46" si="73">D44-D19</f>
        <v>-3603438.4757386893</v>
      </c>
      <c r="E46" s="38">
        <f>E44-E19</f>
        <v>-1318911.1681678593</v>
      </c>
      <c r="F46" s="38">
        <f t="shared" ref="F46:O46" si="74">F44-F19</f>
        <v>-3619649.0155236721</v>
      </c>
      <c r="G46" s="38">
        <f t="shared" si="74"/>
        <v>-3261022.8177456856</v>
      </c>
      <c r="H46" s="38">
        <f t="shared" si="74"/>
        <v>-485044.32859620452</v>
      </c>
      <c r="I46" s="38">
        <f t="shared" si="74"/>
        <v>-1089346.103762269</v>
      </c>
      <c r="J46" s="38">
        <f t="shared" si="74"/>
        <v>-1237901.2930186093</v>
      </c>
      <c r="K46" s="38">
        <f t="shared" si="74"/>
        <v>-1339380.2474530339</v>
      </c>
      <c r="L46" s="38">
        <f t="shared" si="74"/>
        <v>-425547.7793648243</v>
      </c>
      <c r="M46" s="38">
        <f t="shared" si="74"/>
        <v>-76050.67964297533</v>
      </c>
      <c r="N46" s="38">
        <f t="shared" si="74"/>
        <v>4393628.9131689966</v>
      </c>
      <c r="O46" s="38">
        <f t="shared" si="74"/>
        <v>1566334.3801693916</v>
      </c>
    </row>
    <row r="47" spans="2:15" x14ac:dyDescent="0.2"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</row>
    <row r="48" spans="2:15" x14ac:dyDescent="0.2">
      <c r="B48" s="22" t="s">
        <v>502</v>
      </c>
      <c r="D48" s="38">
        <f t="shared" ref="D48" si="75">D11-D27</f>
        <v>59658268.073000014</v>
      </c>
      <c r="E48" s="38">
        <f>E11-E27</f>
        <v>56472337.163999997</v>
      </c>
      <c r="F48" s="38">
        <f t="shared" ref="F48:O48" si="76">F11-F27</f>
        <v>46127657.121000007</v>
      </c>
      <c r="G48" s="38">
        <f t="shared" si="76"/>
        <v>73972190.377000004</v>
      </c>
      <c r="H48" s="38">
        <f t="shared" si="76"/>
        <v>49968977.537</v>
      </c>
      <c r="I48" s="38">
        <f t="shared" si="76"/>
        <v>43247140.006999999</v>
      </c>
      <c r="J48" s="38">
        <f t="shared" si="76"/>
        <v>28230902.763999999</v>
      </c>
      <c r="K48" s="38">
        <f t="shared" si="76"/>
        <v>36352679.776000008</v>
      </c>
      <c r="L48" s="38">
        <f t="shared" si="76"/>
        <v>42044084.674000055</v>
      </c>
      <c r="M48" s="38">
        <f t="shared" si="76"/>
        <v>-4017757.6710000038</v>
      </c>
      <c r="N48" s="38">
        <f t="shared" si="76"/>
        <v>-3819214.2030000091</v>
      </c>
      <c r="O48" s="38">
        <f t="shared" si="76"/>
        <v>-53264010.064999998</v>
      </c>
    </row>
    <row r="49" spans="2:15" x14ac:dyDescent="0.2">
      <c r="B49" s="22" t="s">
        <v>500</v>
      </c>
      <c r="D49" s="84">
        <f t="shared" ref="D49" si="77">D11/D27</f>
        <v>3.0612954781179491</v>
      </c>
      <c r="E49" s="84">
        <f>E11/E27</f>
        <v>3.8776376693255394</v>
      </c>
      <c r="F49" s="84">
        <f t="shared" ref="F49:O49" si="78">F11/F27</f>
        <v>2.4064582672454815</v>
      </c>
      <c r="G49" s="84">
        <f t="shared" si="78"/>
        <v>10.207543663328186</v>
      </c>
      <c r="H49" s="84">
        <f t="shared" si="78"/>
        <v>1.7105455461163088</v>
      </c>
      <c r="I49" s="84">
        <f t="shared" si="78"/>
        <v>1.5728958811707754</v>
      </c>
      <c r="J49" s="84">
        <f t="shared" si="78"/>
        <v>1.2896388685319216</v>
      </c>
      <c r="K49" s="84">
        <f t="shared" si="78"/>
        <v>1.3636633162743326</v>
      </c>
      <c r="L49" s="84">
        <f t="shared" si="78"/>
        <v>1.3100184735173048</v>
      </c>
      <c r="M49" s="84">
        <f t="shared" si="78"/>
        <v>0.95596492530984079</v>
      </c>
      <c r="N49" s="84">
        <f t="shared" si="78"/>
        <v>0.9694028969703079</v>
      </c>
      <c r="O49" s="84">
        <f t="shared" si="78"/>
        <v>0.75545002588835797</v>
      </c>
    </row>
    <row r="50" spans="2:15" x14ac:dyDescent="0.2">
      <c r="B50" s="22" t="s">
        <v>501</v>
      </c>
      <c r="D50" s="85">
        <f t="shared" ref="D50" si="79">D35/D42</f>
        <v>0.43945060034236394</v>
      </c>
      <c r="E50" s="85">
        <f>E35/E42</f>
        <v>0.28491145555415048</v>
      </c>
      <c r="F50" s="85">
        <f t="shared" ref="F50:O50" si="80">F35/F42</f>
        <v>0.24794705253643926</v>
      </c>
      <c r="G50" s="85">
        <f t="shared" si="80"/>
        <v>0.29700937219789808</v>
      </c>
      <c r="H50" s="85">
        <f t="shared" si="80"/>
        <v>0.49933992877008748</v>
      </c>
      <c r="I50" s="85">
        <f t="shared" si="80"/>
        <v>0.48980817808251476</v>
      </c>
      <c r="J50" s="85">
        <f t="shared" si="80"/>
        <v>0.68911790934015649</v>
      </c>
      <c r="K50" s="85">
        <f t="shared" si="80"/>
        <v>0.67516924179891391</v>
      </c>
      <c r="L50" s="85">
        <f t="shared" si="80"/>
        <v>0.86644037996774714</v>
      </c>
      <c r="M50" s="85">
        <f t="shared" si="80"/>
        <v>0.64665394884732674</v>
      </c>
      <c r="N50" s="85">
        <f t="shared" si="80"/>
        <v>1.3122833150678823</v>
      </c>
      <c r="O50" s="85">
        <f t="shared" si="80"/>
        <v>3.9136381270373071</v>
      </c>
    </row>
    <row r="51" spans="2:15" x14ac:dyDescent="0.2">
      <c r="E51" s="85"/>
      <c r="F51" s="85"/>
      <c r="G51" s="85"/>
      <c r="K51" s="85"/>
      <c r="L51" s="85"/>
      <c r="M51" s="85"/>
    </row>
    <row r="52" spans="2:15" x14ac:dyDescent="0.2">
      <c r="F52" s="28"/>
      <c r="G52" s="28"/>
      <c r="L52" s="28"/>
      <c r="M52" s="28"/>
    </row>
    <row r="53" spans="2:15" x14ac:dyDescent="0.2">
      <c r="B53" s="22" t="s">
        <v>503</v>
      </c>
      <c r="D53" s="86">
        <f>D8/'P&amp;L_2014-2025'!C8*365</f>
        <v>94.749388283566233</v>
      </c>
      <c r="E53" s="86">
        <f>E8/'P&amp;L_2014-2025'!D8*365</f>
        <v>118.44032663679754</v>
      </c>
      <c r="F53" s="86">
        <f>F8/'P&amp;L_2014-2025'!E8*365</f>
        <v>150.17303485877088</v>
      </c>
      <c r="G53" s="86">
        <f>G8/'P&amp;L_2014-2025'!F8*365</f>
        <v>140.3910490749744</v>
      </c>
      <c r="H53" s="86">
        <f>H8/'P&amp;L_2014-2025'!G8*365</f>
        <v>118.59987935442162</v>
      </c>
      <c r="I53" s="86">
        <f>I8/'P&amp;L_2014-2025'!H8*365</f>
        <v>100.66021761595867</v>
      </c>
      <c r="J53" s="86">
        <f>J8/'P&amp;L_2014-2025'!I8*365</f>
        <v>102.20888936149908</v>
      </c>
      <c r="K53" s="86">
        <f>K8/'P&amp;L_2014-2025'!J8*365</f>
        <v>119.55060164530931</v>
      </c>
      <c r="L53" s="86">
        <f>L8/'P&amp;L_2014-2025'!K8*365</f>
        <v>114.194770153764</v>
      </c>
      <c r="M53" s="86">
        <f>M8/'P&amp;L_2014-2025'!L8*365</f>
        <v>115.50622640164531</v>
      </c>
      <c r="N53" s="86">
        <f>N8/'P&amp;L_2014-2025'!M8*365</f>
        <v>122.04093028839665</v>
      </c>
      <c r="O53" s="86">
        <f>O8/'P&amp;L_2014-2025'!N8*365</f>
        <v>81.568561786550902</v>
      </c>
    </row>
    <row r="54" spans="2:15" x14ac:dyDescent="0.2">
      <c r="B54" s="22" t="s">
        <v>504</v>
      </c>
      <c r="D54" s="86">
        <f>D10/'P&amp;L_2014-2025'!C22*365</f>
        <v>116.49163876572224</v>
      </c>
      <c r="E54" s="86">
        <f>E10/'P&amp;L_2014-2025'!D22*365</f>
        <v>119.48180695668628</v>
      </c>
      <c r="F54" s="86">
        <f>F10/'P&amp;L_2014-2025'!E22*365</f>
        <v>157.64269953745077</v>
      </c>
      <c r="G54" s="86">
        <f>G10/'P&amp;L_2014-2025'!F22*365</f>
        <v>118.9327638999799</v>
      </c>
      <c r="H54" s="86">
        <f>H10/'P&amp;L_2014-2025'!G22*365</f>
        <v>269.03537183604567</v>
      </c>
      <c r="I54" s="86">
        <f>I10/'P&amp;L_2014-2025'!H22*365</f>
        <v>185.58914655272883</v>
      </c>
      <c r="J54" s="86">
        <f>J10/'P&amp;L_2014-2025'!I22*365</f>
        <v>135.73794199510348</v>
      </c>
      <c r="K54" s="86">
        <f>K10/'P&amp;L_2014-2025'!J22*365</f>
        <v>139.52277386662058</v>
      </c>
      <c r="L54" s="86">
        <f>L10/'P&amp;L_2014-2025'!K22*365</f>
        <v>175.0909601478194</v>
      </c>
      <c r="M54" s="86">
        <f>M10/'P&amp;L_2014-2025'!L22*365</f>
        <v>150.70528444501494</v>
      </c>
      <c r="N54" s="86">
        <f>N10/'P&amp;L_2014-2025'!M22*365</f>
        <v>165.0489092239647</v>
      </c>
      <c r="O54" s="86">
        <f>O10/'P&amp;L_2014-2025'!N22*365</f>
        <v>274.69933458986736</v>
      </c>
    </row>
    <row r="55" spans="2:15" x14ac:dyDescent="0.2">
      <c r="B55" s="22" t="s">
        <v>505</v>
      </c>
      <c r="D55" s="86">
        <f>D26/'P&amp;L_2014-2025'!C22*365</f>
        <v>8.5739531881100532</v>
      </c>
      <c r="E55" s="86">
        <f>E26/'P&amp;L_2014-2025'!D22*365</f>
        <v>26.423245493450715</v>
      </c>
      <c r="F55" s="86">
        <f>F26/'P&amp;L_2014-2025'!E22*365</f>
        <v>27.197089736912829</v>
      </c>
      <c r="G55" s="86">
        <f>G26/'P&amp;L_2014-2025'!F22*365</f>
        <v>31.817834647963181</v>
      </c>
      <c r="H55" s="86">
        <f>H26/'P&amp;L_2014-2025'!G22*365</f>
        <v>34.185322594216345</v>
      </c>
      <c r="I55" s="86">
        <f>I26/'P&amp;L_2014-2025'!H22*365</f>
        <v>20.356877528580302</v>
      </c>
      <c r="J55" s="86">
        <f>J26/'P&amp;L_2014-2025'!I22*365</f>
        <v>28.905098594362862</v>
      </c>
      <c r="K55" s="86">
        <f>K26/'P&amp;L_2014-2025'!J22*365</f>
        <v>14.996022538419069</v>
      </c>
      <c r="L55" s="86">
        <f>L26/'P&amp;L_2014-2025'!K22*365</f>
        <v>12.064721876158567</v>
      </c>
      <c r="M55" s="86">
        <f>M26/'P&amp;L_2014-2025'!L22*365</f>
        <v>21.812337360117567</v>
      </c>
      <c r="N55" s="86">
        <f>N26/'P&amp;L_2014-2025'!M22*365</f>
        <v>36.985693475582771</v>
      </c>
      <c r="O55" s="86">
        <f>O26/'P&amp;L_2014-2025'!N22*365</f>
        <v>56.805084323592524</v>
      </c>
    </row>
    <row r="56" spans="2:15" s="64" customFormat="1" x14ac:dyDescent="0.2">
      <c r="B56" s="64" t="s">
        <v>506</v>
      </c>
      <c r="D56" s="160">
        <f>D53+D54-D55</f>
        <v>202.66707386117844</v>
      </c>
      <c r="E56" s="160">
        <f t="shared" ref="E56:O56" si="81">E53+E54-E55</f>
        <v>211.4988881000331</v>
      </c>
      <c r="F56" s="160">
        <f t="shared" si="81"/>
        <v>280.61864465930876</v>
      </c>
      <c r="G56" s="160">
        <f t="shared" si="81"/>
        <v>227.50597832699111</v>
      </c>
      <c r="H56" s="160">
        <f t="shared" si="81"/>
        <v>353.44992859625091</v>
      </c>
      <c r="I56" s="160">
        <f t="shared" si="81"/>
        <v>265.89248664010722</v>
      </c>
      <c r="J56" s="160">
        <f t="shared" si="81"/>
        <v>209.04173276223969</v>
      </c>
      <c r="K56" s="160">
        <f t="shared" si="81"/>
        <v>244.07735297351081</v>
      </c>
      <c r="L56" s="160">
        <f t="shared" si="81"/>
        <v>277.22100842542483</v>
      </c>
      <c r="M56" s="160">
        <f t="shared" si="81"/>
        <v>244.39917348654268</v>
      </c>
      <c r="N56" s="160">
        <f t="shared" si="81"/>
        <v>250.10414603677856</v>
      </c>
      <c r="O56" s="160">
        <f t="shared" si="81"/>
        <v>299.46281205282571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2DCF-DE2B-4D0E-B576-B6D0A415084B}">
  <dimension ref="A1"/>
  <sheetViews>
    <sheetView workbookViewId="0">
      <selection activeCell="Q13" sqref="Q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B9F0-9A3A-49F0-9368-7C12922D67F6}">
  <dimension ref="A1"/>
  <sheetViews>
    <sheetView workbookViewId="0">
      <selection activeCell="L22" sqref="L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A1A5-7D72-433B-820F-D8725501C2CB}">
  <sheetPr>
    <tabColor rgb="FFFFFF00"/>
  </sheetPr>
  <dimension ref="A1:N87"/>
  <sheetViews>
    <sheetView showGridLines="0" tabSelected="1" zoomScale="90" zoomScaleNormal="90" workbookViewId="0">
      <pane ySplit="5" topLeftCell="A6" activePane="bottomLeft" state="frozen"/>
      <selection pane="bottomLeft" activeCell="L12" sqref="L12"/>
    </sheetView>
  </sheetViews>
  <sheetFormatPr defaultColWidth="8.85546875" defaultRowHeight="15" x14ac:dyDescent="0.25"/>
  <cols>
    <col min="1" max="1" width="6" style="9" customWidth="1"/>
    <col min="2" max="2" width="23.42578125" style="9" customWidth="1"/>
    <col min="3" max="3" width="13.28515625" style="11" bestFit="1" customWidth="1"/>
    <col min="4" max="4" width="14.140625" style="11" bestFit="1" customWidth="1"/>
    <col min="5" max="5" width="13.28515625" style="9" bestFit="1" customWidth="1"/>
    <col min="6" max="7" width="13.28515625" style="11" bestFit="1" customWidth="1"/>
    <col min="8" max="8" width="13.5703125" style="11" customWidth="1"/>
    <col min="9" max="9" width="15" style="11" bestFit="1" customWidth="1"/>
    <col min="10" max="10" width="13.140625" style="11" customWidth="1"/>
    <col min="11" max="11" width="13.85546875" style="11" bestFit="1" customWidth="1"/>
    <col min="12" max="12" width="15" style="11" customWidth="1"/>
    <col min="13" max="14" width="15.7109375" style="11" bestFit="1" customWidth="1"/>
    <col min="15" max="15" width="5.85546875" style="9" customWidth="1"/>
    <col min="16" max="16384" width="8.85546875" style="9"/>
  </cols>
  <sheetData>
    <row r="1" spans="1:14" x14ac:dyDescent="0.25">
      <c r="A1" s="64" t="s">
        <v>547</v>
      </c>
    </row>
    <row r="2" spans="1:14" x14ac:dyDescent="0.25">
      <c r="A2" s="64" t="s">
        <v>412</v>
      </c>
    </row>
    <row r="3" spans="1:14" x14ac:dyDescent="0.25">
      <c r="A3" s="65" t="s">
        <v>594</v>
      </c>
      <c r="C3" s="145">
        <v>2</v>
      </c>
      <c r="D3" s="145">
        <v>3</v>
      </c>
      <c r="E3" s="146">
        <v>4</v>
      </c>
      <c r="F3" s="145">
        <v>5</v>
      </c>
      <c r="G3" s="145">
        <v>6</v>
      </c>
      <c r="H3" s="145">
        <v>7</v>
      </c>
      <c r="I3" s="145">
        <v>8</v>
      </c>
      <c r="J3" s="145">
        <v>9</v>
      </c>
      <c r="K3" s="145">
        <v>10</v>
      </c>
      <c r="L3" s="145">
        <v>11</v>
      </c>
      <c r="M3" s="145"/>
      <c r="N3" s="145"/>
    </row>
    <row r="4" spans="1:14" x14ac:dyDescent="0.25">
      <c r="A4" s="29"/>
      <c r="C4" s="125"/>
      <c r="D4" s="125"/>
      <c r="E4" s="125"/>
      <c r="F4" s="125"/>
      <c r="G4" s="125"/>
      <c r="H4" s="125"/>
      <c r="I4" s="125"/>
      <c r="J4" s="125"/>
      <c r="K4" s="125"/>
      <c r="L4" s="74"/>
      <c r="M4" s="74"/>
      <c r="N4" s="74"/>
    </row>
    <row r="5" spans="1:14" s="20" customFormat="1" ht="18.600000000000001" customHeight="1" x14ac:dyDescent="0.25">
      <c r="C5" s="158" t="s">
        <v>592</v>
      </c>
      <c r="D5" s="158" t="s">
        <v>591</v>
      </c>
      <c r="E5" s="158" t="s">
        <v>590</v>
      </c>
      <c r="F5" s="158" t="s">
        <v>589</v>
      </c>
      <c r="G5" s="158" t="s">
        <v>588</v>
      </c>
      <c r="H5" s="158" t="s">
        <v>587</v>
      </c>
      <c r="I5" s="158" t="s">
        <v>586</v>
      </c>
      <c r="J5" s="158" t="s">
        <v>585</v>
      </c>
      <c r="K5" s="158" t="s">
        <v>584</v>
      </c>
      <c r="L5" s="158" t="s">
        <v>583</v>
      </c>
      <c r="M5" s="158" t="s">
        <v>581</v>
      </c>
      <c r="N5" s="158" t="s">
        <v>593</v>
      </c>
    </row>
    <row r="6" spans="1:14" x14ac:dyDescent="0.25">
      <c r="A6" s="104" t="s">
        <v>533</v>
      </c>
      <c r="C6" s="105">
        <f>C8/C7</f>
        <v>23036.5830465162</v>
      </c>
      <c r="D6" s="105">
        <v>31426</v>
      </c>
      <c r="E6" s="105">
        <v>32014</v>
      </c>
      <c r="F6" s="105">
        <v>29528</v>
      </c>
      <c r="G6" s="105">
        <v>28812</v>
      </c>
      <c r="H6" s="105">
        <v>38145</v>
      </c>
      <c r="I6" s="105">
        <v>36751</v>
      </c>
      <c r="J6" s="105">
        <v>37605</v>
      </c>
      <c r="K6" s="105">
        <v>37298</v>
      </c>
      <c r="L6" s="105">
        <v>24159</v>
      </c>
      <c r="M6" s="105">
        <v>35702</v>
      </c>
      <c r="N6" s="105">
        <v>45159</v>
      </c>
    </row>
    <row r="7" spans="1:14" s="79" customFormat="1" x14ac:dyDescent="0.25">
      <c r="A7" s="104" t="s">
        <v>534</v>
      </c>
      <c r="C7" s="107">
        <v>5815.7680583678821</v>
      </c>
      <c r="D7" s="107">
        <f t="shared" ref="D7" si="0">D8/D6</f>
        <v>3482.5990449108035</v>
      </c>
      <c r="E7" s="107">
        <f t="shared" ref="E7" si="1">E8/E6</f>
        <v>2741.5394093311984</v>
      </c>
      <c r="F7" s="107">
        <f t="shared" ref="F7" si="2">F8/F6</f>
        <v>3152.2150239050388</v>
      </c>
      <c r="G7" s="107">
        <f t="shared" ref="G7" si="3">G8/G6</f>
        <v>3727.9614585724703</v>
      </c>
      <c r="H7" s="107">
        <f t="shared" ref="H7" si="4">H8/H6</f>
        <v>3829.6434706360455</v>
      </c>
      <c r="I7" s="107">
        <f t="shared" ref="I7" si="5">I8/I6</f>
        <v>3444.8813364682323</v>
      </c>
      <c r="J7" s="107">
        <f t="shared" ref="J7" si="6">J8/J6</f>
        <v>4856.2358018348359</v>
      </c>
      <c r="K7" s="107">
        <f t="shared" ref="K7" si="7">K8/K6</f>
        <v>5951.116816730575</v>
      </c>
      <c r="L7" s="107">
        <f t="shared" ref="L7" si="8">L8/L6</f>
        <v>4313.1136373951731</v>
      </c>
      <c r="M7" s="107">
        <f t="shared" ref="M7:N7" si="9">M8/M6</f>
        <v>3787.2071414290513</v>
      </c>
      <c r="N7" s="107">
        <f t="shared" si="9"/>
        <v>3429.9509928733901</v>
      </c>
    </row>
    <row r="8" spans="1:14" ht="19.899999999999999" customHeight="1" x14ac:dyDescent="0.25">
      <c r="A8" s="8" t="s">
        <v>337</v>
      </c>
      <c r="C8" s="15">
        <f>-SUMIF(ALIF_Y2014!I:I,A8,ALIF_Y2014!F:F)</f>
        <v>133975423.855868</v>
      </c>
      <c r="D8" s="15">
        <f>-SUMIF(ALIF_Y2015!I:I,A8,ALIF_Y2015!F:F)</f>
        <v>109444157.5853669</v>
      </c>
      <c r="E8" s="15">
        <f>-SUMIF(ALIF_Y2016!I:I,A8,ALIF_Y2016!F:F)</f>
        <v>87767642.650328979</v>
      </c>
      <c r="F8" s="15">
        <f>-SUMIF(ALIF_Y2017!I:I,A8,ALIF_Y2017!F:F)</f>
        <v>93078605.225867987</v>
      </c>
      <c r="G8" s="15">
        <f>-SUMIF(ALIF_Y2018!I:I,A8,ALIF_Y2018!F:F)</f>
        <v>107410025.54439001</v>
      </c>
      <c r="H8" s="15">
        <f>-SUMIF(ALIF_Y2019!I:I,A8,ALIF_Y2019!F:F)</f>
        <v>146081750.18741196</v>
      </c>
      <c r="I8" s="15">
        <f>-SUMIF(ALIF_Y2020!I:I,A8,ALIF_Y2020!F:F)</f>
        <v>126602833.996544</v>
      </c>
      <c r="J8" s="15">
        <f>-SUMIF(ALIF_Y2021!I:I,A8,ALIF_Y2021!F:F)</f>
        <v>182618747.327999</v>
      </c>
      <c r="K8" s="15">
        <f>-SUMIF(ALIF_Y2022!I:I,A8,ALIF_Y2022!F:F)</f>
        <v>221964755.030417</v>
      </c>
      <c r="L8" s="15">
        <f>-SUMIF(ALIF_Y2023!I:I,A8,ALIF_Y2023!F:F)</f>
        <v>104200512.36582999</v>
      </c>
      <c r="M8" s="15">
        <f>-SUMIF(ALIF_Y2024!I:I,A8,ALIF_Y2024!F:F)</f>
        <v>135210869.3633</v>
      </c>
      <c r="N8" s="15">
        <f>-SUMIF(ALIF_Y2025!I:I,A8,ALIF_Y2025!F:F)</f>
        <v>154893156.88716942</v>
      </c>
    </row>
    <row r="9" spans="1:14" s="114" customFormat="1" x14ac:dyDescent="0.25">
      <c r="A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1:14" x14ac:dyDescent="0.25">
      <c r="A10" s="9" t="s">
        <v>343</v>
      </c>
      <c r="C10" s="62">
        <f>SUMIF(ALIF_Y2014!I:I,A10,ALIF_Y2014!F:F)</f>
        <v>81941048.596606642</v>
      </c>
      <c r="D10" s="62">
        <f>SUMIF(ALIF_Y2015!I:I,A10,ALIF_Y2015!F:F)</f>
        <v>65904067.777534761</v>
      </c>
      <c r="E10" s="149">
        <f>SUMIF(ALIF_Y2016!I:I,A10,ALIF_Y2016!F:F)</f>
        <v>55179705.656852663</v>
      </c>
      <c r="F10" s="62">
        <f>SUMIF(ALIF_Y2017!I:I,A10,ALIF_Y2017!F:F)</f>
        <v>58214236.076613627</v>
      </c>
      <c r="G10" s="62">
        <f>SUMIF(ALIF_Y2018!I:I,A10,ALIF_Y2018!F:F)</f>
        <v>75159713.02398628</v>
      </c>
      <c r="H10" s="62">
        <f>SUMIF(ALIF_Y2019!I:I,A10,ALIF_Y2019!F:F)</f>
        <v>101800151.00217427</v>
      </c>
      <c r="I10" s="62">
        <f>SUMIF(ALIF_Y2020!I:I,A10,ALIF_Y2020!F:F)</f>
        <v>100988459.92556266</v>
      </c>
      <c r="J10" s="62">
        <f>SUMIF(ALIF_Y2021!I:I,A10,ALIF_Y2021!F:F)</f>
        <v>128457153.22845203</v>
      </c>
      <c r="K10" s="62">
        <f>SUMIF(ALIF_Y2022!I:I,A10,ALIF_Y2022!F:F)</f>
        <v>158993620.62478179</v>
      </c>
      <c r="L10" s="62">
        <f>SUMIF(ALIF_Y2023!I:I,A10,ALIF_Y2023!F:F)</f>
        <v>86519533.614472955</v>
      </c>
      <c r="M10" s="62">
        <f>SUMIF(ALIF_Y2024!I:I,A10,ALIF_Y2024!F:F)</f>
        <v>106465714.16813104</v>
      </c>
      <c r="N10" s="62">
        <f>SUMIF(ALIF_Y2025!I:I,A10,ALIF_Y2025!F:F)</f>
        <v>114262456.88799998</v>
      </c>
    </row>
    <row r="11" spans="1:14" x14ac:dyDescent="0.25">
      <c r="A11" s="9" t="s">
        <v>344</v>
      </c>
      <c r="C11" s="62">
        <f>SUMIF(ALIF_Y2014!I:I,A11,ALIF_Y2014!F:F)</f>
        <v>10110577.705999997</v>
      </c>
      <c r="D11" s="62">
        <f>SUMIF(ALIF_Y2015!I:I,A11,ALIF_Y2015!F:F)</f>
        <v>4964584.5719999997</v>
      </c>
      <c r="E11" s="149">
        <f>SUMIF(ALIF_Y2016!I:I,A11,ALIF_Y2016!F:F)</f>
        <v>2752188.9319999996</v>
      </c>
      <c r="F11" s="62">
        <f>SUMIF(ALIF_Y2017!I:I,A11,ALIF_Y2017!F:F)</f>
        <v>8076733.3790000007</v>
      </c>
      <c r="G11" s="62">
        <f>SUMIF(ALIF_Y2018!I:I,A11,ALIF_Y2018!F:F)</f>
        <v>4690498.9110000003</v>
      </c>
      <c r="H11" s="62">
        <f>SUMIF(ALIF_Y2019!I:I,A11,ALIF_Y2019!F:F)</f>
        <v>4737194.0270000007</v>
      </c>
      <c r="I11" s="62">
        <f>SUMIF(ALIF_Y2020!I:I,A11,ALIF_Y2020!F:F)</f>
        <v>4616680.1390000004</v>
      </c>
      <c r="J11" s="62">
        <f>SUMIF(ALIF_Y2021!I:I,A11,ALIF_Y2021!F:F)</f>
        <v>6113548.9930000007</v>
      </c>
      <c r="K11" s="62">
        <f>SUMIF(ALIF_Y2022!I:I,A11,ALIF_Y2022!F:F)</f>
        <v>7571448.6799999997</v>
      </c>
      <c r="L11" s="62">
        <f>SUMIF(ALIF_Y2023!I:I,A11,ALIF_Y2023!F:F)</f>
        <v>4537898.5029999986</v>
      </c>
      <c r="M11" s="62">
        <f>SUMIF(ALIF_Y2024!I:I,A11,ALIF_Y2024!F:F)</f>
        <v>5342594.8040000005</v>
      </c>
      <c r="N11" s="62">
        <f>SUMIF(ALIF_Y2025!I:I,A11,ALIF_Y2025!F:F)</f>
        <v>14662272.800999999</v>
      </c>
    </row>
    <row r="12" spans="1:14" x14ac:dyDescent="0.25">
      <c r="A12" s="9" t="s">
        <v>383</v>
      </c>
      <c r="C12" s="62">
        <f>SUMIF(ALIF_Y2014!I:I,A12,ALIF_Y2014!F:F)</f>
        <v>2673874.8450000002</v>
      </c>
      <c r="D12" s="62">
        <f>SUMIF(ALIF_Y2015!I:I,A12,ALIF_Y2015!F:F)</f>
        <v>2734734.3369999998</v>
      </c>
      <c r="E12" s="149">
        <f>SUMIF(ALIF_Y2016!I:I,A12,ALIF_Y2016!F:F)</f>
        <v>2666816.54</v>
      </c>
      <c r="F12" s="62">
        <f>SUMIF(ALIF_Y2017!I:I,A12,ALIF_Y2017!F:F)</f>
        <v>2233233.64</v>
      </c>
      <c r="G12" s="62">
        <f>SUMIF(ALIF_Y2018!I:I,A12,ALIF_Y2018!F:F)</f>
        <v>3256415.537</v>
      </c>
      <c r="H12" s="62">
        <f>SUMIF(ALIF_Y2019!I:I,A12,ALIF_Y2019!F:F)</f>
        <v>3483379.7140000002</v>
      </c>
      <c r="I12" s="62">
        <f>SUMIF(ALIF_Y2020!I:I,A12,ALIF_Y2020!F:F)</f>
        <v>2692057.3369999998</v>
      </c>
      <c r="J12" s="62">
        <f>SUMIF(ALIF_Y2021!I:I,A12,ALIF_Y2021!F:F)</f>
        <v>2800211.2489999998</v>
      </c>
      <c r="K12" s="62">
        <f>SUMIF(ALIF_Y2022!I:I,A12,ALIF_Y2022!F:F)</f>
        <v>2728489.39</v>
      </c>
      <c r="L12" s="62">
        <f>SUMIF(ALIF_Y2023!I:I,A12,ALIF_Y2023!F:F)</f>
        <v>2712576.4359999998</v>
      </c>
      <c r="M12" s="62">
        <f>SUMIF(ALIF_Y2024!I:I,A12,ALIF_Y2024!F:F)</f>
        <v>2003043.5549999997</v>
      </c>
      <c r="N12" s="62">
        <f>SUMIF(ALIF_Y2025!I:I,A12,ALIF_Y2025!F:F)</f>
        <v>2233578.2069999995</v>
      </c>
    </row>
    <row r="13" spans="1:14" x14ac:dyDescent="0.25">
      <c r="A13" s="9" t="s">
        <v>468</v>
      </c>
      <c r="C13" s="62">
        <f>SUMIF(ALIF_Y2014!I:I,A13,ALIF_Y2014!F:F)</f>
        <v>0</v>
      </c>
      <c r="D13" s="62">
        <f>SUMIF(ALIF_Y2015!I:I,A13,ALIF_Y2015!F:F)</f>
        <v>0</v>
      </c>
      <c r="E13" s="149">
        <f>SUMIF(ALIF_Y2016!I:I,A13,ALIF_Y2016!F:F)</f>
        <v>0</v>
      </c>
      <c r="F13" s="62">
        <f>SUMIF(ALIF_Y2017!I:I,A13,ALIF_Y2017!F:F)</f>
        <v>0</v>
      </c>
      <c r="G13" s="62">
        <f>SUMIF(ALIF_Y2018!I:I,A13,ALIF_Y2018!F:F)</f>
        <v>0</v>
      </c>
      <c r="H13" s="62">
        <f>SUMIF(ALIF_Y2019!I:I,A13,ALIF_Y2019!F:F)</f>
        <v>0</v>
      </c>
      <c r="I13" s="62">
        <f>SUMIF(ALIF_Y2020!I:I,A13,ALIF_Y2020!F:F)</f>
        <v>0</v>
      </c>
      <c r="J13" s="62">
        <f>SUMIF(ALIF_Y2021!I:I,A13,ALIF_Y2021!F:F)</f>
        <v>0</v>
      </c>
      <c r="K13" s="62">
        <f>SUMIF(ALIF_Y2022!I:I,A13,ALIF_Y2022!F:F)</f>
        <v>0</v>
      </c>
      <c r="L13" s="62">
        <f>SUMIF(ALIF_Y2023!I:I,A13,ALIF_Y2023!F:F)</f>
        <v>0</v>
      </c>
      <c r="M13" s="62">
        <f>SUMIF(ALIF_Y2024!I:I,A13,ALIF_Y2024!F:F)</f>
        <v>0</v>
      </c>
      <c r="N13" s="62">
        <f>SUMIF(ALIF_Y2025!I:I,A13,ALIF_Y2025!F:F)</f>
        <v>-1.3969838619232178E-9</v>
      </c>
    </row>
    <row r="14" spans="1:14" x14ac:dyDescent="0.25">
      <c r="A14" s="9" t="s">
        <v>559</v>
      </c>
      <c r="C14" s="62">
        <f>SUMIF(ALIF_Y2014!I:I,A14,ALIF_Y2014!F:F)</f>
        <v>2954190.4589999998</v>
      </c>
      <c r="D14" s="62">
        <f>SUMIF(ALIF_Y2015!I:I,A14,ALIF_Y2015!F:F)</f>
        <v>3165403.4010000001</v>
      </c>
      <c r="E14" s="149">
        <f>SUMIF(ALIF_Y2016!I:I,A14,ALIF_Y2016!F:F)</f>
        <v>3435007.7499999995</v>
      </c>
      <c r="F14" s="62">
        <f>SUMIF(ALIF_Y2017!I:I,A14,ALIF_Y2017!F:F)</f>
        <v>3533037.389</v>
      </c>
      <c r="G14" s="62">
        <f>SUMIF(ALIF_Y2018!I:I,A14,ALIF_Y2018!F:F)</f>
        <v>2198098.9980000001</v>
      </c>
      <c r="H14" s="62">
        <f>SUMIF(ALIF_Y2019!I:I,A14,ALIF_Y2019!F:F)</f>
        <v>3638104.1009999998</v>
      </c>
      <c r="I14" s="62">
        <f>SUMIF(ALIF_Y2020!I:I,A14,ALIF_Y2020!F:F)</f>
        <v>3256640.844</v>
      </c>
      <c r="J14" s="62">
        <f>SUMIF(ALIF_Y2021!I:I,A14,ALIF_Y2021!F:F)</f>
        <v>3446969.5830000001</v>
      </c>
      <c r="K14" s="62">
        <f>SUMIF(ALIF_Y2022!I:I,A14,ALIF_Y2022!F:F)</f>
        <v>3787622.0819999999</v>
      </c>
      <c r="L14" s="62">
        <f>SUMIF(ALIF_Y2023!I:I,A14,ALIF_Y2023!F:F)</f>
        <v>3892923.0929999999</v>
      </c>
      <c r="M14" s="62">
        <f>SUMIF(ALIF_Y2024!I:I,A14,ALIF_Y2024!F:F)</f>
        <v>4522894.6119999997</v>
      </c>
      <c r="N14" s="182">
        <f>SUMIF(ALIF_Y2025!I:I,A14,ALIF_Y2025!F:F)</f>
        <v>7355690.534</v>
      </c>
    </row>
    <row r="15" spans="1:14" x14ac:dyDescent="0.25">
      <c r="A15" s="9" t="s">
        <v>745</v>
      </c>
      <c r="C15" s="62">
        <f>SUMIF(ALIF_Y2014!I:I,A15,ALIF_Y2014!F:F)</f>
        <v>2434320.8599999994</v>
      </c>
      <c r="D15" s="62">
        <f>SUMIF(ALIF_Y2015!I:I,A15,ALIF_Y2015!F:F)</f>
        <v>2420064.0279999999</v>
      </c>
      <c r="E15" s="149">
        <f>SUMIF(ALIF_Y2016!I:I,A15,ALIF_Y2016!F:F)</f>
        <v>2254831.1270000008</v>
      </c>
      <c r="F15" s="62">
        <f>SUMIF(ALIF_Y2017!I:I,A15,ALIF_Y2017!F:F)</f>
        <v>2034286.3900000001</v>
      </c>
      <c r="G15" s="62">
        <f>SUMIF(ALIF_Y2018!I:I,A15,ALIF_Y2018!F:F)</f>
        <v>1095147.3319999999</v>
      </c>
      <c r="H15" s="62">
        <f>SUMIF(ALIF_Y2019!I:I,A15,ALIF_Y2019!F:F)</f>
        <v>3949079.1349999998</v>
      </c>
      <c r="I15" s="62">
        <f>SUMIF(ALIF_Y2020!I:I,A15,ALIF_Y2020!F:F)</f>
        <v>4120004.977</v>
      </c>
      <c r="J15" s="62">
        <f>SUMIF(ALIF_Y2021!I:I,A15,ALIF_Y2021!F:F)</f>
        <v>6548586.449</v>
      </c>
      <c r="K15" s="62">
        <f>SUMIF(ALIF_Y2022!I:I,A15,ALIF_Y2022!F:F)</f>
        <v>7463313.8859999999</v>
      </c>
      <c r="L15" s="62">
        <f>SUMIF(ALIF_Y2023!I:I,A15,ALIF_Y2023!F:F)</f>
        <v>5122044.1579999998</v>
      </c>
      <c r="M15" s="62">
        <f>SUMIF(ALIF_Y2024!I:I,A15,ALIF_Y2024!F:F)</f>
        <v>4990962.6870000008</v>
      </c>
      <c r="N15" s="62">
        <f>SUMIF(ALIF_Y2025!I:I,A15,ALIF_Y2025!F:F)</f>
        <v>2551484.3049999997</v>
      </c>
    </row>
    <row r="16" spans="1:14" x14ac:dyDescent="0.25">
      <c r="A16" s="9" t="s">
        <v>742</v>
      </c>
      <c r="C16" s="62">
        <f>SUMIF(ALIF_Y2014!I:I,A16,ALIF_Y2014!F:F)</f>
        <v>3476434.1170000006</v>
      </c>
      <c r="D16" s="62">
        <f>SUMIF(ALIF_Y2015!I:I,A16,ALIF_Y2015!F:F)</f>
        <v>4063793.2919999999</v>
      </c>
      <c r="E16" s="149">
        <f>SUMIF(ALIF_Y2016!I:I,A16,ALIF_Y2016!F:F)</f>
        <v>3017957.1750000003</v>
      </c>
      <c r="F16" s="62">
        <f>SUMIF(ALIF_Y2017!I:I,A16,ALIF_Y2017!F:F)</f>
        <v>2258622.4180000001</v>
      </c>
      <c r="G16" s="62">
        <f>SUMIF(ALIF_Y2018!I:I,A16,ALIF_Y2018!F:F)</f>
        <v>1475017.6850000001</v>
      </c>
      <c r="H16" s="62">
        <f>SUMIF(ALIF_Y2019!I:I,A16,ALIF_Y2019!F:F)</f>
        <v>3632906.7309999997</v>
      </c>
      <c r="I16" s="62">
        <f>SUMIF(ALIF_Y2020!I:I,A16,ALIF_Y2020!F:F)</f>
        <v>4290617.1629999997</v>
      </c>
      <c r="J16" s="62">
        <f>SUMIF(ALIF_Y2021!I:I,A16,ALIF_Y2021!F:F)</f>
        <v>6410977.4139999999</v>
      </c>
      <c r="K16" s="62">
        <f>SUMIF(ALIF_Y2022!I:I,A16,ALIF_Y2022!F:F)</f>
        <v>9548411.9160000011</v>
      </c>
      <c r="L16" s="62">
        <f>SUMIF(ALIF_Y2023!I:I,A16,ALIF_Y2023!F:F)</f>
        <v>4461814.3140000002</v>
      </c>
      <c r="M16" s="62">
        <f>SUMIF(ALIF_Y2024!I:I,A16,ALIF_Y2024!F:F)</f>
        <v>2688304.1169999996</v>
      </c>
      <c r="N16" s="62">
        <f>SUMIF(ALIF_Y2025!I:I,A16,ALIF_Y2025!F:F)</f>
        <v>1875073.0830000001</v>
      </c>
    </row>
    <row r="17" spans="1:14" x14ac:dyDescent="0.25">
      <c r="A17" s="9" t="s">
        <v>740</v>
      </c>
      <c r="C17" s="62">
        <f>SUMIF(ALIF_Y2014!I:I,A17,ALIF_Y2014!F:F)</f>
        <v>1517090.9300000002</v>
      </c>
      <c r="D17" s="62">
        <f>SUMIF(ALIF_Y2015!I:I,A17,ALIF_Y2015!F:F)</f>
        <v>1890240.9300000002</v>
      </c>
      <c r="E17" s="149">
        <f>SUMIF(ALIF_Y2016!I:I,A17,ALIF_Y2016!F:F)</f>
        <v>2206670.077</v>
      </c>
      <c r="F17" s="62">
        <f>SUMIF(ALIF_Y2017!I:I,A17,ALIF_Y2017!F:F)</f>
        <v>1979114.81</v>
      </c>
      <c r="G17" s="62">
        <f>SUMIF(ALIF_Y2018!I:I,A17,ALIF_Y2018!F:F)</f>
        <v>878697.03399999999</v>
      </c>
      <c r="H17" s="62">
        <f>SUMIF(ALIF_Y2019!I:I,A17,ALIF_Y2019!F:F)</f>
        <v>2551280.2429999998</v>
      </c>
      <c r="I17" s="62">
        <f>SUMIF(ALIF_Y2020!I:I,A17,ALIF_Y2020!F:F)</f>
        <v>2434106.5750000002</v>
      </c>
      <c r="J17" s="62">
        <f>SUMIF(ALIF_Y2021!I:I,A17,ALIF_Y2021!F:F)</f>
        <v>2828304.429</v>
      </c>
      <c r="K17" s="62">
        <f>SUMIF(ALIF_Y2022!I:I,A17,ALIF_Y2022!F:F)</f>
        <v>2591967.2379999999</v>
      </c>
      <c r="L17" s="62">
        <f>SUMIF(ALIF_Y2023!I:I,A17,ALIF_Y2023!F:F)</f>
        <v>1657015.986</v>
      </c>
      <c r="M17" s="62">
        <f>SUMIF(ALIF_Y2024!I:I,A17,ALIF_Y2024!F:F)</f>
        <v>2070169.0120000001</v>
      </c>
      <c r="N17" s="62">
        <f>SUMIF(ALIF_Y2025!I:I,A17,ALIF_Y2025!F:F)</f>
        <v>2881316.571</v>
      </c>
    </row>
    <row r="18" spans="1:14" x14ac:dyDescent="0.25">
      <c r="A18" s="9" t="s">
        <v>739</v>
      </c>
      <c r="C18" s="62">
        <f>SUMIF(ALIF_Y2014!I:I,A18,ALIF_Y2014!F:F)</f>
        <v>257436.95199999999</v>
      </c>
      <c r="D18" s="62">
        <f>SUMIF(ALIF_Y2015!I:I,A18,ALIF_Y2015!F:F)</f>
        <v>138250.00200000001</v>
      </c>
      <c r="E18" s="149">
        <f>SUMIF(ALIF_Y2016!I:I,A18,ALIF_Y2016!F:F)</f>
        <v>63418</v>
      </c>
      <c r="F18" s="62">
        <f>SUMIF(ALIF_Y2017!I:I,A18,ALIF_Y2017!F:F)</f>
        <v>203768.74</v>
      </c>
      <c r="G18" s="62">
        <f>SUMIF(ALIF_Y2018!I:I,A18,ALIF_Y2018!F:F)</f>
        <v>78876.841</v>
      </c>
      <c r="H18" s="62">
        <f>SUMIF(ALIF_Y2019!I:I,A18,ALIF_Y2019!F:F)</f>
        <v>307100.908</v>
      </c>
      <c r="I18" s="62">
        <f>SUMIF(ALIF_Y2020!I:I,A18,ALIF_Y2020!F:F)</f>
        <v>466866.54599999997</v>
      </c>
      <c r="J18" s="62">
        <f>SUMIF(ALIF_Y2021!I:I,A18,ALIF_Y2021!F:F)</f>
        <v>1765300.0150000001</v>
      </c>
      <c r="K18" s="62">
        <f>SUMIF(ALIF_Y2022!I:I,A18,ALIF_Y2022!F:F)</f>
        <v>1776877.5829999999</v>
      </c>
      <c r="L18" s="62">
        <f>SUMIF(ALIF_Y2023!I:I,A18,ALIF_Y2023!F:F)</f>
        <v>285381.592</v>
      </c>
      <c r="M18" s="62">
        <f>SUMIF(ALIF_Y2024!I:I,A18,ALIF_Y2024!F:F)</f>
        <v>1285902.7409999999</v>
      </c>
      <c r="N18" s="182">
        <f>SUMIF(ALIF_Y2025!I:I,A18,ALIF_Y2025!F:F)</f>
        <v>7264252.2429999998</v>
      </c>
    </row>
    <row r="19" spans="1:14" x14ac:dyDescent="0.25">
      <c r="A19" s="9" t="s">
        <v>744</v>
      </c>
      <c r="C19" s="62">
        <f>SUMIF(ALIF_Y2014!I:I,A19,ALIF_Y2014!F:F)</f>
        <v>1371118.38</v>
      </c>
      <c r="D19" s="62">
        <f>SUMIF(ALIF_Y2015!I:I,A19,ALIF_Y2015!F:F)</f>
        <v>1515740.4</v>
      </c>
      <c r="E19" s="149">
        <f>SUMIF(ALIF_Y2016!I:I,A19,ALIF_Y2016!F:F)</f>
        <v>1491085.3</v>
      </c>
      <c r="F19" s="62">
        <f>SUMIF(ALIF_Y2017!I:I,A19,ALIF_Y2017!F:F)</f>
        <v>790799.59899999993</v>
      </c>
      <c r="G19" s="62">
        <f>SUMIF(ALIF_Y2018!I:I,A19,ALIF_Y2018!F:F)</f>
        <v>211393.9</v>
      </c>
      <c r="H19" s="62">
        <f>SUMIF(ALIF_Y2019!I:I,A19,ALIF_Y2019!F:F)</f>
        <v>465257.95400000003</v>
      </c>
      <c r="I19" s="62">
        <f>SUMIF(ALIF_Y2020!I:I,A19,ALIF_Y2020!F:F)</f>
        <v>319821.652</v>
      </c>
      <c r="J19" s="62">
        <f>SUMIF(ALIF_Y2021!I:I,A19,ALIF_Y2021!F:F)</f>
        <v>265999.92</v>
      </c>
      <c r="K19" s="62">
        <f>SUMIF(ALIF_Y2022!I:I,A19,ALIF_Y2022!F:F)</f>
        <v>275000</v>
      </c>
      <c r="L19" s="62">
        <f>SUMIF(ALIF_Y2023!I:I,A19,ALIF_Y2023!F:F)</f>
        <v>277040</v>
      </c>
      <c r="M19" s="62">
        <f>SUMIF(ALIF_Y2024!I:I,A19,ALIF_Y2024!F:F)</f>
        <v>244841.60399999999</v>
      </c>
      <c r="N19" s="62">
        <f>SUMIF(ALIF_Y2025!I:I,A19,ALIF_Y2025!F:F)</f>
        <v>413654.01400000002</v>
      </c>
    </row>
    <row r="20" spans="1:14" x14ac:dyDescent="0.25">
      <c r="A20" s="9" t="s">
        <v>741</v>
      </c>
      <c r="C20" s="62">
        <f>SUMIF(ALIF_Y2014!I:I,A20,ALIF_Y2014!F:F)</f>
        <v>0</v>
      </c>
      <c r="D20" s="62">
        <f>SUMIF(ALIF_Y2015!I:I,A20,ALIF_Y2015!F:F)</f>
        <v>0</v>
      </c>
      <c r="E20" s="149">
        <f>SUMIF(ALIF_Y2016!I:I,A20,ALIF_Y2016!F:F)</f>
        <v>0</v>
      </c>
      <c r="F20" s="62">
        <f>SUMIF(ALIF_Y2017!I:I,A20,ALIF_Y2017!F:F)</f>
        <v>0</v>
      </c>
      <c r="G20" s="62">
        <f>SUMIF(ALIF_Y2018!I:I,A20,ALIF_Y2018!F:F)</f>
        <v>0</v>
      </c>
      <c r="H20" s="62">
        <f>SUMIF(ALIF_Y2019!I:I,A20,ALIF_Y2019!F:F)</f>
        <v>0</v>
      </c>
      <c r="I20" s="62">
        <f>SUMIF(ALIF_Y2020!I:I,A20,ALIF_Y2020!F:F)</f>
        <v>0</v>
      </c>
      <c r="J20" s="62">
        <f>SUMIF(ALIF_Y2021!I:I,A20,ALIF_Y2021!F:F)</f>
        <v>0</v>
      </c>
      <c r="K20" s="62">
        <f>SUMIF(ALIF_Y2022!I:I,A20,ALIF_Y2022!F:F)</f>
        <v>0</v>
      </c>
      <c r="L20" s="62">
        <f>SUMIF(ALIF_Y2023!I:I,A20,ALIF_Y2023!F:F)</f>
        <v>518207.99800000002</v>
      </c>
      <c r="M20" s="62">
        <f>SUMIF(ALIF_Y2024!I:I,A20,ALIF_Y2024!F:F)</f>
        <v>2924648.827</v>
      </c>
      <c r="N20" s="62">
        <f>SUMIF(ALIF_Y2025!I:I,A20,ALIF_Y2025!F:F)</f>
        <v>3329353.625</v>
      </c>
    </row>
    <row r="21" spans="1:14" ht="7.15" customHeight="1" x14ac:dyDescent="0.25"/>
    <row r="22" spans="1:14" ht="20.45" customHeight="1" x14ac:dyDescent="0.25">
      <c r="A22" s="8" t="s">
        <v>403</v>
      </c>
      <c r="C22" s="18">
        <f t="shared" ref="C22:N22" si="10">SUM(C10:C21)</f>
        <v>106736092.84560665</v>
      </c>
      <c r="D22" s="18">
        <f t="shared" si="10"/>
        <v>86796878.739534765</v>
      </c>
      <c r="E22" s="18">
        <f t="shared" si="10"/>
        <v>73067680.557852671</v>
      </c>
      <c r="F22" s="18">
        <f t="shared" si="10"/>
        <v>79323832.441613629</v>
      </c>
      <c r="G22" s="18">
        <f t="shared" si="10"/>
        <v>89043859.261986285</v>
      </c>
      <c r="H22" s="18">
        <f t="shared" si="10"/>
        <v>124564453.81517428</v>
      </c>
      <c r="I22" s="18">
        <f t="shared" si="10"/>
        <v>123185255.15856266</v>
      </c>
      <c r="J22" s="18">
        <f t="shared" si="10"/>
        <v>158637051.28045201</v>
      </c>
      <c r="K22" s="18">
        <f t="shared" si="10"/>
        <v>194736751.39978179</v>
      </c>
      <c r="L22" s="18">
        <f t="shared" si="10"/>
        <v>109984435.69447294</v>
      </c>
      <c r="M22" s="18">
        <f t="shared" si="10"/>
        <v>132539076.12713106</v>
      </c>
      <c r="N22" s="18">
        <f t="shared" si="10"/>
        <v>156829132.271</v>
      </c>
    </row>
    <row r="23" spans="1:14" x14ac:dyDescent="0.25">
      <c r="A23" s="126"/>
      <c r="B23" s="126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s="167" customFormat="1" x14ac:dyDescent="0.25">
      <c r="A24" s="166" t="s">
        <v>404</v>
      </c>
      <c r="C24" s="168">
        <f t="shared" ref="C24:N24" si="11">C8-C22</f>
        <v>27239331.010261342</v>
      </c>
      <c r="D24" s="168">
        <f t="shared" si="11"/>
        <v>22647278.845832139</v>
      </c>
      <c r="E24" s="168">
        <f t="shared" si="11"/>
        <v>14699962.092476308</v>
      </c>
      <c r="F24" s="168">
        <f t="shared" si="11"/>
        <v>13754772.784254357</v>
      </c>
      <c r="G24" s="168">
        <f t="shared" si="11"/>
        <v>18366166.282403722</v>
      </c>
      <c r="H24" s="168">
        <f t="shared" si="11"/>
        <v>21517296.372237682</v>
      </c>
      <c r="I24" s="168">
        <f t="shared" si="11"/>
        <v>3417578.8379813433</v>
      </c>
      <c r="J24" s="168">
        <f t="shared" si="11"/>
        <v>23981696.047546983</v>
      </c>
      <c r="K24" s="168">
        <f t="shared" si="11"/>
        <v>27228003.630635202</v>
      </c>
      <c r="L24" s="168">
        <f t="shared" si="11"/>
        <v>-5783923.3286429495</v>
      </c>
      <c r="M24" s="168">
        <f t="shared" si="11"/>
        <v>2671793.2361689359</v>
      </c>
      <c r="N24" s="168">
        <f t="shared" si="11"/>
        <v>-1935975.3838305771</v>
      </c>
    </row>
    <row r="25" spans="1:14" s="79" customFormat="1" ht="12" x14ac:dyDescent="0.2">
      <c r="C25" s="80">
        <f t="shared" ref="C25:N25" si="12">C24/C8</f>
        <v>0.20331587858655081</v>
      </c>
      <c r="D25" s="80">
        <f t="shared" si="12"/>
        <v>0.20692999375656179</v>
      </c>
      <c r="E25" s="80">
        <f t="shared" si="12"/>
        <v>0.16748726123409455</v>
      </c>
      <c r="F25" s="80">
        <f t="shared" si="12"/>
        <v>0.14777587986924082</v>
      </c>
      <c r="G25" s="80">
        <f t="shared" si="12"/>
        <v>0.1709911732104879</v>
      </c>
      <c r="H25" s="80">
        <f t="shared" si="12"/>
        <v>0.14729626626620093</v>
      </c>
      <c r="I25" s="80">
        <f t="shared" si="12"/>
        <v>2.6994489223476911E-2</v>
      </c>
      <c r="J25" s="80">
        <f t="shared" si="12"/>
        <v>0.13132110694239837</v>
      </c>
      <c r="K25" s="80">
        <f t="shared" si="12"/>
        <v>0.12266813993466669</v>
      </c>
      <c r="L25" s="80">
        <f t="shared" si="12"/>
        <v>-5.5507628487819663E-2</v>
      </c>
      <c r="M25" s="80">
        <f t="shared" si="12"/>
        <v>1.9760195676207487E-2</v>
      </c>
      <c r="N25" s="80">
        <f t="shared" si="12"/>
        <v>-1.2498779305278294E-2</v>
      </c>
    </row>
    <row r="26" spans="1:14" x14ac:dyDescent="0.25">
      <c r="A26" s="8"/>
      <c r="E26" s="11"/>
      <c r="I26" s="111"/>
      <c r="K26" s="111"/>
    </row>
    <row r="27" spans="1:14" x14ac:dyDescent="0.25">
      <c r="A27" s="9" t="s">
        <v>381</v>
      </c>
      <c r="C27" s="62">
        <f>SUMIF(ALIF_Y2014!I:I,A27,ALIF_Y2014!F:F)</f>
        <v>10844</v>
      </c>
      <c r="D27" s="62">
        <f>SUMIF(ALIF_Y2015!I:I,A27,ALIF_Y2015!F:F)</f>
        <v>67555</v>
      </c>
      <c r="E27" s="149">
        <f>SUMIF(ALIF_Y2016!I:I,A27,ALIF_Y2016!F:F)</f>
        <v>5162</v>
      </c>
      <c r="F27" s="62">
        <f>SUMIF(ALIF_Y2017!I:I,A27,ALIF_Y2017!F:F)</f>
        <v>35415.370000000003</v>
      </c>
      <c r="G27" s="62">
        <f>SUMIF(ALIF_Y2018!I:I,A27,ALIF_Y2018!F:F)</f>
        <v>82674.032000000007</v>
      </c>
      <c r="H27" s="62">
        <f>SUMIF(ALIF_Y2019!I:I,A27,ALIF_Y2019!F:F)</f>
        <v>48665.419000000002</v>
      </c>
      <c r="I27" s="62">
        <f>SUMIF(ALIF_Y2020!I:I,A27,ALIF_Y2020!F:F)</f>
        <v>4000</v>
      </c>
      <c r="J27" s="62">
        <f>SUMIF(ALIF_Y2021!I:I,A27,ALIF_Y2021!F:F)</f>
        <v>245</v>
      </c>
      <c r="K27" s="62">
        <f>SUMIF(ALIF_Y2022!I:I,A27,ALIF_Y2022!F:F)</f>
        <v>95633.99</v>
      </c>
      <c r="L27" s="62">
        <f>SUMIF(ALIF_Y2023!I:I,A27,ALIF_Y2023!F:F)</f>
        <v>127136.29300000001</v>
      </c>
      <c r="M27" s="62">
        <f>SUMIF(ALIF_Y2024!I:I,A27,ALIF_Y2024!F:F)</f>
        <v>173026.78700000001</v>
      </c>
      <c r="N27" s="62">
        <f>SUMIF(ALIF_Y2025!I:I,A27,ALIF_Y2025!F:F)</f>
        <v>52325.74</v>
      </c>
    </row>
    <row r="28" spans="1:14" x14ac:dyDescent="0.25">
      <c r="A28" s="75" t="s">
        <v>382</v>
      </c>
      <c r="C28" s="62">
        <f>SUMIF(ALIF_Y2014!I:I,A28,ALIF_Y2014!F:F)</f>
        <v>0</v>
      </c>
      <c r="D28" s="62">
        <f>SUMIF(ALIF_Y2015!I:I,A28,ALIF_Y2015!F:F)</f>
        <v>0</v>
      </c>
      <c r="E28" s="149">
        <f>SUMIF(ALIF_Y2016!I:I,A28,ALIF_Y2016!F:F)</f>
        <v>0</v>
      </c>
      <c r="F28" s="62">
        <f>SUMIF(ALIF_Y2017!I:I,A28,ALIF_Y2017!F:F)</f>
        <v>0</v>
      </c>
      <c r="G28" s="62">
        <f>SUMIF(ALIF_Y2018!I:I,A28,ALIF_Y2018!F:F)</f>
        <v>0</v>
      </c>
      <c r="H28" s="62">
        <f>SUMIF(ALIF_Y2019!I:I,A28,ALIF_Y2019!F:F)</f>
        <v>38150</v>
      </c>
      <c r="I28" s="62">
        <f>SUMIF(ALIF_Y2020!I:I,A28,ALIF_Y2020!F:F)</f>
        <v>0</v>
      </c>
      <c r="J28" s="62">
        <f>SUMIF(ALIF_Y2021!I:I,A28,ALIF_Y2021!F:F)</f>
        <v>1315</v>
      </c>
      <c r="K28" s="62">
        <f>SUMIF(ALIF_Y2022!I:I,A28,ALIF_Y2022!F:F)</f>
        <v>96132.78</v>
      </c>
      <c r="L28" s="62">
        <f>SUMIF(ALIF_Y2023!I:I,A28,ALIF_Y2023!F:F)</f>
        <v>61539</v>
      </c>
      <c r="M28" s="62">
        <f>SUMIF(ALIF_Y2024!I:I,A28,ALIF_Y2024!F:F)</f>
        <v>656254.10499999998</v>
      </c>
      <c r="N28" s="62">
        <f>SUMIF(ALIF_Y2025!I:I,A28,ALIF_Y2025!F:F)</f>
        <v>1276853.53</v>
      </c>
    </row>
    <row r="29" spans="1:14" x14ac:dyDescent="0.25">
      <c r="A29" s="9" t="s">
        <v>384</v>
      </c>
      <c r="C29" s="62">
        <f>SUMIF(ALIF_Y2014!I:I,A29,ALIF_Y2014!F:F)</f>
        <v>221073.86</v>
      </c>
      <c r="D29" s="62">
        <f>SUMIF(ALIF_Y2015!I:I,A29,ALIF_Y2015!F:F)</f>
        <v>211475.23</v>
      </c>
      <c r="E29" s="149">
        <f>SUMIF(ALIF_Y2016!I:I,A29,ALIF_Y2016!F:F)</f>
        <v>170392</v>
      </c>
      <c r="F29" s="62">
        <f>SUMIF(ALIF_Y2017!I:I,A29,ALIF_Y2017!F:F)</f>
        <v>239089.318</v>
      </c>
      <c r="G29" s="62">
        <f>SUMIF(ALIF_Y2018!I:I,A29,ALIF_Y2018!F:F)</f>
        <v>184849.25</v>
      </c>
      <c r="H29" s="62">
        <f>SUMIF(ALIF_Y2019!I:I,A29,ALIF_Y2019!F:F)</f>
        <v>222802.948</v>
      </c>
      <c r="I29" s="62">
        <f>SUMIF(ALIF_Y2020!I:I,A29,ALIF_Y2020!F:F)</f>
        <v>254893.24</v>
      </c>
      <c r="J29" s="62">
        <f>SUMIF(ALIF_Y2021!I:I,A29,ALIF_Y2021!F:F)</f>
        <v>332942.77</v>
      </c>
      <c r="K29" s="62">
        <f>SUMIF(ALIF_Y2022!I:I,A29,ALIF_Y2022!F:F)</f>
        <v>262263</v>
      </c>
      <c r="L29" s="62">
        <f>SUMIF(ALIF_Y2023!I:I,A29,ALIF_Y2023!F:F)</f>
        <v>43952.72</v>
      </c>
      <c r="M29" s="62">
        <f>SUMIF(ALIF_Y2024!I:I,A29,ALIF_Y2024!F:F)</f>
        <v>38359.550000000003</v>
      </c>
      <c r="N29" s="62">
        <f>SUMIF(ALIF_Y2025!I:I,A29,ALIF_Y2025!F:F)</f>
        <v>5036</v>
      </c>
    </row>
    <row r="30" spans="1:14" x14ac:dyDescent="0.25">
      <c r="A30" s="75" t="s">
        <v>375</v>
      </c>
      <c r="C30" s="62">
        <f>SUMIF(ALIF_Y2014!I:I,A30,ALIF_Y2014!F:F)</f>
        <v>24136</v>
      </c>
      <c r="D30" s="62">
        <f>SUMIF(ALIF_Y2015!I:I,A30,ALIF_Y2015!F:F)</f>
        <v>49422</v>
      </c>
      <c r="E30" s="149">
        <f>SUMIF(ALIF_Y2016!I:I,A30,ALIF_Y2016!F:F)</f>
        <v>23617</v>
      </c>
      <c r="F30" s="62">
        <f>SUMIF(ALIF_Y2017!I:I,A30,ALIF_Y2017!F:F)</f>
        <v>12728.2</v>
      </c>
      <c r="G30" s="62">
        <f>SUMIF(ALIF_Y2018!I:I,A30,ALIF_Y2018!F:F)</f>
        <v>38545.123999999996</v>
      </c>
      <c r="H30" s="62">
        <f>SUMIF(ALIF_Y2019!I:I,A30,ALIF_Y2019!F:F)</f>
        <v>30691.550000000003</v>
      </c>
      <c r="I30" s="62">
        <f>SUMIF(ALIF_Y2020!I:I,A30,ALIF_Y2020!F:F)</f>
        <v>44987.729999999996</v>
      </c>
      <c r="J30" s="62">
        <f>SUMIF(ALIF_Y2021!I:I,A30,ALIF_Y2021!F:F)</f>
        <v>44509.047000000006</v>
      </c>
      <c r="K30" s="62">
        <f>SUMIF(ALIF_Y2022!I:I,A30,ALIF_Y2022!F:F)</f>
        <v>46729.389000000003</v>
      </c>
      <c r="L30" s="62">
        <f>SUMIF(ALIF_Y2023!I:I,A30,ALIF_Y2023!F:F)</f>
        <v>8770.3270000000011</v>
      </c>
      <c r="M30" s="62">
        <f>SUMIF(ALIF_Y2024!I:I,A30,ALIF_Y2024!F:F)</f>
        <v>112372.724</v>
      </c>
      <c r="N30" s="62">
        <f>SUMIF(ALIF_Y2025!I:I,A30,ALIF_Y2025!F:F)</f>
        <v>279488.049</v>
      </c>
    </row>
    <row r="31" spans="1:14" ht="9" customHeight="1" x14ac:dyDescent="0.25"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x14ac:dyDescent="0.25">
      <c r="A32" s="8" t="s">
        <v>405</v>
      </c>
      <c r="C32" s="17">
        <f t="shared" ref="C32:N32" si="13">SUM(C27:C31)</f>
        <v>256053.86</v>
      </c>
      <c r="D32" s="17">
        <f t="shared" si="13"/>
        <v>328452.23</v>
      </c>
      <c r="E32" s="17">
        <f t="shared" si="13"/>
        <v>199171</v>
      </c>
      <c r="F32" s="17">
        <f t="shared" si="13"/>
        <v>287232.88800000004</v>
      </c>
      <c r="G32" s="17">
        <f t="shared" si="13"/>
        <v>306068.40600000002</v>
      </c>
      <c r="H32" s="17">
        <f t="shared" si="13"/>
        <v>340309.91699999996</v>
      </c>
      <c r="I32" s="17">
        <f t="shared" si="13"/>
        <v>303880.96999999997</v>
      </c>
      <c r="J32" s="17">
        <f t="shared" si="13"/>
        <v>379011.81700000004</v>
      </c>
      <c r="K32" s="17">
        <f t="shared" si="13"/>
        <v>500759.15900000004</v>
      </c>
      <c r="L32" s="17">
        <f t="shared" si="13"/>
        <v>241398.34</v>
      </c>
      <c r="M32" s="17">
        <f t="shared" si="13"/>
        <v>980013.16600000008</v>
      </c>
      <c r="N32" s="17">
        <f t="shared" si="13"/>
        <v>1613703.3190000001</v>
      </c>
    </row>
    <row r="33" spans="1:14" x14ac:dyDescent="0.25">
      <c r="E33" s="11"/>
    </row>
    <row r="34" spans="1:14" x14ac:dyDescent="0.25">
      <c r="A34" s="9" t="s">
        <v>298</v>
      </c>
      <c r="C34" s="62">
        <f>SUMIF(ALIF_Y2014!I:I,A34,ALIF_Y2014!F:F)</f>
        <v>6363603.8000000007</v>
      </c>
      <c r="D34" s="62">
        <f>SUMIF(ALIF_Y2015!I:I,A34,ALIF_Y2015!F:F)</f>
        <v>5731816.7189999996</v>
      </c>
      <c r="E34" s="149">
        <f>SUMIF(ALIF_Y2016!I:I,A34,ALIF_Y2016!F:F)</f>
        <v>5700243.5969999991</v>
      </c>
      <c r="F34" s="62">
        <f>SUMIF(ALIF_Y2017!I:I,A34,ALIF_Y2017!F:F)</f>
        <v>7742150.8199999994</v>
      </c>
      <c r="G34" s="62">
        <f>SUMIF(ALIF_Y2018!I:I,A34,ALIF_Y2018!F:F)</f>
        <v>7523616.7579999994</v>
      </c>
      <c r="H34" s="62">
        <f>SUMIF(ALIF_Y2019!I:I,A34,ALIF_Y2019!F:F)</f>
        <v>8539362.3699999992</v>
      </c>
      <c r="I34" s="62">
        <f>SUMIF(ALIF_Y2020!I:I,A34,ALIF_Y2020!F:F)</f>
        <v>10507907.587000001</v>
      </c>
      <c r="J34" s="62">
        <f>SUMIF(ALIF_Y2021!I:I,A34,ALIF_Y2021!F:F)</f>
        <v>11276241.248</v>
      </c>
      <c r="K34" s="62">
        <f>SUMIF(ALIF_Y2022!I:I,A34,ALIF_Y2022!F:F)</f>
        <v>10667359.655000001</v>
      </c>
      <c r="L34" s="62">
        <f>SUMIF(ALIF_Y2023!I:I,A34,ALIF_Y2023!F:F)</f>
        <v>10673402.305</v>
      </c>
      <c r="M34" s="62">
        <f>SUMIF(ALIF_Y2024!I:I,A34,ALIF_Y2024!F:F)</f>
        <v>10184020.998000002</v>
      </c>
      <c r="N34" s="62">
        <f>SUMIF(ALIF_Y2025!I:I,A34,ALIF_Y2025!F:F)</f>
        <v>23383962.339000002</v>
      </c>
    </row>
    <row r="35" spans="1:14" x14ac:dyDescent="0.25">
      <c r="A35" s="9" t="s">
        <v>476</v>
      </c>
      <c r="C35" s="62">
        <f>SUMIF(ALIF_Y2014!I:I,A35,ALIF_Y2014!F:F)</f>
        <v>452003.42</v>
      </c>
      <c r="D35" s="62">
        <f>SUMIF(ALIF_Y2015!I:I,A35,ALIF_Y2015!F:F)</f>
        <v>482714.05</v>
      </c>
      <c r="E35" s="149">
        <f>SUMIF(ALIF_Y2016!I:I,A35,ALIF_Y2016!F:F)</f>
        <v>550372.54</v>
      </c>
      <c r="F35" s="62">
        <f>SUMIF(ALIF_Y2017!I:I,A35,ALIF_Y2017!F:F)</f>
        <v>512953.74099999998</v>
      </c>
      <c r="G35" s="62">
        <f>SUMIF(ALIF_Y2018!I:I,A35,ALIF_Y2018!F:F)</f>
        <v>979494.05500000017</v>
      </c>
      <c r="H35" s="62">
        <f>SUMIF(ALIF_Y2019!I:I,A35,ALIF_Y2019!F:F)</f>
        <v>1067033.7479999999</v>
      </c>
      <c r="I35" s="62">
        <f>SUMIF(ALIF_Y2020!I:I,A35,ALIF_Y2020!F:F)</f>
        <v>1391075.5989999999</v>
      </c>
      <c r="J35" s="62">
        <f>SUMIF(ALIF_Y2021!I:I,A35,ALIF_Y2021!F:F)</f>
        <v>1172434.561</v>
      </c>
      <c r="K35" s="62">
        <f>SUMIF(ALIF_Y2022!I:I,A35,ALIF_Y2022!F:F)</f>
        <v>1350946.72</v>
      </c>
      <c r="L35" s="62">
        <f>SUMIF(ALIF_Y2023!I:I,A35,ALIF_Y2023!F:F)</f>
        <v>606309.52499999991</v>
      </c>
      <c r="M35" s="62">
        <f>SUMIF(ALIF_Y2024!I:I,A35,ALIF_Y2024!F:F)</f>
        <v>1013969.974</v>
      </c>
      <c r="N35" s="62">
        <f>SUMIF(ALIF_Y2025!I:I,A35,ALIF_Y2025!F:F)</f>
        <v>753096.55700000003</v>
      </c>
    </row>
    <row r="36" spans="1:14" x14ac:dyDescent="0.25">
      <c r="A36" s="9" t="s">
        <v>414</v>
      </c>
      <c r="C36" s="62">
        <f>SUMIF(ALIF_Y2014!I:I,A36,ALIF_Y2014!F:F)</f>
        <v>324499</v>
      </c>
      <c r="D36" s="62">
        <f>SUMIF(ALIF_Y2015!I:I,A36,ALIF_Y2015!F:F)</f>
        <v>213428</v>
      </c>
      <c r="E36" s="149">
        <f>SUMIF(ALIF_Y2016!I:I,A36,ALIF_Y2016!F:F)</f>
        <v>97884.22</v>
      </c>
      <c r="F36" s="62">
        <f>SUMIF(ALIF_Y2017!I:I,A36,ALIF_Y2017!F:F)</f>
        <v>98488.72</v>
      </c>
      <c r="G36" s="62">
        <f>SUMIF(ALIF_Y2018!I:I,A36,ALIF_Y2018!F:F)</f>
        <v>334049.22599999997</v>
      </c>
      <c r="H36" s="62">
        <f>SUMIF(ALIF_Y2019!I:I,A36,ALIF_Y2019!F:F)</f>
        <v>342874.68</v>
      </c>
      <c r="I36" s="62">
        <f>SUMIF(ALIF_Y2020!I:I,A36,ALIF_Y2020!F:F)</f>
        <v>78102.23</v>
      </c>
      <c r="J36" s="62">
        <f>SUMIF(ALIF_Y2021!I:I,A36,ALIF_Y2021!F:F)</f>
        <v>65074.312000000005</v>
      </c>
      <c r="K36" s="62">
        <f>SUMIF(ALIF_Y2022!I:I,A36,ALIF_Y2022!F:F)</f>
        <v>163076.27100000001</v>
      </c>
      <c r="L36" s="62">
        <f>SUMIF(ALIF_Y2023!I:I,A36,ALIF_Y2023!F:F)</f>
        <v>326944.07699999999</v>
      </c>
      <c r="M36" s="62">
        <f>SUMIF(ALIF_Y2024!I:I,A36,ALIF_Y2024!F:F)</f>
        <v>1176775.473</v>
      </c>
      <c r="N36" s="62">
        <f>SUMIF(ALIF_Y2025!I:I,A36,ALIF_Y2025!F:F)</f>
        <v>736726.40500000003</v>
      </c>
    </row>
    <row r="37" spans="1:14" x14ac:dyDescent="0.25">
      <c r="A37" s="75" t="s">
        <v>470</v>
      </c>
      <c r="C37" s="62">
        <f>SUMIF(ALIF_Y2014!I:I,A37,ALIF_Y2014!F:F)</f>
        <v>0</v>
      </c>
      <c r="D37" s="62">
        <f>SUMIF(ALIF_Y2015!I:I,A37,ALIF_Y2015!F:F)</f>
        <v>5707.643</v>
      </c>
      <c r="E37" s="149">
        <f>SUMIF(ALIF_Y2016!I:I,A37,ALIF_Y2016!F:F)</f>
        <v>0</v>
      </c>
      <c r="F37" s="62">
        <f>SUMIF(ALIF_Y2017!I:I,A37,ALIF_Y2017!F:F)</f>
        <v>0</v>
      </c>
      <c r="G37" s="62">
        <f>SUMIF(ALIF_Y2018!I:I,A37,ALIF_Y2018!F:F)</f>
        <v>0</v>
      </c>
      <c r="H37" s="62">
        <f>SUMIF(ALIF_Y2019!I:I,A37,ALIF_Y2019!F:F)</f>
        <v>38300</v>
      </c>
      <c r="I37" s="62">
        <f>SUMIF(ALIF_Y2020!I:I,A37,ALIF_Y2020!F:F)</f>
        <v>40087</v>
      </c>
      <c r="J37" s="62">
        <f>SUMIF(ALIF_Y2021!I:I,A37,ALIF_Y2021!F:F)</f>
        <v>121235.63</v>
      </c>
      <c r="K37" s="62">
        <f>SUMIF(ALIF_Y2022!I:I,A37,ALIF_Y2022!F:F)</f>
        <v>74764</v>
      </c>
      <c r="L37" s="62">
        <f>SUMIF(ALIF_Y2023!I:I,A37,ALIF_Y2023!F:F)</f>
        <v>3329</v>
      </c>
      <c r="M37" s="62">
        <f>SUMIF(ALIF_Y2024!I:I,A37,ALIF_Y2024!F:F)</f>
        <v>441573.53</v>
      </c>
      <c r="N37" s="62">
        <f>SUMIF(ALIF_Y2025!I:I,A37,ALIF_Y2025!F:F)</f>
        <v>95706.072</v>
      </c>
    </row>
    <row r="38" spans="1:14" x14ac:dyDescent="0.25">
      <c r="A38" s="9" t="s">
        <v>368</v>
      </c>
      <c r="C38" s="62">
        <f>SUMIF(ALIF_Y2014!I:I,A38,ALIF_Y2014!F:F)</f>
        <v>47876.31</v>
      </c>
      <c r="D38" s="62">
        <f>SUMIF(ALIF_Y2015!I:I,A38,ALIF_Y2015!F:F)</f>
        <v>61858.550999999999</v>
      </c>
      <c r="E38" s="149">
        <f>SUMIF(ALIF_Y2016!I:I,A38,ALIF_Y2016!F:F)</f>
        <v>68446.898000000001</v>
      </c>
      <c r="F38" s="62">
        <f>SUMIF(ALIF_Y2017!I:I,A38,ALIF_Y2017!F:F)</f>
        <v>83539.5</v>
      </c>
      <c r="G38" s="62">
        <f>SUMIF(ALIF_Y2018!I:I,A38,ALIF_Y2018!F:F)</f>
        <v>193976.31200000001</v>
      </c>
      <c r="H38" s="62">
        <f>SUMIF(ALIF_Y2019!I:I,A38,ALIF_Y2019!F:F)</f>
        <v>173017.55499999999</v>
      </c>
      <c r="I38" s="62">
        <f>SUMIF(ALIF_Y2020!I:I,A38,ALIF_Y2020!F:F)</f>
        <v>347776.16200000001</v>
      </c>
      <c r="J38" s="62">
        <f>SUMIF(ALIF_Y2021!I:I,A38,ALIF_Y2021!F:F)</f>
        <v>193144.22700000001</v>
      </c>
      <c r="K38" s="62">
        <f>SUMIF(ALIF_Y2022!I:I,A38,ALIF_Y2022!F:F)</f>
        <v>699621.14199999999</v>
      </c>
      <c r="L38" s="62">
        <f>SUMIF(ALIF_Y2023!I:I,A38,ALIF_Y2023!F:F)</f>
        <v>757807.59</v>
      </c>
      <c r="M38" s="62">
        <f>SUMIF(ALIF_Y2024!I:I,A38,ALIF_Y2024!F:F)</f>
        <v>690317.46600000001</v>
      </c>
      <c r="N38" s="62">
        <f>SUMIF(ALIF_Y2025!I:I,A38,ALIF_Y2025!F:F)</f>
        <v>706542.29</v>
      </c>
    </row>
    <row r="39" spans="1:14" x14ac:dyDescent="0.25">
      <c r="A39" s="9" t="s">
        <v>464</v>
      </c>
      <c r="C39" s="62">
        <f>SUMIF(ALIF_Y2014!I:I,A39,ALIF_Y2014!F:F)</f>
        <v>497207</v>
      </c>
      <c r="D39" s="62">
        <f>SUMIF(ALIF_Y2015!I:I,A39,ALIF_Y2015!F:F)</f>
        <v>594070.73</v>
      </c>
      <c r="E39" s="149">
        <f>SUMIF(ALIF_Y2016!I:I,A39,ALIF_Y2016!F:F)</f>
        <v>881628.04</v>
      </c>
      <c r="F39" s="62">
        <f>SUMIF(ALIF_Y2017!I:I,A39,ALIF_Y2017!F:F)</f>
        <v>878404.01800000004</v>
      </c>
      <c r="G39" s="62">
        <f>SUMIF(ALIF_Y2018!I:I,A39,ALIF_Y2018!F:F)</f>
        <v>798554.73</v>
      </c>
      <c r="H39" s="62">
        <f>SUMIF(ALIF_Y2019!I:I,A39,ALIF_Y2019!F:F)</f>
        <v>721606.55499999993</v>
      </c>
      <c r="I39" s="62">
        <f>SUMIF(ALIF_Y2020!I:I,A39,ALIF_Y2020!F:F)</f>
        <v>2172416.9900000002</v>
      </c>
      <c r="J39" s="62">
        <f>SUMIF(ALIF_Y2021!I:I,A39,ALIF_Y2021!F:F)</f>
        <v>952190.304</v>
      </c>
      <c r="K39" s="62">
        <f>SUMIF(ALIF_Y2022!I:I,A39,ALIF_Y2022!F:F)</f>
        <v>518370.67099999997</v>
      </c>
      <c r="L39" s="62">
        <f>SUMIF(ALIF_Y2023!I:I,A39,ALIF_Y2023!F:F)</f>
        <v>660248.72399999993</v>
      </c>
      <c r="M39" s="62">
        <f>SUMIF(ALIF_Y2024!I:I,A39,ALIF_Y2024!F:F)</f>
        <v>689064.95999999996</v>
      </c>
      <c r="N39" s="62">
        <f>SUMIF(ALIF_Y2025!I:I,A39,ALIF_Y2025!F:F)</f>
        <v>1035438.6849999999</v>
      </c>
    </row>
    <row r="40" spans="1:14" x14ac:dyDescent="0.25">
      <c r="A40" s="75" t="s">
        <v>293</v>
      </c>
      <c r="C40" s="62">
        <f>SUMIF(ALIF_Y2014!I:I,A40,ALIF_Y2014!F:F)</f>
        <v>0</v>
      </c>
      <c r="D40" s="62">
        <f>SUMIF(ALIF_Y2015!I:I,A40,ALIF_Y2015!F:F)</f>
        <v>0</v>
      </c>
      <c r="E40" s="149">
        <f>SUMIF(ALIF_Y2016!I:I,A40,ALIF_Y2016!F:F)</f>
        <v>0</v>
      </c>
      <c r="F40" s="62">
        <f>SUMIF(ALIF_Y2017!I:I,A40,ALIF_Y2017!F:F)</f>
        <v>0</v>
      </c>
      <c r="G40" s="62">
        <f>SUMIF(ALIF_Y2018!I:I,A40,ALIF_Y2018!F:F)</f>
        <v>0</v>
      </c>
      <c r="H40" s="62">
        <f>SUMIF(ALIF_Y2019!I:I,A40,ALIF_Y2019!F:F)</f>
        <v>0</v>
      </c>
      <c r="I40" s="62">
        <f>SUMIF(ALIF_Y2020!I:I,A40,ALIF_Y2020!F:F)</f>
        <v>0</v>
      </c>
      <c r="J40" s="62">
        <f>SUMIF(ALIF_Y2021!I:I,A40,ALIF_Y2021!F:F)</f>
        <v>0</v>
      </c>
      <c r="K40" s="62">
        <f>SUMIF(ALIF_Y2022!I:I,A40,ALIF_Y2022!F:F)</f>
        <v>0</v>
      </c>
      <c r="L40" s="62">
        <f>SUMIF(ALIF_Y2023!I:I,A40,ALIF_Y2023!F:F)</f>
        <v>0</v>
      </c>
      <c r="M40" s="62">
        <f>SUMIF(ALIF_Y2024!I:I,A40,ALIF_Y2024!F:F)</f>
        <v>24243.5</v>
      </c>
      <c r="N40" s="62">
        <f>SUMIF(ALIF_Y2025!I:I,A40,ALIF_Y2025!F:F)</f>
        <v>147339.15700000001</v>
      </c>
    </row>
    <row r="41" spans="1:14" x14ac:dyDescent="0.25">
      <c r="A41" s="9" t="s">
        <v>462</v>
      </c>
      <c r="C41" s="62">
        <f>SUMIF(ALIF_Y2014!I:I,A41,ALIF_Y2014!F:F)</f>
        <v>17234.599999999999</v>
      </c>
      <c r="D41" s="62">
        <f>SUMIF(ALIF_Y2015!I:I,A41,ALIF_Y2015!F:F)</f>
        <v>5201</v>
      </c>
      <c r="E41" s="149">
        <f>SUMIF(ALIF_Y2016!I:I,A41,ALIF_Y2016!F:F)</f>
        <v>52054</v>
      </c>
      <c r="F41" s="62">
        <f>SUMIF(ALIF_Y2017!I:I,A41,ALIF_Y2017!F:F)</f>
        <v>40763.300000000003</v>
      </c>
      <c r="G41" s="62">
        <f>SUMIF(ALIF_Y2018!I:I,A41,ALIF_Y2018!F:F)</f>
        <v>100440.995</v>
      </c>
      <c r="H41" s="62">
        <f>SUMIF(ALIF_Y2019!I:I,A41,ALIF_Y2019!F:F)</f>
        <v>-488046.26</v>
      </c>
      <c r="I41" s="62">
        <f>SUMIF(ALIF_Y2020!I:I,A41,ALIF_Y2020!F:F)</f>
        <v>2025126.2609999999</v>
      </c>
      <c r="J41" s="62">
        <f>SUMIF(ALIF_Y2021!I:I,A41,ALIF_Y2021!F:F)</f>
        <v>183980.26199999999</v>
      </c>
      <c r="K41" s="62">
        <f>SUMIF(ALIF_Y2022!I:I,A41,ALIF_Y2022!F:F)</f>
        <v>170065.16999999998</v>
      </c>
      <c r="L41" s="62">
        <f>SUMIF(ALIF_Y2023!I:I,A41,ALIF_Y2023!F:F)</f>
        <v>8953.9600000000009</v>
      </c>
      <c r="M41" s="62">
        <f>SUMIF(ALIF_Y2024!I:I,A41,ALIF_Y2024!F:F)</f>
        <v>41863.288</v>
      </c>
      <c r="N41" s="62">
        <f>SUMIF(ALIF_Y2025!I:I,A41,ALIF_Y2025!F:F)</f>
        <v>58776.646999999997</v>
      </c>
    </row>
    <row r="42" spans="1:14" x14ac:dyDescent="0.25">
      <c r="A42" s="9" t="s">
        <v>736</v>
      </c>
      <c r="C42" s="62">
        <f>SUMIF(ALIF_Y2014!I:I,A42,ALIF_Y2014!F:F)</f>
        <v>0</v>
      </c>
      <c r="D42" s="62">
        <f>SUMIF(ALIF_Y2015!I:I,A42,ALIF_Y2015!F:F)</f>
        <v>0</v>
      </c>
      <c r="E42" s="149">
        <f>SUMIF(ALIF_Y2016!I:I,A42,ALIF_Y2016!F:F)</f>
        <v>0</v>
      </c>
      <c r="F42" s="62">
        <f>SUMIF(ALIF_Y2017!I:I,A42,ALIF_Y2017!F:F)</f>
        <v>0</v>
      </c>
      <c r="G42" s="62">
        <f>SUMIF(ALIF_Y2018!I:I,A42,ALIF_Y2018!F:F)</f>
        <v>0</v>
      </c>
      <c r="H42" s="62">
        <f>SUMIF(ALIF_Y2019!I:I,A42,ALIF_Y2019!F:F)</f>
        <v>0</v>
      </c>
      <c r="I42" s="62">
        <f>SUMIF(ALIF_Y2020!I:I,A42,ALIF_Y2020!F:F)</f>
        <v>0</v>
      </c>
      <c r="J42" s="62">
        <f>SUMIF(ALIF_Y2021!I:I,A42,ALIF_Y2021!F:F)</f>
        <v>0</v>
      </c>
      <c r="K42" s="62">
        <f>SUMIF(ALIF_Y2022!I:I,A42,ALIF_Y2022!F:F)</f>
        <v>700886</v>
      </c>
      <c r="L42" s="62">
        <f>SUMIF(ALIF_Y2023!I:I,A42,ALIF_Y2023!F:F)</f>
        <v>0</v>
      </c>
      <c r="M42" s="62">
        <f>SUMIF(ALIF_Y2024!I:I,A42,ALIF_Y2024!F:F)</f>
        <v>0</v>
      </c>
      <c r="N42" s="62">
        <f>SUMIF(ALIF_Y2025!I:I,A42,ALIF_Y2025!F:F)</f>
        <v>0</v>
      </c>
    </row>
    <row r="43" spans="1:14" ht="10.15" customHeight="1" x14ac:dyDescent="0.25"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x14ac:dyDescent="0.25">
      <c r="A44" s="8" t="s">
        <v>345</v>
      </c>
      <c r="C44" s="17">
        <f t="shared" ref="C44:N44" si="14">SUM(C34:C43)</f>
        <v>7702424.1299999999</v>
      </c>
      <c r="D44" s="17">
        <f t="shared" si="14"/>
        <v>7094796.693</v>
      </c>
      <c r="E44" s="17">
        <f t="shared" si="14"/>
        <v>7350629.294999999</v>
      </c>
      <c r="F44" s="17">
        <f t="shared" si="14"/>
        <v>9356300.0989999995</v>
      </c>
      <c r="G44" s="17">
        <f t="shared" si="14"/>
        <v>9930132.0759999994</v>
      </c>
      <c r="H44" s="17">
        <f t="shared" si="14"/>
        <v>10394148.647999998</v>
      </c>
      <c r="I44" s="17">
        <f t="shared" si="14"/>
        <v>16562491.829000002</v>
      </c>
      <c r="J44" s="17">
        <f t="shared" si="14"/>
        <v>13964300.544000002</v>
      </c>
      <c r="K44" s="17">
        <f t="shared" si="14"/>
        <v>14345089.629000003</v>
      </c>
      <c r="L44" s="17">
        <f t="shared" si="14"/>
        <v>13036995.181</v>
      </c>
      <c r="M44" s="17">
        <f t="shared" si="14"/>
        <v>14261829.189000001</v>
      </c>
      <c r="N44" s="17">
        <f t="shared" si="14"/>
        <v>26917588.152000003</v>
      </c>
    </row>
    <row r="45" spans="1:14" x14ac:dyDescent="0.25">
      <c r="A45" s="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x14ac:dyDescent="0.25">
      <c r="A46" s="47" t="s">
        <v>385</v>
      </c>
      <c r="C46" s="62">
        <f>SUMIF(ALIF_Y2014!I:I,A46,ALIF_Y2014!F:F)</f>
        <v>700005.97</v>
      </c>
      <c r="D46" s="62">
        <f>SUMIF(ALIF_Y2015!I:I,A46,ALIF_Y2015!F:F)</f>
        <v>133917.81899999999</v>
      </c>
      <c r="E46" s="149">
        <f>SUMIF(ALIF_Y2016!I:I,A46,ALIF_Y2016!F:F)</f>
        <v>0</v>
      </c>
      <c r="F46" s="62">
        <f>SUMIF(ALIF_Y2017!I:I,A46,ALIF_Y2017!F:F)</f>
        <v>0</v>
      </c>
      <c r="G46" s="62">
        <f>SUMIF(ALIF_Y2018!I:I,A46,ALIF_Y2018!F:F)</f>
        <v>0</v>
      </c>
      <c r="H46" s="62">
        <f>SUMIF(ALIF_Y2019!I:I,A46,ALIF_Y2019!F:F)</f>
        <v>0</v>
      </c>
      <c r="I46" s="62">
        <f>SUMIF(ALIF_Y2020!I:I,A46,ALIF_Y2020!F:F)</f>
        <v>325461.00400000002</v>
      </c>
      <c r="J46" s="62">
        <f>SUMIF(ALIF_Y2021!I:I,A46,ALIF_Y2021!F:F)</f>
        <v>248775</v>
      </c>
      <c r="K46" s="62">
        <f>SUMIF(ALIF_Y2022!I:I,A46,ALIF_Y2022!F:F)</f>
        <v>103333.326</v>
      </c>
      <c r="L46" s="62">
        <f>SUMIF(ALIF_Y2023!I:I,A46,ALIF_Y2023!F:F)</f>
        <v>8931099.4389999993</v>
      </c>
      <c r="M46" s="62">
        <f>SUMIF(ALIF_Y2024!I:I,A46,ALIF_Y2024!F:F)</f>
        <v>-5119898.58</v>
      </c>
      <c r="N46" s="62">
        <f>SUMIF(ALIF_Y2025!I:I,A46,ALIF_Y2025!F:F)</f>
        <v>-678521.16</v>
      </c>
    </row>
    <row r="47" spans="1:14" s="8" customFormat="1" x14ac:dyDescent="0.25">
      <c r="A47" s="47" t="s">
        <v>457</v>
      </c>
      <c r="C47" s="62">
        <f>SUMIF(ALIF_Y2014!I:I,A47,ALIF_Y2014!F:F)</f>
        <v>0</v>
      </c>
      <c r="D47" s="62">
        <f>SUMIF(ALIF_Y2015!I:I,A47,ALIF_Y2015!F:F)</f>
        <v>0</v>
      </c>
      <c r="E47" s="149">
        <f>SUMIF(ALIF_Y2016!I:I,A47,ALIF_Y2016!F:F)</f>
        <v>0</v>
      </c>
      <c r="F47" s="62">
        <f>SUMIF(ALIF_Y2017!I:I,A47,ALIF_Y2017!F:F)</f>
        <v>0</v>
      </c>
      <c r="G47" s="62">
        <f>SUMIF(ALIF_Y2018!I:I,A47,ALIF_Y2018!F:F)</f>
        <v>0</v>
      </c>
      <c r="H47" s="62">
        <f>SUMIF(ALIF_Y2019!I:I,A47,ALIF_Y2019!F:F)</f>
        <v>0</v>
      </c>
      <c r="I47" s="62">
        <f>SUMIF(ALIF_Y2020!I:I,A47,ALIF_Y2020!F:F)</f>
        <v>0</v>
      </c>
      <c r="J47" s="62">
        <f>SUMIF(ALIF_Y2021!I:I,A47,ALIF_Y2021!F:F)</f>
        <v>0</v>
      </c>
      <c r="K47" s="62">
        <f>SUMIF(ALIF_Y2022!I:I,A47,ALIF_Y2022!F:F)</f>
        <v>0</v>
      </c>
      <c r="L47" s="62">
        <f>SUMIF(ALIF_Y2023!I:I,A47,ALIF_Y2023!F:F)</f>
        <v>0</v>
      </c>
      <c r="M47" s="62">
        <f>SUMIF(ALIF_Y2024!I:I,A47,ALIF_Y2024!F:F)</f>
        <v>3148512.298</v>
      </c>
      <c r="N47" s="62">
        <f>SUMIF(ALIF_Y2025!I:I,A47,ALIF_Y2025!F:F)</f>
        <v>0</v>
      </c>
    </row>
    <row r="48" spans="1:14" ht="9" customHeight="1" x14ac:dyDescent="0.25">
      <c r="A48" s="126"/>
      <c r="B48" s="12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s="167" customFormat="1" x14ac:dyDescent="0.25">
      <c r="A49" s="166" t="s">
        <v>553</v>
      </c>
      <c r="C49" s="168">
        <f t="shared" ref="C49:N49" si="15">C24-C32-C44-C46-C47</f>
        <v>18580847.050261345</v>
      </c>
      <c r="D49" s="168">
        <f t="shared" si="15"/>
        <v>15090112.103832139</v>
      </c>
      <c r="E49" s="168">
        <f t="shared" si="15"/>
        <v>7150161.7974763094</v>
      </c>
      <c r="F49" s="168">
        <f t="shared" si="15"/>
        <v>4111239.7972543575</v>
      </c>
      <c r="G49" s="168">
        <f t="shared" si="15"/>
        <v>8129965.8004037235</v>
      </c>
      <c r="H49" s="168">
        <f t="shared" si="15"/>
        <v>10782837.807237685</v>
      </c>
      <c r="I49" s="168">
        <f t="shared" si="15"/>
        <v>-13774254.96501866</v>
      </c>
      <c r="J49" s="168">
        <f t="shared" si="15"/>
        <v>9389608.6865469795</v>
      </c>
      <c r="K49" s="168">
        <f t="shared" si="15"/>
        <v>12278821.516635198</v>
      </c>
      <c r="L49" s="168">
        <f t="shared" si="15"/>
        <v>-27993416.288642947</v>
      </c>
      <c r="M49" s="168">
        <f t="shared" si="15"/>
        <v>-10598662.836831065</v>
      </c>
      <c r="N49" s="168">
        <f t="shared" si="15"/>
        <v>-29788745.694830578</v>
      </c>
    </row>
    <row r="50" spans="1:14" ht="6" customHeight="1" x14ac:dyDescent="0.25">
      <c r="E50" s="11"/>
    </row>
    <row r="51" spans="1:14" s="67" customFormat="1" x14ac:dyDescent="0.25">
      <c r="A51" s="67" t="s">
        <v>372</v>
      </c>
      <c r="C51" s="62">
        <f>SUMIF(ALIF_Y2014!I:I,A51,ALIF_Y2014!F:F)</f>
        <v>1986535.067</v>
      </c>
      <c r="D51" s="62">
        <f>SUMIF(ALIF_Y2015!I:I,A51,ALIF_Y2015!F:F)</f>
        <v>1159554.7420000001</v>
      </c>
      <c r="E51" s="149">
        <f>SUMIF(ALIF_Y2016!I:I,A51,ALIF_Y2016!F:F)</f>
        <v>1539704.35</v>
      </c>
      <c r="F51" s="62">
        <f>SUMIF(ALIF_Y2017!I:I,A51,ALIF_Y2017!F:F)</f>
        <v>1568335.0009999999</v>
      </c>
      <c r="G51" s="62">
        <f>SUMIF(ALIF_Y2018!I:I,A51,ALIF_Y2018!F:F)</f>
        <v>2338864.71</v>
      </c>
      <c r="H51" s="62">
        <f>SUMIF(ALIF_Y2019!I:I,A51,ALIF_Y2019!F:F)</f>
        <v>3369252.03</v>
      </c>
      <c r="I51" s="62">
        <f>SUMIF(ALIF_Y2020!I:I,A51,ALIF_Y2020!F:F)</f>
        <v>3139563.568</v>
      </c>
      <c r="J51" s="62">
        <f>SUMIF(ALIF_Y2021!I:I,A51,ALIF_Y2021!F:F)</f>
        <v>4025597.2740000002</v>
      </c>
      <c r="K51" s="62">
        <f>SUMIF(ALIF_Y2022!I:I,A51,ALIF_Y2022!F:F)</f>
        <v>4641310.1399999997</v>
      </c>
      <c r="L51" s="62">
        <f>SUMIF(ALIF_Y2023!I:I,A51,ALIF_Y2023!F:F)</f>
        <v>5894124.551</v>
      </c>
      <c r="M51" s="62">
        <f>SUMIF(ALIF_Y2024!I:I,A51,ALIF_Y2024!F:F)</f>
        <v>7716907.142</v>
      </c>
      <c r="N51" s="62">
        <f>SUMIF(ALIF_Y2025!I:I,A51,ALIF_Y2025!F:F)</f>
        <v>11618933.344000001</v>
      </c>
    </row>
    <row r="52" spans="1:14" s="67" customFormat="1" x14ac:dyDescent="0.25">
      <c r="A52" s="67" t="s">
        <v>359</v>
      </c>
      <c r="C52" s="62">
        <f>SUMIF(ALIF_Y2014!I:I,A52,ALIF_Y2014!F:F)</f>
        <v>410748.17</v>
      </c>
      <c r="D52" s="62">
        <f>SUMIF(ALIF_Y2015!I:I,A52,ALIF_Y2015!F:F)</f>
        <v>447124.53</v>
      </c>
      <c r="E52" s="149">
        <f>SUMIF(ALIF_Y2016!I:I,A52,ALIF_Y2016!F:F)</f>
        <v>295860.39099999989</v>
      </c>
      <c r="F52" s="62">
        <f>SUMIF(ALIF_Y2017!I:I,A52,ALIF_Y2017!F:F)</f>
        <v>378246.45800000004</v>
      </c>
      <c r="G52" s="62">
        <f>SUMIF(ALIF_Y2018!I:I,A52,ALIF_Y2018!F:F)</f>
        <v>903739.72699999996</v>
      </c>
      <c r="H52" s="62">
        <f>SUMIF(ALIF_Y2019!I:I,A52,ALIF_Y2019!F:F)</f>
        <v>718507.80799999996</v>
      </c>
      <c r="I52" s="62">
        <f>SUMIF(ALIF_Y2020!I:I,A52,ALIF_Y2020!F:F)</f>
        <v>1984412.7469999997</v>
      </c>
      <c r="J52" s="62">
        <f>SUMIF(ALIF_Y2021!I:I,A52,ALIF_Y2021!F:F)</f>
        <v>2123910.122</v>
      </c>
      <c r="K52" s="62">
        <f>SUMIF(ALIF_Y2022!I:I,A52,ALIF_Y2022!F:F)</f>
        <v>2249190.7760000001</v>
      </c>
      <c r="L52" s="62">
        <f>SUMIF(ALIF_Y2023!I:I,A52,ALIF_Y2023!F:F)</f>
        <v>2301784.9879999999</v>
      </c>
      <c r="M52" s="62">
        <f>SUMIF(ALIF_Y2024!I:I,A52,ALIF_Y2024!F:F)</f>
        <v>2249499.9190000002</v>
      </c>
      <c r="N52" s="62">
        <f>SUMIF(ALIF_Y2025!I:I,A52,ALIF_Y2025!F:F)</f>
        <v>2603825.5560000003</v>
      </c>
    </row>
    <row r="53" spans="1:14" s="67" customFormat="1" x14ac:dyDescent="0.25">
      <c r="A53" s="112" t="s">
        <v>558</v>
      </c>
      <c r="C53" s="62">
        <f>SUMIF(ALIF_Y2014!I:I,A53,ALIF_Y2014!F:F)</f>
        <v>0</v>
      </c>
      <c r="D53" s="62">
        <f>SUMIF(ALIF_Y2015!I:I,A53,ALIF_Y2015!F:F)</f>
        <v>0</v>
      </c>
      <c r="E53" s="149">
        <f>SUMIF(ALIF_Y2016!I:I,A53,ALIF_Y2016!F:F)</f>
        <v>0</v>
      </c>
      <c r="F53" s="62">
        <f>SUMIF(ALIF_Y2017!I:I,A53,ALIF_Y2017!F:F)</f>
        <v>0</v>
      </c>
      <c r="G53" s="62">
        <f>SUMIF(ALIF_Y2018!I:I,A53,ALIF_Y2018!F:F)</f>
        <v>0</v>
      </c>
      <c r="H53" s="62">
        <f>SUMIF(ALIF_Y2019!I:I,A53,ALIF_Y2019!F:F)</f>
        <v>0</v>
      </c>
      <c r="I53" s="62">
        <f>SUMIF(ALIF_Y2020!I:I,A53,ALIF_Y2020!F:F)</f>
        <v>0</v>
      </c>
      <c r="J53" s="62">
        <f>SUMIF(ALIF_Y2021!I:I,A53,ALIF_Y2021!F:F)</f>
        <v>-751257.5</v>
      </c>
      <c r="K53" s="62">
        <f>SUMIF(ALIF_Y2022!I:I,A53,ALIF_Y2022!F:F)</f>
        <v>-1290167.1000000001</v>
      </c>
      <c r="L53" s="62">
        <f>SUMIF(ALIF_Y2023!I:I,A53,ALIF_Y2023!F:F)</f>
        <v>-776507.2</v>
      </c>
      <c r="M53" s="62">
        <f>SUMIF(ALIF_Y2024!I:I,A53,ALIF_Y2024!F:F)</f>
        <v>-157172</v>
      </c>
      <c r="N53" s="62">
        <f>SUMIF(ALIF_Y2025!I:I,A53,ALIF_Y2025!F:F)</f>
        <v>-193037.5</v>
      </c>
    </row>
    <row r="54" spans="1:14" s="67" customFormat="1" x14ac:dyDescent="0.25">
      <c r="A54" s="67" t="s">
        <v>379</v>
      </c>
      <c r="C54" s="62">
        <f>SUMIF(ALIF_Y2014!I:I,A54,ALIF_Y2014!F:F)</f>
        <v>1537200</v>
      </c>
      <c r="D54" s="62">
        <f>SUMIF(ALIF_Y2015!I:I,A54,ALIF_Y2015!F:F)</f>
        <v>1363871</v>
      </c>
      <c r="E54" s="149">
        <f>SUMIF(ALIF_Y2016!I:I,A54,ALIF_Y2016!F:F)</f>
        <v>1221311.1000000001</v>
      </c>
      <c r="F54" s="62">
        <f>SUMIF(ALIF_Y2017!I:I,A54,ALIF_Y2017!F:F)</f>
        <v>994649.23</v>
      </c>
      <c r="G54" s="62">
        <f>SUMIF(ALIF_Y2018!I:I,A54,ALIF_Y2018!F:F)</f>
        <v>1150000</v>
      </c>
      <c r="H54" s="62">
        <f>SUMIF(ALIF_Y2019!I:I,A54,ALIF_Y2019!F:F)</f>
        <v>954424.53</v>
      </c>
      <c r="I54" s="62">
        <f>SUMIF(ALIF_Y2020!I:I,A54,ALIF_Y2020!F:F)</f>
        <v>644385.89</v>
      </c>
      <c r="J54" s="62">
        <f>SUMIF(ALIF_Y2021!I:I,A54,ALIF_Y2021!F:F)</f>
        <v>146434.87</v>
      </c>
      <c r="K54" s="62">
        <f>SUMIF(ALIF_Y2022!I:I,A54,ALIF_Y2022!F:F)</f>
        <v>672246.94</v>
      </c>
      <c r="L54" s="62">
        <f>SUMIF(ALIF_Y2023!I:I,A54,ALIF_Y2023!F:F)</f>
        <v>235302.94</v>
      </c>
      <c r="M54" s="62">
        <f>SUMIF(ALIF_Y2024!I:I,A54,ALIF_Y2024!F:F)</f>
        <v>9561.0400000000009</v>
      </c>
      <c r="N54" s="62">
        <f>SUMIF(ALIF_Y2025!I:I,A54,ALIF_Y2025!F:F)</f>
        <v>0</v>
      </c>
    </row>
    <row r="55" spans="1:14" ht="7.9" customHeight="1" x14ac:dyDescent="0.25">
      <c r="E55" s="11"/>
    </row>
    <row r="56" spans="1:14" s="170" customFormat="1" ht="18.600000000000001" customHeight="1" thickBot="1" x14ac:dyDescent="0.3">
      <c r="A56" s="169" t="s">
        <v>407</v>
      </c>
      <c r="C56" s="171">
        <f t="shared" ref="C56" si="16">C49-C51-C52-C54-C53</f>
        <v>14646363.813261345</v>
      </c>
      <c r="D56" s="171">
        <f t="shared" ref="D56" si="17">D49-D51-D52-D54-D53</f>
        <v>12119561.831832139</v>
      </c>
      <c r="E56" s="171">
        <f t="shared" ref="E56" si="18">E49-E51-E52-E54-E53</f>
        <v>4093285.9564763089</v>
      </c>
      <c r="F56" s="171">
        <f t="shared" ref="F56" si="19">F49-F51-F52-F54-F53</f>
        <v>1170009.1082543572</v>
      </c>
      <c r="G56" s="171">
        <f t="shared" ref="G56" si="20">G49-G51-G52-G54-G53</f>
        <v>3737361.3634037236</v>
      </c>
      <c r="H56" s="171">
        <f t="shared" ref="H56" si="21">H49-H51-H52-H54-H53</f>
        <v>5740653.4392376849</v>
      </c>
      <c r="I56" s="171">
        <f>I49-I51-I52-I54-I53</f>
        <v>-19542617.170018662</v>
      </c>
      <c r="J56" s="171">
        <f t="shared" ref="J56" si="22">J49-J51-J52-J54-J53</f>
        <v>3844923.9205469792</v>
      </c>
      <c r="K56" s="171">
        <f t="shared" ref="K56:L56" si="23">K49-K51-K52-K54-K53</f>
        <v>6006240.760635199</v>
      </c>
      <c r="L56" s="171">
        <f t="shared" si="23"/>
        <v>-35648121.567642942</v>
      </c>
      <c r="M56" s="171">
        <f>M49-M51-M52-M54-M53</f>
        <v>-20417458.937831063</v>
      </c>
      <c r="N56" s="171">
        <f>N49-N51-N52-N54-N53</f>
        <v>-43818467.09483058</v>
      </c>
    </row>
    <row r="57" spans="1:14" ht="15.75" thickTop="1" x14ac:dyDescent="0.25">
      <c r="E57" s="11"/>
    </row>
    <row r="58" spans="1:14" x14ac:dyDescent="0.25">
      <c r="A58" s="9" t="s">
        <v>371</v>
      </c>
      <c r="C58" s="127">
        <f>SUMIF(ALIF_Y2014!I:I,A58,ALIF_Y2014!F:F)</f>
        <v>0</v>
      </c>
      <c r="D58" s="127">
        <f>SUMIF(ALIF_Y2015!I:I,A58,ALIF_Y2015!F:F)</f>
        <v>0</v>
      </c>
      <c r="E58" s="153">
        <f>SUMIF(ALIF_Y2016!I:I,A58,ALIF_Y2016!F:F)</f>
        <v>0</v>
      </c>
      <c r="F58" s="127">
        <f>SUMIF(ALIF_Y2017!I:I,A58,ALIF_Y2017!F:F)</f>
        <v>0</v>
      </c>
      <c r="G58" s="127">
        <f>SUMIF(ALIF_Y2018!I:I,A58,ALIF_Y2018!F:F)</f>
        <v>0</v>
      </c>
      <c r="H58" s="127">
        <f>SUMIF(ALIF_Y2019!I:I,A58,ALIF_Y2019!F:F)</f>
        <v>-608441</v>
      </c>
      <c r="I58" s="127">
        <f>SUMIF(ALIF_Y2020!I:I,A58,ALIF_Y2020!F:F)</f>
        <v>180079</v>
      </c>
      <c r="J58" s="127">
        <f>SUMIF(ALIF_Y2021!I:I,A58,ALIF_Y2021!F:F)</f>
        <v>-25921</v>
      </c>
      <c r="K58" s="127">
        <f>SUMIF(ALIF_Y2022!I:I,A58,ALIF_Y2022!F:F)</f>
        <v>35621</v>
      </c>
      <c r="L58" s="127">
        <f>SUMIF(ALIF_Y2023!I:I,A58,ALIF_Y2023!F:F)</f>
        <v>1151975.32</v>
      </c>
      <c r="M58" s="127">
        <f>SUMIF(ALIF_Y2024!I:I,A58,ALIF_Y2024!F:F)</f>
        <v>-1573353</v>
      </c>
      <c r="N58" s="127">
        <f>SUMIF(ALIF_Y2025!I:I,A58,ALIF_Y2025!F:F)</f>
        <v>0</v>
      </c>
    </row>
    <row r="59" spans="1:14" s="19" customFormat="1" ht="21.6" customHeight="1" x14ac:dyDescent="0.25">
      <c r="A59" s="19" t="s">
        <v>582</v>
      </c>
      <c r="C59" s="172">
        <f t="shared" ref="C59:M59" si="24">C56-C58</f>
        <v>14646363.813261345</v>
      </c>
      <c r="D59" s="172">
        <f t="shared" si="24"/>
        <v>12119561.831832139</v>
      </c>
      <c r="E59" s="172">
        <f t="shared" si="24"/>
        <v>4093285.9564763089</v>
      </c>
      <c r="F59" s="172">
        <f t="shared" si="24"/>
        <v>1170009.1082543572</v>
      </c>
      <c r="G59" s="172">
        <f t="shared" si="24"/>
        <v>3737361.3634037236</v>
      </c>
      <c r="H59" s="172">
        <f t="shared" si="24"/>
        <v>6349094.4392376849</v>
      </c>
      <c r="I59" s="172">
        <f t="shared" si="24"/>
        <v>-19722696.170018662</v>
      </c>
      <c r="J59" s="172">
        <f t="shared" si="24"/>
        <v>3870844.9205469792</v>
      </c>
      <c r="K59" s="172">
        <f t="shared" si="24"/>
        <v>5970619.760635199</v>
      </c>
      <c r="L59" s="172">
        <f t="shared" si="24"/>
        <v>-36800096.887642942</v>
      </c>
      <c r="M59" s="172">
        <f t="shared" si="24"/>
        <v>-18844105.937831063</v>
      </c>
      <c r="N59" s="172">
        <f>N56-N58</f>
        <v>-43818467.09483058</v>
      </c>
    </row>
    <row r="60" spans="1:14" s="12" customFormat="1" x14ac:dyDescent="0.25">
      <c r="A60" s="9"/>
      <c r="B60" s="9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s="12" customFormat="1" x14ac:dyDescent="0.25">
      <c r="A61" s="8" t="s">
        <v>595</v>
      </c>
      <c r="B61" s="9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x14ac:dyDescent="0.25">
      <c r="B62" s="87" t="s">
        <v>509</v>
      </c>
      <c r="C62" s="154">
        <f t="shared" ref="C62:N62" si="25">C22/C8*100</f>
        <v>79.668412141344916</v>
      </c>
      <c r="D62" s="154">
        <f t="shared" si="25"/>
        <v>79.307000624343814</v>
      </c>
      <c r="E62" s="154">
        <f t="shared" si="25"/>
        <v>83.251273876590545</v>
      </c>
      <c r="F62" s="154">
        <f t="shared" si="25"/>
        <v>85.222412013075925</v>
      </c>
      <c r="G62" s="154">
        <f t="shared" si="25"/>
        <v>82.900882678951206</v>
      </c>
      <c r="H62" s="154">
        <f t="shared" si="25"/>
        <v>85.270373373379897</v>
      </c>
      <c r="I62" s="154">
        <f t="shared" si="25"/>
        <v>97.300551077652315</v>
      </c>
      <c r="J62" s="154">
        <f t="shared" si="25"/>
        <v>86.867889305760158</v>
      </c>
      <c r="K62" s="154">
        <f t="shared" si="25"/>
        <v>87.73318600653333</v>
      </c>
      <c r="L62" s="154">
        <f t="shared" si="25"/>
        <v>105.55076284878197</v>
      </c>
      <c r="M62" s="154">
        <f t="shared" si="25"/>
        <v>98.023980432379261</v>
      </c>
      <c r="N62" s="154">
        <f t="shared" si="25"/>
        <v>101.24987793052782</v>
      </c>
    </row>
    <row r="63" spans="1:14" x14ac:dyDescent="0.25">
      <c r="B63" s="156" t="s">
        <v>343</v>
      </c>
      <c r="C63" s="157">
        <f t="shared" ref="C63:N63" si="26">C10/C8*100</f>
        <v>61.161253488370804</v>
      </c>
      <c r="D63" s="157">
        <f t="shared" si="26"/>
        <v>60.217072552392125</v>
      </c>
      <c r="E63" s="157">
        <f t="shared" si="26"/>
        <v>62.870215025247504</v>
      </c>
      <c r="F63" s="157">
        <f t="shared" si="26"/>
        <v>62.543090257260317</v>
      </c>
      <c r="G63" s="157">
        <f t="shared" si="26"/>
        <v>69.97457885616511</v>
      </c>
      <c r="H63" s="157">
        <f t="shared" si="26"/>
        <v>69.687110725037385</v>
      </c>
      <c r="I63" s="157">
        <f t="shared" si="26"/>
        <v>79.767929940904352</v>
      </c>
      <c r="J63" s="157">
        <f t="shared" si="26"/>
        <v>70.341711958921678</v>
      </c>
      <c r="K63" s="157">
        <f t="shared" si="26"/>
        <v>71.630120107579259</v>
      </c>
      <c r="L63" s="157">
        <f t="shared" si="26"/>
        <v>83.031773692933314</v>
      </c>
      <c r="M63" s="157">
        <f t="shared" si="26"/>
        <v>78.740499687245418</v>
      </c>
      <c r="N63" s="165">
        <f t="shared" si="26"/>
        <v>73.7685635597404</v>
      </c>
    </row>
    <row r="64" spans="1:14" x14ac:dyDescent="0.25">
      <c r="B64" s="156" t="s">
        <v>344</v>
      </c>
      <c r="C64" s="157">
        <f t="shared" ref="C64:N64" si="27">C11/C8*100</f>
        <v>7.5465913187757847</v>
      </c>
      <c r="D64" s="157">
        <f t="shared" si="27"/>
        <v>4.5361805340112404</v>
      </c>
      <c r="E64" s="157">
        <f t="shared" si="27"/>
        <v>3.1357671789874413</v>
      </c>
      <c r="F64" s="157">
        <f t="shared" si="27"/>
        <v>8.677325320250235</v>
      </c>
      <c r="G64" s="157">
        <f t="shared" si="27"/>
        <v>4.3669097807462389</v>
      </c>
      <c r="H64" s="157">
        <f t="shared" si="27"/>
        <v>3.2428376720038852</v>
      </c>
      <c r="I64" s="157">
        <f t="shared" si="27"/>
        <v>3.6465851460529124</v>
      </c>
      <c r="J64" s="157">
        <f t="shared" si="27"/>
        <v>3.3477116026973617</v>
      </c>
      <c r="K64" s="157">
        <f t="shared" si="27"/>
        <v>3.4111040191774791</v>
      </c>
      <c r="L64" s="157">
        <f t="shared" si="27"/>
        <v>4.3549675524322007</v>
      </c>
      <c r="M64" s="157">
        <f t="shared" si="27"/>
        <v>3.9513057117064361</v>
      </c>
      <c r="N64" s="157">
        <f t="shared" si="27"/>
        <v>9.4660558901776444</v>
      </c>
    </row>
    <row r="65" spans="2:14" x14ac:dyDescent="0.25">
      <c r="B65" s="156" t="s">
        <v>383</v>
      </c>
      <c r="C65" s="157">
        <f t="shared" ref="C65:N65" si="28">C12/C8*100</f>
        <v>1.9957950257179853</v>
      </c>
      <c r="D65" s="157">
        <f t="shared" si="28"/>
        <v>2.498748583145606</v>
      </c>
      <c r="E65" s="157">
        <f t="shared" si="28"/>
        <v>3.0384962606603674</v>
      </c>
      <c r="F65" s="157">
        <f t="shared" si="28"/>
        <v>2.3992985655304491</v>
      </c>
      <c r="G65" s="157">
        <f t="shared" si="28"/>
        <v>3.0317612536589529</v>
      </c>
      <c r="H65" s="157">
        <f t="shared" si="28"/>
        <v>2.3845413335554131</v>
      </c>
      <c r="I65" s="157">
        <f t="shared" si="28"/>
        <v>2.1263799964173691</v>
      </c>
      <c r="J65" s="157">
        <f t="shared" si="28"/>
        <v>1.5333646134208658</v>
      </c>
      <c r="K65" s="157">
        <f t="shared" si="28"/>
        <v>1.229244431002616</v>
      </c>
      <c r="L65" s="157">
        <f t="shared" si="28"/>
        <v>2.6032275412203472</v>
      </c>
      <c r="M65" s="165">
        <f t="shared" si="28"/>
        <v>1.4814219925012047</v>
      </c>
      <c r="N65" s="165">
        <f t="shared" si="28"/>
        <v>1.4420121920731657</v>
      </c>
    </row>
    <row r="66" spans="2:14" hidden="1" x14ac:dyDescent="0.25">
      <c r="B66" s="156" t="s">
        <v>468</v>
      </c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>
        <f>N13/N8*100</f>
        <v>-9.0190160107643663E-16</v>
      </c>
    </row>
    <row r="67" spans="2:14" x14ac:dyDescent="0.25">
      <c r="B67" s="156" t="s">
        <v>559</v>
      </c>
      <c r="C67" s="157">
        <f t="shared" ref="C67:L67" si="29">C14/C8*100</f>
        <v>2.2050241559064929</v>
      </c>
      <c r="D67" s="157">
        <f t="shared" si="29"/>
        <v>2.8922543430707774</v>
      </c>
      <c r="E67" s="157">
        <f t="shared" si="29"/>
        <v>3.9137518637537707</v>
      </c>
      <c r="F67" s="157">
        <f t="shared" si="29"/>
        <v>3.7957566944912862</v>
      </c>
      <c r="G67" s="157">
        <f t="shared" si="29"/>
        <v>2.0464560797367821</v>
      </c>
      <c r="H67" s="157">
        <f t="shared" si="29"/>
        <v>2.4904576350793883</v>
      </c>
      <c r="I67" s="157">
        <f t="shared" si="29"/>
        <v>2.5723285499982564</v>
      </c>
      <c r="J67" s="157">
        <f t="shared" si="29"/>
        <v>1.8875223017541272</v>
      </c>
      <c r="K67" s="157">
        <f t="shared" si="29"/>
        <v>1.7064069840641873</v>
      </c>
      <c r="L67" s="157">
        <f t="shared" si="29"/>
        <v>3.7359922754819279</v>
      </c>
      <c r="M67" s="157">
        <f>M14/M8*100</f>
        <v>3.3450673257986159</v>
      </c>
      <c r="N67" s="157">
        <f>N14/N8*100</f>
        <v>4.7488802486982618</v>
      </c>
    </row>
    <row r="68" spans="2:14" x14ac:dyDescent="0.25">
      <c r="B68" s="156" t="s">
        <v>745</v>
      </c>
      <c r="C68" s="157">
        <f>C15/C8*100</f>
        <v>1.8169906016635293</v>
      </c>
      <c r="D68" s="157">
        <f t="shared" ref="D68:N68" si="30">D15/D8*100</f>
        <v>2.2112318111748812</v>
      </c>
      <c r="E68" s="157">
        <f t="shared" si="30"/>
        <v>2.5690915910586427</v>
      </c>
      <c r="F68" s="157">
        <f t="shared" si="30"/>
        <v>2.1855574490652554</v>
      </c>
      <c r="G68" s="157">
        <f t="shared" si="30"/>
        <v>1.0195950763901471</v>
      </c>
      <c r="H68" s="157">
        <f t="shared" si="30"/>
        <v>2.7033350366720188</v>
      </c>
      <c r="I68" s="157">
        <f t="shared" si="30"/>
        <v>3.2542754746805014</v>
      </c>
      <c r="J68" s="157">
        <f t="shared" si="30"/>
        <v>3.58593328714394</v>
      </c>
      <c r="K68" s="157">
        <f t="shared" si="30"/>
        <v>3.3623869181290802</v>
      </c>
      <c r="L68" s="157">
        <f t="shared" si="30"/>
        <v>4.9155652325560437</v>
      </c>
      <c r="M68" s="157">
        <f t="shared" si="30"/>
        <v>3.6912436925390315</v>
      </c>
      <c r="N68" s="157">
        <f t="shared" si="30"/>
        <v>1.6472543760332847</v>
      </c>
    </row>
    <row r="69" spans="2:14" x14ac:dyDescent="0.25">
      <c r="B69" s="156" t="s">
        <v>742</v>
      </c>
      <c r="C69" s="157">
        <f>C16/C8*100</f>
        <v>2.5948297209643321</v>
      </c>
      <c r="D69" s="157">
        <f t="shared" ref="D69:N69" si="31">D16/D8*100</f>
        <v>3.7131203543964637</v>
      </c>
      <c r="E69" s="157">
        <f t="shared" si="31"/>
        <v>3.438576090078783</v>
      </c>
      <c r="F69" s="157">
        <f t="shared" si="31"/>
        <v>2.4265752720715392</v>
      </c>
      <c r="G69" s="157">
        <f t="shared" si="31"/>
        <v>1.3732588531881602</v>
      </c>
      <c r="H69" s="157">
        <f t="shared" si="31"/>
        <v>2.4868997847706864</v>
      </c>
      <c r="I69" s="157">
        <f t="shared" si="31"/>
        <v>3.3890372178533732</v>
      </c>
      <c r="J69" s="157">
        <f t="shared" si="31"/>
        <v>3.5105801062611235</v>
      </c>
      <c r="K69" s="157">
        <f t="shared" si="31"/>
        <v>4.3017694023952284</v>
      </c>
      <c r="L69" s="157">
        <f t="shared" si="31"/>
        <v>4.2819504556132522</v>
      </c>
      <c r="M69" s="157">
        <f t="shared" si="31"/>
        <v>1.9882307758681421</v>
      </c>
      <c r="N69" s="157">
        <f t="shared" si="31"/>
        <v>1.2105590206066243</v>
      </c>
    </row>
    <row r="70" spans="2:14" x14ac:dyDescent="0.25">
      <c r="B70" s="156" t="s">
        <v>740</v>
      </c>
      <c r="C70" s="157">
        <f>C17/C8*100</f>
        <v>1.1323650908035945</v>
      </c>
      <c r="D70" s="157">
        <f t="shared" ref="D70:N70" si="32">D17/D8*100</f>
        <v>1.7271282192707311</v>
      </c>
      <c r="E70" s="157">
        <f t="shared" si="32"/>
        <v>2.5142182362029395</v>
      </c>
      <c r="F70" s="157">
        <f t="shared" si="32"/>
        <v>2.126283269068554</v>
      </c>
      <c r="G70" s="157">
        <f t="shared" si="32"/>
        <v>0.81807729729740675</v>
      </c>
      <c r="H70" s="157">
        <f t="shared" si="32"/>
        <v>1.746474312997276</v>
      </c>
      <c r="I70" s="157">
        <f t="shared" si="32"/>
        <v>1.9226319807868173</v>
      </c>
      <c r="J70" s="157">
        <f t="shared" si="32"/>
        <v>1.5487481271132155</v>
      </c>
      <c r="K70" s="157">
        <f t="shared" si="32"/>
        <v>1.1677382013395816</v>
      </c>
      <c r="L70" s="157">
        <f t="shared" si="32"/>
        <v>1.5902186547629471</v>
      </c>
      <c r="M70" s="157">
        <f t="shared" si="32"/>
        <v>1.5310670079619366</v>
      </c>
      <c r="N70" s="157">
        <f t="shared" si="32"/>
        <v>1.8601961693497346</v>
      </c>
    </row>
    <row r="71" spans="2:14" x14ac:dyDescent="0.25">
      <c r="B71" s="156" t="s">
        <v>739</v>
      </c>
      <c r="C71" s="157">
        <f>C18/C8*100</f>
        <v>0.19215236988311604</v>
      </c>
      <c r="D71" s="157">
        <f t="shared" ref="D71:N71" si="33">D18/D8*100</f>
        <v>0.12632012987277499</v>
      </c>
      <c r="E71" s="157">
        <f t="shared" si="33"/>
        <v>7.225669743992183E-2</v>
      </c>
      <c r="F71" s="157">
        <f t="shared" si="33"/>
        <v>0.21892113607152497</v>
      </c>
      <c r="G71" s="157">
        <f t="shared" si="33"/>
        <v>7.3435268821719149E-2</v>
      </c>
      <c r="H71" s="157">
        <f t="shared" si="33"/>
        <v>0.21022537559004631</v>
      </c>
      <c r="I71" s="157">
        <f t="shared" si="33"/>
        <v>0.36876468816862695</v>
      </c>
      <c r="J71" s="157">
        <f t="shared" si="33"/>
        <v>0.96665870335282145</v>
      </c>
      <c r="K71" s="157">
        <f t="shared" si="33"/>
        <v>0.80052239949378667</v>
      </c>
      <c r="L71" s="157">
        <f t="shared" si="33"/>
        <v>0.27387734044730466</v>
      </c>
      <c r="M71" s="157">
        <f t="shared" si="33"/>
        <v>0.95103503664700928</v>
      </c>
      <c r="N71" s="157">
        <f t="shared" si="33"/>
        <v>4.6898471107355508</v>
      </c>
    </row>
    <row r="72" spans="2:14" x14ac:dyDescent="0.25">
      <c r="B72" s="156" t="s">
        <v>744</v>
      </c>
      <c r="C72" s="157">
        <f>C19/C8*100</f>
        <v>1.0234103692592618</v>
      </c>
      <c r="D72" s="157">
        <f t="shared" ref="D72:N72" si="34">D19/D8*100</f>
        <v>1.3849440970092131</v>
      </c>
      <c r="E72" s="157">
        <f t="shared" si="34"/>
        <v>1.69890093316117</v>
      </c>
      <c r="F72" s="157">
        <f t="shared" si="34"/>
        <v>0.84960404926676369</v>
      </c>
      <c r="G72" s="157">
        <f t="shared" si="34"/>
        <v>0.19681021294668247</v>
      </c>
      <c r="H72" s="157">
        <f t="shared" si="34"/>
        <v>0.31849149767380858</v>
      </c>
      <c r="I72" s="157">
        <f t="shared" si="34"/>
        <v>0.25261808279009812</v>
      </c>
      <c r="J72" s="157">
        <f t="shared" si="34"/>
        <v>0.14565860509504056</v>
      </c>
      <c r="K72" s="157">
        <f t="shared" si="34"/>
        <v>0.12389354335210348</v>
      </c>
      <c r="L72" s="157">
        <f t="shared" si="34"/>
        <v>0.26587201320792014</v>
      </c>
      <c r="M72" s="157">
        <f t="shared" si="34"/>
        <v>0.18108130296990518</v>
      </c>
      <c r="N72" s="157">
        <f t="shared" si="34"/>
        <v>0.26705764303152701</v>
      </c>
    </row>
    <row r="73" spans="2:14" x14ac:dyDescent="0.25">
      <c r="B73" s="156" t="s">
        <v>741</v>
      </c>
      <c r="C73" s="157"/>
      <c r="D73" s="157"/>
      <c r="E73" s="157"/>
      <c r="F73" s="157"/>
      <c r="G73" s="157"/>
      <c r="H73" s="157"/>
      <c r="I73" s="157"/>
      <c r="J73" s="157"/>
      <c r="K73" s="157"/>
      <c r="L73" s="157">
        <f t="shared" ref="L73:N73" si="35">L20/L8*100</f>
        <v>0.49731809012671768</v>
      </c>
      <c r="M73" s="157">
        <f t="shared" si="35"/>
        <v>2.1630278991415399</v>
      </c>
      <c r="N73" s="157">
        <f t="shared" si="35"/>
        <v>2.1494517200816294</v>
      </c>
    </row>
    <row r="74" spans="2:14" s="173" customFormat="1" x14ac:dyDescent="0.25">
      <c r="B74" s="173" t="s">
        <v>510</v>
      </c>
      <c r="C74" s="174">
        <f t="shared" ref="C74:N74" si="36">C24/C8*100</f>
        <v>20.33158785865508</v>
      </c>
      <c r="D74" s="174">
        <f t="shared" si="36"/>
        <v>20.692999375656179</v>
      </c>
      <c r="E74" s="174">
        <f t="shared" si="36"/>
        <v>16.748726123409455</v>
      </c>
      <c r="F74" s="174">
        <f t="shared" si="36"/>
        <v>14.777587986924082</v>
      </c>
      <c r="G74" s="174">
        <f t="shared" si="36"/>
        <v>17.099117321048791</v>
      </c>
      <c r="H74" s="174">
        <f t="shared" si="36"/>
        <v>14.729626626620092</v>
      </c>
      <c r="I74" s="174">
        <f t="shared" si="36"/>
        <v>2.699448922347691</v>
      </c>
      <c r="J74" s="174">
        <f t="shared" si="36"/>
        <v>13.132110694239838</v>
      </c>
      <c r="K74" s="174">
        <f t="shared" si="36"/>
        <v>12.266813993466668</v>
      </c>
      <c r="L74" s="174">
        <f t="shared" si="36"/>
        <v>-5.5507628487819662</v>
      </c>
      <c r="M74" s="174">
        <f t="shared" si="36"/>
        <v>1.9760195676207486</v>
      </c>
      <c r="N74" s="174">
        <f t="shared" si="36"/>
        <v>-1.2498779305278294</v>
      </c>
    </row>
    <row r="75" spans="2:14" s="178" customFormat="1" x14ac:dyDescent="0.25">
      <c r="B75" s="175" t="s">
        <v>507</v>
      </c>
      <c r="C75" s="176">
        <f t="shared" ref="C75:N75" si="37">C32/C8*100</f>
        <v>0.19112002233742892</v>
      </c>
      <c r="D75" s="176">
        <f t="shared" si="37"/>
        <v>0.30010942314924927</v>
      </c>
      <c r="E75" s="176">
        <f t="shared" si="37"/>
        <v>0.22692987299830761</v>
      </c>
      <c r="F75" s="176">
        <f t="shared" si="37"/>
        <v>0.30859174060783362</v>
      </c>
      <c r="G75" s="176">
        <f t="shared" si="37"/>
        <v>0.28495329411639442</v>
      </c>
      <c r="H75" s="176">
        <f t="shared" si="37"/>
        <v>0.23295854311945727</v>
      </c>
      <c r="I75" s="176">
        <f t="shared" si="37"/>
        <v>0.2400269886599026</v>
      </c>
      <c r="J75" s="176">
        <f t="shared" si="37"/>
        <v>0.20754266609838376</v>
      </c>
      <c r="K75" s="176">
        <f t="shared" si="37"/>
        <v>0.22560300572556144</v>
      </c>
      <c r="L75" s="176">
        <f t="shared" si="37"/>
        <v>0.231667133413406</v>
      </c>
      <c r="M75" s="177">
        <f t="shared" si="37"/>
        <v>0.72480353880928672</v>
      </c>
      <c r="N75" s="177">
        <f t="shared" si="37"/>
        <v>1.0418170508174796</v>
      </c>
    </row>
    <row r="76" spans="2:14" s="178" customFormat="1" x14ac:dyDescent="0.25">
      <c r="B76" s="175" t="s">
        <v>508</v>
      </c>
      <c r="C76" s="176">
        <f t="shared" ref="C76:N76" si="38">C44/C8*100</f>
        <v>5.7491321231320303</v>
      </c>
      <c r="D76" s="176">
        <f t="shared" si="38"/>
        <v>6.4825723451396007</v>
      </c>
      <c r="E76" s="176">
        <f t="shared" si="38"/>
        <v>8.3751016582333229</v>
      </c>
      <c r="F76" s="176">
        <f t="shared" si="38"/>
        <v>10.052041579582822</v>
      </c>
      <c r="G76" s="176">
        <f t="shared" si="38"/>
        <v>9.24507002551276</v>
      </c>
      <c r="H76" s="176">
        <f t="shared" si="38"/>
        <v>7.1152958084531992</v>
      </c>
      <c r="I76" s="177">
        <f t="shared" si="38"/>
        <v>13.082244137956756</v>
      </c>
      <c r="J76" s="176">
        <f t="shared" si="38"/>
        <v>7.6466960530174459</v>
      </c>
      <c r="K76" s="176">
        <f t="shared" si="38"/>
        <v>6.4627781230557169</v>
      </c>
      <c r="L76" s="177">
        <f t="shared" si="38"/>
        <v>12.51145016948608</v>
      </c>
      <c r="M76" s="177">
        <f t="shared" si="38"/>
        <v>10.547842237948853</v>
      </c>
      <c r="N76" s="177">
        <f t="shared" si="38"/>
        <v>17.378164854376287</v>
      </c>
    </row>
    <row r="77" spans="2:14" s="178" customFormat="1" x14ac:dyDescent="0.25">
      <c r="B77" s="175" t="s">
        <v>511</v>
      </c>
      <c r="C77" s="176">
        <f t="shared" ref="C77:N77" si="39">C51/C8*100</f>
        <v>1.4827608003219552</v>
      </c>
      <c r="D77" s="176">
        <f t="shared" si="39"/>
        <v>1.0594944194216511</v>
      </c>
      <c r="E77" s="176">
        <f t="shared" si="39"/>
        <v>1.7542961204213554</v>
      </c>
      <c r="F77" s="176">
        <f t="shared" si="39"/>
        <v>1.6849575659134772</v>
      </c>
      <c r="G77" s="176">
        <f t="shared" si="39"/>
        <v>2.1775106170451499</v>
      </c>
      <c r="H77" s="176">
        <f t="shared" si="39"/>
        <v>2.3064154322340067</v>
      </c>
      <c r="I77" s="176">
        <f t="shared" si="39"/>
        <v>2.4798525190089378</v>
      </c>
      <c r="J77" s="176">
        <f t="shared" si="39"/>
        <v>2.2043724058459788</v>
      </c>
      <c r="K77" s="176">
        <f t="shared" si="39"/>
        <v>2.0910122146932637</v>
      </c>
      <c r="L77" s="177">
        <f t="shared" si="39"/>
        <v>5.6565216592282646</v>
      </c>
      <c r="M77" s="177">
        <f t="shared" si="39"/>
        <v>5.7073127170459443</v>
      </c>
      <c r="N77" s="177">
        <f t="shared" si="39"/>
        <v>7.5012567226993188</v>
      </c>
    </row>
    <row r="78" spans="2:14" s="178" customFormat="1" x14ac:dyDescent="0.25">
      <c r="B78" s="175" t="s">
        <v>512</v>
      </c>
      <c r="C78" s="176">
        <f t="shared" ref="C78:N78" si="40">C52/C8*100</f>
        <v>0.30658471395611081</v>
      </c>
      <c r="D78" s="176">
        <f t="shared" si="40"/>
        <v>0.40854125050141754</v>
      </c>
      <c r="E78" s="176">
        <f t="shared" si="40"/>
        <v>0.33709506381380627</v>
      </c>
      <c r="F78" s="176">
        <f t="shared" si="40"/>
        <v>0.40637314781644307</v>
      </c>
      <c r="G78" s="176">
        <f t="shared" si="40"/>
        <v>0.84139233969971072</v>
      </c>
      <c r="H78" s="176">
        <f t="shared" si="40"/>
        <v>0.49185323086436744</v>
      </c>
      <c r="I78" s="176">
        <f t="shared" si="40"/>
        <v>1.567431537159879</v>
      </c>
      <c r="J78" s="176">
        <f t="shared" si="40"/>
        <v>1.1630296193989735</v>
      </c>
      <c r="K78" s="176">
        <f t="shared" si="40"/>
        <v>1.0133098724127538</v>
      </c>
      <c r="L78" s="176">
        <f t="shared" si="40"/>
        <v>2.2089958443954965</v>
      </c>
      <c r="M78" s="176">
        <f t="shared" si="40"/>
        <v>1.6636975485719179</v>
      </c>
      <c r="N78" s="176">
        <f t="shared" si="40"/>
        <v>1.6810462181339196</v>
      </c>
    </row>
    <row r="79" spans="2:14" s="173" customFormat="1" x14ac:dyDescent="0.25">
      <c r="B79" s="173" t="s">
        <v>497</v>
      </c>
      <c r="C79" s="174">
        <f t="shared" ref="C79:N79" si="41">C49/C8*100</f>
        <v>13.868847371776777</v>
      </c>
      <c r="D79" s="174">
        <f t="shared" si="41"/>
        <v>13.787955827666531</v>
      </c>
      <c r="E79" s="174">
        <f t="shared" si="41"/>
        <v>8.1466945921778251</v>
      </c>
      <c r="F79" s="174">
        <f t="shared" si="41"/>
        <v>4.4169546667334245</v>
      </c>
      <c r="G79" s="174">
        <f t="shared" si="41"/>
        <v>7.5690940014196366</v>
      </c>
      <c r="H79" s="174">
        <f t="shared" si="41"/>
        <v>7.381372275047438</v>
      </c>
      <c r="I79" s="174">
        <f t="shared" si="41"/>
        <v>-10.879894651801134</v>
      </c>
      <c r="J79" s="174">
        <f t="shared" si="41"/>
        <v>5.1416455451216265</v>
      </c>
      <c r="K79" s="174">
        <f t="shared" si="41"/>
        <v>5.5318789304872151</v>
      </c>
      <c r="L79" s="174">
        <f t="shared" si="41"/>
        <v>-26.86495071191483</v>
      </c>
      <c r="M79" s="174">
        <f t="shared" si="41"/>
        <v>-7.8386174770856378</v>
      </c>
      <c r="N79" s="174">
        <f t="shared" si="41"/>
        <v>-19.231802291001102</v>
      </c>
    </row>
    <row r="80" spans="2:14" s="173" customFormat="1" x14ac:dyDescent="0.25">
      <c r="B80" s="173" t="s">
        <v>596</v>
      </c>
      <c r="C80" s="174">
        <f t="shared" ref="C80:N80" si="42">C56/C8*100</f>
        <v>10.932127245231214</v>
      </c>
      <c r="D80" s="174">
        <f t="shared" si="42"/>
        <v>11.073740343223738</v>
      </c>
      <c r="E80" s="174">
        <f t="shared" si="42"/>
        <v>4.6637756613609653</v>
      </c>
      <c r="F80" s="174">
        <f t="shared" si="42"/>
        <v>1.2570118615498909</v>
      </c>
      <c r="G80" s="174">
        <f t="shared" si="42"/>
        <v>3.4795274877382472</v>
      </c>
      <c r="H80" s="174">
        <f t="shared" si="42"/>
        <v>3.929754012306709</v>
      </c>
      <c r="I80" s="174">
        <f t="shared" si="42"/>
        <v>-15.436160908176932</v>
      </c>
      <c r="J80" s="174">
        <f t="shared" si="42"/>
        <v>2.1054376819490304</v>
      </c>
      <c r="K80" s="174">
        <f t="shared" si="42"/>
        <v>2.7059434547670111</v>
      </c>
      <c r="L80" s="174">
        <f t="shared" si="42"/>
        <v>-34.211080884601166</v>
      </c>
      <c r="M80" s="174">
        <f t="shared" si="42"/>
        <v>-15.10045681532533</v>
      </c>
      <c r="N80" s="174">
        <f t="shared" si="42"/>
        <v>-28.289479003097444</v>
      </c>
    </row>
    <row r="82" spans="2:14" x14ac:dyDescent="0.25">
      <c r="B82" s="106" t="s">
        <v>536</v>
      </c>
      <c r="C82" s="11">
        <f t="shared" ref="C82:N82" si="43">C27+C28+C29+C30+C44+C46+C47+C51+C52+C54</f>
        <v>12592967.197000001</v>
      </c>
      <c r="D82" s="11">
        <f t="shared" si="43"/>
        <v>10527717.014</v>
      </c>
      <c r="E82" s="11">
        <f t="shared" si="43"/>
        <v>10606676.136</v>
      </c>
      <c r="F82" s="11">
        <f t="shared" si="43"/>
        <v>12584763.676000001</v>
      </c>
      <c r="G82" s="11">
        <f t="shared" si="43"/>
        <v>14628804.918999998</v>
      </c>
      <c r="H82" s="11">
        <f t="shared" si="43"/>
        <v>15776642.932999996</v>
      </c>
      <c r="I82" s="11">
        <f t="shared" si="43"/>
        <v>22960196.008000005</v>
      </c>
      <c r="J82" s="11">
        <f t="shared" si="43"/>
        <v>20888029.627000004</v>
      </c>
      <c r="K82" s="11">
        <f t="shared" si="43"/>
        <v>22511929.970000003</v>
      </c>
      <c r="L82" s="11">
        <f t="shared" si="43"/>
        <v>30640705.438999999</v>
      </c>
      <c r="M82" s="11">
        <f t="shared" si="43"/>
        <v>23246424.173999999</v>
      </c>
      <c r="N82" s="11">
        <f t="shared" si="43"/>
        <v>42075529.211000003</v>
      </c>
    </row>
    <row r="83" spans="2:14" x14ac:dyDescent="0.25">
      <c r="B83" s="106" t="s">
        <v>538</v>
      </c>
      <c r="C83" s="11">
        <f t="shared" ref="C83:M83" si="44">C22</f>
        <v>106736092.84560665</v>
      </c>
      <c r="D83" s="11">
        <f t="shared" si="44"/>
        <v>86796878.739534765</v>
      </c>
      <c r="E83" s="11">
        <f t="shared" si="44"/>
        <v>73067680.557852671</v>
      </c>
      <c r="F83" s="11">
        <f t="shared" si="44"/>
        <v>79323832.441613629</v>
      </c>
      <c r="G83" s="11">
        <f t="shared" si="44"/>
        <v>89043859.261986285</v>
      </c>
      <c r="H83" s="11">
        <f t="shared" si="44"/>
        <v>124564453.81517428</v>
      </c>
      <c r="I83" s="11">
        <f t="shared" si="44"/>
        <v>123185255.15856266</v>
      </c>
      <c r="J83" s="11">
        <f t="shared" si="44"/>
        <v>158637051.28045201</v>
      </c>
      <c r="K83" s="11">
        <f t="shared" si="44"/>
        <v>194736751.39978179</v>
      </c>
      <c r="L83" s="11">
        <f t="shared" si="44"/>
        <v>109984435.69447294</v>
      </c>
      <c r="M83" s="11">
        <f t="shared" si="44"/>
        <v>132539076.12713106</v>
      </c>
      <c r="N83" s="11">
        <f t="shared" ref="N83" si="45">N22</f>
        <v>156829132.271</v>
      </c>
    </row>
    <row r="84" spans="2:14" x14ac:dyDescent="0.25">
      <c r="B84" s="106" t="s">
        <v>537</v>
      </c>
      <c r="C84" s="108">
        <f t="shared" ref="C84:N84" si="46">C8-C83</f>
        <v>27239331.010261342</v>
      </c>
      <c r="D84" s="108">
        <f t="shared" si="46"/>
        <v>22647278.845832139</v>
      </c>
      <c r="E84" s="108">
        <f t="shared" si="46"/>
        <v>14699962.092476308</v>
      </c>
      <c r="F84" s="108">
        <f t="shared" si="46"/>
        <v>13754772.784254357</v>
      </c>
      <c r="G84" s="108">
        <f t="shared" si="46"/>
        <v>18366166.282403722</v>
      </c>
      <c r="H84" s="108">
        <f t="shared" si="46"/>
        <v>21517296.372237682</v>
      </c>
      <c r="I84" s="108">
        <f t="shared" si="46"/>
        <v>3417578.8379813433</v>
      </c>
      <c r="J84" s="108">
        <f t="shared" si="46"/>
        <v>23981696.047546983</v>
      </c>
      <c r="K84" s="108">
        <f t="shared" si="46"/>
        <v>27228003.630635202</v>
      </c>
      <c r="L84" s="108">
        <f t="shared" si="46"/>
        <v>-5783923.3286429495</v>
      </c>
      <c r="M84" s="108">
        <f t="shared" si="46"/>
        <v>2671793.2361689359</v>
      </c>
      <c r="N84" s="108">
        <f t="shared" si="46"/>
        <v>-1935975.3838305771</v>
      </c>
    </row>
    <row r="85" spans="2:14" s="180" customFormat="1" x14ac:dyDescent="0.25">
      <c r="B85" s="181" t="s">
        <v>540</v>
      </c>
      <c r="C85" s="179">
        <f t="shared" ref="C85:N85" si="47">C84/C8</f>
        <v>0.20331587858655081</v>
      </c>
      <c r="D85" s="179">
        <f t="shared" si="47"/>
        <v>0.20692999375656179</v>
      </c>
      <c r="E85" s="179">
        <f t="shared" si="47"/>
        <v>0.16748726123409455</v>
      </c>
      <c r="F85" s="179">
        <f t="shared" si="47"/>
        <v>0.14777587986924082</v>
      </c>
      <c r="G85" s="179">
        <f t="shared" si="47"/>
        <v>0.1709911732104879</v>
      </c>
      <c r="H85" s="179">
        <f t="shared" si="47"/>
        <v>0.14729626626620093</v>
      </c>
      <c r="I85" s="179">
        <f t="shared" si="47"/>
        <v>2.6994489223476911E-2</v>
      </c>
      <c r="J85" s="179">
        <f t="shared" si="47"/>
        <v>0.13132110694239837</v>
      </c>
      <c r="K85" s="179">
        <f t="shared" si="47"/>
        <v>0.12266813993466669</v>
      </c>
      <c r="L85" s="179">
        <f t="shared" si="47"/>
        <v>-5.5507628487819663E-2</v>
      </c>
      <c r="M85" s="179">
        <f t="shared" si="47"/>
        <v>1.9760195676207487E-2</v>
      </c>
      <c r="N85" s="179">
        <f t="shared" si="47"/>
        <v>-1.2498779305278294E-2</v>
      </c>
    </row>
    <row r="86" spans="2:14" s="8" customFormat="1" x14ac:dyDescent="0.25">
      <c r="B86" s="8" t="s">
        <v>539</v>
      </c>
      <c r="C86" s="109">
        <f>C82/C85</f>
        <v>61937942.498864993</v>
      </c>
      <c r="D86" s="109">
        <f>D82/D85</f>
        <v>50875742.191270255</v>
      </c>
      <c r="E86" s="109">
        <f t="shared" ref="E86" si="48">E82/E85</f>
        <v>63328255.879563287</v>
      </c>
      <c r="F86" s="109">
        <f t="shared" ref="F86" si="49">F82/F85</f>
        <v>85161148.674165249</v>
      </c>
      <c r="G86" s="109">
        <f t="shared" ref="G86" si="50">G82/G85</f>
        <v>85552982.907440081</v>
      </c>
      <c r="H86" s="109">
        <f>H82/H85</f>
        <v>107108233.8535838</v>
      </c>
      <c r="I86" s="109">
        <f>I82/I85</f>
        <v>850551229.84255946</v>
      </c>
      <c r="J86" s="109">
        <f t="shared" ref="J86" si="51">J82/J85</f>
        <v>159060718.51924124</v>
      </c>
      <c r="K86" s="109">
        <f t="shared" ref="K86" si="52">K82/K85</f>
        <v>183518964.10909879</v>
      </c>
      <c r="L86" s="109">
        <f t="shared" ref="L86" si="53">L82/L85</f>
        <v>-552008908.93264616</v>
      </c>
      <c r="M86" s="109">
        <f t="shared" ref="M86:N86" si="54">M82/M85</f>
        <v>1176426820.6103926</v>
      </c>
      <c r="N86" s="109">
        <f t="shared" si="54"/>
        <v>-3366371081.7928681</v>
      </c>
    </row>
    <row r="87" spans="2:14" s="8" customFormat="1" x14ac:dyDescent="0.25">
      <c r="B87" s="8" t="s">
        <v>543</v>
      </c>
      <c r="C87" s="109">
        <f t="shared" ref="C87:N87" si="55">C86/C7</f>
        <v>10650.002179806163</v>
      </c>
      <c r="D87" s="109">
        <f t="shared" si="55"/>
        <v>14608.55571806811</v>
      </c>
      <c r="E87" s="109">
        <f t="shared" si="55"/>
        <v>23099.524181201643</v>
      </c>
      <c r="F87" s="109">
        <f t="shared" si="55"/>
        <v>27016.287920823877</v>
      </c>
      <c r="G87" s="109">
        <f t="shared" si="55"/>
        <v>22948.998764649368</v>
      </c>
      <c r="H87" s="109">
        <f t="shared" si="55"/>
        <v>27968.199827174707</v>
      </c>
      <c r="I87" s="109">
        <f t="shared" si="55"/>
        <v>246902.91094745317</v>
      </c>
      <c r="J87" s="109">
        <f t="shared" si="55"/>
        <v>32753.911673552422</v>
      </c>
      <c r="K87" s="109">
        <f t="shared" si="55"/>
        <v>30837.735127827731</v>
      </c>
      <c r="L87" s="109">
        <f t="shared" si="55"/>
        <v>-127983.85466746523</v>
      </c>
      <c r="M87" s="109">
        <f t="shared" si="55"/>
        <v>310631.76020693808</v>
      </c>
      <c r="N87" s="109">
        <f t="shared" si="55"/>
        <v>-981463.31792709988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BE3D-507C-4271-9F68-072C25D909DE}">
  <dimension ref="A1:AG63"/>
  <sheetViews>
    <sheetView showGridLines="0" workbookViewId="0">
      <pane xSplit="2" ySplit="5" topLeftCell="C6" activePane="bottomRight" state="frozen"/>
      <selection activeCell="N26" sqref="N26"/>
      <selection pane="topRight" activeCell="N26" sqref="N26"/>
      <selection pane="bottomLeft" activeCell="N26" sqref="N26"/>
      <selection pane="bottomRight" activeCell="D6" sqref="D6"/>
    </sheetView>
  </sheetViews>
  <sheetFormatPr defaultColWidth="8.85546875" defaultRowHeight="15" x14ac:dyDescent="0.25"/>
  <cols>
    <col min="1" max="1" width="6" style="9" customWidth="1"/>
    <col min="2" max="2" width="26.7109375" style="9" bestFit="1" customWidth="1"/>
    <col min="3" max="4" width="12.42578125" style="11" bestFit="1" customWidth="1"/>
    <col min="5" max="5" width="11.42578125" style="11" bestFit="1" customWidth="1"/>
    <col min="6" max="6" width="5.42578125" style="9" customWidth="1"/>
    <col min="7" max="8" width="12.42578125" style="11" bestFit="1" customWidth="1"/>
    <col min="9" max="9" width="12.140625" style="11" bestFit="1" customWidth="1"/>
    <col min="10" max="10" width="5.42578125" style="9" customWidth="1"/>
    <col min="11" max="12" width="12.42578125" style="11" bestFit="1" customWidth="1"/>
    <col min="13" max="13" width="12.140625" style="11" bestFit="1" customWidth="1"/>
    <col min="14" max="14" width="5.42578125" style="9" customWidth="1"/>
    <col min="15" max="15" width="11.42578125" style="9" customWidth="1"/>
    <col min="16" max="16" width="11.85546875" style="9" customWidth="1"/>
    <col min="17" max="17" width="12.28515625" style="9" customWidth="1"/>
    <col min="18" max="18" width="4.5703125" style="9" customWidth="1"/>
    <col min="19" max="20" width="12.42578125" style="11" bestFit="1" customWidth="1"/>
    <col min="21" max="21" width="11.42578125" style="11" bestFit="1" customWidth="1"/>
    <col min="22" max="22" width="5.42578125" style="9" customWidth="1"/>
    <col min="23" max="24" width="12.42578125" style="11" bestFit="1" customWidth="1"/>
    <col min="25" max="25" width="12.140625" style="11" bestFit="1" customWidth="1"/>
    <col min="26" max="26" width="5.42578125" style="9" customWidth="1"/>
    <col min="27" max="28" width="12.42578125" style="11" bestFit="1" customWidth="1"/>
    <col min="29" max="29" width="12.140625" style="11" bestFit="1" customWidth="1"/>
    <col min="30" max="30" width="5.42578125" style="9" customWidth="1"/>
    <col min="31" max="31" width="11.42578125" style="9" customWidth="1"/>
    <col min="32" max="32" width="11.85546875" style="9" customWidth="1"/>
    <col min="33" max="33" width="12.28515625" style="9" customWidth="1"/>
    <col min="34" max="16384" width="8.85546875" style="9"/>
  </cols>
  <sheetData>
    <row r="1" spans="1:33" x14ac:dyDescent="0.25">
      <c r="A1" s="64" t="s">
        <v>262</v>
      </c>
    </row>
    <row r="2" spans="1:33" x14ac:dyDescent="0.25">
      <c r="A2" s="64" t="s">
        <v>412</v>
      </c>
      <c r="E2" s="4"/>
      <c r="I2" s="4"/>
      <c r="M2" s="4"/>
      <c r="U2" s="4"/>
      <c r="Y2" s="4"/>
      <c r="AC2" s="4"/>
    </row>
    <row r="3" spans="1:33" x14ac:dyDescent="0.25">
      <c r="A3" s="65" t="str">
        <f>BS!A3</f>
        <v>31 December 2025</v>
      </c>
    </row>
    <row r="4" spans="1:33" x14ac:dyDescent="0.25">
      <c r="A4" s="29"/>
      <c r="C4" s="96" t="s">
        <v>515</v>
      </c>
      <c r="D4" s="74"/>
      <c r="E4" s="74"/>
      <c r="G4" s="96" t="s">
        <v>517</v>
      </c>
      <c r="H4" s="74"/>
      <c r="I4" s="74"/>
      <c r="K4" s="96" t="s">
        <v>518</v>
      </c>
      <c r="L4" s="74"/>
      <c r="M4" s="74"/>
      <c r="O4" s="96" t="s">
        <v>519</v>
      </c>
      <c r="P4" s="74"/>
      <c r="Q4" s="74"/>
      <c r="S4" s="96" t="s">
        <v>516</v>
      </c>
      <c r="T4" s="74"/>
      <c r="U4" s="74"/>
      <c r="W4" s="96" t="s">
        <v>520</v>
      </c>
      <c r="X4" s="74"/>
      <c r="Y4" s="74"/>
      <c r="AA4" s="96" t="s">
        <v>521</v>
      </c>
      <c r="AB4" s="74"/>
      <c r="AC4" s="74"/>
      <c r="AE4" s="96" t="s">
        <v>522</v>
      </c>
      <c r="AF4" s="74"/>
      <c r="AG4" s="74"/>
    </row>
    <row r="5" spans="1:33" x14ac:dyDescent="0.25">
      <c r="C5" s="13" t="s">
        <v>411</v>
      </c>
      <c r="D5" s="13" t="s">
        <v>262</v>
      </c>
      <c r="E5" s="13" t="s">
        <v>409</v>
      </c>
      <c r="G5" s="13" t="s">
        <v>411</v>
      </c>
      <c r="H5" s="13" t="s">
        <v>262</v>
      </c>
      <c r="I5" s="13" t="s">
        <v>409</v>
      </c>
      <c r="K5" s="13" t="s">
        <v>411</v>
      </c>
      <c r="L5" s="13" t="s">
        <v>262</v>
      </c>
      <c r="M5" s="13" t="s">
        <v>409</v>
      </c>
      <c r="O5" s="13" t="s">
        <v>411</v>
      </c>
      <c r="P5" s="13" t="s">
        <v>262</v>
      </c>
      <c r="Q5" s="13" t="s">
        <v>409</v>
      </c>
      <c r="S5" s="13" t="s">
        <v>411</v>
      </c>
      <c r="T5" s="13" t="s">
        <v>262</v>
      </c>
      <c r="U5" s="13" t="s">
        <v>409</v>
      </c>
      <c r="W5" s="13" t="s">
        <v>411</v>
      </c>
      <c r="X5" s="13" t="s">
        <v>262</v>
      </c>
      <c r="Y5" s="13" t="s">
        <v>409</v>
      </c>
      <c r="AA5" s="13" t="s">
        <v>411</v>
      </c>
      <c r="AB5" s="13" t="s">
        <v>262</v>
      </c>
      <c r="AC5" s="13" t="s">
        <v>409</v>
      </c>
      <c r="AE5" s="13" t="s">
        <v>411</v>
      </c>
      <c r="AF5" s="13" t="s">
        <v>262</v>
      </c>
      <c r="AG5" s="13" t="s">
        <v>409</v>
      </c>
    </row>
    <row r="6" spans="1:33" ht="19.899999999999999" customHeight="1" x14ac:dyDescent="0.25">
      <c r="A6" s="8" t="s">
        <v>337</v>
      </c>
      <c r="C6" s="13" t="e">
        <f>SUM(D6:E6)</f>
        <v>#REF!</v>
      </c>
      <c r="D6" s="13" t="e">
        <f>-SUMIF(#REF!,A6,#REF!)</f>
        <v>#REF!</v>
      </c>
      <c r="E6" s="13" t="e">
        <f>-SUMIF(#REF!,A6,#REF!)</f>
        <v>#REF!</v>
      </c>
      <c r="G6" s="13" t="e">
        <f>SUM(H6:I6)</f>
        <v>#REF!</v>
      </c>
      <c r="H6" s="13" t="e">
        <f>-SUMIF(ALIF_Y2016!I:I,A6,ALIF_Y2016!F:F)-D6</f>
        <v>#REF!</v>
      </c>
      <c r="I6" s="13" t="e">
        <f>-SUMIF(#REF!,A6,#REF!)-E6</f>
        <v>#REF!</v>
      </c>
      <c r="K6" s="13" t="e">
        <f>SUM(L6:M6)</f>
        <v>#REF!</v>
      </c>
      <c r="L6" s="13" t="e">
        <f>D6+H6</f>
        <v>#REF!</v>
      </c>
      <c r="M6" s="13" t="e">
        <f>E6+I6</f>
        <v>#REF!</v>
      </c>
      <c r="O6" s="13" t="e">
        <f>SUM(P6:Q6)</f>
        <v>#REF!</v>
      </c>
      <c r="P6" s="13" t="e">
        <f>-SUMIF(#REF!,A6,#REF!)</f>
        <v>#REF!</v>
      </c>
      <c r="Q6" s="13" t="e">
        <f>-SUMIF(#REF!,A6,#REF!)</f>
        <v>#REF!</v>
      </c>
      <c r="S6" s="13" t="e">
        <f>SUM(T6:U6)</f>
        <v>#REF!</v>
      </c>
      <c r="T6" s="13" t="e">
        <f>-SUMIF(#REF!,Q6,#REF!)</f>
        <v>#REF!</v>
      </c>
      <c r="U6" s="13" t="e">
        <f>-SUMIF(#REF!,Q6,#REF!)</f>
        <v>#REF!</v>
      </c>
      <c r="W6" s="13" t="e">
        <f>SUM(X6:Y6)</f>
        <v>#REF!</v>
      </c>
      <c r="X6" s="13" t="e">
        <f>-SUMIF(ALIF_Y2016!Y:Y,Q6,ALIF_Y2016!V:V)-T6</f>
        <v>#REF!</v>
      </c>
      <c r="Y6" s="13" t="e">
        <f>-SUMIF(#REF!,Q6,#REF!)-U6</f>
        <v>#REF!</v>
      </c>
      <c r="AA6" s="13" t="e">
        <f>SUM(AB6:AC6)</f>
        <v>#REF!</v>
      </c>
      <c r="AB6" s="13" t="e">
        <f>T6+X6</f>
        <v>#REF!</v>
      </c>
      <c r="AC6" s="13" t="e">
        <f>U6+Y6</f>
        <v>#REF!</v>
      </c>
      <c r="AE6" s="13" t="e">
        <f>SUM(AF6:AG6)</f>
        <v>#REF!</v>
      </c>
      <c r="AF6" s="13" t="e">
        <f>-SUMIF(#REF!,Q6,#REF!)</f>
        <v>#REF!</v>
      </c>
      <c r="AG6" s="13" t="e">
        <f>-SUMIF(#REF!,Q6,#REF!)</f>
        <v>#REF!</v>
      </c>
    </row>
    <row r="7" spans="1:33" ht="6.6" customHeight="1" x14ac:dyDescent="0.25">
      <c r="A7" s="8"/>
      <c r="C7" s="13"/>
      <c r="D7" s="13"/>
      <c r="E7" s="13"/>
      <c r="G7" s="13"/>
      <c r="H7" s="13"/>
      <c r="I7" s="13"/>
      <c r="K7" s="13"/>
      <c r="L7" s="13"/>
      <c r="M7" s="13"/>
      <c r="O7" s="13"/>
      <c r="P7" s="13"/>
      <c r="Q7" s="13"/>
      <c r="S7" s="13"/>
      <c r="T7" s="13"/>
      <c r="U7" s="13"/>
      <c r="W7" s="13"/>
      <c r="X7" s="13"/>
      <c r="Y7" s="13"/>
      <c r="AA7" s="13"/>
      <c r="AB7" s="13"/>
      <c r="AC7" s="13"/>
      <c r="AE7" s="13"/>
      <c r="AF7" s="13"/>
      <c r="AG7" s="13"/>
    </row>
    <row r="8" spans="1:33" x14ac:dyDescent="0.25">
      <c r="B8" s="9" t="s">
        <v>343</v>
      </c>
      <c r="C8" s="14" t="e">
        <f t="shared" ref="C8:C10" si="0">SUM(D8:E8)</f>
        <v>#REF!</v>
      </c>
      <c r="D8" s="62" t="e">
        <f>SUMIF(#REF!,B8,#REF!)</f>
        <v>#REF!</v>
      </c>
      <c r="E8" s="62" t="e">
        <f>SUMIF(#REF!,B8,#REF!)</f>
        <v>#REF!</v>
      </c>
      <c r="G8" s="14" t="e">
        <f t="shared" ref="G8:G10" si="1">SUM(H8:I8)</f>
        <v>#REF!</v>
      </c>
      <c r="H8" s="62" t="e">
        <f>SUMIF(ALIF_Y2016!I:I,B8,ALIF_Y2016!F:F)-D8</f>
        <v>#REF!</v>
      </c>
      <c r="I8" s="62" t="e">
        <f>SUMIF(#REF!,B8,#REF!)-E8</f>
        <v>#REF!</v>
      </c>
      <c r="K8" s="14" t="e">
        <f t="shared" ref="K8:K10" si="2">SUM(L8:M8)</f>
        <v>#REF!</v>
      </c>
      <c r="L8" s="62" t="e">
        <f t="shared" ref="L8:L10" si="3">D8+H8</f>
        <v>#REF!</v>
      </c>
      <c r="M8" s="62" t="e">
        <f t="shared" ref="M8:M10" si="4">E8+I8</f>
        <v>#REF!</v>
      </c>
      <c r="O8" s="14" t="e">
        <f t="shared" ref="O8:O10" si="5">SUM(P8:Q8)</f>
        <v>#REF!</v>
      </c>
      <c r="P8" s="62" t="e">
        <f>SUMIF(#REF!,B8,#REF!)</f>
        <v>#REF!</v>
      </c>
      <c r="Q8" s="62" t="e">
        <f>SUMIF(#REF!,B8,#REF!)</f>
        <v>#REF!</v>
      </c>
      <c r="S8" s="14" t="e">
        <f t="shared" ref="S8:S10" si="6">SUM(T8:U8)</f>
        <v>#REF!</v>
      </c>
      <c r="T8" s="62" t="e">
        <f>SUMIF(#REF!,R8,#REF!)</f>
        <v>#REF!</v>
      </c>
      <c r="U8" s="62" t="e">
        <f>SUMIF(#REF!,R8,#REF!)</f>
        <v>#REF!</v>
      </c>
      <c r="W8" s="14" t="e">
        <f t="shared" ref="W8:W10" si="7">SUM(X8:Y8)</f>
        <v>#REF!</v>
      </c>
      <c r="X8" s="62" t="e">
        <f>SUMIF(ALIF_Y2016!Y:Y,R8,ALIF_Y2016!V:V)-T8</f>
        <v>#REF!</v>
      </c>
      <c r="Y8" s="62" t="e">
        <f>SUMIF(#REF!,R8,#REF!)-U8</f>
        <v>#REF!</v>
      </c>
      <c r="AA8" s="14" t="e">
        <f t="shared" ref="AA8:AA10" si="8">SUM(AB8:AC8)</f>
        <v>#REF!</v>
      </c>
      <c r="AB8" s="62" t="e">
        <f t="shared" ref="AB8:AB10" si="9">T8+X8</f>
        <v>#REF!</v>
      </c>
      <c r="AC8" s="62" t="e">
        <f t="shared" ref="AC8:AC10" si="10">U8+Y8</f>
        <v>#REF!</v>
      </c>
      <c r="AE8" s="14" t="e">
        <f t="shared" ref="AE8:AE10" si="11">SUM(AF8:AG8)</f>
        <v>#REF!</v>
      </c>
      <c r="AF8" s="62" t="e">
        <f>SUMIF(#REF!,R8,#REF!)</f>
        <v>#REF!</v>
      </c>
      <c r="AG8" s="62" t="e">
        <f>SUMIF(#REF!,R8,#REF!)</f>
        <v>#REF!</v>
      </c>
    </row>
    <row r="9" spans="1:33" x14ac:dyDescent="0.25">
      <c r="B9" s="9" t="s">
        <v>344</v>
      </c>
      <c r="C9" s="14" t="e">
        <f t="shared" si="0"/>
        <v>#REF!</v>
      </c>
      <c r="D9" s="62" t="e">
        <f>SUMIF(#REF!,B9,#REF!)</f>
        <v>#REF!</v>
      </c>
      <c r="E9" s="62" t="e">
        <f>SUMIF(#REF!,B9,#REF!)</f>
        <v>#REF!</v>
      </c>
      <c r="G9" s="14" t="e">
        <f t="shared" si="1"/>
        <v>#REF!</v>
      </c>
      <c r="H9" s="62" t="e">
        <f>SUMIF(ALIF_Y2016!I:I,B9,ALIF_Y2016!F:F)-D9</f>
        <v>#REF!</v>
      </c>
      <c r="I9" s="62" t="e">
        <f>SUMIF(#REF!,B9,#REF!)-E9</f>
        <v>#REF!</v>
      </c>
      <c r="K9" s="14" t="e">
        <f t="shared" si="2"/>
        <v>#REF!</v>
      </c>
      <c r="L9" s="62" t="e">
        <f t="shared" si="3"/>
        <v>#REF!</v>
      </c>
      <c r="M9" s="62" t="e">
        <f t="shared" si="4"/>
        <v>#REF!</v>
      </c>
      <c r="O9" s="14" t="e">
        <f t="shared" si="5"/>
        <v>#REF!</v>
      </c>
      <c r="P9" s="62" t="e">
        <f>SUMIF(#REF!,B9,#REF!)</f>
        <v>#REF!</v>
      </c>
      <c r="Q9" s="62" t="e">
        <f>SUMIF(#REF!,B9,#REF!)</f>
        <v>#REF!</v>
      </c>
      <c r="S9" s="14" t="e">
        <f t="shared" si="6"/>
        <v>#REF!</v>
      </c>
      <c r="T9" s="62" t="e">
        <f>SUMIF(#REF!,R9,#REF!)</f>
        <v>#REF!</v>
      </c>
      <c r="U9" s="62" t="e">
        <f>SUMIF(#REF!,R9,#REF!)</f>
        <v>#REF!</v>
      </c>
      <c r="W9" s="14" t="e">
        <f t="shared" si="7"/>
        <v>#REF!</v>
      </c>
      <c r="X9" s="62" t="e">
        <f>SUMIF(ALIF_Y2016!Y:Y,R9,ALIF_Y2016!V:V)-T9</f>
        <v>#REF!</v>
      </c>
      <c r="Y9" s="62" t="e">
        <f>SUMIF(#REF!,R9,#REF!)-U9</f>
        <v>#REF!</v>
      </c>
      <c r="AA9" s="14" t="e">
        <f t="shared" si="8"/>
        <v>#REF!</v>
      </c>
      <c r="AB9" s="62" t="e">
        <f t="shared" si="9"/>
        <v>#REF!</v>
      </c>
      <c r="AC9" s="62" t="e">
        <f t="shared" si="10"/>
        <v>#REF!</v>
      </c>
      <c r="AE9" s="14" t="e">
        <f t="shared" si="11"/>
        <v>#REF!</v>
      </c>
      <c r="AF9" s="62" t="e">
        <f>SUMIF(#REF!,R9,#REF!)</f>
        <v>#REF!</v>
      </c>
      <c r="AG9" s="62" t="e">
        <f>SUMIF(#REF!,R9,#REF!)</f>
        <v>#REF!</v>
      </c>
    </row>
    <row r="10" spans="1:33" x14ac:dyDescent="0.25">
      <c r="B10" s="9" t="s">
        <v>312</v>
      </c>
      <c r="C10" s="14" t="e">
        <f t="shared" si="0"/>
        <v>#REF!</v>
      </c>
      <c r="D10" s="11" t="e">
        <f>SUMIF(#REF!,B10,#REF!)</f>
        <v>#REF!</v>
      </c>
      <c r="E10" s="11" t="e">
        <f>SUMIF(#REF!,B10,#REF!)</f>
        <v>#REF!</v>
      </c>
      <c r="G10" s="14" t="e">
        <f t="shared" si="1"/>
        <v>#REF!</v>
      </c>
      <c r="H10" s="11" t="e">
        <f>SUMIF(ALIF_Y2016!I:I,B10,ALIF_Y2016!F:F)-D10</f>
        <v>#REF!</v>
      </c>
      <c r="I10" s="11" t="e">
        <f>SUMIF(#REF!,B10,#REF!)-E10</f>
        <v>#REF!</v>
      </c>
      <c r="K10" s="14" t="e">
        <f t="shared" si="2"/>
        <v>#REF!</v>
      </c>
      <c r="L10" s="11" t="e">
        <f t="shared" si="3"/>
        <v>#REF!</v>
      </c>
      <c r="M10" s="11" t="e">
        <f t="shared" si="4"/>
        <v>#REF!</v>
      </c>
      <c r="O10" s="14" t="e">
        <f t="shared" si="5"/>
        <v>#REF!</v>
      </c>
      <c r="P10" s="11" t="e">
        <f>SUMIF(#REF!,B10,#REF!)</f>
        <v>#REF!</v>
      </c>
      <c r="Q10" s="11" t="e">
        <f>SUMIF(#REF!,B10,#REF!)</f>
        <v>#REF!</v>
      </c>
      <c r="S10" s="14" t="e">
        <f t="shared" si="6"/>
        <v>#REF!</v>
      </c>
      <c r="T10" s="11" t="e">
        <f>SUMIF(#REF!,R10,#REF!)</f>
        <v>#REF!</v>
      </c>
      <c r="U10" s="11" t="e">
        <f>SUMIF(#REF!,R10,#REF!)</f>
        <v>#REF!</v>
      </c>
      <c r="W10" s="14" t="e">
        <f t="shared" si="7"/>
        <v>#REF!</v>
      </c>
      <c r="X10" s="11" t="e">
        <f>SUMIF(ALIF_Y2016!Y:Y,R10,ALIF_Y2016!V:V)-T10</f>
        <v>#REF!</v>
      </c>
      <c r="Y10" s="11" t="e">
        <f>SUMIF(#REF!,R10,#REF!)-U10</f>
        <v>#REF!</v>
      </c>
      <c r="AA10" s="14" t="e">
        <f t="shared" si="8"/>
        <v>#REF!</v>
      </c>
      <c r="AB10" s="11" t="e">
        <f t="shared" si="9"/>
        <v>#REF!</v>
      </c>
      <c r="AC10" s="11" t="e">
        <f t="shared" si="10"/>
        <v>#REF!</v>
      </c>
      <c r="AE10" s="14" t="e">
        <f t="shared" si="11"/>
        <v>#REF!</v>
      </c>
      <c r="AF10" s="11" t="e">
        <f>SUMIF(#REF!,R10,#REF!)</f>
        <v>#REF!</v>
      </c>
      <c r="AG10" s="11" t="e">
        <f>SUMIF(#REF!,R10,#REF!)</f>
        <v>#REF!</v>
      </c>
    </row>
    <row r="11" spans="1:33" ht="5.45" customHeight="1" x14ac:dyDescent="0.25">
      <c r="C11" s="15"/>
      <c r="D11" s="16"/>
      <c r="E11" s="16"/>
      <c r="G11" s="15"/>
      <c r="H11" s="16"/>
      <c r="I11" s="16"/>
      <c r="K11" s="15"/>
      <c r="L11" s="16"/>
      <c r="M11" s="16"/>
      <c r="O11" s="15"/>
      <c r="P11" s="16"/>
      <c r="Q11" s="16"/>
      <c r="S11" s="15"/>
      <c r="T11" s="16"/>
      <c r="U11" s="16"/>
      <c r="W11" s="15"/>
      <c r="X11" s="16"/>
      <c r="Y11" s="16"/>
      <c r="AA11" s="15"/>
      <c r="AB11" s="16"/>
      <c r="AC11" s="16"/>
      <c r="AE11" s="15"/>
      <c r="AF11" s="16"/>
      <c r="AG11" s="16"/>
    </row>
    <row r="12" spans="1:33" x14ac:dyDescent="0.25">
      <c r="A12" s="8" t="s">
        <v>403</v>
      </c>
      <c r="C12" s="17" t="e">
        <f>SUM(C8:C11)</f>
        <v>#REF!</v>
      </c>
      <c r="D12" s="17" t="e">
        <f>SUM(D8:D11)</f>
        <v>#REF!</v>
      </c>
      <c r="E12" s="17" t="e">
        <f>SUM(E8:E11)</f>
        <v>#REF!</v>
      </c>
      <c r="G12" s="17" t="e">
        <f>SUM(G8:G11)</f>
        <v>#REF!</v>
      </c>
      <c r="H12" s="17" t="e">
        <f>SUM(H8:H11)</f>
        <v>#REF!</v>
      </c>
      <c r="I12" s="17" t="e">
        <f>SUM(I8:I11)</f>
        <v>#REF!</v>
      </c>
      <c r="K12" s="17" t="e">
        <f>SUM(K8:K11)</f>
        <v>#REF!</v>
      </c>
      <c r="L12" s="17" t="e">
        <f>SUM(L8:L11)</f>
        <v>#REF!</v>
      </c>
      <c r="M12" s="17" t="e">
        <f>SUM(M8:M11)</f>
        <v>#REF!</v>
      </c>
      <c r="O12" s="17" t="e">
        <f>SUM(O8:O11)</f>
        <v>#REF!</v>
      </c>
      <c r="P12" s="17" t="e">
        <f>SUM(P8:P11)</f>
        <v>#REF!</v>
      </c>
      <c r="Q12" s="17" t="e">
        <f>SUM(Q8:Q11)</f>
        <v>#REF!</v>
      </c>
      <c r="S12" s="17" t="e">
        <f>SUM(S8:S11)</f>
        <v>#REF!</v>
      </c>
      <c r="T12" s="17" t="e">
        <f>SUM(T8:T11)</f>
        <v>#REF!</v>
      </c>
      <c r="U12" s="17" t="e">
        <f>SUM(U8:U11)</f>
        <v>#REF!</v>
      </c>
      <c r="W12" s="17" t="e">
        <f>SUM(W8:W11)</f>
        <v>#REF!</v>
      </c>
      <c r="X12" s="17" t="e">
        <f>SUM(X8:X11)</f>
        <v>#REF!</v>
      </c>
      <c r="Y12" s="17" t="e">
        <f>SUM(Y8:Y11)</f>
        <v>#REF!</v>
      </c>
      <c r="AA12" s="17" t="e">
        <f>SUM(AA8:AA11)</f>
        <v>#REF!</v>
      </c>
      <c r="AB12" s="17" t="e">
        <f>SUM(AB8:AB11)</f>
        <v>#REF!</v>
      </c>
      <c r="AC12" s="17" t="e">
        <f>SUM(AC8:AC11)</f>
        <v>#REF!</v>
      </c>
      <c r="AE12" s="17" t="e">
        <f>SUM(AE8:AE11)</f>
        <v>#REF!</v>
      </c>
      <c r="AF12" s="17" t="e">
        <f>SUM(AF8:AF11)</f>
        <v>#REF!</v>
      </c>
      <c r="AG12" s="17" t="e">
        <f>SUM(AG8:AG11)</f>
        <v>#REF!</v>
      </c>
    </row>
    <row r="13" spans="1:33" ht="8.4499999999999993" customHeight="1" x14ac:dyDescent="0.25">
      <c r="C13" s="18"/>
      <c r="D13" s="18"/>
      <c r="E13" s="18"/>
      <c r="G13" s="18"/>
      <c r="H13" s="18"/>
      <c r="I13" s="18"/>
      <c r="K13" s="18"/>
      <c r="L13" s="18"/>
      <c r="M13" s="18"/>
      <c r="O13" s="18"/>
      <c r="P13" s="18"/>
      <c r="Q13" s="18"/>
      <c r="S13" s="18"/>
      <c r="T13" s="18"/>
      <c r="U13" s="18"/>
      <c r="W13" s="18"/>
      <c r="X13" s="18"/>
      <c r="Y13" s="18"/>
      <c r="AA13" s="18"/>
      <c r="AB13" s="18"/>
      <c r="AC13" s="18"/>
      <c r="AE13" s="18"/>
      <c r="AF13" s="18"/>
      <c r="AG13" s="18"/>
    </row>
    <row r="14" spans="1:33" x14ac:dyDescent="0.25">
      <c r="A14" s="8" t="s">
        <v>404</v>
      </c>
      <c r="C14" s="17" t="e">
        <f>C6-C12</f>
        <v>#REF!</v>
      </c>
      <c r="D14" s="17" t="e">
        <f>D6-D12</f>
        <v>#REF!</v>
      </c>
      <c r="E14" s="17" t="e">
        <f>E6-E12</f>
        <v>#REF!</v>
      </c>
      <c r="G14" s="17" t="e">
        <f>G6-G12</f>
        <v>#REF!</v>
      </c>
      <c r="H14" s="17" t="e">
        <f>H6-H12</f>
        <v>#REF!</v>
      </c>
      <c r="I14" s="17" t="e">
        <f>I6-I12</f>
        <v>#REF!</v>
      </c>
      <c r="K14" s="17" t="e">
        <f>K6-K12</f>
        <v>#REF!</v>
      </c>
      <c r="L14" s="17" t="e">
        <f>L6-L12</f>
        <v>#REF!</v>
      </c>
      <c r="M14" s="17" t="e">
        <f>M6-M12</f>
        <v>#REF!</v>
      </c>
      <c r="O14" s="17" t="e">
        <f>O6-O12</f>
        <v>#REF!</v>
      </c>
      <c r="P14" s="17" t="e">
        <f>P6-P12</f>
        <v>#REF!</v>
      </c>
      <c r="Q14" s="17" t="e">
        <f>Q6-Q12</f>
        <v>#REF!</v>
      </c>
      <c r="S14" s="17" t="e">
        <f>S6-S12</f>
        <v>#REF!</v>
      </c>
      <c r="T14" s="17" t="e">
        <f>T6-T12</f>
        <v>#REF!</v>
      </c>
      <c r="U14" s="17" t="e">
        <f>U6-U12</f>
        <v>#REF!</v>
      </c>
      <c r="W14" s="17" t="e">
        <f>W6-W12</f>
        <v>#REF!</v>
      </c>
      <c r="X14" s="17" t="e">
        <f>X6-X12</f>
        <v>#REF!</v>
      </c>
      <c r="Y14" s="17" t="e">
        <f>Y6-Y12</f>
        <v>#REF!</v>
      </c>
      <c r="AA14" s="17" t="e">
        <f>AA6-AA12</f>
        <v>#REF!</v>
      </c>
      <c r="AB14" s="17" t="e">
        <f>AB6-AB12</f>
        <v>#REF!</v>
      </c>
      <c r="AC14" s="17" t="e">
        <f>AC6-AC12</f>
        <v>#REF!</v>
      </c>
      <c r="AE14" s="17" t="e">
        <f>AE6-AE12</f>
        <v>#REF!</v>
      </c>
      <c r="AF14" s="17" t="e">
        <f>AF6-AF12</f>
        <v>#REF!</v>
      </c>
      <c r="AG14" s="17" t="e">
        <f>AG6-AG12</f>
        <v>#REF!</v>
      </c>
    </row>
    <row r="15" spans="1:33" s="79" customFormat="1" ht="12" x14ac:dyDescent="0.2">
      <c r="C15" s="80" t="e">
        <f>C14/C6</f>
        <v>#REF!</v>
      </c>
      <c r="D15" s="80" t="e">
        <f>D14/D6</f>
        <v>#REF!</v>
      </c>
      <c r="E15" s="80" t="e">
        <f>E14/E6</f>
        <v>#REF!</v>
      </c>
      <c r="G15" s="80" t="e">
        <f>G14/G6</f>
        <v>#REF!</v>
      </c>
      <c r="H15" s="80" t="e">
        <f>H14/H6</f>
        <v>#REF!</v>
      </c>
      <c r="I15" s="80" t="e">
        <f>I14/I6</f>
        <v>#REF!</v>
      </c>
      <c r="K15" s="80" t="e">
        <f>K14/K6</f>
        <v>#REF!</v>
      </c>
      <c r="L15" s="80" t="e">
        <f>L14/L6</f>
        <v>#REF!</v>
      </c>
      <c r="M15" s="80" t="e">
        <f>M14/M6</f>
        <v>#REF!</v>
      </c>
      <c r="O15" s="80" t="e">
        <f>O14/O6</f>
        <v>#REF!</v>
      </c>
      <c r="P15" s="80" t="e">
        <f>P14/P6</f>
        <v>#REF!</v>
      </c>
      <c r="Q15" s="80" t="e">
        <f>Q14/Q6</f>
        <v>#REF!</v>
      </c>
      <c r="S15" s="80" t="e">
        <f>S14/S6</f>
        <v>#REF!</v>
      </c>
      <c r="T15" s="80" t="e">
        <f>T14/T6</f>
        <v>#REF!</v>
      </c>
      <c r="U15" s="80" t="e">
        <f>U14/U6</f>
        <v>#REF!</v>
      </c>
      <c r="W15" s="80" t="e">
        <f>W14/W6</f>
        <v>#REF!</v>
      </c>
      <c r="X15" s="80" t="e">
        <f>X14/X6</f>
        <v>#REF!</v>
      </c>
      <c r="Y15" s="80" t="e">
        <f>Y14/Y6</f>
        <v>#REF!</v>
      </c>
      <c r="AA15" s="80" t="e">
        <f>AA14/AA6</f>
        <v>#REF!</v>
      </c>
      <c r="AB15" s="80" t="e">
        <f>AB14/AB6</f>
        <v>#REF!</v>
      </c>
      <c r="AC15" s="80" t="e">
        <f>AC14/AC6</f>
        <v>#REF!</v>
      </c>
      <c r="AE15" s="80" t="e">
        <f>AE14/AE6</f>
        <v>#REF!</v>
      </c>
      <c r="AF15" s="80" t="e">
        <f>AF14/AF6</f>
        <v>#REF!</v>
      </c>
      <c r="AG15" s="80" t="e">
        <f>AG14/AG6</f>
        <v>#REF!</v>
      </c>
    </row>
    <row r="17" spans="1:33" x14ac:dyDescent="0.25">
      <c r="B17" s="9" t="s">
        <v>383</v>
      </c>
      <c r="C17" s="11" t="e">
        <f t="shared" ref="C17:C21" si="12">SUM(D17:E17)</f>
        <v>#REF!</v>
      </c>
      <c r="D17" s="62" t="e">
        <f>SUMIF(#REF!,B17,#REF!)</f>
        <v>#REF!</v>
      </c>
      <c r="E17" s="62" t="e">
        <f>SUMIF(#REF!,B17,#REF!)</f>
        <v>#REF!</v>
      </c>
      <c r="G17" s="11" t="e">
        <f t="shared" ref="G17:G22" si="13">SUM(H17:I17)</f>
        <v>#REF!</v>
      </c>
      <c r="H17" s="62" t="e">
        <f>SUMIF(ALIF_Y2016!I:I,B17,ALIF_Y2016!F:F)-D17</f>
        <v>#REF!</v>
      </c>
      <c r="I17" s="62" t="e">
        <f>SUMIF(#REF!,B17,#REF!)-E17</f>
        <v>#REF!</v>
      </c>
      <c r="K17" s="11" t="e">
        <f t="shared" ref="K17:K22" si="14">SUM(L17:M17)</f>
        <v>#REF!</v>
      </c>
      <c r="L17" s="62" t="e">
        <f t="shared" ref="L17:L22" si="15">D17+H17</f>
        <v>#REF!</v>
      </c>
      <c r="M17" s="62" t="e">
        <f t="shared" ref="M17:M22" si="16">E17+I17</f>
        <v>#REF!</v>
      </c>
      <c r="O17" s="11" t="e">
        <f t="shared" ref="O17:O21" si="17">SUM(P17:Q17)</f>
        <v>#REF!</v>
      </c>
      <c r="P17" s="62" t="e">
        <f>SUMIF(#REF!,B17,#REF!)</f>
        <v>#REF!</v>
      </c>
      <c r="Q17" s="62" t="e">
        <f>SUMIF(#REF!,B17,#REF!)</f>
        <v>#REF!</v>
      </c>
      <c r="S17" s="11" t="e">
        <f t="shared" ref="S17:S22" si="18">SUM(T17:U17)</f>
        <v>#REF!</v>
      </c>
      <c r="T17" s="62" t="e">
        <f>SUMIF(#REF!,R17,#REF!)</f>
        <v>#REF!</v>
      </c>
      <c r="U17" s="62" t="e">
        <f>SUMIF(#REF!,R17,#REF!)</f>
        <v>#REF!</v>
      </c>
      <c r="W17" s="11" t="e">
        <f t="shared" ref="W17:W22" si="19">SUM(X17:Y17)</f>
        <v>#REF!</v>
      </c>
      <c r="X17" s="62" t="e">
        <f>SUMIF(ALIF_Y2016!Y:Y,R17,ALIF_Y2016!V:V)-T17</f>
        <v>#REF!</v>
      </c>
      <c r="Y17" s="62" t="e">
        <f>SUMIF(#REF!,R17,#REF!)-U17</f>
        <v>#REF!</v>
      </c>
      <c r="AA17" s="11" t="e">
        <f t="shared" ref="AA17:AA22" si="20">SUM(AB17:AC17)</f>
        <v>#REF!</v>
      </c>
      <c r="AB17" s="62" t="e">
        <f t="shared" ref="AB17:AB22" si="21">T17+X17</f>
        <v>#REF!</v>
      </c>
      <c r="AC17" s="62" t="e">
        <f t="shared" ref="AC17:AC22" si="22">U17+Y17</f>
        <v>#REF!</v>
      </c>
      <c r="AE17" s="11" t="e">
        <f t="shared" ref="AE17" si="23">SUM(AF17:AG17)</f>
        <v>#REF!</v>
      </c>
      <c r="AF17" s="62" t="e">
        <f>SUMIF(#REF!,R17,#REF!)</f>
        <v>#REF!</v>
      </c>
      <c r="AG17" s="62" t="e">
        <f>SUMIF(#REF!,R17,#REF!)</f>
        <v>#REF!</v>
      </c>
    </row>
    <row r="18" spans="1:33" x14ac:dyDescent="0.25">
      <c r="B18" s="9" t="s">
        <v>468</v>
      </c>
      <c r="C18" s="11" t="e">
        <f t="shared" ref="C18" si="24">SUM(D18:E18)</f>
        <v>#REF!</v>
      </c>
      <c r="D18" s="62" t="e">
        <f>SUMIF(#REF!,B18,#REF!)</f>
        <v>#REF!</v>
      </c>
      <c r="E18" s="62" t="e">
        <f>SUMIF(#REF!,B18,#REF!)</f>
        <v>#REF!</v>
      </c>
      <c r="G18" s="11" t="e">
        <f t="shared" si="13"/>
        <v>#REF!</v>
      </c>
      <c r="H18" s="62" t="e">
        <f>SUMIF(ALIF_Y2016!I:I,B18,ALIF_Y2016!F:F)-D18</f>
        <v>#REF!</v>
      </c>
      <c r="I18" s="62" t="e">
        <f>SUMIF(#REF!,B18,#REF!)-E18</f>
        <v>#REF!</v>
      </c>
      <c r="K18" s="11" t="e">
        <f t="shared" si="14"/>
        <v>#REF!</v>
      </c>
      <c r="L18" s="62" t="e">
        <f t="shared" si="15"/>
        <v>#REF!</v>
      </c>
      <c r="M18" s="62" t="e">
        <f t="shared" si="16"/>
        <v>#REF!</v>
      </c>
      <c r="O18" s="11" t="e">
        <f t="shared" ref="O18" si="25">SUM(P18:Q18)</f>
        <v>#REF!</v>
      </c>
      <c r="P18" s="62" t="e">
        <f>SUMIF(#REF!,B18,#REF!)</f>
        <v>#REF!</v>
      </c>
      <c r="Q18" s="62" t="e">
        <f>SUMIF(#REF!,B18,#REF!)</f>
        <v>#REF!</v>
      </c>
      <c r="S18" s="11" t="e">
        <f t="shared" si="18"/>
        <v>#REF!</v>
      </c>
      <c r="T18" s="62" t="e">
        <f>SUMIF(#REF!,R18,#REF!)</f>
        <v>#REF!</v>
      </c>
      <c r="U18" s="62" t="e">
        <f>SUMIF(#REF!,R18,#REF!)</f>
        <v>#REF!</v>
      </c>
      <c r="W18" s="11" t="e">
        <f t="shared" si="19"/>
        <v>#REF!</v>
      </c>
      <c r="X18" s="62" t="e">
        <f>SUMIF(ALIF_Y2016!Y:Y,R18,ALIF_Y2016!V:V)-T18</f>
        <v>#REF!</v>
      </c>
      <c r="Y18" s="62" t="e">
        <f>SUMIF(#REF!,R18,#REF!)-U18</f>
        <v>#REF!</v>
      </c>
      <c r="AA18" s="11" t="e">
        <f t="shared" si="20"/>
        <v>#REF!</v>
      </c>
      <c r="AB18" s="62" t="e">
        <f t="shared" si="21"/>
        <v>#REF!</v>
      </c>
      <c r="AC18" s="62" t="e">
        <f t="shared" si="22"/>
        <v>#REF!</v>
      </c>
      <c r="AE18" s="11" t="e">
        <f t="shared" ref="AE18" si="26">SUM(AF18:AG18)</f>
        <v>#REF!</v>
      </c>
      <c r="AF18" s="62" t="e">
        <f>SUMIF(#REF!,R18,#REF!)</f>
        <v>#REF!</v>
      </c>
      <c r="AG18" s="62" t="e">
        <f>SUMIF(#REF!,R18,#REF!)</f>
        <v>#REF!</v>
      </c>
    </row>
    <row r="19" spans="1:33" x14ac:dyDescent="0.25">
      <c r="B19" s="9" t="s">
        <v>381</v>
      </c>
      <c r="C19" s="11" t="e">
        <f t="shared" si="12"/>
        <v>#REF!</v>
      </c>
      <c r="D19" s="62" t="e">
        <f>SUMIF(#REF!,B19,#REF!)</f>
        <v>#REF!</v>
      </c>
      <c r="E19" s="62" t="e">
        <f>SUMIF(#REF!,B19,#REF!)</f>
        <v>#REF!</v>
      </c>
      <c r="G19" s="11" t="e">
        <f t="shared" si="13"/>
        <v>#REF!</v>
      </c>
      <c r="H19" s="62" t="e">
        <f>SUMIF(ALIF_Y2016!I:I,B19,ALIF_Y2016!F:F)-D19</f>
        <v>#REF!</v>
      </c>
      <c r="I19" s="62" t="e">
        <f>SUMIF(#REF!,B19,#REF!)-E19</f>
        <v>#REF!</v>
      </c>
      <c r="K19" s="11" t="e">
        <f t="shared" si="14"/>
        <v>#REF!</v>
      </c>
      <c r="L19" s="62" t="e">
        <f t="shared" si="15"/>
        <v>#REF!</v>
      </c>
      <c r="M19" s="62" t="e">
        <f t="shared" si="16"/>
        <v>#REF!</v>
      </c>
      <c r="O19" s="11" t="e">
        <f t="shared" si="17"/>
        <v>#REF!</v>
      </c>
      <c r="P19" s="62" t="e">
        <f>SUMIF(#REF!,B19,#REF!)</f>
        <v>#REF!</v>
      </c>
      <c r="Q19" s="62" t="e">
        <f>SUMIF(#REF!,B19,#REF!)</f>
        <v>#REF!</v>
      </c>
      <c r="S19" s="11" t="e">
        <f t="shared" si="18"/>
        <v>#REF!</v>
      </c>
      <c r="T19" s="62" t="e">
        <f>SUMIF(#REF!,R19,#REF!)</f>
        <v>#REF!</v>
      </c>
      <c r="U19" s="62" t="e">
        <f>SUMIF(#REF!,R19,#REF!)</f>
        <v>#REF!</v>
      </c>
      <c r="W19" s="11" t="e">
        <f t="shared" si="19"/>
        <v>#REF!</v>
      </c>
      <c r="X19" s="62" t="e">
        <f>SUMIF(ALIF_Y2016!Y:Y,R19,ALIF_Y2016!V:V)-T19</f>
        <v>#REF!</v>
      </c>
      <c r="Y19" s="62" t="e">
        <f>SUMIF(#REF!,R19,#REF!)-U19</f>
        <v>#REF!</v>
      </c>
      <c r="AA19" s="11" t="e">
        <f t="shared" si="20"/>
        <v>#REF!</v>
      </c>
      <c r="AB19" s="62" t="e">
        <f t="shared" si="21"/>
        <v>#REF!</v>
      </c>
      <c r="AC19" s="62" t="e">
        <f t="shared" si="22"/>
        <v>#REF!</v>
      </c>
      <c r="AE19" s="11" t="e">
        <f t="shared" ref="AE19" si="27">SUM(AF19:AG19)</f>
        <v>#REF!</v>
      </c>
      <c r="AF19" s="62" t="e">
        <f>SUMIF(#REF!,R19,#REF!)</f>
        <v>#REF!</v>
      </c>
      <c r="AG19" s="62" t="e">
        <f>SUMIF(#REF!,R19,#REF!)</f>
        <v>#REF!</v>
      </c>
    </row>
    <row r="20" spans="1:33" x14ac:dyDescent="0.25">
      <c r="B20" s="75" t="s">
        <v>382</v>
      </c>
      <c r="C20" s="11" t="e">
        <f t="shared" ref="C20" si="28">SUM(D20:E20)</f>
        <v>#REF!</v>
      </c>
      <c r="D20" s="62" t="e">
        <f>SUMIF(#REF!,B20,#REF!)</f>
        <v>#REF!</v>
      </c>
      <c r="E20" s="62" t="e">
        <f>SUMIF(#REF!,B20,#REF!)</f>
        <v>#REF!</v>
      </c>
      <c r="G20" s="11" t="e">
        <f t="shared" si="13"/>
        <v>#REF!</v>
      </c>
      <c r="H20" s="62" t="e">
        <f>SUMIF(ALIF_Y2016!I:I,B20,ALIF_Y2016!F:F)-D20</f>
        <v>#REF!</v>
      </c>
      <c r="I20" s="62" t="e">
        <f>SUMIF(#REF!,B20,#REF!)-E20</f>
        <v>#REF!</v>
      </c>
      <c r="K20" s="11" t="e">
        <f t="shared" si="14"/>
        <v>#REF!</v>
      </c>
      <c r="L20" s="62" t="e">
        <f t="shared" si="15"/>
        <v>#REF!</v>
      </c>
      <c r="M20" s="62" t="e">
        <f t="shared" si="16"/>
        <v>#REF!</v>
      </c>
      <c r="O20" s="11" t="e">
        <f t="shared" ref="O20" si="29">SUM(P20:Q20)</f>
        <v>#REF!</v>
      </c>
      <c r="P20" s="62" t="e">
        <f>SUMIF(#REF!,B20,#REF!)</f>
        <v>#REF!</v>
      </c>
      <c r="Q20" s="62" t="e">
        <f>SUMIF(#REF!,B20,#REF!)</f>
        <v>#REF!</v>
      </c>
      <c r="S20" s="11" t="e">
        <f t="shared" si="18"/>
        <v>#REF!</v>
      </c>
      <c r="T20" s="62" t="e">
        <f>SUMIF(#REF!,R20,#REF!)</f>
        <v>#REF!</v>
      </c>
      <c r="U20" s="62" t="e">
        <f>SUMIF(#REF!,R20,#REF!)</f>
        <v>#REF!</v>
      </c>
      <c r="W20" s="11" t="e">
        <f t="shared" si="19"/>
        <v>#REF!</v>
      </c>
      <c r="X20" s="62" t="e">
        <f>SUMIF(ALIF_Y2016!Y:Y,R20,ALIF_Y2016!V:V)-T20</f>
        <v>#REF!</v>
      </c>
      <c r="Y20" s="62" t="e">
        <f>SUMIF(#REF!,R20,#REF!)-U20</f>
        <v>#REF!</v>
      </c>
      <c r="AA20" s="11" t="e">
        <f t="shared" si="20"/>
        <v>#REF!</v>
      </c>
      <c r="AB20" s="62" t="e">
        <f t="shared" si="21"/>
        <v>#REF!</v>
      </c>
      <c r="AC20" s="62" t="e">
        <f t="shared" si="22"/>
        <v>#REF!</v>
      </c>
      <c r="AE20" s="11" t="e">
        <f t="shared" ref="AE20" si="30">SUM(AF20:AG20)</f>
        <v>#REF!</v>
      </c>
      <c r="AF20" s="62" t="e">
        <f>SUMIF(#REF!,R20,#REF!)</f>
        <v>#REF!</v>
      </c>
      <c r="AG20" s="62" t="e">
        <f>SUMIF(#REF!,R20,#REF!)</f>
        <v>#REF!</v>
      </c>
    </row>
    <row r="21" spans="1:33" x14ac:dyDescent="0.25">
      <c r="B21" s="9" t="s">
        <v>384</v>
      </c>
      <c r="C21" s="11" t="e">
        <f t="shared" si="12"/>
        <v>#REF!</v>
      </c>
      <c r="D21" s="62" t="e">
        <f>SUMIF(#REF!,B21,#REF!)</f>
        <v>#REF!</v>
      </c>
      <c r="E21" s="62" t="e">
        <f>SUMIF(#REF!,B21,#REF!)</f>
        <v>#REF!</v>
      </c>
      <c r="G21" s="11" t="e">
        <f t="shared" si="13"/>
        <v>#REF!</v>
      </c>
      <c r="H21" s="62" t="e">
        <f>SUMIF(ALIF_Y2016!I:I,B21,ALIF_Y2016!F:F)-D21</f>
        <v>#REF!</v>
      </c>
      <c r="I21" s="62" t="e">
        <f>SUMIF(#REF!,B21,#REF!)-E21</f>
        <v>#REF!</v>
      </c>
      <c r="K21" s="11" t="e">
        <f t="shared" si="14"/>
        <v>#REF!</v>
      </c>
      <c r="L21" s="62" t="e">
        <f t="shared" si="15"/>
        <v>#REF!</v>
      </c>
      <c r="M21" s="62" t="e">
        <f t="shared" si="16"/>
        <v>#REF!</v>
      </c>
      <c r="O21" s="11" t="e">
        <f t="shared" si="17"/>
        <v>#REF!</v>
      </c>
      <c r="P21" s="62" t="e">
        <f>SUMIF(#REF!,B21,#REF!)</f>
        <v>#REF!</v>
      </c>
      <c r="Q21" s="62" t="e">
        <f>SUMIF(#REF!,B21,#REF!)</f>
        <v>#REF!</v>
      </c>
      <c r="S21" s="11" t="e">
        <f t="shared" si="18"/>
        <v>#REF!</v>
      </c>
      <c r="T21" s="62" t="e">
        <f>SUMIF(#REF!,R21,#REF!)</f>
        <v>#REF!</v>
      </c>
      <c r="U21" s="62" t="e">
        <f>SUMIF(#REF!,R21,#REF!)</f>
        <v>#REF!</v>
      </c>
      <c r="W21" s="11" t="e">
        <f t="shared" si="19"/>
        <v>#REF!</v>
      </c>
      <c r="X21" s="62" t="e">
        <f>SUMIF(ALIF_Y2016!Y:Y,R21,ALIF_Y2016!V:V)-T21</f>
        <v>#REF!</v>
      </c>
      <c r="Y21" s="62" t="e">
        <f>SUMIF(#REF!,R21,#REF!)-U21</f>
        <v>#REF!</v>
      </c>
      <c r="AA21" s="11" t="e">
        <f t="shared" si="20"/>
        <v>#REF!</v>
      </c>
      <c r="AB21" s="62" t="e">
        <f t="shared" si="21"/>
        <v>#REF!</v>
      </c>
      <c r="AC21" s="62" t="e">
        <f t="shared" si="22"/>
        <v>#REF!</v>
      </c>
      <c r="AE21" s="11" t="e">
        <f t="shared" ref="AE21" si="31">SUM(AF21:AG21)</f>
        <v>#REF!</v>
      </c>
      <c r="AF21" s="62" t="e">
        <f>SUMIF(#REF!,R21,#REF!)</f>
        <v>#REF!</v>
      </c>
      <c r="AG21" s="62" t="e">
        <f>SUMIF(#REF!,R21,#REF!)</f>
        <v>#REF!</v>
      </c>
    </row>
    <row r="22" spans="1:33" x14ac:dyDescent="0.25">
      <c r="B22" s="75" t="s">
        <v>375</v>
      </c>
      <c r="C22" s="11" t="e">
        <f t="shared" ref="C22" si="32">SUM(D22:E22)</f>
        <v>#REF!</v>
      </c>
      <c r="D22" s="62" t="e">
        <f>SUMIF(#REF!,B22,#REF!)</f>
        <v>#REF!</v>
      </c>
      <c r="E22" s="62" t="e">
        <f>SUMIF(#REF!,B22,#REF!)</f>
        <v>#REF!</v>
      </c>
      <c r="G22" s="11" t="e">
        <f t="shared" si="13"/>
        <v>#REF!</v>
      </c>
      <c r="H22" s="62" t="e">
        <f>SUMIF(ALIF_Y2016!I:I,B22,ALIF_Y2016!F:F)-D22</f>
        <v>#REF!</v>
      </c>
      <c r="I22" s="62" t="e">
        <f>SUMIF(#REF!,B22,#REF!)-E22</f>
        <v>#REF!</v>
      </c>
      <c r="K22" s="11" t="e">
        <f t="shared" si="14"/>
        <v>#REF!</v>
      </c>
      <c r="L22" s="62" t="e">
        <f t="shared" si="15"/>
        <v>#REF!</v>
      </c>
      <c r="M22" s="62" t="e">
        <f t="shared" si="16"/>
        <v>#REF!</v>
      </c>
      <c r="O22" s="11" t="e">
        <f t="shared" ref="O22" si="33">SUM(P22:Q22)</f>
        <v>#REF!</v>
      </c>
      <c r="P22" s="62" t="e">
        <f>SUMIF(#REF!,B22,#REF!)</f>
        <v>#REF!</v>
      </c>
      <c r="Q22" s="62" t="e">
        <f>SUMIF(#REF!,B22,#REF!)</f>
        <v>#REF!</v>
      </c>
      <c r="S22" s="11" t="e">
        <f t="shared" si="18"/>
        <v>#REF!</v>
      </c>
      <c r="T22" s="62" t="e">
        <f>SUMIF(#REF!,R22,#REF!)</f>
        <v>#REF!</v>
      </c>
      <c r="U22" s="62" t="e">
        <f>SUMIF(#REF!,R22,#REF!)</f>
        <v>#REF!</v>
      </c>
      <c r="W22" s="11" t="e">
        <f t="shared" si="19"/>
        <v>#REF!</v>
      </c>
      <c r="X22" s="62" t="e">
        <f>SUMIF(ALIF_Y2016!Y:Y,R22,ALIF_Y2016!V:V)-T22</f>
        <v>#REF!</v>
      </c>
      <c r="Y22" s="62" t="e">
        <f>SUMIF(#REF!,R22,#REF!)-U22</f>
        <v>#REF!</v>
      </c>
      <c r="AA22" s="11" t="e">
        <f t="shared" si="20"/>
        <v>#REF!</v>
      </c>
      <c r="AB22" s="62" t="e">
        <f t="shared" si="21"/>
        <v>#REF!</v>
      </c>
      <c r="AC22" s="62" t="e">
        <f t="shared" si="22"/>
        <v>#REF!</v>
      </c>
      <c r="AE22" s="11" t="e">
        <f t="shared" ref="AE22" si="34">SUM(AF22:AG22)</f>
        <v>#REF!</v>
      </c>
      <c r="AF22" s="62" t="e">
        <f>SUMIF(#REF!,R22,#REF!)</f>
        <v>#REF!</v>
      </c>
      <c r="AG22" s="62" t="e">
        <f>SUMIF(#REF!,R22,#REF!)</f>
        <v>#REF!</v>
      </c>
    </row>
    <row r="23" spans="1:33" ht="9" customHeight="1" x14ac:dyDescent="0.25">
      <c r="C23" s="16"/>
      <c r="D23" s="16"/>
      <c r="E23" s="16"/>
      <c r="G23" s="16"/>
      <c r="H23" s="16"/>
      <c r="I23" s="16"/>
      <c r="K23" s="16"/>
      <c r="L23" s="16"/>
      <c r="M23" s="16"/>
      <c r="O23" s="16"/>
      <c r="P23" s="16"/>
      <c r="Q23" s="16"/>
      <c r="S23" s="16"/>
      <c r="T23" s="16"/>
      <c r="U23" s="16"/>
      <c r="W23" s="16"/>
      <c r="X23" s="16"/>
      <c r="Y23" s="16"/>
      <c r="AA23" s="16"/>
      <c r="AB23" s="16"/>
      <c r="AC23" s="16"/>
      <c r="AE23" s="16"/>
      <c r="AF23" s="16"/>
      <c r="AG23" s="16"/>
    </row>
    <row r="24" spans="1:33" x14ac:dyDescent="0.25">
      <c r="A24" s="8" t="s">
        <v>405</v>
      </c>
      <c r="C24" s="17" t="e">
        <f>SUM(C17:C23)</f>
        <v>#REF!</v>
      </c>
      <c r="D24" s="17" t="e">
        <f>SUM(D17:D23)</f>
        <v>#REF!</v>
      </c>
      <c r="E24" s="17" t="e">
        <f>SUM(E17:E23)</f>
        <v>#REF!</v>
      </c>
      <c r="G24" s="17" t="e">
        <f>SUM(G17:G23)</f>
        <v>#REF!</v>
      </c>
      <c r="H24" s="17" t="e">
        <f>SUM(H17:H23)</f>
        <v>#REF!</v>
      </c>
      <c r="I24" s="17" t="e">
        <f>SUM(I17:I23)</f>
        <v>#REF!</v>
      </c>
      <c r="K24" s="17" t="e">
        <f>SUM(K17:K23)</f>
        <v>#REF!</v>
      </c>
      <c r="L24" s="17" t="e">
        <f>SUM(L17:L23)</f>
        <v>#REF!</v>
      </c>
      <c r="M24" s="17" t="e">
        <f>SUM(M17:M23)</f>
        <v>#REF!</v>
      </c>
      <c r="O24" s="17" t="e">
        <f>SUM(O17:O23)</f>
        <v>#REF!</v>
      </c>
      <c r="P24" s="17" t="e">
        <f>SUM(P17:P23)</f>
        <v>#REF!</v>
      </c>
      <c r="Q24" s="17" t="e">
        <f>SUM(Q17:Q23)</f>
        <v>#REF!</v>
      </c>
      <c r="S24" s="17" t="e">
        <f>SUM(S17:S23)</f>
        <v>#REF!</v>
      </c>
      <c r="T24" s="17" t="e">
        <f>SUM(T17:T23)</f>
        <v>#REF!</v>
      </c>
      <c r="U24" s="17" t="e">
        <f>SUM(U17:U23)</f>
        <v>#REF!</v>
      </c>
      <c r="W24" s="17" t="e">
        <f>SUM(W17:W23)</f>
        <v>#REF!</v>
      </c>
      <c r="X24" s="17" t="e">
        <f>SUM(X17:X23)</f>
        <v>#REF!</v>
      </c>
      <c r="Y24" s="17" t="e">
        <f>SUM(Y17:Y23)</f>
        <v>#REF!</v>
      </c>
      <c r="AA24" s="17" t="e">
        <f>SUM(AA17:AA23)</f>
        <v>#REF!</v>
      </c>
      <c r="AB24" s="17" t="e">
        <f>SUM(AB17:AB23)</f>
        <v>#REF!</v>
      </c>
      <c r="AC24" s="17" t="e">
        <f>SUM(AC17:AC23)</f>
        <v>#REF!</v>
      </c>
      <c r="AE24" s="17" t="e">
        <f>SUM(AE17:AE23)</f>
        <v>#REF!</v>
      </c>
      <c r="AF24" s="17" t="e">
        <f>SUM(AF17:AF23)</f>
        <v>#REF!</v>
      </c>
      <c r="AG24" s="17" t="e">
        <f>SUM(AG17:AG23)</f>
        <v>#REF!</v>
      </c>
    </row>
    <row r="25" spans="1:33" x14ac:dyDescent="0.25">
      <c r="O25" s="11"/>
      <c r="P25" s="11"/>
      <c r="Q25" s="11"/>
      <c r="AE25" s="11"/>
      <c r="AF25" s="11"/>
      <c r="AG25" s="11"/>
    </row>
    <row r="26" spans="1:33" x14ac:dyDescent="0.25">
      <c r="B26" s="9" t="s">
        <v>298</v>
      </c>
      <c r="C26" s="11" t="e">
        <f t="shared" ref="C26:C32" si="35">SUM(D26:E26)</f>
        <v>#REF!</v>
      </c>
      <c r="D26" s="62" t="e">
        <f>SUMIF(#REF!,B26,#REF!)</f>
        <v>#REF!</v>
      </c>
      <c r="E26" s="62" t="e">
        <f>SUMIF(#REF!,B26,#REF!)</f>
        <v>#REF!</v>
      </c>
      <c r="G26" s="11" t="e">
        <f t="shared" ref="G26:G33" si="36">SUM(H26:I26)</f>
        <v>#REF!</v>
      </c>
      <c r="H26" s="62" t="e">
        <f>SUMIF(ALIF_Y2016!I:I,B26,ALIF_Y2016!F:F)-D26</f>
        <v>#REF!</v>
      </c>
      <c r="I26" s="62" t="e">
        <f>SUMIF(#REF!,B26,#REF!)-E26</f>
        <v>#REF!</v>
      </c>
      <c r="K26" s="11" t="e">
        <f t="shared" ref="K26:K33" si="37">SUM(L26:M26)</f>
        <v>#REF!</v>
      </c>
      <c r="L26" s="62" t="e">
        <f t="shared" ref="L26:L33" si="38">D26+H26</f>
        <v>#REF!</v>
      </c>
      <c r="M26" s="62" t="e">
        <f t="shared" ref="M26:M33" si="39">E26+I26</f>
        <v>#REF!</v>
      </c>
      <c r="O26" s="11" t="e">
        <f t="shared" ref="O26:O32" si="40">SUM(P26:Q26)</f>
        <v>#REF!</v>
      </c>
      <c r="P26" s="62" t="e">
        <f>SUMIF(#REF!,B26,#REF!)</f>
        <v>#REF!</v>
      </c>
      <c r="Q26" s="62" t="e">
        <f>SUMIF(#REF!,B26,#REF!)</f>
        <v>#REF!</v>
      </c>
      <c r="S26" s="11" t="e">
        <f t="shared" ref="S26:S33" si="41">SUM(T26:U26)</f>
        <v>#REF!</v>
      </c>
      <c r="T26" s="62" t="e">
        <f>SUMIF(#REF!,R26,#REF!)</f>
        <v>#REF!</v>
      </c>
      <c r="U26" s="62" t="e">
        <f>SUMIF(#REF!,R26,#REF!)</f>
        <v>#REF!</v>
      </c>
      <c r="W26" s="11" t="e">
        <f t="shared" ref="W26:W33" si="42">SUM(X26:Y26)</f>
        <v>#REF!</v>
      </c>
      <c r="X26" s="62" t="e">
        <f>SUMIF(ALIF_Y2016!Y:Y,R26,ALIF_Y2016!V:V)-T26</f>
        <v>#REF!</v>
      </c>
      <c r="Y26" s="62" t="e">
        <f>SUMIF(#REF!,R26,#REF!)-U26</f>
        <v>#REF!</v>
      </c>
      <c r="AA26" s="11" t="e">
        <f t="shared" ref="AA26:AA33" si="43">SUM(AB26:AC26)</f>
        <v>#REF!</v>
      </c>
      <c r="AB26" s="62" t="e">
        <f t="shared" ref="AB26:AB33" si="44">T26+X26</f>
        <v>#REF!</v>
      </c>
      <c r="AC26" s="62" t="e">
        <f t="shared" ref="AC26:AC33" si="45">U26+Y26</f>
        <v>#REF!</v>
      </c>
      <c r="AE26" s="11" t="e">
        <f t="shared" ref="AE26:AE32" si="46">SUM(AF26:AG26)</f>
        <v>#REF!</v>
      </c>
      <c r="AF26" s="62" t="e">
        <f>SUMIF(#REF!,R26,#REF!)</f>
        <v>#REF!</v>
      </c>
      <c r="AG26" s="62" t="e">
        <f>SUMIF(#REF!,R26,#REF!)</f>
        <v>#REF!</v>
      </c>
    </row>
    <row r="27" spans="1:33" x14ac:dyDescent="0.25">
      <c r="B27" s="9" t="s">
        <v>476</v>
      </c>
      <c r="C27" s="11" t="e">
        <f t="shared" si="35"/>
        <v>#REF!</v>
      </c>
      <c r="D27" s="62" t="e">
        <f>SUMIF(#REF!,B27,#REF!)</f>
        <v>#REF!</v>
      </c>
      <c r="E27" s="62" t="e">
        <f>SUMIF(#REF!,B27,#REF!)</f>
        <v>#REF!</v>
      </c>
      <c r="G27" s="11" t="e">
        <f t="shared" si="36"/>
        <v>#REF!</v>
      </c>
      <c r="H27" s="62" t="e">
        <f>SUMIF(ALIF_Y2016!I:I,B27,ALIF_Y2016!F:F)-D27</f>
        <v>#REF!</v>
      </c>
      <c r="I27" s="62" t="e">
        <f>SUMIF(#REF!,B27,#REF!)-E27</f>
        <v>#REF!</v>
      </c>
      <c r="K27" s="11" t="e">
        <f t="shared" si="37"/>
        <v>#REF!</v>
      </c>
      <c r="L27" s="62" t="e">
        <f t="shared" si="38"/>
        <v>#REF!</v>
      </c>
      <c r="M27" s="62" t="e">
        <f t="shared" si="39"/>
        <v>#REF!</v>
      </c>
      <c r="O27" s="11" t="e">
        <f t="shared" si="40"/>
        <v>#REF!</v>
      </c>
      <c r="P27" s="62" t="e">
        <f>SUMIF(#REF!,B27,#REF!)</f>
        <v>#REF!</v>
      </c>
      <c r="Q27" s="62" t="e">
        <f>SUMIF(#REF!,B27,#REF!)</f>
        <v>#REF!</v>
      </c>
      <c r="S27" s="11" t="e">
        <f t="shared" si="41"/>
        <v>#REF!</v>
      </c>
      <c r="T27" s="62" t="e">
        <f>SUMIF(#REF!,R27,#REF!)</f>
        <v>#REF!</v>
      </c>
      <c r="U27" s="62" t="e">
        <f>SUMIF(#REF!,R27,#REF!)</f>
        <v>#REF!</v>
      </c>
      <c r="W27" s="11" t="e">
        <f t="shared" si="42"/>
        <v>#REF!</v>
      </c>
      <c r="X27" s="62" t="e">
        <f>SUMIF(ALIF_Y2016!Y:Y,R27,ALIF_Y2016!V:V)-T27</f>
        <v>#REF!</v>
      </c>
      <c r="Y27" s="62" t="e">
        <f>SUMIF(#REF!,R27,#REF!)-U27</f>
        <v>#REF!</v>
      </c>
      <c r="AA27" s="11" t="e">
        <f t="shared" si="43"/>
        <v>#REF!</v>
      </c>
      <c r="AB27" s="62" t="e">
        <f t="shared" si="44"/>
        <v>#REF!</v>
      </c>
      <c r="AC27" s="62" t="e">
        <f t="shared" si="45"/>
        <v>#REF!</v>
      </c>
      <c r="AE27" s="11" t="e">
        <f t="shared" si="46"/>
        <v>#REF!</v>
      </c>
      <c r="AF27" s="62" t="e">
        <f>SUMIF(#REF!,R27,#REF!)</f>
        <v>#REF!</v>
      </c>
      <c r="AG27" s="62" t="e">
        <f>SUMIF(#REF!,R27,#REF!)</f>
        <v>#REF!</v>
      </c>
    </row>
    <row r="28" spans="1:33" x14ac:dyDescent="0.25">
      <c r="B28" s="9" t="s">
        <v>414</v>
      </c>
      <c r="C28" s="11" t="e">
        <f t="shared" si="35"/>
        <v>#REF!</v>
      </c>
      <c r="D28" s="62" t="e">
        <f>SUMIF(#REF!,B28,#REF!)</f>
        <v>#REF!</v>
      </c>
      <c r="E28" s="62" t="e">
        <f>SUMIF(#REF!,B28,#REF!)</f>
        <v>#REF!</v>
      </c>
      <c r="G28" s="11" t="e">
        <f t="shared" si="36"/>
        <v>#REF!</v>
      </c>
      <c r="H28" s="62" t="e">
        <f>SUMIF(ALIF_Y2016!I:I,B28,ALIF_Y2016!F:F)-D28</f>
        <v>#REF!</v>
      </c>
      <c r="I28" s="62" t="e">
        <f>SUMIF(#REF!,B28,#REF!)-E28</f>
        <v>#REF!</v>
      </c>
      <c r="K28" s="11" t="e">
        <f t="shared" si="37"/>
        <v>#REF!</v>
      </c>
      <c r="L28" s="62" t="e">
        <f t="shared" si="38"/>
        <v>#REF!</v>
      </c>
      <c r="M28" s="62" t="e">
        <f t="shared" si="39"/>
        <v>#REF!</v>
      </c>
      <c r="O28" s="11" t="e">
        <f t="shared" si="40"/>
        <v>#REF!</v>
      </c>
      <c r="P28" s="62" t="e">
        <f>SUMIF(#REF!,B28,#REF!)</f>
        <v>#REF!</v>
      </c>
      <c r="Q28" s="62" t="e">
        <f>SUMIF(#REF!,B28,#REF!)</f>
        <v>#REF!</v>
      </c>
      <c r="S28" s="11" t="e">
        <f t="shared" si="41"/>
        <v>#REF!</v>
      </c>
      <c r="T28" s="62" t="e">
        <f>SUMIF(#REF!,R28,#REF!)</f>
        <v>#REF!</v>
      </c>
      <c r="U28" s="62" t="e">
        <f>SUMIF(#REF!,R28,#REF!)</f>
        <v>#REF!</v>
      </c>
      <c r="W28" s="11" t="e">
        <f t="shared" si="42"/>
        <v>#REF!</v>
      </c>
      <c r="X28" s="62" t="e">
        <f>SUMIF(ALIF_Y2016!Y:Y,R28,ALIF_Y2016!V:V)-T28</f>
        <v>#REF!</v>
      </c>
      <c r="Y28" s="62" t="e">
        <f>SUMIF(#REF!,R28,#REF!)-U28</f>
        <v>#REF!</v>
      </c>
      <c r="AA28" s="11" t="e">
        <f t="shared" si="43"/>
        <v>#REF!</v>
      </c>
      <c r="AB28" s="62" t="e">
        <f t="shared" si="44"/>
        <v>#REF!</v>
      </c>
      <c r="AC28" s="62" t="e">
        <f t="shared" si="45"/>
        <v>#REF!</v>
      </c>
      <c r="AE28" s="11" t="e">
        <f t="shared" si="46"/>
        <v>#REF!</v>
      </c>
      <c r="AF28" s="62" t="e">
        <f>SUMIF(#REF!,R28,#REF!)</f>
        <v>#REF!</v>
      </c>
      <c r="AG28" s="62" t="e">
        <f>SUMIF(#REF!,R28,#REF!)</f>
        <v>#REF!</v>
      </c>
    </row>
    <row r="29" spans="1:33" x14ac:dyDescent="0.25">
      <c r="B29" s="75" t="s">
        <v>470</v>
      </c>
      <c r="C29" s="11" t="e">
        <f t="shared" si="35"/>
        <v>#REF!</v>
      </c>
      <c r="D29" s="62" t="e">
        <f>SUMIF(#REF!,B29,#REF!)</f>
        <v>#REF!</v>
      </c>
      <c r="E29" s="62" t="e">
        <f>SUMIF(#REF!,B29,#REF!)</f>
        <v>#REF!</v>
      </c>
      <c r="G29" s="11" t="e">
        <f t="shared" si="36"/>
        <v>#REF!</v>
      </c>
      <c r="H29" s="62" t="e">
        <f>SUMIF(ALIF_Y2016!I:I,B29,ALIF_Y2016!F:F)-D29</f>
        <v>#REF!</v>
      </c>
      <c r="I29" s="62" t="e">
        <f>SUMIF(#REF!,B29,#REF!)-E29</f>
        <v>#REF!</v>
      </c>
      <c r="K29" s="11" t="e">
        <f t="shared" si="37"/>
        <v>#REF!</v>
      </c>
      <c r="L29" s="62" t="e">
        <f t="shared" si="38"/>
        <v>#REF!</v>
      </c>
      <c r="M29" s="62" t="e">
        <f t="shared" si="39"/>
        <v>#REF!</v>
      </c>
      <c r="O29" s="11" t="e">
        <f t="shared" si="40"/>
        <v>#REF!</v>
      </c>
      <c r="P29" s="62" t="e">
        <f>SUMIF(#REF!,B29,#REF!)</f>
        <v>#REF!</v>
      </c>
      <c r="Q29" s="62" t="e">
        <f>SUMIF(#REF!,B29,#REF!)</f>
        <v>#REF!</v>
      </c>
      <c r="S29" s="11" t="e">
        <f t="shared" si="41"/>
        <v>#REF!</v>
      </c>
      <c r="T29" s="62" t="e">
        <f>SUMIF(#REF!,R29,#REF!)</f>
        <v>#REF!</v>
      </c>
      <c r="U29" s="62" t="e">
        <f>SUMIF(#REF!,R29,#REF!)</f>
        <v>#REF!</v>
      </c>
      <c r="W29" s="11" t="e">
        <f t="shared" si="42"/>
        <v>#REF!</v>
      </c>
      <c r="X29" s="62" t="e">
        <f>SUMIF(ALIF_Y2016!Y:Y,R29,ALIF_Y2016!V:V)-T29</f>
        <v>#REF!</v>
      </c>
      <c r="Y29" s="62" t="e">
        <f>SUMIF(#REF!,R29,#REF!)-U29</f>
        <v>#REF!</v>
      </c>
      <c r="AA29" s="11" t="e">
        <f t="shared" si="43"/>
        <v>#REF!</v>
      </c>
      <c r="AB29" s="62" t="e">
        <f t="shared" si="44"/>
        <v>#REF!</v>
      </c>
      <c r="AC29" s="62" t="e">
        <f t="shared" si="45"/>
        <v>#REF!</v>
      </c>
      <c r="AE29" s="11" t="e">
        <f t="shared" si="46"/>
        <v>#REF!</v>
      </c>
      <c r="AF29" s="62" t="e">
        <f>SUMIF(#REF!,R29,#REF!)</f>
        <v>#REF!</v>
      </c>
      <c r="AG29" s="62" t="e">
        <f>SUMIF(#REF!,R29,#REF!)</f>
        <v>#REF!</v>
      </c>
    </row>
    <row r="30" spans="1:33" x14ac:dyDescent="0.25">
      <c r="B30" s="9" t="s">
        <v>368</v>
      </c>
      <c r="C30" s="11" t="e">
        <f t="shared" si="35"/>
        <v>#REF!</v>
      </c>
      <c r="D30" s="62" t="e">
        <f>SUMIF(#REF!,B30,#REF!)</f>
        <v>#REF!</v>
      </c>
      <c r="E30" s="62" t="e">
        <f>SUMIF(#REF!,B30,#REF!)</f>
        <v>#REF!</v>
      </c>
      <c r="G30" s="11" t="e">
        <f t="shared" si="36"/>
        <v>#REF!</v>
      </c>
      <c r="H30" s="62" t="e">
        <f>SUMIF(ALIF_Y2016!I:I,B30,ALIF_Y2016!F:F)-D30</f>
        <v>#REF!</v>
      </c>
      <c r="I30" s="62" t="e">
        <f>SUMIF(#REF!,B30,#REF!)-E30</f>
        <v>#REF!</v>
      </c>
      <c r="K30" s="11" t="e">
        <f t="shared" si="37"/>
        <v>#REF!</v>
      </c>
      <c r="L30" s="62" t="e">
        <f t="shared" si="38"/>
        <v>#REF!</v>
      </c>
      <c r="M30" s="62" t="e">
        <f t="shared" si="39"/>
        <v>#REF!</v>
      </c>
      <c r="O30" s="11" t="e">
        <f t="shared" si="40"/>
        <v>#REF!</v>
      </c>
      <c r="P30" s="62" t="e">
        <f>SUMIF(#REF!,B30,#REF!)</f>
        <v>#REF!</v>
      </c>
      <c r="Q30" s="62" t="e">
        <f>SUMIF(#REF!,B30,#REF!)</f>
        <v>#REF!</v>
      </c>
      <c r="S30" s="11" t="e">
        <f t="shared" si="41"/>
        <v>#REF!</v>
      </c>
      <c r="T30" s="62" t="e">
        <f>SUMIF(#REF!,R30,#REF!)</f>
        <v>#REF!</v>
      </c>
      <c r="U30" s="62" t="e">
        <f>SUMIF(#REF!,R30,#REF!)</f>
        <v>#REF!</v>
      </c>
      <c r="W30" s="11" t="e">
        <f t="shared" si="42"/>
        <v>#REF!</v>
      </c>
      <c r="X30" s="62" t="e">
        <f>SUMIF(ALIF_Y2016!Y:Y,R30,ALIF_Y2016!V:V)-T30</f>
        <v>#REF!</v>
      </c>
      <c r="Y30" s="62" t="e">
        <f>SUMIF(#REF!,R30,#REF!)-U30</f>
        <v>#REF!</v>
      </c>
      <c r="AA30" s="11" t="e">
        <f t="shared" si="43"/>
        <v>#REF!</v>
      </c>
      <c r="AB30" s="62" t="e">
        <f t="shared" si="44"/>
        <v>#REF!</v>
      </c>
      <c r="AC30" s="62" t="e">
        <f t="shared" si="45"/>
        <v>#REF!</v>
      </c>
      <c r="AE30" s="11" t="e">
        <f t="shared" si="46"/>
        <v>#REF!</v>
      </c>
      <c r="AF30" s="62" t="e">
        <f>SUMIF(#REF!,R30,#REF!)</f>
        <v>#REF!</v>
      </c>
      <c r="AG30" s="62" t="e">
        <f>SUMIF(#REF!,R30,#REF!)</f>
        <v>#REF!</v>
      </c>
    </row>
    <row r="31" spans="1:33" x14ac:dyDescent="0.25">
      <c r="B31" s="9" t="s">
        <v>464</v>
      </c>
      <c r="C31" s="11" t="e">
        <f t="shared" si="35"/>
        <v>#REF!</v>
      </c>
      <c r="D31" s="62" t="e">
        <f>SUMIF(#REF!,B31,#REF!)</f>
        <v>#REF!</v>
      </c>
      <c r="E31" s="62" t="e">
        <f>SUMIF(#REF!,B31,#REF!)</f>
        <v>#REF!</v>
      </c>
      <c r="G31" s="11" t="e">
        <f t="shared" si="36"/>
        <v>#REF!</v>
      </c>
      <c r="H31" s="62" t="e">
        <f>SUMIF(ALIF_Y2016!I:I,B31,ALIF_Y2016!F:F)-D31</f>
        <v>#REF!</v>
      </c>
      <c r="I31" s="62" t="e">
        <f>SUMIF(#REF!,B31,#REF!)-E31</f>
        <v>#REF!</v>
      </c>
      <c r="K31" s="11" t="e">
        <f t="shared" si="37"/>
        <v>#REF!</v>
      </c>
      <c r="L31" s="62" t="e">
        <f t="shared" si="38"/>
        <v>#REF!</v>
      </c>
      <c r="M31" s="62" t="e">
        <f t="shared" si="39"/>
        <v>#REF!</v>
      </c>
      <c r="O31" s="11" t="e">
        <f t="shared" si="40"/>
        <v>#REF!</v>
      </c>
      <c r="P31" s="62" t="e">
        <f>SUMIF(#REF!,B31,#REF!)</f>
        <v>#REF!</v>
      </c>
      <c r="Q31" s="62" t="e">
        <f>SUMIF(#REF!,B31,#REF!)</f>
        <v>#REF!</v>
      </c>
      <c r="S31" s="11" t="e">
        <f t="shared" si="41"/>
        <v>#REF!</v>
      </c>
      <c r="T31" s="62" t="e">
        <f>SUMIF(#REF!,R31,#REF!)</f>
        <v>#REF!</v>
      </c>
      <c r="U31" s="62" t="e">
        <f>SUMIF(#REF!,R31,#REF!)</f>
        <v>#REF!</v>
      </c>
      <c r="W31" s="11" t="e">
        <f t="shared" si="42"/>
        <v>#REF!</v>
      </c>
      <c r="X31" s="62" t="e">
        <f>SUMIF(ALIF_Y2016!Y:Y,R31,ALIF_Y2016!V:V)-T31</f>
        <v>#REF!</v>
      </c>
      <c r="Y31" s="62" t="e">
        <f>SUMIF(#REF!,R31,#REF!)-U31</f>
        <v>#REF!</v>
      </c>
      <c r="AA31" s="11" t="e">
        <f t="shared" si="43"/>
        <v>#REF!</v>
      </c>
      <c r="AB31" s="62" t="e">
        <f t="shared" si="44"/>
        <v>#REF!</v>
      </c>
      <c r="AC31" s="62" t="e">
        <f t="shared" si="45"/>
        <v>#REF!</v>
      </c>
      <c r="AE31" s="11" t="e">
        <f t="shared" si="46"/>
        <v>#REF!</v>
      </c>
      <c r="AF31" s="62" t="e">
        <f>SUMIF(#REF!,R31,#REF!)</f>
        <v>#REF!</v>
      </c>
      <c r="AG31" s="62" t="e">
        <f>SUMIF(#REF!,R31,#REF!)</f>
        <v>#REF!</v>
      </c>
    </row>
    <row r="32" spans="1:33" x14ac:dyDescent="0.25">
      <c r="B32" s="75" t="s">
        <v>293</v>
      </c>
      <c r="C32" s="11" t="e">
        <f t="shared" si="35"/>
        <v>#REF!</v>
      </c>
      <c r="D32" s="62" t="e">
        <f>SUMIF(#REF!,B32,#REF!)</f>
        <v>#REF!</v>
      </c>
      <c r="E32" s="62" t="e">
        <f>SUMIF(#REF!,B32,#REF!)</f>
        <v>#REF!</v>
      </c>
      <c r="G32" s="11" t="e">
        <f t="shared" si="36"/>
        <v>#REF!</v>
      </c>
      <c r="H32" s="62" t="e">
        <f>SUMIF(ALIF_Y2016!I:I,B32,ALIF_Y2016!F:F)-D32</f>
        <v>#REF!</v>
      </c>
      <c r="I32" s="62" t="e">
        <f>SUMIF(#REF!,B32,#REF!)-E32</f>
        <v>#REF!</v>
      </c>
      <c r="K32" s="11" t="e">
        <f t="shared" si="37"/>
        <v>#REF!</v>
      </c>
      <c r="L32" s="62" t="e">
        <f t="shared" si="38"/>
        <v>#REF!</v>
      </c>
      <c r="M32" s="62" t="e">
        <f t="shared" si="39"/>
        <v>#REF!</v>
      </c>
      <c r="O32" s="11" t="e">
        <f t="shared" si="40"/>
        <v>#REF!</v>
      </c>
      <c r="P32" s="62" t="e">
        <f>SUMIF(#REF!,B32,#REF!)</f>
        <v>#REF!</v>
      </c>
      <c r="Q32" s="62" t="e">
        <f>SUMIF(#REF!,B32,#REF!)</f>
        <v>#REF!</v>
      </c>
      <c r="S32" s="11" t="e">
        <f t="shared" si="41"/>
        <v>#REF!</v>
      </c>
      <c r="T32" s="62" t="e">
        <f>SUMIF(#REF!,R32,#REF!)</f>
        <v>#REF!</v>
      </c>
      <c r="U32" s="62" t="e">
        <f>SUMIF(#REF!,R32,#REF!)</f>
        <v>#REF!</v>
      </c>
      <c r="W32" s="11" t="e">
        <f t="shared" si="42"/>
        <v>#REF!</v>
      </c>
      <c r="X32" s="62" t="e">
        <f>SUMIF(ALIF_Y2016!Y:Y,R32,ALIF_Y2016!V:V)-T32</f>
        <v>#REF!</v>
      </c>
      <c r="Y32" s="62" t="e">
        <f>SUMIF(#REF!,R32,#REF!)-U32</f>
        <v>#REF!</v>
      </c>
      <c r="AA32" s="11" t="e">
        <f t="shared" si="43"/>
        <v>#REF!</v>
      </c>
      <c r="AB32" s="62" t="e">
        <f t="shared" si="44"/>
        <v>#REF!</v>
      </c>
      <c r="AC32" s="62" t="e">
        <f t="shared" si="45"/>
        <v>#REF!</v>
      </c>
      <c r="AE32" s="11" t="e">
        <f t="shared" si="46"/>
        <v>#REF!</v>
      </c>
      <c r="AF32" s="62" t="e">
        <f>SUMIF(#REF!,R32,#REF!)</f>
        <v>#REF!</v>
      </c>
      <c r="AG32" s="62" t="e">
        <f>SUMIF(#REF!,R32,#REF!)</f>
        <v>#REF!</v>
      </c>
    </row>
    <row r="33" spans="1:33" x14ac:dyDescent="0.25">
      <c r="B33" s="9" t="s">
        <v>462</v>
      </c>
      <c r="C33" s="11" t="e">
        <f t="shared" ref="C33" si="47">SUM(D33:E33)</f>
        <v>#REF!</v>
      </c>
      <c r="D33" s="62" t="e">
        <f>SUMIF(#REF!,B33,#REF!)</f>
        <v>#REF!</v>
      </c>
      <c r="E33" s="62" t="e">
        <f>SUMIF(#REF!,B33,#REF!)</f>
        <v>#REF!</v>
      </c>
      <c r="G33" s="11" t="e">
        <f t="shared" si="36"/>
        <v>#REF!</v>
      </c>
      <c r="H33" s="62" t="e">
        <f>SUMIF(ALIF_Y2016!I:I,B33,ALIF_Y2016!F:F)-D33</f>
        <v>#REF!</v>
      </c>
      <c r="I33" s="62" t="e">
        <f>SUMIF(#REF!,B33,#REF!)-E33</f>
        <v>#REF!</v>
      </c>
      <c r="K33" s="11" t="e">
        <f t="shared" si="37"/>
        <v>#REF!</v>
      </c>
      <c r="L33" s="62" t="e">
        <f t="shared" si="38"/>
        <v>#REF!</v>
      </c>
      <c r="M33" s="62" t="e">
        <f t="shared" si="39"/>
        <v>#REF!</v>
      </c>
      <c r="O33" s="11" t="e">
        <f t="shared" ref="O33" si="48">SUM(P33:Q33)</f>
        <v>#REF!</v>
      </c>
      <c r="P33" s="62" t="e">
        <f>SUMIF(#REF!,B33,#REF!)</f>
        <v>#REF!</v>
      </c>
      <c r="Q33" s="62" t="e">
        <f>SUMIF(#REF!,B33,#REF!)</f>
        <v>#REF!</v>
      </c>
      <c r="S33" s="11" t="e">
        <f t="shared" si="41"/>
        <v>#REF!</v>
      </c>
      <c r="T33" s="62" t="e">
        <f>SUMIF(#REF!,R33,#REF!)</f>
        <v>#REF!</v>
      </c>
      <c r="U33" s="62" t="e">
        <f>SUMIF(#REF!,R33,#REF!)</f>
        <v>#REF!</v>
      </c>
      <c r="W33" s="11" t="e">
        <f t="shared" si="42"/>
        <v>#REF!</v>
      </c>
      <c r="X33" s="62" t="e">
        <f>SUMIF(ALIF_Y2016!Y:Y,R33,ALIF_Y2016!V:V)-T33</f>
        <v>#REF!</v>
      </c>
      <c r="Y33" s="62" t="e">
        <f>SUMIF(#REF!,R33,#REF!)-U33</f>
        <v>#REF!</v>
      </c>
      <c r="AA33" s="11" t="e">
        <f t="shared" si="43"/>
        <v>#REF!</v>
      </c>
      <c r="AB33" s="62" t="e">
        <f t="shared" si="44"/>
        <v>#REF!</v>
      </c>
      <c r="AC33" s="62" t="e">
        <f t="shared" si="45"/>
        <v>#REF!</v>
      </c>
      <c r="AE33" s="11" t="e">
        <f t="shared" ref="AE33" si="49">SUM(AF33:AG33)</f>
        <v>#REF!</v>
      </c>
      <c r="AF33" s="62" t="e">
        <f>SUMIF(#REF!,R33,#REF!)</f>
        <v>#REF!</v>
      </c>
      <c r="AG33" s="62" t="e">
        <f>SUMIF(#REF!,R33,#REF!)</f>
        <v>#REF!</v>
      </c>
    </row>
    <row r="34" spans="1:33" ht="10.15" customHeight="1" x14ac:dyDescent="0.25">
      <c r="C34" s="16"/>
      <c r="D34" s="16"/>
      <c r="E34" s="16"/>
      <c r="G34" s="16"/>
      <c r="H34" s="16"/>
      <c r="I34" s="16"/>
      <c r="K34" s="16"/>
      <c r="L34" s="16"/>
      <c r="M34" s="16"/>
      <c r="O34" s="16"/>
      <c r="P34" s="16"/>
      <c r="Q34" s="16"/>
      <c r="S34" s="16"/>
      <c r="T34" s="16"/>
      <c r="U34" s="16"/>
      <c r="W34" s="16"/>
      <c r="X34" s="16"/>
      <c r="Y34" s="16"/>
      <c r="AA34" s="16"/>
      <c r="AB34" s="16"/>
      <c r="AC34" s="16"/>
      <c r="AE34" s="16"/>
      <c r="AF34" s="16"/>
      <c r="AG34" s="16"/>
    </row>
    <row r="35" spans="1:33" x14ac:dyDescent="0.25">
      <c r="A35" s="8" t="s">
        <v>345</v>
      </c>
      <c r="C35" s="17" t="e">
        <f>SUM(C26:C34)</f>
        <v>#REF!</v>
      </c>
      <c r="D35" s="17" t="e">
        <f>SUM(D26:D34)</f>
        <v>#REF!</v>
      </c>
      <c r="E35" s="17" t="e">
        <f>SUM(E26:E34)</f>
        <v>#REF!</v>
      </c>
      <c r="G35" s="17" t="e">
        <f>SUM(G26:G34)</f>
        <v>#REF!</v>
      </c>
      <c r="H35" s="17" t="e">
        <f>SUM(H26:H34)</f>
        <v>#REF!</v>
      </c>
      <c r="I35" s="17" t="e">
        <f>SUM(I26:I34)</f>
        <v>#REF!</v>
      </c>
      <c r="K35" s="17" t="e">
        <f>SUM(K26:K34)</f>
        <v>#REF!</v>
      </c>
      <c r="L35" s="17" t="e">
        <f>SUM(L26:L34)</f>
        <v>#REF!</v>
      </c>
      <c r="M35" s="17" t="e">
        <f>SUM(M26:M34)</f>
        <v>#REF!</v>
      </c>
      <c r="O35" s="17" t="e">
        <f>SUM(O26:O34)</f>
        <v>#REF!</v>
      </c>
      <c r="P35" s="17" t="e">
        <f>SUM(P26:P34)</f>
        <v>#REF!</v>
      </c>
      <c r="Q35" s="17" t="e">
        <f>SUM(Q26:Q34)</f>
        <v>#REF!</v>
      </c>
      <c r="S35" s="17" t="e">
        <f>SUM(S26:S34)</f>
        <v>#REF!</v>
      </c>
      <c r="T35" s="17" t="e">
        <f>SUM(T26:T34)</f>
        <v>#REF!</v>
      </c>
      <c r="U35" s="17" t="e">
        <f>SUM(U26:U34)</f>
        <v>#REF!</v>
      </c>
      <c r="W35" s="17" t="e">
        <f>SUM(W26:W34)</f>
        <v>#REF!</v>
      </c>
      <c r="X35" s="17" t="e">
        <f>SUM(X26:X34)</f>
        <v>#REF!</v>
      </c>
      <c r="Y35" s="17" t="e">
        <f>SUM(Y26:Y34)</f>
        <v>#REF!</v>
      </c>
      <c r="AA35" s="17" t="e">
        <f>SUM(AA26:AA34)</f>
        <v>#REF!</v>
      </c>
      <c r="AB35" s="17" t="e">
        <f>SUM(AB26:AB34)</f>
        <v>#REF!</v>
      </c>
      <c r="AC35" s="17" t="e">
        <f>SUM(AC26:AC34)</f>
        <v>#REF!</v>
      </c>
      <c r="AE35" s="17" t="e">
        <f>SUM(AE26:AE34)</f>
        <v>#REF!</v>
      </c>
      <c r="AF35" s="17" t="e">
        <f>SUM(AF26:AF34)</f>
        <v>#REF!</v>
      </c>
      <c r="AG35" s="17" t="e">
        <f>SUM(AG26:AG34)</f>
        <v>#REF!</v>
      </c>
    </row>
    <row r="36" spans="1:33" x14ac:dyDescent="0.25">
      <c r="A36" s="8"/>
      <c r="C36" s="17"/>
      <c r="D36" s="17"/>
      <c r="E36" s="17"/>
      <c r="G36" s="17"/>
      <c r="H36" s="17"/>
      <c r="I36" s="17"/>
      <c r="K36" s="17"/>
      <c r="L36" s="17"/>
      <c r="M36" s="17"/>
      <c r="O36" s="17"/>
      <c r="P36" s="17"/>
      <c r="Q36" s="17"/>
      <c r="S36" s="17"/>
      <c r="T36" s="17"/>
      <c r="U36" s="17"/>
      <c r="W36" s="17"/>
      <c r="X36" s="17"/>
      <c r="Y36" s="17"/>
      <c r="AA36" s="17"/>
      <c r="AB36" s="17"/>
      <c r="AC36" s="17"/>
      <c r="AE36" s="17"/>
      <c r="AF36" s="17"/>
      <c r="AG36" s="17"/>
    </row>
    <row r="37" spans="1:33" x14ac:dyDescent="0.25">
      <c r="A37" s="47" t="s">
        <v>413</v>
      </c>
      <c r="C37" s="77" t="e">
        <f t="shared" ref="C37:C38" si="50">SUM(D37:E37)</f>
        <v>#REF!</v>
      </c>
      <c r="D37" s="77" t="e">
        <f>SUMIF(#REF!,A37,#REF!)</f>
        <v>#REF!</v>
      </c>
      <c r="E37" s="77" t="e">
        <f>SUMIF(#REF!,A37,#REF!)</f>
        <v>#REF!</v>
      </c>
      <c r="F37" s="78"/>
      <c r="G37" s="77" t="e">
        <f t="shared" ref="G37:G38" si="51">SUM(H37:I37)</f>
        <v>#REF!</v>
      </c>
      <c r="H37" s="77" t="e">
        <f>SUMIF(ALIF_Y2016!H:H,A37,ALIF_Y2016!F:F)-D37</f>
        <v>#REF!</v>
      </c>
      <c r="I37" s="77" t="e">
        <f>SUMIF(#REF!,A37,#REF!)-E37</f>
        <v>#REF!</v>
      </c>
      <c r="J37" s="78"/>
      <c r="K37" s="77" t="e">
        <f t="shared" ref="K37:K38" si="52">SUM(L37:M37)</f>
        <v>#REF!</v>
      </c>
      <c r="L37" s="77" t="e">
        <f t="shared" ref="L37:L38" si="53">D37+H37</f>
        <v>#REF!</v>
      </c>
      <c r="M37" s="77" t="e">
        <f t="shared" ref="M37:M38" si="54">E37+I37</f>
        <v>#REF!</v>
      </c>
      <c r="N37" s="78"/>
      <c r="O37" s="77" t="e">
        <f t="shared" ref="O37:O38" si="55">SUM(P37:Q37)</f>
        <v>#REF!</v>
      </c>
      <c r="P37" s="77" t="e">
        <f>SUMIF(#REF!,A37,#REF!)</f>
        <v>#REF!</v>
      </c>
      <c r="Q37" s="77" t="e">
        <f>SUMIF(#REF!,A37,#REF!)</f>
        <v>#REF!</v>
      </c>
      <c r="R37" s="78"/>
      <c r="S37" s="77" t="e">
        <f t="shared" ref="S37:S38" si="56">SUM(T37:U37)</f>
        <v>#REF!</v>
      </c>
      <c r="T37" s="77" t="e">
        <f>SUMIF(#REF!,Q37,#REF!)</f>
        <v>#REF!</v>
      </c>
      <c r="U37" s="77" t="e">
        <f>SUMIF(#REF!,Q37,#REF!)</f>
        <v>#REF!</v>
      </c>
      <c r="V37" s="78"/>
      <c r="W37" s="77" t="e">
        <f t="shared" ref="W37:W38" si="57">SUM(X37:Y37)</f>
        <v>#REF!</v>
      </c>
      <c r="X37" s="77" t="e">
        <f>SUMIF(ALIF_Y2016!X:X,Q37,ALIF_Y2016!V:V)-T37</f>
        <v>#REF!</v>
      </c>
      <c r="Y37" s="77" t="e">
        <f>SUMIF(#REF!,Q37,#REF!)-U37</f>
        <v>#REF!</v>
      </c>
      <c r="Z37" s="78"/>
      <c r="AA37" s="77" t="e">
        <f t="shared" ref="AA37:AA38" si="58">SUM(AB37:AC37)</f>
        <v>#REF!</v>
      </c>
      <c r="AB37" s="77" t="e">
        <f t="shared" ref="AB37:AB38" si="59">T37+X37</f>
        <v>#REF!</v>
      </c>
      <c r="AC37" s="77" t="e">
        <f t="shared" ref="AC37:AC38" si="60">U37+Y37</f>
        <v>#REF!</v>
      </c>
      <c r="AD37" s="78"/>
      <c r="AE37" s="77" t="e">
        <f t="shared" ref="AE37:AE38" si="61">SUM(AF37:AG37)</f>
        <v>#REF!</v>
      </c>
      <c r="AF37" s="77" t="e">
        <f>SUMIF(#REF!,Q37,#REF!)</f>
        <v>#REF!</v>
      </c>
      <c r="AG37" s="77" t="e">
        <f>SUMIF(#REF!,Q37,#REF!)</f>
        <v>#REF!</v>
      </c>
    </row>
    <row r="38" spans="1:33" s="8" customFormat="1" x14ac:dyDescent="0.25">
      <c r="A38" s="47" t="s">
        <v>457</v>
      </c>
      <c r="C38" s="69" t="e">
        <f t="shared" si="50"/>
        <v>#REF!</v>
      </c>
      <c r="D38" s="69" t="e">
        <f>SUMIF(#REF!,A38,#REF!)</f>
        <v>#REF!</v>
      </c>
      <c r="E38" s="69" t="e">
        <f>SUMIF(#REF!,A38,#REF!)</f>
        <v>#REF!</v>
      </c>
      <c r="F38" s="78"/>
      <c r="G38" s="69" t="e">
        <f t="shared" si="51"/>
        <v>#REF!</v>
      </c>
      <c r="H38" s="77" t="e">
        <f>SUMIF(ALIF_Y2016!I:I,A38,ALIF_Y2016!F:F)-D38</f>
        <v>#REF!</v>
      </c>
      <c r="I38" s="77" t="e">
        <f>SUMIF(#REF!,A38,#REF!)-E38</f>
        <v>#REF!</v>
      </c>
      <c r="J38" s="78"/>
      <c r="K38" s="69" t="e">
        <f t="shared" si="52"/>
        <v>#REF!</v>
      </c>
      <c r="L38" s="77" t="e">
        <f t="shared" si="53"/>
        <v>#REF!</v>
      </c>
      <c r="M38" s="77" t="e">
        <f t="shared" si="54"/>
        <v>#REF!</v>
      </c>
      <c r="N38" s="78"/>
      <c r="O38" s="69" t="e">
        <f t="shared" si="55"/>
        <v>#REF!</v>
      </c>
      <c r="P38" s="69" t="e">
        <f>SUMIF(#REF!,A38,#REF!)</f>
        <v>#REF!</v>
      </c>
      <c r="Q38" s="69" t="e">
        <f>SUMIF(#REF!,A38,#REF!)</f>
        <v>#REF!</v>
      </c>
      <c r="R38" s="78"/>
      <c r="S38" s="69" t="e">
        <f t="shared" si="56"/>
        <v>#REF!</v>
      </c>
      <c r="T38" s="69" t="e">
        <f>SUMIF(#REF!,Q38,#REF!)</f>
        <v>#REF!</v>
      </c>
      <c r="U38" s="69" t="e">
        <f>SUMIF(#REF!,Q38,#REF!)</f>
        <v>#REF!</v>
      </c>
      <c r="V38" s="78"/>
      <c r="W38" s="69" t="e">
        <f t="shared" si="57"/>
        <v>#REF!</v>
      </c>
      <c r="X38" s="77" t="e">
        <f>SUMIF(ALIF_Y2016!Y:Y,Q38,ALIF_Y2016!V:V)-T38</f>
        <v>#REF!</v>
      </c>
      <c r="Y38" s="77" t="e">
        <f>SUMIF(#REF!,Q38,#REF!)-U38</f>
        <v>#REF!</v>
      </c>
      <c r="Z38" s="78"/>
      <c r="AA38" s="69" t="e">
        <f t="shared" si="58"/>
        <v>#REF!</v>
      </c>
      <c r="AB38" s="77" t="e">
        <f t="shared" si="59"/>
        <v>#REF!</v>
      </c>
      <c r="AC38" s="77" t="e">
        <f t="shared" si="60"/>
        <v>#REF!</v>
      </c>
      <c r="AD38" s="78"/>
      <c r="AE38" s="69" t="e">
        <f t="shared" si="61"/>
        <v>#REF!</v>
      </c>
      <c r="AF38" s="69" t="e">
        <f>SUMIF(#REF!,Q38,#REF!)</f>
        <v>#REF!</v>
      </c>
      <c r="AG38" s="69" t="e">
        <f>SUMIF(#REF!,Q38,#REF!)</f>
        <v>#REF!</v>
      </c>
    </row>
    <row r="39" spans="1:33" ht="9" customHeight="1" x14ac:dyDescent="0.25">
      <c r="C39" s="18"/>
      <c r="D39" s="18"/>
      <c r="E39" s="18"/>
      <c r="G39" s="18"/>
      <c r="H39" s="18"/>
      <c r="I39" s="18"/>
      <c r="K39" s="18"/>
      <c r="L39" s="18"/>
      <c r="M39" s="18"/>
      <c r="O39" s="18"/>
      <c r="P39" s="18"/>
      <c r="Q39" s="18"/>
      <c r="S39" s="18"/>
      <c r="T39" s="18"/>
      <c r="U39" s="18"/>
      <c r="W39" s="18"/>
      <c r="X39" s="18"/>
      <c r="Y39" s="18"/>
      <c r="AA39" s="18"/>
      <c r="AB39" s="18"/>
      <c r="AC39" s="18"/>
      <c r="AE39" s="18"/>
      <c r="AF39" s="18"/>
      <c r="AG39" s="18"/>
    </row>
    <row r="40" spans="1:33" x14ac:dyDescent="0.25">
      <c r="A40" s="8" t="s">
        <v>406</v>
      </c>
      <c r="C40" s="17" t="e">
        <f>C14-C24-C35-C37-C38</f>
        <v>#REF!</v>
      </c>
      <c r="D40" s="17" t="e">
        <f>D14-D24-D35-D37-D38</f>
        <v>#REF!</v>
      </c>
      <c r="E40" s="17" t="e">
        <f>E14-E24-E35-E37-E38</f>
        <v>#REF!</v>
      </c>
      <c r="G40" s="17" t="e">
        <f>G14-G24-G35-G37-G38</f>
        <v>#REF!</v>
      </c>
      <c r="H40" s="17" t="e">
        <f>H14-H24-H35-H37-H38</f>
        <v>#REF!</v>
      </c>
      <c r="I40" s="17" t="e">
        <f>I14-I24-I35-I37-I38</f>
        <v>#REF!</v>
      </c>
      <c r="K40" s="17" t="e">
        <f>K14-K24-K35-K37-K38</f>
        <v>#REF!</v>
      </c>
      <c r="L40" s="17" t="e">
        <f>L14-L24-L35-L37-L38</f>
        <v>#REF!</v>
      </c>
      <c r="M40" s="17" t="e">
        <f>M14-M24-M35-M37-M38</f>
        <v>#REF!</v>
      </c>
      <c r="O40" s="17" t="e">
        <f>O14-O24-O35-O37-O38</f>
        <v>#REF!</v>
      </c>
      <c r="P40" s="17" t="e">
        <f>P14-P24-P35-P37-P38</f>
        <v>#REF!</v>
      </c>
      <c r="Q40" s="17" t="e">
        <f>Q14-Q24-Q35-Q37-Q38</f>
        <v>#REF!</v>
      </c>
      <c r="S40" s="17" t="e">
        <f>S14-S24-S35-S37-S38</f>
        <v>#REF!</v>
      </c>
      <c r="T40" s="17" t="e">
        <f>T14-T24-T35-T37-T38</f>
        <v>#REF!</v>
      </c>
      <c r="U40" s="17" t="e">
        <f>U14-U24-U35-U37-U38</f>
        <v>#REF!</v>
      </c>
      <c r="W40" s="17" t="e">
        <f>W14-W24-W35-W37-W38</f>
        <v>#REF!</v>
      </c>
      <c r="X40" s="17" t="e">
        <f>X14-X24-X35-X37-X38</f>
        <v>#REF!</v>
      </c>
      <c r="Y40" s="17" t="e">
        <f>Y14-Y24-Y35-Y37-Y38</f>
        <v>#REF!</v>
      </c>
      <c r="AA40" s="17" t="e">
        <f>AA14-AA24-AA35-AA37-AA38</f>
        <v>#REF!</v>
      </c>
      <c r="AB40" s="17" t="e">
        <f>AB14-AB24-AB35-AB37-AB38</f>
        <v>#REF!</v>
      </c>
      <c r="AC40" s="17" t="e">
        <f>AC14-AC24-AC35-AC37-AC38</f>
        <v>#REF!</v>
      </c>
      <c r="AE40" s="17" t="e">
        <f>AE14-AE24-AE35-AE37-AE38</f>
        <v>#REF!</v>
      </c>
      <c r="AF40" s="17" t="e">
        <f>AF14-AF24-AF35-AF37-AF38</f>
        <v>#REF!</v>
      </c>
      <c r="AG40" s="17" t="e">
        <f>AG14-AG24-AG35-AG37-AG38</f>
        <v>#REF!</v>
      </c>
    </row>
    <row r="41" spans="1:33" ht="6" customHeight="1" x14ac:dyDescent="0.25">
      <c r="O41" s="11"/>
      <c r="P41" s="11"/>
      <c r="Q41" s="11"/>
      <c r="AE41" s="11"/>
      <c r="AF41" s="11"/>
      <c r="AG41" s="11"/>
    </row>
    <row r="42" spans="1:33" s="67" customFormat="1" x14ac:dyDescent="0.25">
      <c r="A42" s="67" t="s">
        <v>372</v>
      </c>
      <c r="C42" s="68" t="e">
        <f t="shared" ref="C42:C44" si="62">SUM(D42:E42)</f>
        <v>#REF!</v>
      </c>
      <c r="D42" s="68" t="e">
        <f>SUMIF(#REF!,A42,#REF!)</f>
        <v>#REF!</v>
      </c>
      <c r="E42" s="68" t="e">
        <f>SUMIF(#REF!,A42,#REF!)</f>
        <v>#REF!</v>
      </c>
      <c r="G42" s="68" t="e">
        <f t="shared" ref="G42:G44" si="63">SUM(H42:I42)</f>
        <v>#REF!</v>
      </c>
      <c r="H42" s="77" t="e">
        <f>SUMIF(ALIF_Y2016!I:I,A42,ALIF_Y2016!F:F)-D42</f>
        <v>#REF!</v>
      </c>
      <c r="I42" s="77" t="e">
        <f>SUMIF(#REF!,A42,#REF!)-E42</f>
        <v>#REF!</v>
      </c>
      <c r="K42" s="68" t="e">
        <f t="shared" ref="K42:K44" si="64">SUM(L42:M42)</f>
        <v>#REF!</v>
      </c>
      <c r="L42" s="77" t="e">
        <f t="shared" ref="L42:L44" si="65">D42+H42</f>
        <v>#REF!</v>
      </c>
      <c r="M42" s="77" t="e">
        <f t="shared" ref="M42:M44" si="66">E42+I42</f>
        <v>#REF!</v>
      </c>
      <c r="O42" s="68" t="e">
        <f t="shared" ref="O42:O44" si="67">SUM(P42:Q42)</f>
        <v>#REF!</v>
      </c>
      <c r="P42" s="68" t="e">
        <f>SUMIF(#REF!,A42,#REF!)</f>
        <v>#REF!</v>
      </c>
      <c r="Q42" s="77" t="e">
        <f>SUMIF(#REF!,A42,#REF!)</f>
        <v>#REF!</v>
      </c>
      <c r="S42" s="68" t="e">
        <f t="shared" ref="S42:S44" si="68">SUM(T42:U42)</f>
        <v>#REF!</v>
      </c>
      <c r="T42" s="68" t="e">
        <f>SUMIF(#REF!,Q42,#REF!)</f>
        <v>#REF!</v>
      </c>
      <c r="U42" s="68" t="e">
        <f>SUMIF(#REF!,Q42,#REF!)</f>
        <v>#REF!</v>
      </c>
      <c r="W42" s="68" t="e">
        <f t="shared" ref="W42:W44" si="69">SUM(X42:Y42)</f>
        <v>#REF!</v>
      </c>
      <c r="X42" s="77" t="e">
        <f>SUMIF(ALIF_Y2016!Y:Y,Q42,ALIF_Y2016!V:V)-T42</f>
        <v>#REF!</v>
      </c>
      <c r="Y42" s="77" t="e">
        <f>SUMIF(#REF!,Q42,#REF!)-U42</f>
        <v>#REF!</v>
      </c>
      <c r="AA42" s="68" t="e">
        <f t="shared" ref="AA42:AA44" si="70">SUM(AB42:AC42)</f>
        <v>#REF!</v>
      </c>
      <c r="AB42" s="77" t="e">
        <f t="shared" ref="AB42:AB44" si="71">T42+X42</f>
        <v>#REF!</v>
      </c>
      <c r="AC42" s="77" t="e">
        <f t="shared" ref="AC42:AC44" si="72">U42+Y42</f>
        <v>#REF!</v>
      </c>
      <c r="AE42" s="68" t="e">
        <f t="shared" ref="AE42:AE44" si="73">SUM(AF42:AG42)</f>
        <v>#REF!</v>
      </c>
      <c r="AF42" s="68" t="e">
        <f>SUMIF(#REF!,Q42,#REF!)</f>
        <v>#REF!</v>
      </c>
      <c r="AG42" s="77" t="e">
        <f>SUMIF(#REF!,Q42,#REF!)</f>
        <v>#REF!</v>
      </c>
    </row>
    <row r="43" spans="1:33" s="67" customFormat="1" x14ac:dyDescent="0.25">
      <c r="A43" s="67" t="s">
        <v>359</v>
      </c>
      <c r="C43" s="69" t="e">
        <f t="shared" si="62"/>
        <v>#REF!</v>
      </c>
      <c r="D43" s="68" t="e">
        <f>SUMIF(#REF!,A43,#REF!)</f>
        <v>#REF!</v>
      </c>
      <c r="E43" s="68" t="e">
        <f>SUMIF(#REF!,A43,#REF!)</f>
        <v>#REF!</v>
      </c>
      <c r="G43" s="69" t="e">
        <f t="shared" si="63"/>
        <v>#REF!</v>
      </c>
      <c r="H43" s="77" t="e">
        <f>SUMIF(ALIF_Y2016!H:H,A43,ALIF_Y2016!F:F)-D43</f>
        <v>#REF!</v>
      </c>
      <c r="I43" s="77" t="e">
        <f>SUMIF(#REF!,A43,#REF!)-E43</f>
        <v>#REF!</v>
      </c>
      <c r="K43" s="69" t="e">
        <f t="shared" si="64"/>
        <v>#REF!</v>
      </c>
      <c r="L43" s="77" t="e">
        <f t="shared" si="65"/>
        <v>#REF!</v>
      </c>
      <c r="M43" s="77" t="e">
        <f t="shared" si="66"/>
        <v>#REF!</v>
      </c>
      <c r="O43" s="69" t="e">
        <f t="shared" si="67"/>
        <v>#REF!</v>
      </c>
      <c r="P43" s="68" t="e">
        <f>SUMIF(#REF!,A43,#REF!)</f>
        <v>#REF!</v>
      </c>
      <c r="Q43" s="77" t="e">
        <f>SUMIF(#REF!,A43,#REF!)</f>
        <v>#REF!</v>
      </c>
      <c r="S43" s="69" t="e">
        <f t="shared" si="68"/>
        <v>#REF!</v>
      </c>
      <c r="T43" s="68" t="e">
        <f>SUMIF(#REF!,Q43,#REF!)</f>
        <v>#REF!</v>
      </c>
      <c r="U43" s="68" t="e">
        <f>SUMIF(#REF!,Q43,#REF!)</f>
        <v>#REF!</v>
      </c>
      <c r="W43" s="69" t="e">
        <f t="shared" si="69"/>
        <v>#REF!</v>
      </c>
      <c r="X43" s="77" t="e">
        <f>SUMIF(ALIF_Y2016!X:X,Q43,ALIF_Y2016!V:V)-T43</f>
        <v>#REF!</v>
      </c>
      <c r="Y43" s="77" t="e">
        <f>SUMIF(#REF!,Q43,#REF!)-U43</f>
        <v>#REF!</v>
      </c>
      <c r="AA43" s="69" t="e">
        <f t="shared" si="70"/>
        <v>#REF!</v>
      </c>
      <c r="AB43" s="77" t="e">
        <f t="shared" si="71"/>
        <v>#REF!</v>
      </c>
      <c r="AC43" s="77" t="e">
        <f t="shared" si="72"/>
        <v>#REF!</v>
      </c>
      <c r="AE43" s="69" t="e">
        <f t="shared" si="73"/>
        <v>#REF!</v>
      </c>
      <c r="AF43" s="68" t="e">
        <f>SUMIF(#REF!,Q43,#REF!)</f>
        <v>#REF!</v>
      </c>
      <c r="AG43" s="77" t="e">
        <f>SUMIF(#REF!,Q43,#REF!)</f>
        <v>#REF!</v>
      </c>
    </row>
    <row r="44" spans="1:33" s="67" customFormat="1" x14ac:dyDescent="0.25">
      <c r="A44" s="67" t="s">
        <v>379</v>
      </c>
      <c r="C44" s="68" t="e">
        <f t="shared" si="62"/>
        <v>#REF!</v>
      </c>
      <c r="D44" s="68" t="e">
        <f>SUMIF(#REF!,A44,#REF!)</f>
        <v>#REF!</v>
      </c>
      <c r="E44" s="68" t="e">
        <f>SUMIF(#REF!,A44,#REF!)</f>
        <v>#REF!</v>
      </c>
      <c r="G44" s="68" t="e">
        <f t="shared" si="63"/>
        <v>#REF!</v>
      </c>
      <c r="H44" s="77" t="e">
        <f>SUMIF(ALIF_Y2016!I:I,A44,ALIF_Y2016!F:F)-D44</f>
        <v>#REF!</v>
      </c>
      <c r="I44" s="77" t="e">
        <f>SUMIF(#REF!,A44,#REF!)-E44</f>
        <v>#REF!</v>
      </c>
      <c r="K44" s="68" t="e">
        <f t="shared" si="64"/>
        <v>#REF!</v>
      </c>
      <c r="L44" s="77" t="e">
        <f t="shared" si="65"/>
        <v>#REF!</v>
      </c>
      <c r="M44" s="77" t="e">
        <f t="shared" si="66"/>
        <v>#REF!</v>
      </c>
      <c r="O44" s="68" t="e">
        <f t="shared" si="67"/>
        <v>#REF!</v>
      </c>
      <c r="P44" s="68" t="e">
        <f>-SUMIF(#REF!,A44,#REF!)</f>
        <v>#REF!</v>
      </c>
      <c r="Q44" s="68" t="e">
        <f>SUMIF(#REF!,A44,#REF!)</f>
        <v>#REF!</v>
      </c>
      <c r="S44" s="68" t="e">
        <f t="shared" si="68"/>
        <v>#REF!</v>
      </c>
      <c r="T44" s="68" t="e">
        <f>SUMIF(#REF!,Q44,#REF!)</f>
        <v>#REF!</v>
      </c>
      <c r="U44" s="68" t="e">
        <f>SUMIF(#REF!,Q44,#REF!)</f>
        <v>#REF!</v>
      </c>
      <c r="W44" s="68" t="e">
        <f t="shared" si="69"/>
        <v>#REF!</v>
      </c>
      <c r="X44" s="77" t="e">
        <f>SUMIF(ALIF_Y2016!Y:Y,Q44,ALIF_Y2016!V:V)-T44</f>
        <v>#REF!</v>
      </c>
      <c r="Y44" s="77" t="e">
        <f>SUMIF(#REF!,Q44,#REF!)-U44</f>
        <v>#REF!</v>
      </c>
      <c r="AA44" s="68" t="e">
        <f t="shared" si="70"/>
        <v>#REF!</v>
      </c>
      <c r="AB44" s="77" t="e">
        <f t="shared" si="71"/>
        <v>#REF!</v>
      </c>
      <c r="AC44" s="77" t="e">
        <f t="shared" si="72"/>
        <v>#REF!</v>
      </c>
      <c r="AE44" s="68" t="e">
        <f t="shared" si="73"/>
        <v>#REF!</v>
      </c>
      <c r="AF44" s="68" t="e">
        <f>-SUMIF(#REF!,Q44,#REF!)</f>
        <v>#REF!</v>
      </c>
      <c r="AG44" s="68" t="e">
        <f>SUMIF(#REF!,Q44,#REF!)</f>
        <v>#REF!</v>
      </c>
    </row>
    <row r="45" spans="1:33" ht="7.9" customHeight="1" x14ac:dyDescent="0.25">
      <c r="O45" s="11"/>
      <c r="P45" s="11"/>
      <c r="Q45" s="11"/>
      <c r="AE45" s="11"/>
      <c r="AF45" s="11"/>
      <c r="AG45" s="11"/>
    </row>
    <row r="46" spans="1:33" s="20" customFormat="1" ht="18.600000000000001" customHeight="1" thickBot="1" x14ac:dyDescent="0.3">
      <c r="A46" s="19" t="s">
        <v>407</v>
      </c>
      <c r="C46" s="21" t="e">
        <f t="shared" ref="C46:E46" si="74">C40-C42-C43-C44</f>
        <v>#REF!</v>
      </c>
      <c r="D46" s="21" t="e">
        <f t="shared" si="74"/>
        <v>#REF!</v>
      </c>
      <c r="E46" s="21" t="e">
        <f t="shared" si="74"/>
        <v>#REF!</v>
      </c>
      <c r="G46" s="21" t="e">
        <f t="shared" ref="G46" si="75">G40-G42-G43-G44</f>
        <v>#REF!</v>
      </c>
      <c r="H46" s="21" t="e">
        <f>H40-H42-H43-H44</f>
        <v>#REF!</v>
      </c>
      <c r="I46" s="21" t="e">
        <f>I40-I42-I43-I44</f>
        <v>#REF!</v>
      </c>
      <c r="K46" s="21" t="e">
        <f t="shared" ref="K46" si="76">K40-K42-K43-K44</f>
        <v>#REF!</v>
      </c>
      <c r="L46" s="21" t="e">
        <f>L40-L42-L43-L44</f>
        <v>#REF!</v>
      </c>
      <c r="M46" s="21" t="e">
        <f>M40-M42-M43-M44</f>
        <v>#REF!</v>
      </c>
      <c r="O46" s="21" t="e">
        <f t="shared" ref="O46:Q46" si="77">O40-O42-O43-O44</f>
        <v>#REF!</v>
      </c>
      <c r="P46" s="21" t="e">
        <f t="shared" si="77"/>
        <v>#REF!</v>
      </c>
      <c r="Q46" s="21" t="e">
        <f t="shared" si="77"/>
        <v>#REF!</v>
      </c>
      <c r="S46" s="21" t="e">
        <f t="shared" ref="S46:U46" si="78">S40-S42-S43-S44</f>
        <v>#REF!</v>
      </c>
      <c r="T46" s="21" t="e">
        <f t="shared" si="78"/>
        <v>#REF!</v>
      </c>
      <c r="U46" s="21" t="e">
        <f t="shared" si="78"/>
        <v>#REF!</v>
      </c>
      <c r="W46" s="21" t="e">
        <f t="shared" ref="W46" si="79">W40-W42-W43-W44</f>
        <v>#REF!</v>
      </c>
      <c r="X46" s="21" t="e">
        <f>X40-X42-X43-X44</f>
        <v>#REF!</v>
      </c>
      <c r="Y46" s="21" t="e">
        <f>Y40-Y42-Y43-Y44</f>
        <v>#REF!</v>
      </c>
      <c r="AA46" s="21" t="e">
        <f t="shared" ref="AA46" si="80">AA40-AA42-AA43-AA44</f>
        <v>#REF!</v>
      </c>
      <c r="AB46" s="21" t="e">
        <f>AB40-AB42-AB43-AB44</f>
        <v>#REF!</v>
      </c>
      <c r="AC46" s="21" t="e">
        <f>AC40-AC42-AC43-AC44</f>
        <v>#REF!</v>
      </c>
      <c r="AE46" s="21" t="e">
        <f t="shared" ref="AE46:AG46" si="81">AE40-AE42-AE43-AE44</f>
        <v>#REF!</v>
      </c>
      <c r="AF46" s="21" t="e">
        <f t="shared" si="81"/>
        <v>#REF!</v>
      </c>
      <c r="AG46" s="21" t="e">
        <f t="shared" si="81"/>
        <v>#REF!</v>
      </c>
    </row>
    <row r="47" spans="1:33" ht="15.75" thickTop="1" x14ac:dyDescent="0.25">
      <c r="C47" s="11" t="e">
        <f>C46-D46-E46</f>
        <v>#REF!</v>
      </c>
      <c r="D47" s="11" t="e">
        <f>SUMIF(#REF!,"IS",#REF!)+D46</f>
        <v>#REF!</v>
      </c>
      <c r="E47" s="11" t="e">
        <f>SUMIF(#REF!,"IS",#REF!)+E46</f>
        <v>#REF!</v>
      </c>
      <c r="G47" s="11" t="e">
        <f>G46-H46-I46</f>
        <v>#REF!</v>
      </c>
      <c r="H47" s="11" t="e">
        <f>-SUMIF(ALIF_Y2016!G:G,"IS",ALIF_Y2016!F:F)-H46-D46</f>
        <v>#REF!</v>
      </c>
      <c r="I47" s="11" t="e">
        <f>-SUMIF(#REF!,"IS",#REF!)-I46-E46</f>
        <v>#REF!</v>
      </c>
      <c r="K47" s="11" t="e">
        <f>K46-C46-G46</f>
        <v>#REF!</v>
      </c>
      <c r="L47" s="11" t="e">
        <f>L46-D46-H46</f>
        <v>#REF!</v>
      </c>
      <c r="M47" s="11" t="e">
        <f>M46-E46-I46</f>
        <v>#REF!</v>
      </c>
      <c r="O47" s="11" t="e">
        <f>O46-P46-Q46</f>
        <v>#REF!</v>
      </c>
      <c r="P47" s="11"/>
      <c r="Q47" s="11"/>
      <c r="S47" s="11" t="e">
        <f>S46-T46-U46</f>
        <v>#REF!</v>
      </c>
      <c r="T47" s="11" t="e">
        <f>SUMIF(#REF!,"IS",#REF!)+T46</f>
        <v>#REF!</v>
      </c>
      <c r="U47" s="11" t="e">
        <f>SUMIF(#REF!,"IS",#REF!)+U46</f>
        <v>#REF!</v>
      </c>
      <c r="W47" s="11" t="e">
        <f>W46-X46-Y46</f>
        <v>#REF!</v>
      </c>
      <c r="X47" s="11" t="e">
        <f>-SUMIF(ALIF_Y2016!W:W,"IS",ALIF_Y2016!V:V)-X46-T46</f>
        <v>#REF!</v>
      </c>
      <c r="Y47" s="11" t="e">
        <f>-SUMIF(#REF!,"IS",#REF!)-Y46-U46</f>
        <v>#REF!</v>
      </c>
      <c r="AA47" s="11" t="e">
        <f>AA46-S46-W46</f>
        <v>#REF!</v>
      </c>
      <c r="AB47" s="11" t="e">
        <f>AB46-T46-X46</f>
        <v>#REF!</v>
      </c>
      <c r="AC47" s="11" t="e">
        <f>AC46-U46-Y46</f>
        <v>#REF!</v>
      </c>
      <c r="AE47" s="11" t="e">
        <f>AE46-AF46-AG46</f>
        <v>#REF!</v>
      </c>
      <c r="AF47" s="11"/>
      <c r="AG47" s="11"/>
    </row>
    <row r="49" spans="2:33" x14ac:dyDescent="0.25">
      <c r="C49" s="83" t="s">
        <v>494</v>
      </c>
      <c r="D49" s="83" t="s">
        <v>262</v>
      </c>
      <c r="E49" s="83" t="s">
        <v>499</v>
      </c>
      <c r="F49" s="7"/>
      <c r="G49" s="83" t="s">
        <v>494</v>
      </c>
      <c r="H49" s="83" t="s">
        <v>514</v>
      </c>
      <c r="I49" s="83" t="s">
        <v>499</v>
      </c>
      <c r="J49" s="7"/>
      <c r="K49" s="83" t="s">
        <v>494</v>
      </c>
      <c r="L49" s="83" t="s">
        <v>514</v>
      </c>
      <c r="M49" s="83" t="s">
        <v>499</v>
      </c>
      <c r="N49" s="7"/>
      <c r="O49" s="83" t="s">
        <v>494</v>
      </c>
      <c r="P49" s="83" t="s">
        <v>262</v>
      </c>
      <c r="Q49" s="83" t="s">
        <v>499</v>
      </c>
      <c r="S49" s="83" t="s">
        <v>494</v>
      </c>
      <c r="T49" s="83" t="s">
        <v>262</v>
      </c>
      <c r="U49" s="83" t="s">
        <v>499</v>
      </c>
      <c r="V49" s="7"/>
      <c r="W49" s="83" t="s">
        <v>494</v>
      </c>
      <c r="X49" s="83" t="s">
        <v>514</v>
      </c>
      <c r="Y49" s="83" t="s">
        <v>499</v>
      </c>
      <c r="Z49" s="7"/>
      <c r="AA49" s="83" t="s">
        <v>494</v>
      </c>
      <c r="AB49" s="83" t="s">
        <v>514</v>
      </c>
      <c r="AC49" s="83" t="s">
        <v>499</v>
      </c>
      <c r="AD49" s="7"/>
      <c r="AE49" s="83" t="s">
        <v>494</v>
      </c>
      <c r="AF49" s="83" t="s">
        <v>262</v>
      </c>
      <c r="AG49" s="83" t="s">
        <v>499</v>
      </c>
    </row>
    <row r="50" spans="2:33" x14ac:dyDescent="0.25">
      <c r="B50" s="82" t="s">
        <v>337</v>
      </c>
      <c r="C50" s="11" t="e">
        <f>C6</f>
        <v>#REF!</v>
      </c>
      <c r="D50" s="11" t="e">
        <f>D6</f>
        <v>#REF!</v>
      </c>
      <c r="E50" s="11" t="e">
        <f>E6</f>
        <v>#REF!</v>
      </c>
      <c r="G50" s="11" t="e">
        <f>G6</f>
        <v>#REF!</v>
      </c>
      <c r="H50" s="11" t="e">
        <f>H6</f>
        <v>#REF!</v>
      </c>
      <c r="I50" s="11" t="e">
        <f>I6</f>
        <v>#REF!</v>
      </c>
      <c r="K50" s="11" t="e">
        <f>K6</f>
        <v>#REF!</v>
      </c>
      <c r="L50" s="11" t="e">
        <f>L6</f>
        <v>#REF!</v>
      </c>
      <c r="M50" s="11" t="e">
        <f>M6</f>
        <v>#REF!</v>
      </c>
      <c r="O50" s="11" t="e">
        <f>O6</f>
        <v>#REF!</v>
      </c>
      <c r="P50" s="11" t="e">
        <f>P6</f>
        <v>#REF!</v>
      </c>
      <c r="Q50" s="11" t="e">
        <f>Q6</f>
        <v>#REF!</v>
      </c>
      <c r="S50" s="11" t="e">
        <f>S6</f>
        <v>#REF!</v>
      </c>
      <c r="T50" s="11" t="e">
        <f>T6</f>
        <v>#REF!</v>
      </c>
      <c r="U50" s="11" t="e">
        <f>U6</f>
        <v>#REF!</v>
      </c>
      <c r="W50" s="11" t="e">
        <f>W6</f>
        <v>#REF!</v>
      </c>
      <c r="X50" s="11" t="e">
        <f>X6</f>
        <v>#REF!</v>
      </c>
      <c r="Y50" s="11" t="e">
        <f>Y6</f>
        <v>#REF!</v>
      </c>
      <c r="AA50" s="11" t="e">
        <f>AA6</f>
        <v>#REF!</v>
      </c>
      <c r="AB50" s="11" t="e">
        <f>AB6</f>
        <v>#REF!</v>
      </c>
      <c r="AC50" s="11" t="e">
        <f>AC6</f>
        <v>#REF!</v>
      </c>
      <c r="AE50" s="11" t="e">
        <f>AE6</f>
        <v>#REF!</v>
      </c>
      <c r="AF50" s="11" t="e">
        <f>AF6</f>
        <v>#REF!</v>
      </c>
      <c r="AG50" s="11" t="e">
        <f>AG6</f>
        <v>#REF!</v>
      </c>
    </row>
    <row r="51" spans="2:33" x14ac:dyDescent="0.25">
      <c r="B51" s="82" t="s">
        <v>495</v>
      </c>
      <c r="C51" s="11" t="e">
        <f>C14</f>
        <v>#REF!</v>
      </c>
      <c r="D51" s="11" t="e">
        <f>D14</f>
        <v>#REF!</v>
      </c>
      <c r="E51" s="11" t="e">
        <f>E14</f>
        <v>#REF!</v>
      </c>
      <c r="G51" s="11" t="e">
        <f>G14</f>
        <v>#REF!</v>
      </c>
      <c r="H51" s="11" t="e">
        <f>H14</f>
        <v>#REF!</v>
      </c>
      <c r="I51" s="11" t="e">
        <f>I14</f>
        <v>#REF!</v>
      </c>
      <c r="K51" s="11" t="e">
        <f>K14</f>
        <v>#REF!</v>
      </c>
      <c r="L51" s="11" t="e">
        <f>L14</f>
        <v>#REF!</v>
      </c>
      <c r="M51" s="11" t="e">
        <f>M14</f>
        <v>#REF!</v>
      </c>
      <c r="O51" s="11" t="e">
        <f>O14</f>
        <v>#REF!</v>
      </c>
      <c r="P51" s="11" t="e">
        <f>P14</f>
        <v>#REF!</v>
      </c>
      <c r="Q51" s="11" t="e">
        <f>Q14</f>
        <v>#REF!</v>
      </c>
      <c r="S51" s="11" t="e">
        <f>S14</f>
        <v>#REF!</v>
      </c>
      <c r="T51" s="11" t="e">
        <f>T14</f>
        <v>#REF!</v>
      </c>
      <c r="U51" s="11" t="e">
        <f>U14</f>
        <v>#REF!</v>
      </c>
      <c r="W51" s="11" t="e">
        <f>W14</f>
        <v>#REF!</v>
      </c>
      <c r="X51" s="11" t="e">
        <f>X14</f>
        <v>#REF!</v>
      </c>
      <c r="Y51" s="11" t="e">
        <f>Y14</f>
        <v>#REF!</v>
      </c>
      <c r="AA51" s="11" t="e">
        <f>AA14</f>
        <v>#REF!</v>
      </c>
      <c r="AB51" s="11" t="e">
        <f>AB14</f>
        <v>#REF!</v>
      </c>
      <c r="AC51" s="11" t="e">
        <f>AC14</f>
        <v>#REF!</v>
      </c>
      <c r="AE51" s="11" t="e">
        <f>AE14</f>
        <v>#REF!</v>
      </c>
      <c r="AF51" s="11" t="e">
        <f>AF14</f>
        <v>#REF!</v>
      </c>
      <c r="AG51" s="11" t="e">
        <f>AG14</f>
        <v>#REF!</v>
      </c>
    </row>
    <row r="52" spans="2:33" x14ac:dyDescent="0.25">
      <c r="B52" s="82" t="s">
        <v>496</v>
      </c>
      <c r="C52" s="11" t="e">
        <f>C46</f>
        <v>#REF!</v>
      </c>
      <c r="D52" s="11" t="e">
        <f>D46</f>
        <v>#REF!</v>
      </c>
      <c r="E52" s="11" t="e">
        <f>E46</f>
        <v>#REF!</v>
      </c>
      <c r="G52" s="11" t="e">
        <f>G46</f>
        <v>#REF!</v>
      </c>
      <c r="H52" s="11" t="e">
        <f>H46</f>
        <v>#REF!</v>
      </c>
      <c r="I52" s="11" t="e">
        <f>I46</f>
        <v>#REF!</v>
      </c>
      <c r="K52" s="11" t="e">
        <f>K46</f>
        <v>#REF!</v>
      </c>
      <c r="L52" s="11" t="e">
        <f>L46</f>
        <v>#REF!</v>
      </c>
      <c r="M52" s="11" t="e">
        <f>M46</f>
        <v>#REF!</v>
      </c>
      <c r="O52" s="11" t="e">
        <f>O46</f>
        <v>#REF!</v>
      </c>
      <c r="P52" s="11" t="e">
        <f>P46</f>
        <v>#REF!</v>
      </c>
      <c r="Q52" s="11" t="e">
        <f>Q46</f>
        <v>#REF!</v>
      </c>
      <c r="S52" s="11" t="e">
        <f>S46</f>
        <v>#REF!</v>
      </c>
      <c r="T52" s="11" t="e">
        <f>T46</f>
        <v>#REF!</v>
      </c>
      <c r="U52" s="11" t="e">
        <f>U46</f>
        <v>#REF!</v>
      </c>
      <c r="W52" s="11" t="e">
        <f>W46</f>
        <v>#REF!</v>
      </c>
      <c r="X52" s="11" t="e">
        <f>X46</f>
        <v>#REF!</v>
      </c>
      <c r="Y52" s="11" t="e">
        <f>Y46</f>
        <v>#REF!</v>
      </c>
      <c r="AA52" s="11" t="e">
        <f>AA46</f>
        <v>#REF!</v>
      </c>
      <c r="AB52" s="11" t="e">
        <f>AB46</f>
        <v>#REF!</v>
      </c>
      <c r="AC52" s="11" t="e">
        <f>AC46</f>
        <v>#REF!</v>
      </c>
      <c r="AE52" s="11" t="e">
        <f>AE46</f>
        <v>#REF!</v>
      </c>
      <c r="AF52" s="11" t="e">
        <f>AF46</f>
        <v>#REF!</v>
      </c>
      <c r="AG52" s="11" t="e">
        <f>AG46</f>
        <v>#REF!</v>
      </c>
    </row>
    <row r="53" spans="2:33" x14ac:dyDescent="0.25">
      <c r="B53" s="82" t="s">
        <v>497</v>
      </c>
      <c r="C53" s="11" t="e">
        <f>C40</f>
        <v>#REF!</v>
      </c>
      <c r="D53" s="11" t="e">
        <f>D40</f>
        <v>#REF!</v>
      </c>
      <c r="E53" s="11" t="e">
        <f>E40</f>
        <v>#REF!</v>
      </c>
      <c r="G53" s="11" t="e">
        <f>G40</f>
        <v>#REF!</v>
      </c>
      <c r="H53" s="11" t="e">
        <f>H40</f>
        <v>#REF!</v>
      </c>
      <c r="I53" s="11" t="e">
        <f>I40</f>
        <v>#REF!</v>
      </c>
      <c r="K53" s="11" t="e">
        <f>K40</f>
        <v>#REF!</v>
      </c>
      <c r="L53" s="11" t="e">
        <f>L40</f>
        <v>#REF!</v>
      </c>
      <c r="M53" s="11" t="e">
        <f>M40</f>
        <v>#REF!</v>
      </c>
      <c r="O53" s="11" t="e">
        <f>O40</f>
        <v>#REF!</v>
      </c>
      <c r="P53" s="11" t="e">
        <f>P40</f>
        <v>#REF!</v>
      </c>
      <c r="Q53" s="11" t="e">
        <f>Q40</f>
        <v>#REF!</v>
      </c>
      <c r="S53" s="11" t="e">
        <f>S40</f>
        <v>#REF!</v>
      </c>
      <c r="T53" s="11" t="e">
        <f>T40</f>
        <v>#REF!</v>
      </c>
      <c r="U53" s="11" t="e">
        <f>U40</f>
        <v>#REF!</v>
      </c>
      <c r="W53" s="11" t="e">
        <f>W40</f>
        <v>#REF!</v>
      </c>
      <c r="X53" s="11" t="e">
        <f>X40</f>
        <v>#REF!</v>
      </c>
      <c r="Y53" s="11" t="e">
        <f>Y40</f>
        <v>#REF!</v>
      </c>
      <c r="AA53" s="11" t="e">
        <f>AA40</f>
        <v>#REF!</v>
      </c>
      <c r="AB53" s="11" t="e">
        <f>AB40</f>
        <v>#REF!</v>
      </c>
      <c r="AC53" s="11" t="e">
        <f>AC40</f>
        <v>#REF!</v>
      </c>
      <c r="AE53" s="11" t="e">
        <f>AE40</f>
        <v>#REF!</v>
      </c>
      <c r="AF53" s="11" t="e">
        <f>AF40</f>
        <v>#REF!</v>
      </c>
      <c r="AG53" s="11" t="e">
        <f>AG40</f>
        <v>#REF!</v>
      </c>
    </row>
    <row r="54" spans="2:33" x14ac:dyDescent="0.25">
      <c r="B54" s="82" t="s">
        <v>498</v>
      </c>
      <c r="C54" s="4" t="e">
        <f>C46/BS!E42</f>
        <v>#REF!</v>
      </c>
      <c r="D54" s="4" t="e">
        <f>D46/BS!F42</f>
        <v>#REF!</v>
      </c>
      <c r="E54" s="4" t="e">
        <f>E46/BS!G42</f>
        <v>#REF!</v>
      </c>
      <c r="G54" s="4" t="e">
        <f>G46/BS!I42</f>
        <v>#REF!</v>
      </c>
      <c r="H54" s="4" t="e">
        <f>H46/BS!#REF!</f>
        <v>#REF!</v>
      </c>
      <c r="I54" s="4" t="e">
        <f>I46/BS!#REF!</f>
        <v>#REF!</v>
      </c>
      <c r="K54" s="4" t="e">
        <f>K46/BS!#REF!</f>
        <v>#REF!</v>
      </c>
      <c r="L54" s="4" t="e">
        <f>L46/BS!#REF!</f>
        <v>#REF!</v>
      </c>
      <c r="M54" s="4" t="e">
        <f>M46/BS!#REF!</f>
        <v>#REF!</v>
      </c>
      <c r="O54" s="4" t="e">
        <f>O46/BS!#REF!</f>
        <v>#REF!</v>
      </c>
      <c r="P54" s="4" t="e">
        <f>P46/BS!#REF!</f>
        <v>#REF!</v>
      </c>
      <c r="Q54" s="4" t="e">
        <f>Q46/BS!#REF!</f>
        <v>#REF!</v>
      </c>
      <c r="S54" s="4" t="e">
        <f>S46/BS!#REF!</f>
        <v>#REF!</v>
      </c>
      <c r="T54" s="4" t="e">
        <f>T46/BS!#REF!</f>
        <v>#REF!</v>
      </c>
      <c r="U54" s="4" t="e">
        <f>U46/BS!#REF!</f>
        <v>#REF!</v>
      </c>
      <c r="W54" s="4" t="e">
        <f>W46/BS!#REF!</f>
        <v>#REF!</v>
      </c>
      <c r="X54" s="4" t="e">
        <f>X46/BS!#REF!</f>
        <v>#REF!</v>
      </c>
      <c r="Y54" s="4" t="e">
        <f>Y46/BS!#REF!</f>
        <v>#REF!</v>
      </c>
      <c r="AA54" s="4" t="e">
        <f>AA46/BS!#REF!</f>
        <v>#REF!</v>
      </c>
      <c r="AB54" s="4" t="e">
        <f>AB46/BS!#REF!</f>
        <v>#REF!</v>
      </c>
      <c r="AC54" s="4" t="e">
        <f>AC46/BS!#REF!</f>
        <v>#REF!</v>
      </c>
      <c r="AE54" s="4" t="e">
        <f>AE46/BS!#REF!</f>
        <v>#REF!</v>
      </c>
      <c r="AF54" s="4" t="e">
        <f>AF46/BS!#REF!</f>
        <v>#REF!</v>
      </c>
      <c r="AG54" s="4" t="e">
        <f>AG46/BS!#REF!</f>
        <v>#REF!</v>
      </c>
    </row>
    <row r="56" spans="2:33" x14ac:dyDescent="0.25">
      <c r="B56" s="87" t="s">
        <v>509</v>
      </c>
      <c r="C56" s="88" t="e">
        <f>C12/C6</f>
        <v>#REF!</v>
      </c>
      <c r="D56" s="88" t="e">
        <f t="shared" ref="D56:E56" si="82">D12/D6</f>
        <v>#REF!</v>
      </c>
      <c r="E56" s="88" t="e">
        <f t="shared" si="82"/>
        <v>#REF!</v>
      </c>
      <c r="G56" s="88" t="e">
        <f>G12/G6</f>
        <v>#REF!</v>
      </c>
      <c r="H56" s="88" t="e">
        <f t="shared" ref="H56:I56" si="83">H12/H6</f>
        <v>#REF!</v>
      </c>
      <c r="I56" s="88" t="e">
        <f t="shared" si="83"/>
        <v>#REF!</v>
      </c>
      <c r="K56" s="88" t="e">
        <f>K12/K6</f>
        <v>#REF!</v>
      </c>
      <c r="L56" s="88" t="e">
        <f t="shared" ref="L56:M56" si="84">L12/L6</f>
        <v>#REF!</v>
      </c>
      <c r="M56" s="88" t="e">
        <f t="shared" si="84"/>
        <v>#REF!</v>
      </c>
      <c r="S56" s="88" t="e">
        <f>S12/S6</f>
        <v>#REF!</v>
      </c>
      <c r="T56" s="88" t="e">
        <f t="shared" ref="T56:U56" si="85">T12/T6</f>
        <v>#REF!</v>
      </c>
      <c r="U56" s="88" t="e">
        <f t="shared" si="85"/>
        <v>#REF!</v>
      </c>
      <c r="W56" s="88" t="e">
        <f>W12/W6</f>
        <v>#REF!</v>
      </c>
      <c r="X56" s="88" t="e">
        <f t="shared" ref="X56:Y56" si="86">X12/X6</f>
        <v>#REF!</v>
      </c>
      <c r="Y56" s="88" t="e">
        <f t="shared" si="86"/>
        <v>#REF!</v>
      </c>
      <c r="AA56" s="88" t="e">
        <f>AA12/AA6</f>
        <v>#REF!</v>
      </c>
      <c r="AB56" s="88" t="e">
        <f t="shared" ref="AB56:AC56" si="87">AB12/AB6</f>
        <v>#REF!</v>
      </c>
      <c r="AC56" s="88" t="e">
        <f t="shared" si="87"/>
        <v>#REF!</v>
      </c>
    </row>
    <row r="57" spans="2:33" x14ac:dyDescent="0.25">
      <c r="B57" s="87" t="s">
        <v>510</v>
      </c>
      <c r="C57" s="88" t="e">
        <f>C14/C6</f>
        <v>#REF!</v>
      </c>
      <c r="D57" s="88" t="e">
        <f t="shared" ref="D57:E57" si="88">D14/D6</f>
        <v>#REF!</v>
      </c>
      <c r="E57" s="88" t="e">
        <f t="shared" si="88"/>
        <v>#REF!</v>
      </c>
      <c r="G57" s="88" t="e">
        <f>G14/G6</f>
        <v>#REF!</v>
      </c>
      <c r="H57" s="88" t="e">
        <f t="shared" ref="H57:I57" si="89">H14/H6</f>
        <v>#REF!</v>
      </c>
      <c r="I57" s="88" t="e">
        <f t="shared" si="89"/>
        <v>#REF!</v>
      </c>
      <c r="K57" s="88" t="e">
        <f>K14/K6</f>
        <v>#REF!</v>
      </c>
      <c r="L57" s="88" t="e">
        <f t="shared" ref="L57:M57" si="90">L14/L6</f>
        <v>#REF!</v>
      </c>
      <c r="M57" s="88" t="e">
        <f t="shared" si="90"/>
        <v>#REF!</v>
      </c>
      <c r="S57" s="88" t="e">
        <f>S14/S6</f>
        <v>#REF!</v>
      </c>
      <c r="T57" s="88" t="e">
        <f t="shared" ref="T57:U57" si="91">T14/T6</f>
        <v>#REF!</v>
      </c>
      <c r="U57" s="88" t="e">
        <f t="shared" si="91"/>
        <v>#REF!</v>
      </c>
      <c r="W57" s="88" t="e">
        <f>W14/W6</f>
        <v>#REF!</v>
      </c>
      <c r="X57" s="88" t="e">
        <f t="shared" ref="X57:Y57" si="92">X14/X6</f>
        <v>#REF!</v>
      </c>
      <c r="Y57" s="88" t="e">
        <f t="shared" si="92"/>
        <v>#REF!</v>
      </c>
      <c r="AA57" s="88" t="e">
        <f>AA14/AA6</f>
        <v>#REF!</v>
      </c>
      <c r="AB57" s="88" t="e">
        <f t="shared" ref="AB57:AC57" si="93">AB14/AB6</f>
        <v>#REF!</v>
      </c>
      <c r="AC57" s="88" t="e">
        <f t="shared" si="93"/>
        <v>#REF!</v>
      </c>
    </row>
    <row r="58" spans="2:33" x14ac:dyDescent="0.25">
      <c r="B58" s="87" t="s">
        <v>507</v>
      </c>
      <c r="C58" s="88" t="e">
        <f>C24/C6</f>
        <v>#REF!</v>
      </c>
      <c r="D58" s="88" t="e">
        <f t="shared" ref="D58:E58" si="94">D24/D6</f>
        <v>#REF!</v>
      </c>
      <c r="E58" s="88" t="e">
        <f t="shared" si="94"/>
        <v>#REF!</v>
      </c>
      <c r="G58" s="88" t="e">
        <f>G24/G6</f>
        <v>#REF!</v>
      </c>
      <c r="H58" s="88" t="e">
        <f t="shared" ref="H58:I58" si="95">H24/H6</f>
        <v>#REF!</v>
      </c>
      <c r="I58" s="88" t="e">
        <f t="shared" si="95"/>
        <v>#REF!</v>
      </c>
      <c r="K58" s="88" t="e">
        <f>K24/K6</f>
        <v>#REF!</v>
      </c>
      <c r="L58" s="88" t="e">
        <f t="shared" ref="L58:M58" si="96">L24/L6</f>
        <v>#REF!</v>
      </c>
      <c r="M58" s="88" t="e">
        <f t="shared" si="96"/>
        <v>#REF!</v>
      </c>
      <c r="S58" s="88" t="e">
        <f>S24/S6</f>
        <v>#REF!</v>
      </c>
      <c r="T58" s="88" t="e">
        <f t="shared" ref="T58:U58" si="97">T24/T6</f>
        <v>#REF!</v>
      </c>
      <c r="U58" s="88" t="e">
        <f t="shared" si="97"/>
        <v>#REF!</v>
      </c>
      <c r="W58" s="88" t="e">
        <f>W24/W6</f>
        <v>#REF!</v>
      </c>
      <c r="X58" s="88" t="e">
        <f t="shared" ref="X58:Y58" si="98">X24/X6</f>
        <v>#REF!</v>
      </c>
      <c r="Y58" s="88" t="e">
        <f t="shared" si="98"/>
        <v>#REF!</v>
      </c>
      <c r="AA58" s="88" t="e">
        <f>AA24/AA6</f>
        <v>#REF!</v>
      </c>
      <c r="AB58" s="88" t="e">
        <f t="shared" ref="AB58:AC58" si="99">AB24/AB6</f>
        <v>#REF!</v>
      </c>
      <c r="AC58" s="88" t="e">
        <f t="shared" si="99"/>
        <v>#REF!</v>
      </c>
    </row>
    <row r="59" spans="2:33" x14ac:dyDescent="0.25">
      <c r="B59" s="87" t="s">
        <v>508</v>
      </c>
      <c r="C59" s="88" t="e">
        <f>C35/C6</f>
        <v>#REF!</v>
      </c>
      <c r="D59" s="88" t="e">
        <f t="shared" ref="D59:E59" si="100">D35/D6</f>
        <v>#REF!</v>
      </c>
      <c r="E59" s="88" t="e">
        <f t="shared" si="100"/>
        <v>#REF!</v>
      </c>
      <c r="G59" s="88" t="e">
        <f>G35/G6</f>
        <v>#REF!</v>
      </c>
      <c r="H59" s="88" t="e">
        <f t="shared" ref="H59:I59" si="101">H35/H6</f>
        <v>#REF!</v>
      </c>
      <c r="I59" s="88" t="e">
        <f t="shared" si="101"/>
        <v>#REF!</v>
      </c>
      <c r="K59" s="88" t="e">
        <f>K35/K6</f>
        <v>#REF!</v>
      </c>
      <c r="L59" s="88" t="e">
        <f t="shared" ref="L59:M59" si="102">L35/L6</f>
        <v>#REF!</v>
      </c>
      <c r="M59" s="88" t="e">
        <f t="shared" si="102"/>
        <v>#REF!</v>
      </c>
      <c r="S59" s="88" t="e">
        <f>S35/S6</f>
        <v>#REF!</v>
      </c>
      <c r="T59" s="88" t="e">
        <f t="shared" ref="T59:U59" si="103">T35/T6</f>
        <v>#REF!</v>
      </c>
      <c r="U59" s="88" t="e">
        <f t="shared" si="103"/>
        <v>#REF!</v>
      </c>
      <c r="W59" s="88" t="e">
        <f>W35/W6</f>
        <v>#REF!</v>
      </c>
      <c r="X59" s="88" t="e">
        <f t="shared" ref="X59:Y59" si="104">X35/X6</f>
        <v>#REF!</v>
      </c>
      <c r="Y59" s="88" t="e">
        <f t="shared" si="104"/>
        <v>#REF!</v>
      </c>
      <c r="AA59" s="88" t="e">
        <f>AA35/AA6</f>
        <v>#REF!</v>
      </c>
      <c r="AB59" s="88" t="e">
        <f t="shared" ref="AB59:AC59" si="105">AB35/AB6</f>
        <v>#REF!</v>
      </c>
      <c r="AC59" s="88" t="e">
        <f t="shared" si="105"/>
        <v>#REF!</v>
      </c>
    </row>
    <row r="60" spans="2:33" x14ac:dyDescent="0.25">
      <c r="B60" s="87" t="s">
        <v>511</v>
      </c>
      <c r="C60" s="88" t="e">
        <f>C42/C6</f>
        <v>#REF!</v>
      </c>
      <c r="D60" s="88" t="e">
        <f>D42/D6</f>
        <v>#REF!</v>
      </c>
      <c r="E60" s="88" t="e">
        <f>E42/E6</f>
        <v>#REF!</v>
      </c>
      <c r="G60" s="88" t="e">
        <f>G42/G6</f>
        <v>#REF!</v>
      </c>
      <c r="H60" s="88" t="e">
        <f>H42/H6</f>
        <v>#REF!</v>
      </c>
      <c r="I60" s="88" t="e">
        <f>I42/I6</f>
        <v>#REF!</v>
      </c>
      <c r="K60" s="88" t="e">
        <f>K42/K6</f>
        <v>#REF!</v>
      </c>
      <c r="L60" s="88" t="e">
        <f>L42/L6</f>
        <v>#REF!</v>
      </c>
      <c r="M60" s="88" t="e">
        <f>M42/M6</f>
        <v>#REF!</v>
      </c>
      <c r="S60" s="88" t="e">
        <f>S42/S6</f>
        <v>#REF!</v>
      </c>
      <c r="T60" s="88" t="e">
        <f>T42/T6</f>
        <v>#REF!</v>
      </c>
      <c r="U60" s="88" t="e">
        <f>U42/U6</f>
        <v>#REF!</v>
      </c>
      <c r="W60" s="88" t="e">
        <f>W42/W6</f>
        <v>#REF!</v>
      </c>
      <c r="X60" s="88" t="e">
        <f>X42/X6</f>
        <v>#REF!</v>
      </c>
      <c r="Y60" s="88" t="e">
        <f>Y42/Y6</f>
        <v>#REF!</v>
      </c>
      <c r="AA60" s="88" t="e">
        <f>AA42/AA6</f>
        <v>#REF!</v>
      </c>
      <c r="AB60" s="88" t="e">
        <f>AB42/AB6</f>
        <v>#REF!</v>
      </c>
      <c r="AC60" s="88" t="e">
        <f>AC42/AC6</f>
        <v>#REF!</v>
      </c>
    </row>
    <row r="61" spans="2:33" x14ac:dyDescent="0.25">
      <c r="B61" s="87" t="s">
        <v>512</v>
      </c>
      <c r="C61" s="88" t="e">
        <f>C43/C6</f>
        <v>#REF!</v>
      </c>
      <c r="D61" s="88" t="e">
        <f>D43/D6</f>
        <v>#REF!</v>
      </c>
      <c r="E61" s="88" t="e">
        <f>E43/E6</f>
        <v>#REF!</v>
      </c>
      <c r="G61" s="88" t="e">
        <f>G43/G6</f>
        <v>#REF!</v>
      </c>
      <c r="H61" s="88" t="e">
        <f>H43/H6</f>
        <v>#REF!</v>
      </c>
      <c r="I61" s="88" t="e">
        <f>I43/I6</f>
        <v>#REF!</v>
      </c>
      <c r="K61" s="88" t="e">
        <f>K43/K6</f>
        <v>#REF!</v>
      </c>
      <c r="L61" s="88" t="e">
        <f>L43/L6</f>
        <v>#REF!</v>
      </c>
      <c r="M61" s="88" t="e">
        <f>M43/M6</f>
        <v>#REF!</v>
      </c>
      <c r="S61" s="88" t="e">
        <f>S43/S6</f>
        <v>#REF!</v>
      </c>
      <c r="T61" s="88" t="e">
        <f>T43/T6</f>
        <v>#REF!</v>
      </c>
      <c r="U61" s="88" t="e">
        <f>U43/U6</f>
        <v>#REF!</v>
      </c>
      <c r="W61" s="88" t="e">
        <f>W43/W6</f>
        <v>#REF!</v>
      </c>
      <c r="X61" s="88" t="e">
        <f>X43/X6</f>
        <v>#REF!</v>
      </c>
      <c r="Y61" s="88" t="e">
        <f>Y43/Y6</f>
        <v>#REF!</v>
      </c>
      <c r="AA61" s="88" t="e">
        <f>AA43/AA6</f>
        <v>#REF!</v>
      </c>
      <c r="AB61" s="88" t="e">
        <f>AB43/AB6</f>
        <v>#REF!</v>
      </c>
      <c r="AC61" s="88" t="e">
        <f>AC43/AC6</f>
        <v>#REF!</v>
      </c>
    </row>
    <row r="63" spans="2:33" x14ac:dyDescent="0.25">
      <c r="C63" s="11">
        <v>-8809144.3254262675</v>
      </c>
      <c r="D63" s="11">
        <v>-8403518.1605990119</v>
      </c>
      <c r="E63" s="11">
        <v>-405626.16482725018</v>
      </c>
      <c r="G63" s="11">
        <v>-8809144.3254262675</v>
      </c>
      <c r="H63" s="11">
        <v>-8403518.1605990119</v>
      </c>
      <c r="I63" s="11">
        <v>-405626.16482725018</v>
      </c>
      <c r="K63" s="11">
        <v>-8809144.3254262675</v>
      </c>
      <c r="L63" s="11">
        <v>-8403518.1605990119</v>
      </c>
      <c r="M63" s="11">
        <v>-405626.16482725018</v>
      </c>
      <c r="S63" s="11">
        <v>-8809144.3254262675</v>
      </c>
      <c r="T63" s="11">
        <v>-8403518.1605990119</v>
      </c>
      <c r="U63" s="11">
        <v>-405626.16482725018</v>
      </c>
      <c r="W63" s="11">
        <v>-8809144.3254262675</v>
      </c>
      <c r="X63" s="11">
        <v>-8403518.1605990119</v>
      </c>
      <c r="Y63" s="11">
        <v>-405626.16482725018</v>
      </c>
      <c r="AA63" s="11">
        <v>-8809144.3254262675</v>
      </c>
      <c r="AB63" s="11">
        <v>-8403518.1605990119</v>
      </c>
      <c r="AC63" s="11">
        <v>-405626.16482725018</v>
      </c>
    </row>
  </sheetData>
  <sortState xmlns:xlrd2="http://schemas.microsoft.com/office/spreadsheetml/2017/richdata2" ref="E29:E48">
    <sortCondition ref="E26:E48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8583-8074-4774-81A7-BB16384EF5CB}">
  <sheetPr>
    <tabColor rgb="FFFFFF00"/>
  </sheetPr>
  <dimension ref="A1:T57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85546875" defaultRowHeight="15" x14ac:dyDescent="0.25"/>
  <cols>
    <col min="1" max="1" width="42.85546875" style="48" bestFit="1" customWidth="1"/>
    <col min="2" max="3" width="11.28515625" style="48" bestFit="1" customWidth="1"/>
    <col min="4" max="4" width="12.28515625" style="48" bestFit="1" customWidth="1"/>
    <col min="5" max="6" width="11.28515625" style="48" bestFit="1" customWidth="1"/>
    <col min="7" max="7" width="12.28515625" style="48" bestFit="1" customWidth="1"/>
    <col min="8" max="8" width="11.5703125" style="48" bestFit="1" customWidth="1"/>
    <col min="9" max="9" width="12.28515625" style="48" bestFit="1" customWidth="1"/>
    <col min="10" max="11" width="11.7109375" style="48" bestFit="1" customWidth="1"/>
    <col min="12" max="12" width="12.140625" style="48" bestFit="1" customWidth="1"/>
    <col min="13" max="13" width="3.28515625" style="48" customWidth="1"/>
    <col min="14" max="14" width="12.140625" style="48" bestFit="1" customWidth="1"/>
    <col min="15" max="15" width="8.85546875" style="48"/>
    <col min="16" max="20" width="13.7109375" style="48" customWidth="1"/>
    <col min="21" max="16384" width="8.85546875" style="48"/>
  </cols>
  <sheetData>
    <row r="1" spans="1:20" x14ac:dyDescent="0.25">
      <c r="A1" s="64" t="s">
        <v>547</v>
      </c>
    </row>
    <row r="2" spans="1:20" x14ac:dyDescent="0.25">
      <c r="A2" s="64" t="s">
        <v>451</v>
      </c>
    </row>
    <row r="3" spans="1:20" x14ac:dyDescent="0.25">
      <c r="A3" s="65" t="str">
        <f>BS!A3</f>
        <v>31 December 2025</v>
      </c>
    </row>
    <row r="4" spans="1:20" x14ac:dyDescent="0.25">
      <c r="B4" s="135" t="s">
        <v>523</v>
      </c>
      <c r="C4" s="135" t="s">
        <v>524</v>
      </c>
      <c r="D4" s="135" t="s">
        <v>527</v>
      </c>
      <c r="E4" s="135" t="s">
        <v>528</v>
      </c>
      <c r="F4" s="135" t="s">
        <v>529</v>
      </c>
      <c r="G4" s="135" t="s">
        <v>532</v>
      </c>
      <c r="H4" s="135" t="s">
        <v>542</v>
      </c>
      <c r="I4" s="135" t="s">
        <v>544</v>
      </c>
      <c r="J4" s="135" t="s">
        <v>546</v>
      </c>
      <c r="K4" s="135" t="s">
        <v>554</v>
      </c>
      <c r="L4" s="135" t="s">
        <v>556</v>
      </c>
      <c r="N4" s="135" t="s">
        <v>530</v>
      </c>
      <c r="P4" s="138" t="s">
        <v>549</v>
      </c>
      <c r="Q4" s="138" t="s">
        <v>550</v>
      </c>
      <c r="R4" s="138" t="s">
        <v>551</v>
      </c>
      <c r="S4" s="138" t="str">
        <f>K4&amp;" - "&amp;L4</f>
        <v>Oct - Nov</v>
      </c>
      <c r="T4" s="103" t="s">
        <v>530</v>
      </c>
    </row>
    <row r="5" spans="1:20" x14ac:dyDescent="0.25">
      <c r="A5" s="49" t="s">
        <v>415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N5" s="50"/>
      <c r="P5" s="50"/>
      <c r="Q5" s="50"/>
      <c r="R5" s="50"/>
      <c r="S5" s="50"/>
      <c r="T5" s="50"/>
    </row>
    <row r="6" spans="1:20" x14ac:dyDescent="0.25">
      <c r="A6" s="51" t="s">
        <v>416</v>
      </c>
      <c r="B6" s="50" t="e">
        <f>'P&amp;L_2014-2025'!#REF!</f>
        <v>#REF!</v>
      </c>
      <c r="C6" s="50" t="e">
        <f>'P&amp;L_2014-2025'!#REF!</f>
        <v>#REF!</v>
      </c>
      <c r="D6" s="50" t="e">
        <f>'P&amp;L_2014-2025'!#REF!</f>
        <v>#REF!</v>
      </c>
      <c r="E6" s="50" t="e">
        <f>'P&amp;L_2014-2025'!#REF!</f>
        <v>#REF!</v>
      </c>
      <c r="F6" s="50" t="e">
        <f>'P&amp;L_2014-2025'!#REF!</f>
        <v>#REF!</v>
      </c>
      <c r="G6" s="50" t="e">
        <f>'P&amp;L_2014-2025'!#REF!</f>
        <v>#REF!</v>
      </c>
      <c r="H6" s="50" t="e">
        <f>'P&amp;L_2014-2025'!#REF!</f>
        <v>#REF!</v>
      </c>
      <c r="I6" s="50" t="e">
        <f>'P&amp;L_2014-2025'!#REF!</f>
        <v>#REF!</v>
      </c>
      <c r="J6" s="50" t="e">
        <f>'P&amp;L_2014-2025'!#REF!</f>
        <v>#REF!</v>
      </c>
      <c r="K6" s="50" t="e">
        <f>'P&amp;L_2014-2025'!#REF!</f>
        <v>#REF!</v>
      </c>
      <c r="L6" s="50" t="e">
        <f>'P&amp;L_2014-2025'!#REF!</f>
        <v>#REF!</v>
      </c>
      <c r="N6" s="50" t="e">
        <f>SUM(B6:M6)</f>
        <v>#REF!</v>
      </c>
      <c r="P6" s="50" t="e">
        <f>B6+C6+D6</f>
        <v>#REF!</v>
      </c>
      <c r="Q6" s="50" t="e">
        <f>E6+F6+G6</f>
        <v>#REF!</v>
      </c>
      <c r="R6" s="50" t="e">
        <f>H6+I6+J6</f>
        <v>#REF!</v>
      </c>
      <c r="S6" s="50" t="e">
        <f>K6+L6</f>
        <v>#REF!</v>
      </c>
      <c r="T6" s="50" t="e">
        <f>SUM(P6:S6)</f>
        <v>#REF!</v>
      </c>
    </row>
    <row r="7" spans="1:20" x14ac:dyDescent="0.25">
      <c r="A7" s="49" t="s">
        <v>417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N7" s="50"/>
      <c r="P7" s="50"/>
      <c r="Q7" s="50"/>
      <c r="R7" s="50"/>
      <c r="S7" s="50"/>
      <c r="T7" s="50"/>
    </row>
    <row r="8" spans="1:20" x14ac:dyDescent="0.25">
      <c r="A8" s="51" t="s">
        <v>418</v>
      </c>
      <c r="B8" s="60" t="e">
        <f>'P&amp;L_2014-2025'!#REF!</f>
        <v>#REF!</v>
      </c>
      <c r="C8" s="60" t="e">
        <f>'P&amp;L_2014-2025'!#REF!</f>
        <v>#REF!</v>
      </c>
      <c r="D8" s="60" t="e">
        <f>'P&amp;L_2014-2025'!#REF!</f>
        <v>#REF!</v>
      </c>
      <c r="E8" s="60" t="e">
        <f>'P&amp;L_2014-2025'!#REF!</f>
        <v>#REF!</v>
      </c>
      <c r="F8" s="60" t="e">
        <f>'P&amp;L_2014-2025'!#REF!</f>
        <v>#REF!</v>
      </c>
      <c r="G8" s="60" t="e">
        <f>'P&amp;L_2014-2025'!#REF!</f>
        <v>#REF!</v>
      </c>
      <c r="H8" s="60" t="e">
        <f>'P&amp;L_2014-2025'!#REF!</f>
        <v>#REF!</v>
      </c>
      <c r="I8" s="60" t="e">
        <f>'P&amp;L_2014-2025'!#REF!</f>
        <v>#REF!</v>
      </c>
      <c r="J8" s="60" t="e">
        <f>'P&amp;L_2014-2025'!#REF!</f>
        <v>#REF!</v>
      </c>
      <c r="K8" s="60" t="e">
        <f>'P&amp;L_2014-2025'!#REF!</f>
        <v>#REF!</v>
      </c>
      <c r="L8" s="60" t="e">
        <f>'P&amp;L_2014-2025'!#REF!</f>
        <v>#REF!</v>
      </c>
      <c r="N8" s="60" t="e">
        <f t="shared" ref="N8:N14" si="0">SUM(B8:M8)</f>
        <v>#REF!</v>
      </c>
      <c r="P8" s="60" t="e">
        <f t="shared" ref="P8:P14" si="1">B8+C8+D8</f>
        <v>#REF!</v>
      </c>
      <c r="Q8" s="60" t="e">
        <f t="shared" ref="Q8:Q14" si="2">E8+F8+G8</f>
        <v>#REF!</v>
      </c>
      <c r="R8" s="60" t="e">
        <f t="shared" ref="R8:R14" si="3">H8+I8+J8</f>
        <v>#REF!</v>
      </c>
      <c r="S8" s="60" t="e">
        <f t="shared" ref="S8:S14" si="4">K8+L8</f>
        <v>#REF!</v>
      </c>
      <c r="T8" s="60" t="e">
        <f t="shared" ref="T8:T14" si="5">SUM(P8:S8)</f>
        <v>#REF!</v>
      </c>
    </row>
    <row r="9" spans="1:20" x14ac:dyDescent="0.25">
      <c r="A9" s="51" t="s">
        <v>419</v>
      </c>
      <c r="B9" s="60">
        <f>-BS!I16</f>
        <v>-1995348</v>
      </c>
      <c r="C9" s="60">
        <f>-BS!O16</f>
        <v>-2545644.352</v>
      </c>
      <c r="D9" s="60" t="e">
        <f>-BS!#REF!</f>
        <v>#REF!</v>
      </c>
      <c r="E9" s="60" t="e">
        <f>-BS!#REF!</f>
        <v>#REF!</v>
      </c>
      <c r="F9" s="60" t="e">
        <f>-BS!#REF!</f>
        <v>#REF!</v>
      </c>
      <c r="G9" s="60" t="e">
        <f>-BS!#REF!</f>
        <v>#REF!</v>
      </c>
      <c r="H9" s="60" t="e">
        <f>-BS!#REF!</f>
        <v>#REF!</v>
      </c>
      <c r="I9" s="60" t="e">
        <f>-BS!#REF!</f>
        <v>#REF!</v>
      </c>
      <c r="J9" s="60" t="e">
        <f>-BS!#REF!</f>
        <v>#REF!</v>
      </c>
      <c r="K9" s="60" t="e">
        <f>-BS!#REF!</f>
        <v>#REF!</v>
      </c>
      <c r="L9" s="60" t="e">
        <f>-BS!#REF!</f>
        <v>#REF!</v>
      </c>
      <c r="N9" s="60" t="e">
        <f t="shared" si="0"/>
        <v>#REF!</v>
      </c>
      <c r="P9" s="60" t="e">
        <f t="shared" si="1"/>
        <v>#REF!</v>
      </c>
      <c r="Q9" s="60" t="e">
        <f t="shared" si="2"/>
        <v>#REF!</v>
      </c>
      <c r="R9" s="60" t="e">
        <f t="shared" si="3"/>
        <v>#REF!</v>
      </c>
      <c r="S9" s="60" t="e">
        <f t="shared" si="4"/>
        <v>#REF!</v>
      </c>
      <c r="T9" s="60" t="e">
        <f t="shared" si="5"/>
        <v>#REF!</v>
      </c>
    </row>
    <row r="10" spans="1:20" x14ac:dyDescent="0.25">
      <c r="A10" s="51" t="s">
        <v>420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N10" s="60">
        <f t="shared" si="0"/>
        <v>0</v>
      </c>
      <c r="P10" s="60">
        <f t="shared" si="1"/>
        <v>0</v>
      </c>
      <c r="Q10" s="60">
        <f t="shared" si="2"/>
        <v>0</v>
      </c>
      <c r="R10" s="60">
        <f t="shared" si="3"/>
        <v>0</v>
      </c>
      <c r="S10" s="60">
        <f t="shared" si="4"/>
        <v>0</v>
      </c>
      <c r="T10" s="60">
        <f t="shared" si="5"/>
        <v>0</v>
      </c>
    </row>
    <row r="11" spans="1:20" x14ac:dyDescent="0.25">
      <c r="A11" s="51" t="s">
        <v>450</v>
      </c>
      <c r="B11" s="60" t="e">
        <f>'P&amp;L_2014-2025'!#REF!</f>
        <v>#REF!</v>
      </c>
      <c r="C11" s="60" t="e">
        <f>'P&amp;L_2014-2025'!#REF!</f>
        <v>#REF!</v>
      </c>
      <c r="D11" s="60" t="e">
        <f>'P&amp;L_2014-2025'!#REF!</f>
        <v>#REF!</v>
      </c>
      <c r="E11" s="60" t="e">
        <f>'P&amp;L_2014-2025'!#REF!</f>
        <v>#REF!</v>
      </c>
      <c r="F11" s="60" t="e">
        <f>'P&amp;L_2014-2025'!#REF!</f>
        <v>#REF!</v>
      </c>
      <c r="G11" s="60" t="e">
        <f>'P&amp;L_2014-2025'!#REF!</f>
        <v>#REF!</v>
      </c>
      <c r="H11" s="60" t="e">
        <f>'P&amp;L_2014-2025'!#REF!</f>
        <v>#REF!</v>
      </c>
      <c r="I11" s="60" t="e">
        <f>'P&amp;L_2014-2025'!#REF!</f>
        <v>#REF!</v>
      </c>
      <c r="J11" s="60" t="e">
        <f>'P&amp;L_2014-2025'!#REF!</f>
        <v>#REF!</v>
      </c>
      <c r="K11" s="60" t="e">
        <f>'P&amp;L_2014-2025'!#REF!</f>
        <v>#REF!</v>
      </c>
      <c r="L11" s="60" t="e">
        <f>'P&amp;L_2014-2025'!#REF!</f>
        <v>#REF!</v>
      </c>
      <c r="N11" s="60" t="e">
        <f t="shared" si="0"/>
        <v>#REF!</v>
      </c>
      <c r="P11" s="60" t="e">
        <f t="shared" si="1"/>
        <v>#REF!</v>
      </c>
      <c r="Q11" s="60" t="e">
        <f t="shared" si="2"/>
        <v>#REF!</v>
      </c>
      <c r="R11" s="60" t="e">
        <f t="shared" si="3"/>
        <v>#REF!</v>
      </c>
      <c r="S11" s="60" t="e">
        <f t="shared" si="4"/>
        <v>#REF!</v>
      </c>
      <c r="T11" s="60" t="e">
        <f t="shared" si="5"/>
        <v>#REF!</v>
      </c>
    </row>
    <row r="12" spans="1:20" x14ac:dyDescent="0.25">
      <c r="A12" s="51" t="s">
        <v>421</v>
      </c>
      <c r="B12" s="60">
        <f>BS!I32</f>
        <v>4294641</v>
      </c>
      <c r="C12" s="60">
        <f>BS!O32</f>
        <v>4431984.92</v>
      </c>
      <c r="D12" s="60" t="e">
        <f>BS!#REF!</f>
        <v>#REF!</v>
      </c>
      <c r="E12" s="60" t="e">
        <f>BS!#REF!</f>
        <v>#REF!</v>
      </c>
      <c r="F12" s="60" t="e">
        <f>BS!#REF!</f>
        <v>#REF!</v>
      </c>
      <c r="G12" s="60" t="e">
        <f>BS!#REF!</f>
        <v>#REF!</v>
      </c>
      <c r="H12" s="60" t="e">
        <f>BS!#REF!</f>
        <v>#REF!</v>
      </c>
      <c r="I12" s="60" t="e">
        <f>BS!#REF!</f>
        <v>#REF!</v>
      </c>
      <c r="J12" s="60" t="e">
        <f>BS!#REF!</f>
        <v>#REF!</v>
      </c>
      <c r="K12" s="60" t="e">
        <f>BS!#REF!</f>
        <v>#REF!</v>
      </c>
      <c r="L12" s="60" t="e">
        <f>BS!#REF!</f>
        <v>#REF!</v>
      </c>
      <c r="N12" s="60" t="e">
        <f t="shared" si="0"/>
        <v>#REF!</v>
      </c>
      <c r="P12" s="60" t="e">
        <f t="shared" si="1"/>
        <v>#REF!</v>
      </c>
      <c r="Q12" s="60" t="e">
        <f t="shared" si="2"/>
        <v>#REF!</v>
      </c>
      <c r="R12" s="60" t="e">
        <f t="shared" si="3"/>
        <v>#REF!</v>
      </c>
      <c r="S12" s="60" t="e">
        <f t="shared" si="4"/>
        <v>#REF!</v>
      </c>
      <c r="T12" s="60" t="e">
        <f t="shared" si="5"/>
        <v>#REF!</v>
      </c>
    </row>
    <row r="13" spans="1:20" x14ac:dyDescent="0.25">
      <c r="A13" s="51" t="s">
        <v>422</v>
      </c>
      <c r="B13" s="60">
        <f>BS!I33</f>
        <v>4120000</v>
      </c>
      <c r="C13" s="60">
        <f>BS!O33</f>
        <v>4862172.949</v>
      </c>
      <c r="D13" s="60" t="e">
        <f>BS!#REF!</f>
        <v>#REF!</v>
      </c>
      <c r="E13" s="60" t="e">
        <f>BS!#REF!</f>
        <v>#REF!</v>
      </c>
      <c r="F13" s="60" t="e">
        <f>BS!#REF!</f>
        <v>#REF!</v>
      </c>
      <c r="G13" s="60" t="e">
        <f>BS!#REF!</f>
        <v>#REF!</v>
      </c>
      <c r="H13" s="60" t="e">
        <f>BS!#REF!</f>
        <v>#REF!</v>
      </c>
      <c r="I13" s="60" t="e">
        <f>BS!#REF!</f>
        <v>#REF!</v>
      </c>
      <c r="J13" s="60" t="e">
        <f>BS!#REF!</f>
        <v>#REF!</v>
      </c>
      <c r="K13" s="60" t="e">
        <f>BS!#REF!</f>
        <v>#REF!</v>
      </c>
      <c r="L13" s="60" t="e">
        <f>BS!#REF!</f>
        <v>#REF!</v>
      </c>
      <c r="N13" s="60" t="e">
        <f t="shared" si="0"/>
        <v>#REF!</v>
      </c>
      <c r="P13" s="60" t="e">
        <f t="shared" si="1"/>
        <v>#REF!</v>
      </c>
      <c r="Q13" s="60" t="e">
        <f t="shared" si="2"/>
        <v>#REF!</v>
      </c>
      <c r="R13" s="60" t="e">
        <f t="shared" si="3"/>
        <v>#REF!</v>
      </c>
      <c r="S13" s="60" t="e">
        <f t="shared" si="4"/>
        <v>#REF!</v>
      </c>
      <c r="T13" s="60" t="e">
        <f t="shared" si="5"/>
        <v>#REF!</v>
      </c>
    </row>
    <row r="14" spans="1:20" x14ac:dyDescent="0.25">
      <c r="A14" s="51" t="s">
        <v>423</v>
      </c>
      <c r="B14" s="60" t="e">
        <f>'P&amp;L_2014-2025'!#REF!</f>
        <v>#REF!</v>
      </c>
      <c r="C14" s="60" t="e">
        <f>'P&amp;L_2014-2025'!#REF!</f>
        <v>#REF!</v>
      </c>
      <c r="D14" s="60" t="e">
        <f>'P&amp;L_2014-2025'!#REF!</f>
        <v>#REF!</v>
      </c>
      <c r="E14" s="60" t="e">
        <f>'P&amp;L_2014-2025'!#REF!</f>
        <v>#REF!</v>
      </c>
      <c r="F14" s="60" t="e">
        <f>'P&amp;L_2014-2025'!#REF!</f>
        <v>#REF!</v>
      </c>
      <c r="G14" s="60" t="e">
        <f>'P&amp;L_2014-2025'!#REF!</f>
        <v>#REF!</v>
      </c>
      <c r="H14" s="60" t="e">
        <f>'P&amp;L_2014-2025'!#REF!</f>
        <v>#REF!</v>
      </c>
      <c r="I14" s="60" t="e">
        <f>'P&amp;L_2014-2025'!#REF!</f>
        <v>#REF!</v>
      </c>
      <c r="J14" s="60" t="e">
        <f>'P&amp;L_2014-2025'!#REF!</f>
        <v>#REF!</v>
      </c>
      <c r="K14" s="60" t="e">
        <f>'P&amp;L_2014-2025'!#REF!</f>
        <v>#REF!</v>
      </c>
      <c r="L14" s="60" t="e">
        <f>'P&amp;L_2014-2025'!#REF!</f>
        <v>#REF!</v>
      </c>
      <c r="N14" s="60" t="e">
        <f t="shared" si="0"/>
        <v>#REF!</v>
      </c>
      <c r="P14" s="60" t="e">
        <f t="shared" si="1"/>
        <v>#REF!</v>
      </c>
      <c r="Q14" s="60" t="e">
        <f t="shared" si="2"/>
        <v>#REF!</v>
      </c>
      <c r="R14" s="60" t="e">
        <f t="shared" si="3"/>
        <v>#REF!</v>
      </c>
      <c r="S14" s="60" t="e">
        <f t="shared" si="4"/>
        <v>#REF!</v>
      </c>
      <c r="T14" s="60" t="e">
        <f t="shared" si="5"/>
        <v>#REF!</v>
      </c>
    </row>
    <row r="15" spans="1:20" ht="6.6" customHeight="1" x14ac:dyDescent="0.25">
      <c r="A15" s="51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N15" s="59"/>
      <c r="P15" s="59"/>
      <c r="Q15" s="59"/>
      <c r="R15" s="59"/>
      <c r="S15" s="59"/>
      <c r="T15" s="59"/>
    </row>
    <row r="16" spans="1:20" x14ac:dyDescent="0.25">
      <c r="A16" s="49" t="s">
        <v>424</v>
      </c>
      <c r="B16" s="50" t="e">
        <f>SUM(B6:B15)</f>
        <v>#REF!</v>
      </c>
      <c r="C16" s="50" t="e">
        <f>SUM(C6:C15)</f>
        <v>#REF!</v>
      </c>
      <c r="D16" s="50" t="e">
        <f t="shared" ref="D16:N16" si="6">SUM(D6:D15)</f>
        <v>#REF!</v>
      </c>
      <c r="E16" s="50" t="e">
        <f t="shared" si="6"/>
        <v>#REF!</v>
      </c>
      <c r="F16" s="50" t="e">
        <f t="shared" si="6"/>
        <v>#REF!</v>
      </c>
      <c r="G16" s="50" t="e">
        <f t="shared" ref="G16:H16" si="7">SUM(G6:G15)</f>
        <v>#REF!</v>
      </c>
      <c r="H16" s="50" t="e">
        <f t="shared" si="7"/>
        <v>#REF!</v>
      </c>
      <c r="I16" s="50" t="e">
        <f t="shared" ref="I16:J16" si="8">SUM(I6:I15)</f>
        <v>#REF!</v>
      </c>
      <c r="J16" s="50" t="e">
        <f t="shared" si="8"/>
        <v>#REF!</v>
      </c>
      <c r="K16" s="50" t="e">
        <f>SUM(K6:K15)</f>
        <v>#REF!</v>
      </c>
      <c r="L16" s="50" t="e">
        <f>SUM(L6:L15)</f>
        <v>#REF!</v>
      </c>
      <c r="N16" s="50" t="e">
        <f t="shared" si="6"/>
        <v>#REF!</v>
      </c>
      <c r="P16" s="50" t="e">
        <f t="shared" ref="P16:T16" si="9">SUM(P6:P15)</f>
        <v>#REF!</v>
      </c>
      <c r="Q16" s="50" t="e">
        <f t="shared" si="9"/>
        <v>#REF!</v>
      </c>
      <c r="R16" s="50" t="e">
        <f t="shared" si="9"/>
        <v>#REF!</v>
      </c>
      <c r="S16" s="50" t="e">
        <f t="shared" si="9"/>
        <v>#REF!</v>
      </c>
      <c r="T16" s="50" t="e">
        <f t="shared" si="9"/>
        <v>#REF!</v>
      </c>
    </row>
    <row r="17" spans="1:20" x14ac:dyDescent="0.25">
      <c r="A17" s="49" t="s">
        <v>425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N17" s="50"/>
      <c r="P17" s="50"/>
      <c r="Q17" s="50"/>
      <c r="R17" s="50"/>
      <c r="S17" s="50"/>
      <c r="T17" s="50"/>
    </row>
    <row r="18" spans="1:20" x14ac:dyDescent="0.25">
      <c r="A18" s="51" t="s">
        <v>426</v>
      </c>
      <c r="B18" s="60" t="e">
        <f>-BS!I10-B11</f>
        <v>#REF!</v>
      </c>
      <c r="C18" s="60" t="e">
        <f>-BS!O10-C11</f>
        <v>#REF!</v>
      </c>
      <c r="D18" s="60" t="e">
        <f>-BS!#REF!-D11</f>
        <v>#REF!</v>
      </c>
      <c r="E18" s="60" t="e">
        <f>-BS!#REF!-E11</f>
        <v>#REF!</v>
      </c>
      <c r="F18" s="60" t="e">
        <f>-BS!#REF!-F11</f>
        <v>#REF!</v>
      </c>
      <c r="G18" s="60" t="e">
        <f>-BS!#REF!-G11</f>
        <v>#REF!</v>
      </c>
      <c r="H18" s="60" t="e">
        <f>-BS!#REF!-H11</f>
        <v>#REF!</v>
      </c>
      <c r="I18" s="60" t="e">
        <f>-BS!#REF!-I11</f>
        <v>#REF!</v>
      </c>
      <c r="J18" s="60" t="e">
        <f>-BS!#REF!-J11</f>
        <v>#REF!</v>
      </c>
      <c r="K18" s="60" t="e">
        <f>-BS!#REF!-K11</f>
        <v>#REF!</v>
      </c>
      <c r="L18" s="60" t="e">
        <f>-BS!#REF!-L11</f>
        <v>#REF!</v>
      </c>
      <c r="N18" s="60" t="e">
        <f t="shared" ref="N18:N22" si="10">SUM(B18:M18)</f>
        <v>#REF!</v>
      </c>
      <c r="P18" s="60" t="e">
        <f t="shared" ref="P18:P22" si="11">B18+C18+D18</f>
        <v>#REF!</v>
      </c>
      <c r="Q18" s="60" t="e">
        <f t="shared" ref="Q18:Q22" si="12">E18+F18+G18</f>
        <v>#REF!</v>
      </c>
      <c r="R18" s="60" t="e">
        <f t="shared" ref="R18:R22" si="13">H18+I18+J18</f>
        <v>#REF!</v>
      </c>
      <c r="S18" s="60" t="e">
        <f t="shared" ref="S18:S24" si="14">K18+L18</f>
        <v>#REF!</v>
      </c>
      <c r="T18" s="60" t="e">
        <f t="shared" ref="T18:T22" si="15">SUM(P18:S18)</f>
        <v>#REF!</v>
      </c>
    </row>
    <row r="19" spans="1:20" x14ac:dyDescent="0.25">
      <c r="A19" s="51" t="s">
        <v>427</v>
      </c>
      <c r="B19" s="60">
        <f>-BS!I9</f>
        <v>-8522666.029000001</v>
      </c>
      <c r="C19" s="60">
        <f>-BS!O9</f>
        <v>-10384902.995000001</v>
      </c>
      <c r="D19" s="60" t="e">
        <f>-BS!#REF!</f>
        <v>#REF!</v>
      </c>
      <c r="E19" s="60" t="e">
        <f>-BS!#REF!</f>
        <v>#REF!</v>
      </c>
      <c r="F19" s="60" t="e">
        <f>-BS!#REF!</f>
        <v>#REF!</v>
      </c>
      <c r="G19" s="60" t="e">
        <f>-BS!#REF!</f>
        <v>#REF!</v>
      </c>
      <c r="H19" s="60" t="e">
        <f>-BS!#REF!</f>
        <v>#REF!</v>
      </c>
      <c r="I19" s="60" t="e">
        <f>-BS!#REF!</f>
        <v>#REF!</v>
      </c>
      <c r="J19" s="60" t="e">
        <f>-BS!#REF!</f>
        <v>#REF!</v>
      </c>
      <c r="K19" s="60" t="e">
        <f>-BS!#REF!</f>
        <v>#REF!</v>
      </c>
      <c r="L19" s="60" t="e">
        <f>-BS!#REF!</f>
        <v>#REF!</v>
      </c>
      <c r="N19" s="60" t="e">
        <f t="shared" si="10"/>
        <v>#REF!</v>
      </c>
      <c r="P19" s="60" t="e">
        <f t="shared" si="11"/>
        <v>#REF!</v>
      </c>
      <c r="Q19" s="60" t="e">
        <f t="shared" si="12"/>
        <v>#REF!</v>
      </c>
      <c r="R19" s="60" t="e">
        <f t="shared" si="13"/>
        <v>#REF!</v>
      </c>
      <c r="S19" s="60" t="e">
        <f t="shared" si="14"/>
        <v>#REF!</v>
      </c>
      <c r="T19" s="60" t="e">
        <f t="shared" si="15"/>
        <v>#REF!</v>
      </c>
    </row>
    <row r="20" spans="1:20" x14ac:dyDescent="0.25">
      <c r="A20" s="51" t="s">
        <v>388</v>
      </c>
      <c r="B20" s="60">
        <f>-BS!I14</f>
        <v>0</v>
      </c>
      <c r="C20" s="60">
        <f>-BS!O14</f>
        <v>0</v>
      </c>
      <c r="D20" s="60" t="e">
        <f>-BS!#REF!</f>
        <v>#REF!</v>
      </c>
      <c r="E20" s="60" t="e">
        <f>-BS!#REF!</f>
        <v>#REF!</v>
      </c>
      <c r="F20" s="60" t="e">
        <f>-BS!#REF!</f>
        <v>#REF!</v>
      </c>
      <c r="G20" s="60" t="e">
        <f>-BS!#REF!</f>
        <v>#REF!</v>
      </c>
      <c r="H20" s="60" t="e">
        <f>-BS!#REF!</f>
        <v>#REF!</v>
      </c>
      <c r="I20" s="60" t="e">
        <f>-BS!#REF!</f>
        <v>#REF!</v>
      </c>
      <c r="J20" s="60" t="e">
        <f>-BS!#REF!</f>
        <v>#REF!</v>
      </c>
      <c r="K20" s="60" t="e">
        <f>-BS!#REF!</f>
        <v>#REF!</v>
      </c>
      <c r="L20" s="60" t="e">
        <f>-BS!#REF!</f>
        <v>#REF!</v>
      </c>
      <c r="N20" s="60" t="e">
        <f t="shared" si="10"/>
        <v>#REF!</v>
      </c>
      <c r="P20" s="60" t="e">
        <f t="shared" si="11"/>
        <v>#REF!</v>
      </c>
      <c r="Q20" s="60" t="e">
        <f t="shared" si="12"/>
        <v>#REF!</v>
      </c>
      <c r="R20" s="60" t="e">
        <f t="shared" si="13"/>
        <v>#REF!</v>
      </c>
      <c r="S20" s="60" t="e">
        <f t="shared" si="14"/>
        <v>#REF!</v>
      </c>
      <c r="T20" s="60" t="e">
        <f t="shared" si="15"/>
        <v>#REF!</v>
      </c>
    </row>
    <row r="21" spans="1:20" x14ac:dyDescent="0.25">
      <c r="A21" s="51" t="s">
        <v>280</v>
      </c>
      <c r="B21" s="60">
        <f>-BS!I8</f>
        <v>-40286632.229000002</v>
      </c>
      <c r="C21" s="60">
        <f>-BS!O8</f>
        <v>-34614827.501000002</v>
      </c>
      <c r="D21" s="60" t="e">
        <f>-BS!#REF!</f>
        <v>#REF!</v>
      </c>
      <c r="E21" s="60" t="e">
        <f>-BS!#REF!</f>
        <v>#REF!</v>
      </c>
      <c r="F21" s="60" t="e">
        <f>-BS!#REF!</f>
        <v>#REF!</v>
      </c>
      <c r="G21" s="60" t="e">
        <f>-BS!#REF!</f>
        <v>#REF!</v>
      </c>
      <c r="H21" s="60" t="e">
        <f>-BS!#REF!</f>
        <v>#REF!</v>
      </c>
      <c r="I21" s="60" t="e">
        <f>-BS!#REF!</f>
        <v>#REF!</v>
      </c>
      <c r="J21" s="60" t="e">
        <f>-BS!#REF!</f>
        <v>#REF!</v>
      </c>
      <c r="K21" s="60" t="e">
        <f>-BS!#REF!</f>
        <v>#REF!</v>
      </c>
      <c r="L21" s="60" t="e">
        <f>-BS!#REF!</f>
        <v>#REF!</v>
      </c>
      <c r="N21" s="60" t="e">
        <f t="shared" si="10"/>
        <v>#REF!</v>
      </c>
      <c r="P21" s="60" t="e">
        <f t="shared" si="11"/>
        <v>#REF!</v>
      </c>
      <c r="Q21" s="60" t="e">
        <f t="shared" si="12"/>
        <v>#REF!</v>
      </c>
      <c r="R21" s="60" t="e">
        <f t="shared" si="13"/>
        <v>#REF!</v>
      </c>
      <c r="S21" s="60" t="e">
        <f t="shared" si="14"/>
        <v>#REF!</v>
      </c>
      <c r="T21" s="60" t="e">
        <f t="shared" si="15"/>
        <v>#REF!</v>
      </c>
    </row>
    <row r="22" spans="1:20" x14ac:dyDescent="0.25">
      <c r="A22" s="51" t="s">
        <v>428</v>
      </c>
      <c r="B22" s="60">
        <f>BS!I31</f>
        <v>502289.05</v>
      </c>
      <c r="C22" s="60">
        <f>BS!O31</f>
        <v>30600617.371999998</v>
      </c>
      <c r="D22" s="60" t="e">
        <f>BS!#REF!</f>
        <v>#REF!</v>
      </c>
      <c r="E22" s="60" t="e">
        <f>BS!#REF!</f>
        <v>#REF!</v>
      </c>
      <c r="F22" s="60" t="e">
        <f>BS!#REF!</f>
        <v>#REF!</v>
      </c>
      <c r="G22" s="60" t="e">
        <f>BS!#REF!</f>
        <v>#REF!</v>
      </c>
      <c r="H22" s="60" t="e">
        <f>BS!#REF!</f>
        <v>#REF!</v>
      </c>
      <c r="I22" s="60" t="e">
        <f>BS!#REF!</f>
        <v>#REF!</v>
      </c>
      <c r="J22" s="60" t="e">
        <f>BS!#REF!</f>
        <v>#REF!</v>
      </c>
      <c r="K22" s="60" t="e">
        <f>BS!#REF!</f>
        <v>#REF!</v>
      </c>
      <c r="L22" s="60" t="e">
        <f>BS!#REF!</f>
        <v>#REF!</v>
      </c>
      <c r="N22" s="60" t="e">
        <f t="shared" si="10"/>
        <v>#REF!</v>
      </c>
      <c r="P22" s="60" t="e">
        <f t="shared" si="11"/>
        <v>#REF!</v>
      </c>
      <c r="Q22" s="60" t="e">
        <f t="shared" si="12"/>
        <v>#REF!</v>
      </c>
      <c r="R22" s="60" t="e">
        <f t="shared" si="13"/>
        <v>#REF!</v>
      </c>
      <c r="S22" s="60" t="e">
        <f t="shared" si="14"/>
        <v>#REF!</v>
      </c>
      <c r="T22" s="60" t="e">
        <f t="shared" si="15"/>
        <v>#REF!</v>
      </c>
    </row>
    <row r="23" spans="1:20" x14ac:dyDescent="0.25">
      <c r="A23" s="51" t="s">
        <v>429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N23" s="60"/>
      <c r="P23" s="60"/>
      <c r="Q23" s="60"/>
      <c r="R23" s="60"/>
      <c r="S23" s="60">
        <f t="shared" si="14"/>
        <v>0</v>
      </c>
      <c r="T23" s="60"/>
    </row>
    <row r="24" spans="1:20" x14ac:dyDescent="0.25">
      <c r="A24" s="51" t="s">
        <v>430</v>
      </c>
      <c r="B24" s="60">
        <f>BS!I26</f>
        <v>6947242.0020000003</v>
      </c>
      <c r="C24" s="60">
        <f>BS!O26</f>
        <v>24407375.57</v>
      </c>
      <c r="D24" s="60" t="e">
        <f>BS!#REF!</f>
        <v>#REF!</v>
      </c>
      <c r="E24" s="60" t="e">
        <f>BS!#REF!</f>
        <v>#REF!</v>
      </c>
      <c r="F24" s="60" t="e">
        <f>BS!#REF!</f>
        <v>#REF!</v>
      </c>
      <c r="G24" s="60" t="e">
        <f>BS!#REF!</f>
        <v>#REF!</v>
      </c>
      <c r="H24" s="60" t="e">
        <f>BS!#REF!</f>
        <v>#REF!</v>
      </c>
      <c r="I24" s="60" t="e">
        <f>BS!#REF!</f>
        <v>#REF!</v>
      </c>
      <c r="J24" s="60" t="e">
        <f>BS!#REF!</f>
        <v>#REF!</v>
      </c>
      <c r="K24" s="60" t="e">
        <f>BS!#REF!</f>
        <v>#REF!</v>
      </c>
      <c r="L24" s="60" t="e">
        <f>BS!#REF!</f>
        <v>#REF!</v>
      </c>
      <c r="N24" s="60" t="e">
        <f>SUM(B24:M24)</f>
        <v>#REF!</v>
      </c>
      <c r="P24" s="60" t="e">
        <f>B24+C24+D24</f>
        <v>#REF!</v>
      </c>
      <c r="Q24" s="60" t="e">
        <f>E24+F24+G24</f>
        <v>#REF!</v>
      </c>
      <c r="R24" s="60" t="e">
        <f>H24+I24+J24</f>
        <v>#REF!</v>
      </c>
      <c r="S24" s="60" t="e">
        <f t="shared" si="14"/>
        <v>#REF!</v>
      </c>
      <c r="T24" s="60" t="e">
        <f>SUM(P24:S24)</f>
        <v>#REF!</v>
      </c>
    </row>
    <row r="25" spans="1:20" ht="6.6" customHeigh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N25" s="53"/>
      <c r="P25" s="53"/>
      <c r="Q25" s="53"/>
      <c r="R25" s="53"/>
      <c r="S25" s="53"/>
      <c r="T25" s="53"/>
    </row>
    <row r="26" spans="1:20" x14ac:dyDescent="0.25">
      <c r="A26" s="49" t="s">
        <v>431</v>
      </c>
      <c r="B26" s="50" t="e">
        <f>SUM(B16:B24)</f>
        <v>#REF!</v>
      </c>
      <c r="C26" s="50" t="e">
        <f>SUM(C16:C24)</f>
        <v>#REF!</v>
      </c>
      <c r="D26" s="50" t="e">
        <f t="shared" ref="D26:F26" si="16">SUM(D16:D24)</f>
        <v>#REF!</v>
      </c>
      <c r="E26" s="50" t="e">
        <f t="shared" si="16"/>
        <v>#REF!</v>
      </c>
      <c r="F26" s="50" t="e">
        <f t="shared" si="16"/>
        <v>#REF!</v>
      </c>
      <c r="G26" s="50" t="e">
        <f t="shared" ref="G26:H26" si="17">SUM(G16:G24)</f>
        <v>#REF!</v>
      </c>
      <c r="H26" s="50" t="e">
        <f t="shared" si="17"/>
        <v>#REF!</v>
      </c>
      <c r="I26" s="50" t="e">
        <f t="shared" ref="I26:J26" si="18">SUM(I16:I24)</f>
        <v>#REF!</v>
      </c>
      <c r="J26" s="50" t="e">
        <f t="shared" si="18"/>
        <v>#REF!</v>
      </c>
      <c r="K26" s="50" t="e">
        <f t="shared" ref="K26:L26" si="19">SUM(K16:K24)</f>
        <v>#REF!</v>
      </c>
      <c r="L26" s="50" t="e">
        <f t="shared" si="19"/>
        <v>#REF!</v>
      </c>
      <c r="N26" s="50" t="e">
        <f t="shared" ref="N26" si="20">SUM(N16:N24)</f>
        <v>#REF!</v>
      </c>
      <c r="P26" s="50" t="e">
        <f t="shared" ref="P26:T26" si="21">SUM(P16:P24)</f>
        <v>#REF!</v>
      </c>
      <c r="Q26" s="50" t="e">
        <f t="shared" si="21"/>
        <v>#REF!</v>
      </c>
      <c r="R26" s="50" t="e">
        <f t="shared" si="21"/>
        <v>#REF!</v>
      </c>
      <c r="S26" s="50" t="e">
        <f t="shared" si="21"/>
        <v>#REF!</v>
      </c>
      <c r="T26" s="50" t="e">
        <f t="shared" si="21"/>
        <v>#REF!</v>
      </c>
    </row>
    <row r="27" spans="1:20" ht="9.6" customHeight="1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N27" s="50"/>
      <c r="P27" s="50"/>
      <c r="Q27" s="50"/>
      <c r="R27" s="50"/>
      <c r="S27" s="50"/>
      <c r="T27" s="50"/>
    </row>
    <row r="28" spans="1:20" x14ac:dyDescent="0.25">
      <c r="A28" s="51" t="s">
        <v>432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N28" s="50"/>
      <c r="P28" s="50"/>
      <c r="Q28" s="50"/>
      <c r="R28" s="50"/>
      <c r="S28" s="50"/>
      <c r="T28" s="50"/>
    </row>
    <row r="29" spans="1:20" x14ac:dyDescent="0.25">
      <c r="A29" s="51" t="s">
        <v>433</v>
      </c>
      <c r="B29" s="60">
        <f>BS!I25</f>
        <v>983057</v>
      </c>
      <c r="C29" s="60">
        <f>BS!O25</f>
        <v>0</v>
      </c>
      <c r="D29" s="60" t="e">
        <f>BS!#REF!</f>
        <v>#REF!</v>
      </c>
      <c r="E29" s="60" t="e">
        <f>BS!#REF!</f>
        <v>#REF!</v>
      </c>
      <c r="F29" s="60" t="e">
        <f>BS!#REF!</f>
        <v>#REF!</v>
      </c>
      <c r="G29" s="60" t="e">
        <f>BS!#REF!</f>
        <v>#REF!</v>
      </c>
      <c r="H29" s="60" t="e">
        <f>BS!#REF!</f>
        <v>#REF!</v>
      </c>
      <c r="I29" s="60" t="e">
        <f>BS!#REF!</f>
        <v>#REF!</v>
      </c>
      <c r="J29" s="60" t="e">
        <f>BS!#REF!</f>
        <v>#REF!</v>
      </c>
      <c r="K29" s="60" t="e">
        <f>BS!#REF!</f>
        <v>#REF!</v>
      </c>
      <c r="L29" s="60" t="e">
        <f>BS!#REF!</f>
        <v>#REF!</v>
      </c>
      <c r="N29" s="60" t="e">
        <f>SUM(B29:M29)</f>
        <v>#REF!</v>
      </c>
      <c r="P29" s="60" t="e">
        <f>B29+C29+D29</f>
        <v>#REF!</v>
      </c>
      <c r="Q29" s="60" t="e">
        <f>E29+F29+G29</f>
        <v>#REF!</v>
      </c>
      <c r="R29" s="60" t="e">
        <f>H29+I29+J29</f>
        <v>#REF!</v>
      </c>
      <c r="S29" s="60" t="e">
        <f t="shared" ref="S29:S31" si="22">K29+L29</f>
        <v>#REF!</v>
      </c>
      <c r="T29" s="60" t="e">
        <f>SUM(P29:S29)</f>
        <v>#REF!</v>
      </c>
    </row>
    <row r="30" spans="1:20" hidden="1" x14ac:dyDescent="0.25">
      <c r="A30" s="51" t="s">
        <v>434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N30" s="50"/>
      <c r="P30" s="50"/>
      <c r="Q30" s="50"/>
      <c r="R30" s="50"/>
      <c r="S30" s="50">
        <f t="shared" si="22"/>
        <v>0</v>
      </c>
      <c r="T30" s="50"/>
    </row>
    <row r="31" spans="1:20" hidden="1" x14ac:dyDescent="0.25">
      <c r="A31" s="51" t="s">
        <v>435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N31" s="50"/>
      <c r="P31" s="50"/>
      <c r="Q31" s="50"/>
      <c r="R31" s="50"/>
      <c r="S31" s="50">
        <f t="shared" si="22"/>
        <v>0</v>
      </c>
      <c r="T31" s="50"/>
    </row>
    <row r="32" spans="1:20" x14ac:dyDescent="0.25"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N32" s="133"/>
      <c r="P32" s="133"/>
      <c r="Q32" s="133"/>
      <c r="R32" s="133"/>
      <c r="S32" s="133"/>
      <c r="T32" s="133"/>
    </row>
    <row r="33" spans="1:20" x14ac:dyDescent="0.25">
      <c r="A33" s="49" t="s">
        <v>436</v>
      </c>
      <c r="B33" s="136" t="e">
        <f>SUM(B26:B31)</f>
        <v>#REF!</v>
      </c>
      <c r="C33" s="136" t="e">
        <f>SUM(C26:C31)</f>
        <v>#REF!</v>
      </c>
      <c r="D33" s="136" t="e">
        <f t="shared" ref="D33:F33" si="23">SUM(D26:D31)</f>
        <v>#REF!</v>
      </c>
      <c r="E33" s="136" t="e">
        <f t="shared" si="23"/>
        <v>#REF!</v>
      </c>
      <c r="F33" s="136" t="e">
        <f t="shared" si="23"/>
        <v>#REF!</v>
      </c>
      <c r="G33" s="136" t="e">
        <f t="shared" ref="G33:H33" si="24">SUM(G26:G31)</f>
        <v>#REF!</v>
      </c>
      <c r="H33" s="136" t="e">
        <f t="shared" si="24"/>
        <v>#REF!</v>
      </c>
      <c r="I33" s="136" t="e">
        <f t="shared" ref="I33:J33" si="25">SUM(I26:I31)</f>
        <v>#REF!</v>
      </c>
      <c r="J33" s="136" t="e">
        <f t="shared" si="25"/>
        <v>#REF!</v>
      </c>
      <c r="K33" s="136" t="e">
        <f t="shared" ref="K33:L33" si="26">SUM(K26:K31)</f>
        <v>#REF!</v>
      </c>
      <c r="L33" s="136" t="e">
        <f t="shared" si="26"/>
        <v>#REF!</v>
      </c>
      <c r="N33" s="136" t="e">
        <f t="shared" ref="N33" si="27">SUM(N26:N31)</f>
        <v>#REF!</v>
      </c>
      <c r="P33" s="137" t="e">
        <f t="shared" ref="P33:T33" si="28">SUM(P26:P31)</f>
        <v>#REF!</v>
      </c>
      <c r="Q33" s="137" t="e">
        <f t="shared" si="28"/>
        <v>#REF!</v>
      </c>
      <c r="R33" s="137" t="e">
        <f t="shared" si="28"/>
        <v>#REF!</v>
      </c>
      <c r="S33" s="137" t="e">
        <f t="shared" si="28"/>
        <v>#REF!</v>
      </c>
      <c r="T33" s="134" t="e">
        <f t="shared" si="28"/>
        <v>#REF!</v>
      </c>
    </row>
    <row r="34" spans="1:20" x14ac:dyDescent="0.25">
      <c r="A34" s="55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N34" s="50"/>
      <c r="P34" s="50"/>
      <c r="Q34" s="50"/>
      <c r="R34" s="50"/>
      <c r="S34" s="50"/>
      <c r="T34" s="50"/>
    </row>
    <row r="35" spans="1:20" x14ac:dyDescent="0.25">
      <c r="A35" s="49" t="s">
        <v>437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N35" s="50"/>
      <c r="P35" s="50"/>
      <c r="Q35" s="50"/>
      <c r="R35" s="50"/>
      <c r="S35" s="50"/>
      <c r="T35" s="50"/>
    </row>
    <row r="36" spans="1:20" x14ac:dyDescent="0.25">
      <c r="A36" s="51" t="s">
        <v>438</v>
      </c>
      <c r="B36" s="61" t="e">
        <f>-BS!I15-B8</f>
        <v>#REF!</v>
      </c>
      <c r="C36" s="61" t="e">
        <f>-BS!O15-C8</f>
        <v>#REF!</v>
      </c>
      <c r="D36" s="61" t="e">
        <f>-BS!#REF!-D8</f>
        <v>#REF!</v>
      </c>
      <c r="E36" s="61" t="e">
        <f>-BS!#REF!-E8</f>
        <v>#REF!</v>
      </c>
      <c r="F36" s="61" t="e">
        <f>-BS!#REF!-F8</f>
        <v>#REF!</v>
      </c>
      <c r="G36" s="61" t="e">
        <f>-BS!#REF!-G8</f>
        <v>#REF!</v>
      </c>
      <c r="H36" s="61" t="e">
        <f>-BS!#REF!-H8</f>
        <v>#REF!</v>
      </c>
      <c r="I36" s="61" t="e">
        <f>-BS!#REF!-I8</f>
        <v>#REF!</v>
      </c>
      <c r="J36" s="61" t="e">
        <f>-BS!#REF!-J8</f>
        <v>#REF!</v>
      </c>
      <c r="K36" s="61" t="e">
        <f>-BS!#REF!-K8</f>
        <v>#REF!</v>
      </c>
      <c r="L36" s="61" t="e">
        <f>-BS!#REF!-L8</f>
        <v>#REF!</v>
      </c>
      <c r="N36" s="61" t="e">
        <f t="shared" ref="N36:N37" si="29">SUM(B36:M36)</f>
        <v>#REF!</v>
      </c>
      <c r="P36" s="61" t="e">
        <f t="shared" ref="P36:P37" si="30">B36+C36+D36</f>
        <v>#REF!</v>
      </c>
      <c r="Q36" s="61" t="e">
        <f t="shared" ref="Q36:Q37" si="31">E36+F36+G36</f>
        <v>#REF!</v>
      </c>
      <c r="R36" s="61" t="e">
        <f t="shared" ref="R36:R37" si="32">H36+I36+J36</f>
        <v>#REF!</v>
      </c>
      <c r="S36" s="61" t="e">
        <f t="shared" ref="S36:S38" si="33">K36+L36</f>
        <v>#REF!</v>
      </c>
      <c r="T36" s="61" t="e">
        <f t="shared" ref="T36:T37" si="34">SUM(P36:S36)</f>
        <v>#REF!</v>
      </c>
    </row>
    <row r="37" spans="1:20" x14ac:dyDescent="0.25">
      <c r="A37" s="51" t="s">
        <v>391</v>
      </c>
      <c r="B37" s="61">
        <f>-BS!I16-B9</f>
        <v>0</v>
      </c>
      <c r="C37" s="61">
        <f>-BS!O16-C9</f>
        <v>0</v>
      </c>
      <c r="D37" s="61" t="e">
        <f>-BS!#REF!-D9</f>
        <v>#REF!</v>
      </c>
      <c r="E37" s="61" t="e">
        <f>-BS!#REF!-E9</f>
        <v>#REF!</v>
      </c>
      <c r="F37" s="61" t="e">
        <f>-BS!#REF!-F9</f>
        <v>#REF!</v>
      </c>
      <c r="G37" s="61" t="e">
        <f>-BS!#REF!-G9</f>
        <v>#REF!</v>
      </c>
      <c r="H37" s="61" t="e">
        <f>-BS!#REF!-H9</f>
        <v>#REF!</v>
      </c>
      <c r="I37" s="61" t="e">
        <f>-BS!#REF!-I9</f>
        <v>#REF!</v>
      </c>
      <c r="J37" s="61" t="e">
        <f>-BS!#REF!-J9</f>
        <v>#REF!</v>
      </c>
      <c r="K37" s="61" t="e">
        <f>-BS!#REF!-K9</f>
        <v>#REF!</v>
      </c>
      <c r="L37" s="61" t="e">
        <f>-BS!#REF!-L9</f>
        <v>#REF!</v>
      </c>
      <c r="N37" s="61" t="e">
        <f t="shared" si="29"/>
        <v>#REF!</v>
      </c>
      <c r="P37" s="61" t="e">
        <f t="shared" si="30"/>
        <v>#REF!</v>
      </c>
      <c r="Q37" s="61" t="e">
        <f t="shared" si="31"/>
        <v>#REF!</v>
      </c>
      <c r="R37" s="61" t="e">
        <f t="shared" si="32"/>
        <v>#REF!</v>
      </c>
      <c r="S37" s="61" t="e">
        <f t="shared" si="33"/>
        <v>#REF!</v>
      </c>
      <c r="T37" s="61" t="e">
        <f t="shared" si="34"/>
        <v>#REF!</v>
      </c>
    </row>
    <row r="38" spans="1:20" x14ac:dyDescent="0.25">
      <c r="A38" s="51" t="s">
        <v>439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N38" s="56"/>
      <c r="P38" s="56"/>
      <c r="Q38" s="56"/>
      <c r="R38" s="56"/>
      <c r="S38" s="56">
        <f t="shared" si="33"/>
        <v>0</v>
      </c>
      <c r="T38" s="56"/>
    </row>
    <row r="39" spans="1:20" ht="7.9" customHeight="1" x14ac:dyDescent="0.25">
      <c r="A39" s="55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N39" s="53"/>
      <c r="P39" s="53"/>
      <c r="Q39" s="53"/>
      <c r="R39" s="53"/>
      <c r="S39" s="53"/>
      <c r="T39" s="53"/>
    </row>
    <row r="40" spans="1:20" x14ac:dyDescent="0.25">
      <c r="A40" s="49" t="s">
        <v>440</v>
      </c>
      <c r="B40" s="136" t="e">
        <f>SUM(B36:B39)</f>
        <v>#REF!</v>
      </c>
      <c r="C40" s="136" t="e">
        <f>SUM(C36:C39)</f>
        <v>#REF!</v>
      </c>
      <c r="D40" s="136" t="e">
        <f t="shared" ref="D40:N40" si="35">SUM(D36:D39)</f>
        <v>#REF!</v>
      </c>
      <c r="E40" s="136" t="e">
        <f t="shared" si="35"/>
        <v>#REF!</v>
      </c>
      <c r="F40" s="136" t="e">
        <f t="shared" si="35"/>
        <v>#REF!</v>
      </c>
      <c r="G40" s="136" t="e">
        <f t="shared" ref="G40:H40" si="36">SUM(G36:G39)</f>
        <v>#REF!</v>
      </c>
      <c r="H40" s="136" t="e">
        <f t="shared" si="36"/>
        <v>#REF!</v>
      </c>
      <c r="I40" s="136" t="e">
        <f t="shared" ref="I40:J40" si="37">SUM(I36:I39)</f>
        <v>#REF!</v>
      </c>
      <c r="J40" s="136" t="e">
        <f t="shared" si="37"/>
        <v>#REF!</v>
      </c>
      <c r="K40" s="136" t="e">
        <f t="shared" ref="K40:L40" si="38">SUM(K36:K39)</f>
        <v>#REF!</v>
      </c>
      <c r="L40" s="136" t="e">
        <f t="shared" si="38"/>
        <v>#REF!</v>
      </c>
      <c r="N40" s="136" t="e">
        <f t="shared" si="35"/>
        <v>#REF!</v>
      </c>
      <c r="P40" s="54" t="e">
        <f t="shared" ref="P40:T40" si="39">SUM(P36:P39)</f>
        <v>#REF!</v>
      </c>
      <c r="Q40" s="54" t="e">
        <f t="shared" si="39"/>
        <v>#REF!</v>
      </c>
      <c r="R40" s="54" t="e">
        <f t="shared" si="39"/>
        <v>#REF!</v>
      </c>
      <c r="S40" s="54" t="e">
        <f t="shared" si="39"/>
        <v>#REF!</v>
      </c>
      <c r="T40" s="54" t="e">
        <f t="shared" si="39"/>
        <v>#REF!</v>
      </c>
    </row>
    <row r="41" spans="1:20" x14ac:dyDescent="0.25">
      <c r="A41" s="55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N41" s="50"/>
      <c r="P41" s="50"/>
      <c r="Q41" s="50"/>
      <c r="R41" s="50"/>
      <c r="S41" s="50"/>
      <c r="T41" s="50"/>
    </row>
    <row r="42" spans="1:20" x14ac:dyDescent="0.25">
      <c r="A42" s="49" t="s">
        <v>441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N42" s="50"/>
      <c r="P42" s="50"/>
      <c r="Q42" s="50"/>
      <c r="R42" s="50"/>
      <c r="S42" s="50">
        <f t="shared" ref="S42:S47" si="40">K42+L42</f>
        <v>0</v>
      </c>
      <c r="T42" s="50"/>
    </row>
    <row r="43" spans="1:20" x14ac:dyDescent="0.25">
      <c r="A43" s="51" t="s">
        <v>442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N43" s="50"/>
      <c r="P43" s="50"/>
      <c r="Q43" s="50"/>
      <c r="R43" s="50"/>
      <c r="S43" s="50">
        <f t="shared" si="40"/>
        <v>0</v>
      </c>
      <c r="T43" s="50"/>
    </row>
    <row r="44" spans="1:20" x14ac:dyDescent="0.25">
      <c r="A44" s="51" t="s">
        <v>448</v>
      </c>
      <c r="B44" s="60">
        <f>BS!I30+BS!I24</f>
        <v>1874374</v>
      </c>
      <c r="C44" s="60">
        <f>BS!O30+BS!O24</f>
        <v>2585822.0490000001</v>
      </c>
      <c r="D44" s="60" t="e">
        <f>BS!#REF!+BS!#REF!</f>
        <v>#REF!</v>
      </c>
      <c r="E44" s="60" t="e">
        <f>BS!#REF!+BS!#REF!</f>
        <v>#REF!</v>
      </c>
      <c r="F44" s="60" t="e">
        <f>BS!#REF!+BS!#REF!</f>
        <v>#REF!</v>
      </c>
      <c r="G44" s="60" t="e">
        <f>BS!#REF!+BS!#REF!</f>
        <v>#REF!</v>
      </c>
      <c r="H44" s="60" t="e">
        <f>BS!#REF!+BS!#REF!</f>
        <v>#REF!</v>
      </c>
      <c r="I44" s="60" t="e">
        <f>BS!#REF!+BS!#REF!</f>
        <v>#REF!</v>
      </c>
      <c r="J44" s="60" t="e">
        <f>BS!#REF!+BS!#REF!</f>
        <v>#REF!</v>
      </c>
      <c r="K44" s="60" t="e">
        <f>BS!#REF!+BS!#REF!</f>
        <v>#REF!</v>
      </c>
      <c r="L44" s="60" t="e">
        <f>BS!#REF!+BS!#REF!</f>
        <v>#REF!</v>
      </c>
      <c r="N44" s="60" t="e">
        <f>SUM(B44:M44)</f>
        <v>#REF!</v>
      </c>
      <c r="P44" s="60" t="e">
        <f t="shared" ref="P44:P47" si="41">B44+C44+D44</f>
        <v>#REF!</v>
      </c>
      <c r="Q44" s="60" t="e">
        <f t="shared" ref="Q44:Q47" si="42">E44+F44+G44</f>
        <v>#REF!</v>
      </c>
      <c r="R44" s="60" t="e">
        <f t="shared" ref="R44:R47" si="43">H44+I44+J44</f>
        <v>#REF!</v>
      </c>
      <c r="S44" s="60" t="e">
        <f t="shared" si="40"/>
        <v>#REF!</v>
      </c>
      <c r="T44" s="60" t="e">
        <f t="shared" ref="T44:T47" si="44">SUM(P44:S44)</f>
        <v>#REF!</v>
      </c>
    </row>
    <row r="45" spans="1:20" x14ac:dyDescent="0.25">
      <c r="A45" s="51" t="s">
        <v>449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N45" s="60"/>
      <c r="P45" s="60">
        <f t="shared" si="41"/>
        <v>0</v>
      </c>
      <c r="Q45" s="60">
        <f t="shared" si="42"/>
        <v>0</v>
      </c>
      <c r="R45" s="60">
        <f t="shared" si="43"/>
        <v>0</v>
      </c>
      <c r="S45" s="60">
        <f t="shared" si="40"/>
        <v>0</v>
      </c>
      <c r="T45" s="60">
        <f t="shared" si="44"/>
        <v>0</v>
      </c>
    </row>
    <row r="46" spans="1:20" x14ac:dyDescent="0.25">
      <c r="A46" s="51" t="s">
        <v>443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N46" s="60"/>
      <c r="P46" s="60">
        <f t="shared" si="41"/>
        <v>0</v>
      </c>
      <c r="Q46" s="60">
        <f t="shared" si="42"/>
        <v>0</v>
      </c>
      <c r="R46" s="60">
        <f t="shared" si="43"/>
        <v>0</v>
      </c>
      <c r="S46" s="60">
        <f t="shared" si="40"/>
        <v>0</v>
      </c>
      <c r="T46" s="60">
        <f t="shared" si="44"/>
        <v>0</v>
      </c>
    </row>
    <row r="47" spans="1:20" x14ac:dyDescent="0.25">
      <c r="A47" s="51" t="s">
        <v>444</v>
      </c>
      <c r="B47" s="60" t="e">
        <f>BS!I23-B14</f>
        <v>#REF!</v>
      </c>
      <c r="C47" s="60" t="e">
        <f>BS!O23-C14</f>
        <v>#REF!</v>
      </c>
      <c r="D47" s="60" t="e">
        <f>BS!#REF!-D14</f>
        <v>#REF!</v>
      </c>
      <c r="E47" s="60" t="e">
        <f>BS!#REF!-E14</f>
        <v>#REF!</v>
      </c>
      <c r="F47" s="60" t="e">
        <f>BS!#REF!-F14</f>
        <v>#REF!</v>
      </c>
      <c r="G47" s="60" t="e">
        <f>BS!#REF!-G14</f>
        <v>#REF!</v>
      </c>
      <c r="H47" s="60" t="e">
        <f>BS!#REF!-H14</f>
        <v>#REF!</v>
      </c>
      <c r="I47" s="60" t="e">
        <f>BS!#REF!-I14</f>
        <v>#REF!</v>
      </c>
      <c r="J47" s="60" t="e">
        <f>BS!#REF!-J14</f>
        <v>#REF!</v>
      </c>
      <c r="K47" s="60" t="e">
        <f>BS!#REF!-K14</f>
        <v>#REF!</v>
      </c>
      <c r="L47" s="60" t="e">
        <f>BS!#REF!-L14</f>
        <v>#REF!</v>
      </c>
      <c r="N47" s="60" t="e">
        <f>SUM(B47:M47)</f>
        <v>#REF!</v>
      </c>
      <c r="P47" s="60" t="e">
        <f t="shared" si="41"/>
        <v>#REF!</v>
      </c>
      <c r="Q47" s="60" t="e">
        <f t="shared" si="42"/>
        <v>#REF!</v>
      </c>
      <c r="R47" s="60" t="e">
        <f t="shared" si="43"/>
        <v>#REF!</v>
      </c>
      <c r="S47" s="60" t="e">
        <f t="shared" si="40"/>
        <v>#REF!</v>
      </c>
      <c r="T47" s="60" t="e">
        <f t="shared" si="44"/>
        <v>#REF!</v>
      </c>
    </row>
    <row r="49" spans="1:20" x14ac:dyDescent="0.25">
      <c r="A49" s="49" t="s">
        <v>445</v>
      </c>
      <c r="B49" s="136" t="e">
        <f>SUM(B43:B48)</f>
        <v>#REF!</v>
      </c>
      <c r="C49" s="136" t="e">
        <f>SUM(C43:C48)</f>
        <v>#REF!</v>
      </c>
      <c r="D49" s="136" t="e">
        <f t="shared" ref="D49:N49" si="45">SUM(D43:D48)</f>
        <v>#REF!</v>
      </c>
      <c r="E49" s="136" t="e">
        <f t="shared" si="45"/>
        <v>#REF!</v>
      </c>
      <c r="F49" s="136" t="e">
        <f t="shared" si="45"/>
        <v>#REF!</v>
      </c>
      <c r="G49" s="136" t="e">
        <f t="shared" ref="G49" si="46">SUM(G43:G48)</f>
        <v>#REF!</v>
      </c>
      <c r="H49" s="136" t="e">
        <f>SUM(H43:H48)</f>
        <v>#REF!</v>
      </c>
      <c r="I49" s="136" t="e">
        <f>SUM(I43:I48)</f>
        <v>#REF!</v>
      </c>
      <c r="J49" s="136" t="e">
        <f>SUM(J43:J48)</f>
        <v>#REF!</v>
      </c>
      <c r="K49" s="136" t="e">
        <f>SUM(K43:K48)</f>
        <v>#REF!</v>
      </c>
      <c r="L49" s="136" t="e">
        <f>SUM(L43:L48)</f>
        <v>#REF!</v>
      </c>
      <c r="N49" s="136" t="e">
        <f t="shared" si="45"/>
        <v>#REF!</v>
      </c>
      <c r="P49" s="54" t="e">
        <f>SUM(P43:P48)</f>
        <v>#REF!</v>
      </c>
      <c r="Q49" s="54" t="e">
        <f t="shared" ref="Q49:T49" si="47">SUM(Q43:Q48)</f>
        <v>#REF!</v>
      </c>
      <c r="R49" s="54" t="e">
        <f t="shared" si="47"/>
        <v>#REF!</v>
      </c>
      <c r="S49" s="54" t="e">
        <f t="shared" si="47"/>
        <v>#REF!</v>
      </c>
      <c r="T49" s="54" t="e">
        <f t="shared" si="47"/>
        <v>#REF!</v>
      </c>
    </row>
    <row r="50" spans="1:20" x14ac:dyDescent="0.25">
      <c r="A50" s="49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N50" s="50"/>
      <c r="P50" s="50"/>
      <c r="Q50" s="50"/>
      <c r="R50" s="50"/>
      <c r="S50" s="50"/>
      <c r="T50" s="50"/>
    </row>
    <row r="51" spans="1:20" x14ac:dyDescent="0.25">
      <c r="A51" s="49" t="s">
        <v>446</v>
      </c>
      <c r="B51" s="50" t="e">
        <f>B33+B40+B49</f>
        <v>#REF!</v>
      </c>
      <c r="C51" s="50" t="e">
        <f>C33+C40+C49</f>
        <v>#REF!</v>
      </c>
      <c r="D51" s="50" t="e">
        <f t="shared" ref="D51:F51" si="48">D33+D40+D49</f>
        <v>#REF!</v>
      </c>
      <c r="E51" s="50" t="e">
        <f t="shared" si="48"/>
        <v>#REF!</v>
      </c>
      <c r="F51" s="50" t="e">
        <f t="shared" si="48"/>
        <v>#REF!</v>
      </c>
      <c r="G51" s="50" t="e">
        <f t="shared" ref="G51" si="49">G33+G40+G49</f>
        <v>#REF!</v>
      </c>
      <c r="H51" s="50" t="e">
        <f>H33+H40+H49</f>
        <v>#REF!</v>
      </c>
      <c r="I51" s="50" t="e">
        <f>I33+I40+I49</f>
        <v>#REF!</v>
      </c>
      <c r="J51" s="50" t="e">
        <f>J33+J40+J49</f>
        <v>#REF!</v>
      </c>
      <c r="K51" s="50" t="e">
        <f>K33+K40+K49</f>
        <v>#REF!</v>
      </c>
      <c r="L51" s="50" t="e">
        <f>L33+L40+L49</f>
        <v>#REF!</v>
      </c>
      <c r="N51" s="50" t="e">
        <f>N33+N40+N49</f>
        <v>#REF!</v>
      </c>
      <c r="P51" s="50" t="e">
        <f>P33+P40+P49</f>
        <v>#REF!</v>
      </c>
      <c r="Q51" s="50" t="e">
        <f t="shared" ref="Q51:S51" si="50">Q33+Q40+Q49</f>
        <v>#REF!</v>
      </c>
      <c r="R51" s="50" t="e">
        <f t="shared" si="50"/>
        <v>#REF!</v>
      </c>
      <c r="S51" s="50" t="e">
        <f t="shared" si="50"/>
        <v>#REF!</v>
      </c>
      <c r="T51" s="50" t="e">
        <f>T33+T40+T49</f>
        <v>#REF!</v>
      </c>
    </row>
    <row r="52" spans="1:20" ht="9" customHeight="1" x14ac:dyDescent="0.25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N52" s="50"/>
      <c r="P52" s="50"/>
      <c r="Q52" s="50"/>
      <c r="R52" s="50"/>
      <c r="S52" s="50"/>
      <c r="T52" s="50"/>
    </row>
    <row r="53" spans="1:20" x14ac:dyDescent="0.25">
      <c r="A53" s="55" t="s">
        <v>526</v>
      </c>
      <c r="B53" s="50" t="e">
        <f>BS!#REF!</f>
        <v>#REF!</v>
      </c>
      <c r="C53" s="50">
        <f>BS!E7</f>
        <v>4470130.79</v>
      </c>
      <c r="D53" s="50">
        <f>BS!K7</f>
        <v>10651132.045</v>
      </c>
      <c r="E53" s="50" t="e">
        <f>BS!#REF!</f>
        <v>#REF!</v>
      </c>
      <c r="F53" s="50" t="e">
        <f>BS!#REF!</f>
        <v>#REF!</v>
      </c>
      <c r="G53" s="50" t="e">
        <f>BS!#REF!</f>
        <v>#REF!</v>
      </c>
      <c r="H53" s="50" t="e">
        <f>BS!#REF!</f>
        <v>#REF!</v>
      </c>
      <c r="I53" s="50" t="e">
        <f>BS!#REF!</f>
        <v>#REF!</v>
      </c>
      <c r="J53" s="50" t="e">
        <f>BS!#REF!</f>
        <v>#REF!</v>
      </c>
      <c r="K53" s="50" t="e">
        <f>BS!#REF!</f>
        <v>#REF!</v>
      </c>
      <c r="L53" s="50" t="e">
        <f>BS!#REF!</f>
        <v>#REF!</v>
      </c>
      <c r="N53" s="50" t="e">
        <f>B53</f>
        <v>#REF!</v>
      </c>
      <c r="P53" s="50" t="e">
        <f>B53</f>
        <v>#REF!</v>
      </c>
      <c r="Q53" s="50" t="e">
        <f>E53</f>
        <v>#REF!</v>
      </c>
      <c r="R53" s="50" t="e">
        <f>H53</f>
        <v>#REF!</v>
      </c>
      <c r="S53" s="50" t="e">
        <f t="shared" ref="S53" si="51">K53</f>
        <v>#REF!</v>
      </c>
      <c r="T53" s="50" t="e">
        <f>P53</f>
        <v>#REF!</v>
      </c>
    </row>
    <row r="54" spans="1:20" x14ac:dyDescent="0.25">
      <c r="A54" s="55" t="s">
        <v>447</v>
      </c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N54" s="50"/>
      <c r="P54" s="50"/>
      <c r="Q54" s="50"/>
      <c r="R54" s="50"/>
      <c r="S54" s="50"/>
      <c r="T54" s="50"/>
    </row>
    <row r="55" spans="1:20" ht="8.4499999999999993" customHeight="1" x14ac:dyDescent="0.25">
      <c r="A55" s="55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N55" s="50"/>
      <c r="P55" s="50"/>
      <c r="Q55" s="50"/>
      <c r="R55" s="50"/>
      <c r="S55" s="50"/>
      <c r="T55" s="50"/>
    </row>
    <row r="56" spans="1:20" ht="15.75" thickBot="1" x14ac:dyDescent="0.3">
      <c r="A56" s="57" t="s">
        <v>525</v>
      </c>
      <c r="B56" s="139" t="e">
        <f>B51+B53+B54</f>
        <v>#REF!</v>
      </c>
      <c r="C56" s="139" t="e">
        <f>C51+C53+C54</f>
        <v>#REF!</v>
      </c>
      <c r="D56" s="139" t="e">
        <f t="shared" ref="D56:F56" si="52">D51+D53+D54</f>
        <v>#REF!</v>
      </c>
      <c r="E56" s="139" t="e">
        <f t="shared" si="52"/>
        <v>#REF!</v>
      </c>
      <c r="F56" s="139" t="e">
        <f t="shared" si="52"/>
        <v>#REF!</v>
      </c>
      <c r="G56" s="139" t="e">
        <f t="shared" ref="G56" si="53">G51+G53+G54</f>
        <v>#REF!</v>
      </c>
      <c r="H56" s="139" t="e">
        <f>H51+H53+H54</f>
        <v>#REF!</v>
      </c>
      <c r="I56" s="139" t="e">
        <f>I51+I53+I54</f>
        <v>#REF!</v>
      </c>
      <c r="J56" s="139" t="e">
        <f>J51+J53+J54</f>
        <v>#REF!</v>
      </c>
      <c r="K56" s="139" t="e">
        <f>K51+K53+K54</f>
        <v>#REF!</v>
      </c>
      <c r="L56" s="139" t="e">
        <f>L51+L53+L54</f>
        <v>#REF!</v>
      </c>
      <c r="N56" s="139" t="e">
        <f>N51+N53+N54</f>
        <v>#REF!</v>
      </c>
      <c r="P56" s="58" t="e">
        <f>P51+P53+P54</f>
        <v>#REF!</v>
      </c>
      <c r="Q56" s="58" t="e">
        <f t="shared" ref="Q56:S56" si="54">Q51+Q53+Q54</f>
        <v>#REF!</v>
      </c>
      <c r="R56" s="58" t="e">
        <f t="shared" si="54"/>
        <v>#REF!</v>
      </c>
      <c r="S56" s="58" t="e">
        <f t="shared" si="54"/>
        <v>#REF!</v>
      </c>
      <c r="T56" s="58" t="e">
        <f>T51+T53+T54</f>
        <v>#REF!</v>
      </c>
    </row>
    <row r="57" spans="1:20" ht="15.75" thickTop="1" x14ac:dyDescent="0.25">
      <c r="A57" s="57"/>
      <c r="B57" s="50" t="e">
        <f>BS!E7-CF!B56</f>
        <v>#REF!</v>
      </c>
      <c r="C57" s="50" t="e">
        <f>BS!K7-C56</f>
        <v>#REF!</v>
      </c>
      <c r="D57" s="50" t="e">
        <f>BS!#REF!-D56</f>
        <v>#REF!</v>
      </c>
      <c r="E57" s="50" t="e">
        <f>BS!#REF!-E56</f>
        <v>#REF!</v>
      </c>
      <c r="F57" s="50" t="e">
        <f>BS!#REF!-F56</f>
        <v>#REF!</v>
      </c>
      <c r="G57" s="50" t="e">
        <f>BS!#REF!-G56</f>
        <v>#REF!</v>
      </c>
      <c r="H57" s="50" t="e">
        <f>BS!#REF!-H56</f>
        <v>#REF!</v>
      </c>
      <c r="I57" s="50" t="e">
        <f>BS!#REF!-I56</f>
        <v>#REF!</v>
      </c>
      <c r="J57" s="50" t="e">
        <f>BS!#REF!-J56</f>
        <v>#REF!</v>
      </c>
      <c r="K57" s="50" t="e">
        <f>BS!#REF!-K56</f>
        <v>#REF!</v>
      </c>
      <c r="L57" s="50" t="e">
        <f>BS!#REF!-L56</f>
        <v>#REF!</v>
      </c>
      <c r="N57" s="50" t="e">
        <f>BS!#REF!-N56</f>
        <v>#REF!</v>
      </c>
      <c r="P57" s="50" t="e">
        <f>D56-P56</f>
        <v>#REF!</v>
      </c>
      <c r="Q57" s="50" t="e">
        <f>G56-Q56</f>
        <v>#REF!</v>
      </c>
      <c r="R57" s="50" t="e">
        <f>J56-R56</f>
        <v>#REF!</v>
      </c>
      <c r="S57" s="50" t="e">
        <f>L56-S56</f>
        <v>#REF!</v>
      </c>
      <c r="T57" s="50" t="e">
        <f>N56-T56</f>
        <v>#REF!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4E28-18EC-4478-BF46-86AA78ABA0F3}">
  <dimension ref="A1:AQ22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cols>
    <col min="1" max="1" width="9.5703125" customWidth="1"/>
    <col min="2" max="2" width="34.5703125" bestFit="1" customWidth="1"/>
    <col min="3" max="13" width="13.28515625" style="116" bestFit="1" customWidth="1"/>
    <col min="14" max="14" width="11.140625" style="116" bestFit="1" customWidth="1"/>
    <col min="15" max="15" width="15" style="118" hidden="1" customWidth="1"/>
    <col min="16" max="16" width="8.85546875" style="116"/>
    <col min="17" max="27" width="13.28515625" style="116" bestFit="1" customWidth="1"/>
    <col min="28" max="28" width="12.5703125" style="116" customWidth="1"/>
    <col min="29" max="29" width="15" style="118" hidden="1" customWidth="1"/>
    <col min="30" max="30" width="3.7109375" style="116" customWidth="1"/>
    <col min="31" max="41" width="12.28515625" style="116" bestFit="1" customWidth="1"/>
    <col min="42" max="42" width="11.140625" style="116" bestFit="1" customWidth="1"/>
    <col min="43" max="43" width="12.28515625" style="118" hidden="1" customWidth="1"/>
  </cols>
  <sheetData>
    <row r="1" spans="1:43" x14ac:dyDescent="0.25">
      <c r="A1" s="27" t="s">
        <v>547</v>
      </c>
      <c r="B1" s="27"/>
    </row>
    <row r="2" spans="1:43" x14ac:dyDescent="0.25">
      <c r="A2" s="27" t="s">
        <v>560</v>
      </c>
      <c r="B2" s="27"/>
    </row>
    <row r="3" spans="1:43" x14ac:dyDescent="0.25">
      <c r="A3" s="115" t="str">
        <f>BS!A3</f>
        <v>31 December 2025</v>
      </c>
      <c r="B3" s="115"/>
      <c r="C3" s="119" t="s">
        <v>562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Q3" s="119" t="s">
        <v>262</v>
      </c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E3" s="119" t="s">
        <v>499</v>
      </c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</row>
    <row r="4" spans="1:43" x14ac:dyDescent="0.25">
      <c r="C4" s="117" t="s">
        <v>523</v>
      </c>
      <c r="D4" s="117" t="s">
        <v>524</v>
      </c>
      <c r="E4" s="117" t="s">
        <v>527</v>
      </c>
      <c r="F4" s="117" t="s">
        <v>528</v>
      </c>
      <c r="G4" s="117" t="s">
        <v>529</v>
      </c>
      <c r="H4" s="117" t="s">
        <v>532</v>
      </c>
      <c r="I4" s="117" t="s">
        <v>542</v>
      </c>
      <c r="J4" s="117" t="s">
        <v>544</v>
      </c>
      <c r="K4" s="117" t="s">
        <v>546</v>
      </c>
      <c r="L4" s="117" t="s">
        <v>554</v>
      </c>
      <c r="M4" s="117" t="s">
        <v>556</v>
      </c>
      <c r="N4" s="117" t="s">
        <v>557</v>
      </c>
      <c r="O4" s="117" t="s">
        <v>552</v>
      </c>
      <c r="Q4" s="117" t="s">
        <v>523</v>
      </c>
      <c r="R4" s="117" t="s">
        <v>524</v>
      </c>
      <c r="S4" s="117" t="s">
        <v>527</v>
      </c>
      <c r="T4" s="117" t="s">
        <v>528</v>
      </c>
      <c r="U4" s="117" t="s">
        <v>529</v>
      </c>
      <c r="V4" s="117" t="s">
        <v>532</v>
      </c>
      <c r="W4" s="117" t="s">
        <v>542</v>
      </c>
      <c r="X4" s="117" t="s">
        <v>544</v>
      </c>
      <c r="Y4" s="117" t="s">
        <v>546</v>
      </c>
      <c r="Z4" s="117" t="s">
        <v>554</v>
      </c>
      <c r="AA4" s="117" t="s">
        <v>556</v>
      </c>
      <c r="AB4" s="117" t="s">
        <v>557</v>
      </c>
      <c r="AC4" s="117" t="s">
        <v>552</v>
      </c>
      <c r="AE4" s="117" t="s">
        <v>523</v>
      </c>
      <c r="AF4" s="117" t="s">
        <v>524</v>
      </c>
      <c r="AG4" s="117" t="s">
        <v>527</v>
      </c>
      <c r="AH4" s="117" t="s">
        <v>528</v>
      </c>
      <c r="AI4" s="117" t="s">
        <v>529</v>
      </c>
      <c r="AJ4" s="117" t="s">
        <v>532</v>
      </c>
      <c r="AK4" s="117" t="s">
        <v>542</v>
      </c>
      <c r="AL4" s="117" t="s">
        <v>544</v>
      </c>
      <c r="AM4" s="117" t="s">
        <v>546</v>
      </c>
      <c r="AN4" s="117" t="s">
        <v>554</v>
      </c>
      <c r="AO4" s="117" t="s">
        <v>556</v>
      </c>
      <c r="AP4" s="117" t="s">
        <v>557</v>
      </c>
      <c r="AQ4" s="117" t="s">
        <v>552</v>
      </c>
    </row>
    <row r="6" spans="1:43" x14ac:dyDescent="0.25">
      <c r="A6" s="99" t="s">
        <v>525</v>
      </c>
    </row>
    <row r="7" spans="1:43" x14ac:dyDescent="0.25">
      <c r="A7" s="101">
        <v>130001</v>
      </c>
      <c r="B7" t="s">
        <v>20</v>
      </c>
      <c r="C7" s="116" t="e">
        <f>Q7+AE7</f>
        <v>#REF!</v>
      </c>
      <c r="D7" s="116" t="e">
        <f t="shared" ref="D7:N7" si="0">R7+AF7</f>
        <v>#REF!</v>
      </c>
      <c r="E7" s="116" t="e">
        <f t="shared" si="0"/>
        <v>#REF!</v>
      </c>
      <c r="F7" s="116" t="e">
        <f t="shared" si="0"/>
        <v>#REF!</v>
      </c>
      <c r="G7" s="116" t="e">
        <f t="shared" si="0"/>
        <v>#REF!</v>
      </c>
      <c r="H7" s="116" t="e">
        <f t="shared" si="0"/>
        <v>#REF!</v>
      </c>
      <c r="I7" s="116" t="e">
        <f t="shared" si="0"/>
        <v>#REF!</v>
      </c>
      <c r="J7" s="116" t="e">
        <f t="shared" si="0"/>
        <v>#REF!</v>
      </c>
      <c r="K7" s="116" t="e">
        <f t="shared" si="0"/>
        <v>#REF!</v>
      </c>
      <c r="L7" s="116" t="e">
        <f t="shared" si="0"/>
        <v>#REF!</v>
      </c>
      <c r="M7" s="116" t="e">
        <f t="shared" si="0"/>
        <v>#REF!</v>
      </c>
      <c r="N7" s="116">
        <f t="shared" si="0"/>
        <v>0</v>
      </c>
      <c r="Q7" s="116" t="e">
        <f>SUMIF(#REF!,$A7,#REF!)</f>
        <v>#REF!</v>
      </c>
      <c r="R7" s="116">
        <f>SUMIF(ALIF_Y2014!$A:$A,$A7,ALIF_Y2014!$F:$F)</f>
        <v>7283978.5010000002</v>
      </c>
      <c r="S7" s="116">
        <f>SUMIF(ALIF_Y2015!$A:$A,$A7,ALIF_Y2015!$F:$F)</f>
        <v>2480104.2799999998</v>
      </c>
      <c r="T7" s="116">
        <f>SUMIF(ALIF_Y2016!$A:$A,$A7,ALIF_Y2016!$F:$F)</f>
        <v>2109690.5099999998</v>
      </c>
      <c r="U7" s="116">
        <f>SUMIF(ALIF_Y2017!$A:$A,$A7,ALIF_Y2017!$F:$F)</f>
        <v>2591031.906</v>
      </c>
      <c r="V7" s="116">
        <f>SUMIF(ALIF_Y2018!$A:$A,$A7,ALIF_Y2018!$F:$F)</f>
        <v>2068549.69</v>
      </c>
      <c r="W7" s="116">
        <f>SUMIF(ALIF_Y2019!$A:$A,$A7,ALIF_Y2019!$F:$F)</f>
        <v>1482460.22</v>
      </c>
      <c r="X7" s="116">
        <f>SUMIF(ALIF_Y2020!$A:$A,$A7,ALIF_Y2020!$F:$F)</f>
        <v>-0.41</v>
      </c>
      <c r="Y7" s="116">
        <f>SUMIF(ALIF_Y2021!$A:$A,$A7,ALIF_Y2021!$F:$F)</f>
        <v>254890.07</v>
      </c>
      <c r="Z7" s="116">
        <f>SUMIF(ALIF_Y2022!$A:$A,$A7,ALIF_Y2022!$F:$F)</f>
        <v>0</v>
      </c>
      <c r="AA7" s="116">
        <f>SUMIF(ALIF_Y2023!$A:$A,$A7,ALIF_Y2023!$F:$F)</f>
        <v>0</v>
      </c>
      <c r="AE7" s="116" t="e">
        <f>SUMIF(#REF!,$A7,#REF!)</f>
        <v>#REF!</v>
      </c>
      <c r="AF7" s="116" t="e">
        <f>SUMIF(#REF!,$A7,#REF!)</f>
        <v>#REF!</v>
      </c>
      <c r="AG7" s="116" t="e">
        <f>SUMIF(#REF!,$A7,#REF!)</f>
        <v>#REF!</v>
      </c>
      <c r="AH7" s="116" t="e">
        <f>SUMIF(#REF!,$A7,#REF!)</f>
        <v>#REF!</v>
      </c>
      <c r="AI7" s="116" t="e">
        <f>SUMIF(#REF!,$A7,#REF!)</f>
        <v>#REF!</v>
      </c>
      <c r="AJ7" s="116" t="e">
        <f>SUMIF(#REF!,$A7,#REF!)</f>
        <v>#REF!</v>
      </c>
      <c r="AK7" s="116" t="e">
        <f>SUMIF(#REF!,$A7,#REF!)</f>
        <v>#REF!</v>
      </c>
      <c r="AL7" s="116" t="e">
        <f>SUMIF(#REF!,$A7,#REF!)</f>
        <v>#REF!</v>
      </c>
      <c r="AM7" s="116" t="e">
        <f>SUMIF(#REF!,$A7,#REF!)</f>
        <v>#REF!</v>
      </c>
      <c r="AN7" s="116" t="e">
        <f>SUMIF(#REF!,$A7,#REF!)</f>
        <v>#REF!</v>
      </c>
      <c r="AO7" s="116" t="e">
        <f>SUMIF(#REF!,$A7,#REF!)</f>
        <v>#REF!</v>
      </c>
    </row>
    <row r="8" spans="1:43" x14ac:dyDescent="0.25">
      <c r="A8" s="101">
        <v>130002</v>
      </c>
      <c r="B8" t="s">
        <v>21</v>
      </c>
      <c r="C8" s="116" t="e">
        <f t="shared" ref="C8:C25" si="1">Q8+AE8</f>
        <v>#REF!</v>
      </c>
      <c r="D8" s="116" t="e">
        <f t="shared" ref="D8:D25" si="2">R8+AF8</f>
        <v>#REF!</v>
      </c>
      <c r="E8" s="116" t="e">
        <f t="shared" ref="E8:E25" si="3">S8+AG8</f>
        <v>#REF!</v>
      </c>
      <c r="F8" s="116" t="e">
        <f t="shared" ref="F8:F25" si="4">T8+AH8</f>
        <v>#REF!</v>
      </c>
      <c r="G8" s="116" t="e">
        <f t="shared" ref="G8:G25" si="5">U8+AI8</f>
        <v>#REF!</v>
      </c>
      <c r="H8" s="116" t="e">
        <f t="shared" ref="H8:H25" si="6">V8+AJ8</f>
        <v>#REF!</v>
      </c>
      <c r="I8" s="116" t="e">
        <f t="shared" ref="I8:I25" si="7">W8+AK8</f>
        <v>#REF!</v>
      </c>
      <c r="J8" s="116" t="e">
        <f t="shared" ref="J8:J25" si="8">X8+AL8</f>
        <v>#REF!</v>
      </c>
      <c r="K8" s="116" t="e">
        <f t="shared" ref="K8:K25" si="9">Y8+AM8</f>
        <v>#REF!</v>
      </c>
      <c r="L8" s="116" t="e">
        <f t="shared" ref="L8:L25" si="10">Z8+AN8</f>
        <v>#REF!</v>
      </c>
      <c r="M8" s="116" t="e">
        <f t="shared" ref="M8:M25" si="11">AA8+AO8</f>
        <v>#REF!</v>
      </c>
      <c r="N8" s="116">
        <f t="shared" ref="N8:N25" si="12">AB8+AP8</f>
        <v>0</v>
      </c>
      <c r="Q8" s="116" t="e">
        <f>SUMIF(#REF!,$A8,#REF!)</f>
        <v>#REF!</v>
      </c>
      <c r="R8" s="116">
        <f>SUMIF(ALIF_Y2014!$A:$A,$A8,ALIF_Y2014!$F:$F)</f>
        <v>54868.49</v>
      </c>
      <c r="S8" s="116">
        <f>SUMIF(ALIF_Y2015!$A:$A,$A8,ALIF_Y2015!$F:$F)</f>
        <v>2429.1</v>
      </c>
      <c r="T8" s="116">
        <f>SUMIF(ALIF_Y2016!$A:$A,$A8,ALIF_Y2016!$F:$F)</f>
        <v>30078.2</v>
      </c>
      <c r="U8" s="116">
        <f>SUMIF(ALIF_Y2017!$A:$A,$A8,ALIF_Y2017!$F:$F)</f>
        <v>51063.64</v>
      </c>
      <c r="V8" s="116">
        <f>SUMIF(ALIF_Y2018!$A:$A,$A8,ALIF_Y2018!$F:$F)</f>
        <v>6349.32</v>
      </c>
      <c r="W8" s="116">
        <f>SUMIF(ALIF_Y2019!$A:$A,$A8,ALIF_Y2019!$F:$F)</f>
        <v>777923.25</v>
      </c>
      <c r="X8" s="116">
        <f>SUMIF(ALIF_Y2020!$A:$A,$A8,ALIF_Y2020!$F:$F)</f>
        <v>744918.4</v>
      </c>
      <c r="Y8" s="116">
        <f>SUMIF(ALIF_Y2021!$A:$A,$A8,ALIF_Y2021!$F:$F)</f>
        <v>0</v>
      </c>
      <c r="Z8" s="116">
        <f>SUMIF(ALIF_Y2022!$A:$A,$A8,ALIF_Y2022!$F:$F)</f>
        <v>0</v>
      </c>
      <c r="AA8" s="116">
        <f>SUMIF(ALIF_Y2023!$A:$A,$A8,ALIF_Y2023!$F:$F)</f>
        <v>0</v>
      </c>
      <c r="AE8" s="116" t="e">
        <f>SUMIF(#REF!,$A8,#REF!)</f>
        <v>#REF!</v>
      </c>
      <c r="AF8" s="116" t="e">
        <f>SUMIF(#REF!,$A8,#REF!)</f>
        <v>#REF!</v>
      </c>
      <c r="AG8" s="116" t="e">
        <f>SUMIF(#REF!,$A8,#REF!)</f>
        <v>#REF!</v>
      </c>
      <c r="AH8" s="116" t="e">
        <f>SUMIF(#REF!,$A8,#REF!)</f>
        <v>#REF!</v>
      </c>
      <c r="AI8" s="116" t="e">
        <f>SUMIF(#REF!,$A8,#REF!)</f>
        <v>#REF!</v>
      </c>
      <c r="AJ8" s="116" t="e">
        <f>SUMIF(#REF!,$A8,#REF!)</f>
        <v>#REF!</v>
      </c>
      <c r="AK8" s="116" t="e">
        <f>SUMIF(#REF!,$A8,#REF!)</f>
        <v>#REF!</v>
      </c>
      <c r="AL8" s="116" t="e">
        <f>SUMIF(#REF!,$A8,#REF!)</f>
        <v>#REF!</v>
      </c>
      <c r="AM8" s="116" t="e">
        <f>SUMIF(#REF!,$A8,#REF!)</f>
        <v>#REF!</v>
      </c>
      <c r="AN8" s="116" t="e">
        <f>SUMIF(#REF!,$A8,#REF!)</f>
        <v>#REF!</v>
      </c>
      <c r="AO8" s="116" t="e">
        <f>SUMIF(#REF!,$A8,#REF!)</f>
        <v>#REF!</v>
      </c>
    </row>
    <row r="9" spans="1:43" x14ac:dyDescent="0.25">
      <c r="A9" s="101">
        <v>130003</v>
      </c>
      <c r="B9" t="s">
        <v>22</v>
      </c>
      <c r="C9" s="116" t="e">
        <f t="shared" si="1"/>
        <v>#REF!</v>
      </c>
      <c r="D9" s="116" t="e">
        <f t="shared" si="2"/>
        <v>#REF!</v>
      </c>
      <c r="E9" s="116" t="e">
        <f t="shared" si="3"/>
        <v>#REF!</v>
      </c>
      <c r="F9" s="116" t="e">
        <f t="shared" si="4"/>
        <v>#REF!</v>
      </c>
      <c r="G9" s="116" t="e">
        <f t="shared" si="5"/>
        <v>#REF!</v>
      </c>
      <c r="H9" s="116" t="e">
        <f t="shared" si="6"/>
        <v>#REF!</v>
      </c>
      <c r="I9" s="116" t="e">
        <f t="shared" si="7"/>
        <v>#REF!</v>
      </c>
      <c r="J9" s="116" t="e">
        <f t="shared" si="8"/>
        <v>#REF!</v>
      </c>
      <c r="K9" s="116" t="e">
        <f t="shared" si="9"/>
        <v>#REF!</v>
      </c>
      <c r="L9" s="116" t="e">
        <f t="shared" si="10"/>
        <v>#REF!</v>
      </c>
      <c r="M9" s="116" t="e">
        <f t="shared" si="11"/>
        <v>#REF!</v>
      </c>
      <c r="N9" s="116">
        <f t="shared" si="12"/>
        <v>0</v>
      </c>
      <c r="Q9" s="116" t="e">
        <f>SUMIF(#REF!,$A9,#REF!)</f>
        <v>#REF!</v>
      </c>
      <c r="R9" s="116">
        <f>SUMIF(ALIF_Y2014!$A:$A,$A9,ALIF_Y2014!$F:$F)</f>
        <v>0</v>
      </c>
      <c r="S9" s="116">
        <f>SUMIF(ALIF_Y2015!$A:$A,$A9,ALIF_Y2015!$F:$F)</f>
        <v>0</v>
      </c>
      <c r="T9" s="116">
        <f>SUMIF(ALIF_Y2016!$A:$A,$A9,ALIF_Y2016!$F:$F)</f>
        <v>0</v>
      </c>
      <c r="U9" s="116">
        <f>SUMIF(ALIF_Y2017!$A:$A,$A9,ALIF_Y2017!$F:$F)</f>
        <v>0</v>
      </c>
      <c r="V9" s="116">
        <f>SUMIF(ALIF_Y2018!$A:$A,$A9,ALIF_Y2018!$F:$F)</f>
        <v>0</v>
      </c>
      <c r="W9" s="116">
        <f>SUMIF(ALIF_Y2019!$A:$A,$A9,ALIF_Y2019!$F:$F)</f>
        <v>0</v>
      </c>
      <c r="X9" s="116">
        <f>SUMIF(ALIF_Y2020!$A:$A,$A9,ALIF_Y2020!$F:$F)</f>
        <v>0</v>
      </c>
      <c r="Y9" s="116">
        <f>SUMIF(ALIF_Y2021!$A:$A,$A9,ALIF_Y2021!$F:$F)</f>
        <v>0</v>
      </c>
      <c r="Z9" s="116">
        <f>SUMIF(ALIF_Y2022!$A:$A,$A9,ALIF_Y2022!$F:$F)</f>
        <v>0</v>
      </c>
      <c r="AA9" s="116">
        <f>SUMIF(ALIF_Y2023!$A:$A,$A9,ALIF_Y2023!$F:$F)</f>
        <v>0</v>
      </c>
      <c r="AE9" s="116" t="e">
        <f>SUMIF(#REF!,$A9,#REF!)</f>
        <v>#REF!</v>
      </c>
      <c r="AF9" s="116" t="e">
        <f>SUMIF(#REF!,$A9,#REF!)</f>
        <v>#REF!</v>
      </c>
      <c r="AG9" s="116" t="e">
        <f>SUMIF(#REF!,$A9,#REF!)</f>
        <v>#REF!</v>
      </c>
      <c r="AH9" s="116" t="e">
        <f>SUMIF(#REF!,$A9,#REF!)</f>
        <v>#REF!</v>
      </c>
      <c r="AI9" s="116" t="e">
        <f>SUMIF(#REF!,$A9,#REF!)</f>
        <v>#REF!</v>
      </c>
      <c r="AJ9" s="116" t="e">
        <f>SUMIF(#REF!,$A9,#REF!)</f>
        <v>#REF!</v>
      </c>
      <c r="AK9" s="116" t="e">
        <f>SUMIF(#REF!,$A9,#REF!)</f>
        <v>#REF!</v>
      </c>
      <c r="AL9" s="116" t="e">
        <f>SUMIF(#REF!,$A9,#REF!)</f>
        <v>#REF!</v>
      </c>
      <c r="AM9" s="116" t="e">
        <f>SUMIF(#REF!,$A9,#REF!)</f>
        <v>#REF!</v>
      </c>
      <c r="AN9" s="116" t="e">
        <f>SUMIF(#REF!,$A9,#REF!)</f>
        <v>#REF!</v>
      </c>
      <c r="AO9" s="116" t="e">
        <f>SUMIF(#REF!,$A9,#REF!)</f>
        <v>#REF!</v>
      </c>
    </row>
    <row r="10" spans="1:43" x14ac:dyDescent="0.25">
      <c r="A10" s="101">
        <v>130004</v>
      </c>
      <c r="B10" t="s">
        <v>23</v>
      </c>
      <c r="C10" s="116" t="e">
        <f t="shared" si="1"/>
        <v>#REF!</v>
      </c>
      <c r="D10" s="116" t="e">
        <f t="shared" si="2"/>
        <v>#REF!</v>
      </c>
      <c r="E10" s="116" t="e">
        <f t="shared" si="3"/>
        <v>#REF!</v>
      </c>
      <c r="F10" s="116" t="e">
        <f t="shared" si="4"/>
        <v>#REF!</v>
      </c>
      <c r="G10" s="116" t="e">
        <f t="shared" si="5"/>
        <v>#REF!</v>
      </c>
      <c r="H10" s="116" t="e">
        <f t="shared" si="6"/>
        <v>#REF!</v>
      </c>
      <c r="I10" s="116" t="e">
        <f t="shared" si="7"/>
        <v>#REF!</v>
      </c>
      <c r="J10" s="116" t="e">
        <f t="shared" si="8"/>
        <v>#REF!</v>
      </c>
      <c r="K10" s="116" t="e">
        <f t="shared" si="9"/>
        <v>#REF!</v>
      </c>
      <c r="L10" s="116" t="e">
        <f t="shared" si="10"/>
        <v>#REF!</v>
      </c>
      <c r="M10" s="116" t="e">
        <f t="shared" si="11"/>
        <v>#REF!</v>
      </c>
      <c r="N10" s="116">
        <f t="shared" si="12"/>
        <v>0</v>
      </c>
      <c r="Q10" s="116" t="e">
        <f>SUMIF(#REF!,$A10,#REF!)</f>
        <v>#REF!</v>
      </c>
      <c r="R10" s="116">
        <f>SUMIF(ALIF_Y2014!$A:$A,$A10,ALIF_Y2014!$F:$F)</f>
        <v>2446274.11</v>
      </c>
      <c r="S10" s="116">
        <f>SUMIF(ALIF_Y2015!$A:$A,$A10,ALIF_Y2015!$F:$F)</f>
        <v>669960.12</v>
      </c>
      <c r="T10" s="116">
        <f>SUMIF(ALIF_Y2016!$A:$A,$A10,ALIF_Y2016!$F:$F)</f>
        <v>623354.35</v>
      </c>
      <c r="U10" s="116">
        <f>SUMIF(ALIF_Y2017!$A:$A,$A10,ALIF_Y2017!$F:$F)</f>
        <v>2170226.4300000002</v>
      </c>
      <c r="V10" s="116">
        <f>SUMIF(ALIF_Y2018!$A:$A,$A10,ALIF_Y2018!$F:$F)</f>
        <v>281961.51</v>
      </c>
      <c r="W10" s="116">
        <f>SUMIF(ALIF_Y2019!$A:$A,$A10,ALIF_Y2019!$F:$F)</f>
        <v>144938.85</v>
      </c>
      <c r="X10" s="116">
        <f>SUMIF(ALIF_Y2020!$A:$A,$A10,ALIF_Y2020!$F:$F)</f>
        <v>108178.8</v>
      </c>
      <c r="Y10" s="116">
        <f>SUMIF(ALIF_Y2021!$A:$A,$A10,ALIF_Y2021!$F:$F)</f>
        <v>31128.799999999999</v>
      </c>
      <c r="Z10" s="116">
        <f>SUMIF(ALIF_Y2022!$A:$A,$A10,ALIF_Y2022!$F:$F)</f>
        <v>15028.8</v>
      </c>
      <c r="AA10" s="116">
        <f>SUMIF(ALIF_Y2023!$A:$A,$A10,ALIF_Y2023!$F:$F)</f>
        <v>0</v>
      </c>
      <c r="AE10" s="116" t="e">
        <f>SUMIF(#REF!,$A10,#REF!)</f>
        <v>#REF!</v>
      </c>
      <c r="AF10" s="116" t="e">
        <f>SUMIF(#REF!,$A10,#REF!)</f>
        <v>#REF!</v>
      </c>
      <c r="AG10" s="116" t="e">
        <f>SUMIF(#REF!,$A10,#REF!)</f>
        <v>#REF!</v>
      </c>
      <c r="AH10" s="116" t="e">
        <f>SUMIF(#REF!,$A10,#REF!)</f>
        <v>#REF!</v>
      </c>
      <c r="AI10" s="116" t="e">
        <f>SUMIF(#REF!,$A10,#REF!)</f>
        <v>#REF!</v>
      </c>
      <c r="AJ10" s="116" t="e">
        <f>SUMIF(#REF!,$A10,#REF!)</f>
        <v>#REF!</v>
      </c>
      <c r="AK10" s="116" t="e">
        <f>SUMIF(#REF!,$A10,#REF!)</f>
        <v>#REF!</v>
      </c>
      <c r="AL10" s="116" t="e">
        <f>SUMIF(#REF!,$A10,#REF!)</f>
        <v>#REF!</v>
      </c>
      <c r="AM10" s="116" t="e">
        <f>SUMIF(#REF!,$A10,#REF!)</f>
        <v>#REF!</v>
      </c>
      <c r="AN10" s="116" t="e">
        <f>SUMIF(#REF!,$A10,#REF!)</f>
        <v>#REF!</v>
      </c>
      <c r="AO10" s="116" t="e">
        <f>SUMIF(#REF!,$A10,#REF!)</f>
        <v>#REF!</v>
      </c>
    </row>
    <row r="11" spans="1:43" x14ac:dyDescent="0.25">
      <c r="A11" s="101">
        <v>130005</v>
      </c>
      <c r="B11" t="s">
        <v>24</v>
      </c>
      <c r="C11" s="116" t="e">
        <f t="shared" si="1"/>
        <v>#REF!</v>
      </c>
      <c r="D11" s="116" t="e">
        <f t="shared" si="2"/>
        <v>#REF!</v>
      </c>
      <c r="E11" s="116" t="e">
        <f t="shared" si="3"/>
        <v>#REF!</v>
      </c>
      <c r="F11" s="116" t="e">
        <f t="shared" si="4"/>
        <v>#REF!</v>
      </c>
      <c r="G11" s="116" t="e">
        <f t="shared" si="5"/>
        <v>#REF!</v>
      </c>
      <c r="H11" s="116" t="e">
        <f t="shared" si="6"/>
        <v>#REF!</v>
      </c>
      <c r="I11" s="116" t="e">
        <f t="shared" si="7"/>
        <v>#REF!</v>
      </c>
      <c r="J11" s="116" t="e">
        <f t="shared" si="8"/>
        <v>#REF!</v>
      </c>
      <c r="K11" s="116" t="e">
        <f t="shared" si="9"/>
        <v>#REF!</v>
      </c>
      <c r="L11" s="116" t="e">
        <f t="shared" si="10"/>
        <v>#REF!</v>
      </c>
      <c r="M11" s="116" t="e">
        <f t="shared" si="11"/>
        <v>#REF!</v>
      </c>
      <c r="N11" s="116">
        <f t="shared" si="12"/>
        <v>0</v>
      </c>
      <c r="Q11" s="116" t="e">
        <f>SUMIF(#REF!,$A11,#REF!)</f>
        <v>#REF!</v>
      </c>
      <c r="R11" s="116">
        <f>SUMIF(ALIF_Y2014!$A:$A,$A11,ALIF_Y2014!$F:$F)</f>
        <v>173876.8</v>
      </c>
      <c r="S11" s="116">
        <f>SUMIF(ALIF_Y2015!$A:$A,$A11,ALIF_Y2015!$F:$F)</f>
        <v>72019.39</v>
      </c>
      <c r="T11" s="116">
        <f>SUMIF(ALIF_Y2016!$A:$A,$A11,ALIF_Y2016!$F:$F)</f>
        <v>5311.27</v>
      </c>
      <c r="U11" s="116">
        <f>SUMIF(ALIF_Y2017!$A:$A,$A11,ALIF_Y2017!$F:$F)</f>
        <v>1196050.98</v>
      </c>
      <c r="V11" s="116">
        <f>SUMIF(ALIF_Y2018!$A:$A,$A11,ALIF_Y2018!$F:$F)</f>
        <v>0</v>
      </c>
      <c r="W11" s="116">
        <f>SUMIF(ALIF_Y2019!$A:$A,$A11,ALIF_Y2019!$F:$F)</f>
        <v>0</v>
      </c>
      <c r="X11" s="116">
        <f>SUMIF(ALIF_Y2020!$A:$A,$A11,ALIF_Y2020!$F:$F)</f>
        <v>0</v>
      </c>
      <c r="Y11" s="116">
        <f>SUMIF(ALIF_Y2021!$A:$A,$A11,ALIF_Y2021!$F:$F)</f>
        <v>0</v>
      </c>
      <c r="Z11" s="116">
        <f>SUMIF(ALIF_Y2022!$A:$A,$A11,ALIF_Y2022!$F:$F)</f>
        <v>0</v>
      </c>
      <c r="AA11" s="116">
        <f>SUMIF(ALIF_Y2023!$A:$A,$A11,ALIF_Y2023!$F:$F)</f>
        <v>0</v>
      </c>
      <c r="AE11" s="116" t="e">
        <f>SUMIF(#REF!,$A11,#REF!)</f>
        <v>#REF!</v>
      </c>
      <c r="AF11" s="116" t="e">
        <f>SUMIF(#REF!,$A11,#REF!)</f>
        <v>#REF!</v>
      </c>
      <c r="AG11" s="116" t="e">
        <f>SUMIF(#REF!,$A11,#REF!)</f>
        <v>#REF!</v>
      </c>
      <c r="AH11" s="116" t="e">
        <f>SUMIF(#REF!,$A11,#REF!)</f>
        <v>#REF!</v>
      </c>
      <c r="AI11" s="116" t="e">
        <f>SUMIF(#REF!,$A11,#REF!)</f>
        <v>#REF!</v>
      </c>
      <c r="AJ11" s="116" t="e">
        <f>SUMIF(#REF!,$A11,#REF!)</f>
        <v>#REF!</v>
      </c>
      <c r="AK11" s="116" t="e">
        <f>SUMIF(#REF!,$A11,#REF!)</f>
        <v>#REF!</v>
      </c>
      <c r="AL11" s="116" t="e">
        <f>SUMIF(#REF!,$A11,#REF!)</f>
        <v>#REF!</v>
      </c>
      <c r="AM11" s="116" t="e">
        <f>SUMIF(#REF!,$A11,#REF!)</f>
        <v>#REF!</v>
      </c>
      <c r="AN11" s="116" t="e">
        <f>SUMIF(#REF!,$A11,#REF!)</f>
        <v>#REF!</v>
      </c>
      <c r="AO11" s="116" t="e">
        <f>SUMIF(#REF!,$A11,#REF!)</f>
        <v>#REF!</v>
      </c>
    </row>
    <row r="12" spans="1:43" x14ac:dyDescent="0.25">
      <c r="A12" s="101">
        <v>130006</v>
      </c>
      <c r="B12" t="s">
        <v>25</v>
      </c>
      <c r="C12" s="116" t="e">
        <f t="shared" si="1"/>
        <v>#REF!</v>
      </c>
      <c r="D12" s="116" t="e">
        <f t="shared" si="2"/>
        <v>#REF!</v>
      </c>
      <c r="E12" s="116" t="e">
        <f t="shared" si="3"/>
        <v>#REF!</v>
      </c>
      <c r="F12" s="116" t="e">
        <f t="shared" si="4"/>
        <v>#REF!</v>
      </c>
      <c r="G12" s="116" t="e">
        <f t="shared" si="5"/>
        <v>#REF!</v>
      </c>
      <c r="H12" s="116" t="e">
        <f t="shared" si="6"/>
        <v>#REF!</v>
      </c>
      <c r="I12" s="116" t="e">
        <f t="shared" si="7"/>
        <v>#REF!</v>
      </c>
      <c r="J12" s="116" t="e">
        <f t="shared" si="8"/>
        <v>#REF!</v>
      </c>
      <c r="K12" s="116" t="e">
        <f t="shared" si="9"/>
        <v>#REF!</v>
      </c>
      <c r="L12" s="116" t="e">
        <f t="shared" si="10"/>
        <v>#REF!</v>
      </c>
      <c r="M12" s="116" t="e">
        <f t="shared" si="11"/>
        <v>#REF!</v>
      </c>
      <c r="N12" s="116">
        <f t="shared" si="12"/>
        <v>0</v>
      </c>
      <c r="Q12" s="116" t="e">
        <f>SUMIF(#REF!,$A12,#REF!)</f>
        <v>#REF!</v>
      </c>
      <c r="R12" s="116">
        <f>SUMIF(ALIF_Y2014!$A:$A,$A12,ALIF_Y2014!$F:$F)</f>
        <v>268845.77</v>
      </c>
      <c r="S12" s="116">
        <f>SUMIF(ALIF_Y2015!$A:$A,$A12,ALIF_Y2015!$F:$F)</f>
        <v>127521.81</v>
      </c>
      <c r="T12" s="116">
        <f>SUMIF(ALIF_Y2016!$A:$A,$A12,ALIF_Y2016!$F:$F)</f>
        <v>18521.5</v>
      </c>
      <c r="U12" s="116">
        <f>SUMIF(ALIF_Y2017!$A:$A,$A12,ALIF_Y2017!$F:$F)</f>
        <v>91646.45</v>
      </c>
      <c r="V12" s="116">
        <f>SUMIF(ALIF_Y2018!$A:$A,$A12,ALIF_Y2018!$F:$F)</f>
        <v>26670.35</v>
      </c>
      <c r="W12" s="116">
        <f>SUMIF(ALIF_Y2019!$A:$A,$A12,ALIF_Y2019!$F:$F)</f>
        <v>115009.41</v>
      </c>
      <c r="X12" s="116">
        <f>SUMIF(ALIF_Y2020!$A:$A,$A12,ALIF_Y2020!$F:$F)</f>
        <v>89237.65</v>
      </c>
      <c r="Y12" s="116">
        <f>SUMIF(ALIF_Y2021!$A:$A,$A12,ALIF_Y2021!$F:$F)</f>
        <v>221073.65</v>
      </c>
      <c r="Z12" s="116">
        <f>SUMIF(ALIF_Y2022!$A:$A,$A12,ALIF_Y2022!$F:$F)</f>
        <v>0</v>
      </c>
      <c r="AA12" s="116">
        <f>SUMIF(ALIF_Y2023!$A:$A,$A12,ALIF_Y2023!$F:$F)</f>
        <v>0</v>
      </c>
      <c r="AE12" s="116" t="e">
        <f>SUMIF(#REF!,$A12,#REF!)</f>
        <v>#REF!</v>
      </c>
      <c r="AF12" s="116" t="e">
        <f>SUMIF(#REF!,$A12,#REF!)</f>
        <v>#REF!</v>
      </c>
      <c r="AG12" s="116" t="e">
        <f>SUMIF(#REF!,$A12,#REF!)</f>
        <v>#REF!</v>
      </c>
      <c r="AH12" s="116" t="e">
        <f>SUMIF(#REF!,$A12,#REF!)</f>
        <v>#REF!</v>
      </c>
      <c r="AI12" s="116" t="e">
        <f>SUMIF(#REF!,$A12,#REF!)</f>
        <v>#REF!</v>
      </c>
      <c r="AJ12" s="116" t="e">
        <f>SUMIF(#REF!,$A12,#REF!)</f>
        <v>#REF!</v>
      </c>
      <c r="AK12" s="116" t="e">
        <f>SUMIF(#REF!,$A12,#REF!)</f>
        <v>#REF!</v>
      </c>
      <c r="AL12" s="116" t="e">
        <f>SUMIF(#REF!,$A12,#REF!)</f>
        <v>#REF!</v>
      </c>
      <c r="AM12" s="116" t="e">
        <f>SUMIF(#REF!,$A12,#REF!)</f>
        <v>#REF!</v>
      </c>
      <c r="AN12" s="116" t="e">
        <f>SUMIF(#REF!,$A12,#REF!)</f>
        <v>#REF!</v>
      </c>
      <c r="AO12" s="116" t="e">
        <f>SUMIF(#REF!,$A12,#REF!)</f>
        <v>#REF!</v>
      </c>
    </row>
    <row r="13" spans="1:43" x14ac:dyDescent="0.25">
      <c r="A13" s="101">
        <v>130007</v>
      </c>
      <c r="B13" t="s">
        <v>26</v>
      </c>
      <c r="C13" s="116" t="e">
        <f t="shared" si="1"/>
        <v>#REF!</v>
      </c>
      <c r="D13" s="116" t="e">
        <f t="shared" si="2"/>
        <v>#REF!</v>
      </c>
      <c r="E13" s="116" t="e">
        <f t="shared" si="3"/>
        <v>#REF!</v>
      </c>
      <c r="F13" s="116" t="e">
        <f t="shared" si="4"/>
        <v>#REF!</v>
      </c>
      <c r="G13" s="116" t="e">
        <f t="shared" si="5"/>
        <v>#REF!</v>
      </c>
      <c r="H13" s="116" t="e">
        <f t="shared" si="6"/>
        <v>#REF!</v>
      </c>
      <c r="I13" s="116" t="e">
        <f t="shared" si="7"/>
        <v>#REF!</v>
      </c>
      <c r="J13" s="116" t="e">
        <f t="shared" si="8"/>
        <v>#REF!</v>
      </c>
      <c r="K13" s="116" t="e">
        <f t="shared" si="9"/>
        <v>#REF!</v>
      </c>
      <c r="L13" s="116" t="e">
        <f t="shared" si="10"/>
        <v>#REF!</v>
      </c>
      <c r="M13" s="116" t="e">
        <f t="shared" si="11"/>
        <v>#REF!</v>
      </c>
      <c r="N13" s="116">
        <f t="shared" si="12"/>
        <v>0</v>
      </c>
      <c r="Q13" s="116" t="e">
        <f>SUMIF(#REF!,$A13,#REF!)</f>
        <v>#REF!</v>
      </c>
      <c r="R13" s="116">
        <f>SUMIF(ALIF_Y2014!$A:$A,$A13,ALIF_Y2014!$F:$F)</f>
        <v>530312.98</v>
      </c>
      <c r="S13" s="116">
        <f>SUMIF(ALIF_Y2015!$A:$A,$A13,ALIF_Y2015!$F:$F)</f>
        <v>1042740.7</v>
      </c>
      <c r="T13" s="116">
        <f>SUMIF(ALIF_Y2016!$A:$A,$A13,ALIF_Y2016!$F:$F)</f>
        <v>1782205.82</v>
      </c>
      <c r="U13" s="116">
        <f>SUMIF(ALIF_Y2017!$A:$A,$A13,ALIF_Y2017!$F:$F)</f>
        <v>812449.21699999995</v>
      </c>
      <c r="V13" s="116">
        <f>SUMIF(ALIF_Y2018!$A:$A,$A13,ALIF_Y2018!$F:$F)</f>
        <v>1634615.09</v>
      </c>
      <c r="W13" s="116">
        <f>SUMIF(ALIF_Y2019!$A:$A,$A13,ALIF_Y2019!$F:$F)</f>
        <v>1132000.1299999999</v>
      </c>
      <c r="X13" s="116">
        <f>SUMIF(ALIF_Y2020!$A:$A,$A13,ALIF_Y2020!$F:$F)</f>
        <v>271627.56</v>
      </c>
      <c r="Y13" s="116">
        <f>SUMIF(ALIF_Y2021!$A:$A,$A13,ALIF_Y2021!$F:$F)</f>
        <v>975113.48</v>
      </c>
      <c r="Z13" s="116">
        <f>SUMIF(ALIF_Y2022!$A:$A,$A13,ALIF_Y2022!$F:$F)</f>
        <v>1397141.99</v>
      </c>
      <c r="AA13" s="116">
        <f>SUMIF(ALIF_Y2023!$A:$A,$A13,ALIF_Y2023!$F:$F)</f>
        <v>0</v>
      </c>
      <c r="AE13" s="116" t="e">
        <f>SUMIF(#REF!,$A13,#REF!)</f>
        <v>#REF!</v>
      </c>
      <c r="AF13" s="116" t="e">
        <f>SUMIF(#REF!,$A13,#REF!)</f>
        <v>#REF!</v>
      </c>
      <c r="AG13" s="116" t="e">
        <f>SUMIF(#REF!,$A13,#REF!)</f>
        <v>#REF!</v>
      </c>
      <c r="AH13" s="116" t="e">
        <f>SUMIF(#REF!,$A13,#REF!)</f>
        <v>#REF!</v>
      </c>
      <c r="AI13" s="116" t="e">
        <f>SUMIF(#REF!,$A13,#REF!)</f>
        <v>#REF!</v>
      </c>
      <c r="AJ13" s="116" t="e">
        <f>SUMIF(#REF!,$A13,#REF!)</f>
        <v>#REF!</v>
      </c>
      <c r="AK13" s="116" t="e">
        <f>SUMIF(#REF!,$A13,#REF!)</f>
        <v>#REF!</v>
      </c>
      <c r="AL13" s="116" t="e">
        <f>SUMIF(#REF!,$A13,#REF!)</f>
        <v>#REF!</v>
      </c>
      <c r="AM13" s="116" t="e">
        <f>SUMIF(#REF!,$A13,#REF!)</f>
        <v>#REF!</v>
      </c>
      <c r="AN13" s="116" t="e">
        <f>SUMIF(#REF!,$A13,#REF!)</f>
        <v>#REF!</v>
      </c>
      <c r="AO13" s="116" t="e">
        <f>SUMIF(#REF!,$A13,#REF!)</f>
        <v>#REF!</v>
      </c>
    </row>
    <row r="14" spans="1:43" x14ac:dyDescent="0.25">
      <c r="A14" s="101">
        <v>130008</v>
      </c>
      <c r="B14" t="s">
        <v>247</v>
      </c>
      <c r="C14" s="116" t="e">
        <f t="shared" si="1"/>
        <v>#REF!</v>
      </c>
      <c r="D14" s="116" t="e">
        <f t="shared" si="2"/>
        <v>#REF!</v>
      </c>
      <c r="E14" s="116" t="e">
        <f t="shared" si="3"/>
        <v>#REF!</v>
      </c>
      <c r="F14" s="116" t="e">
        <f t="shared" si="4"/>
        <v>#REF!</v>
      </c>
      <c r="G14" s="116" t="e">
        <f t="shared" si="5"/>
        <v>#REF!</v>
      </c>
      <c r="H14" s="116" t="e">
        <f t="shared" si="6"/>
        <v>#REF!</v>
      </c>
      <c r="I14" s="116" t="e">
        <f t="shared" si="7"/>
        <v>#REF!</v>
      </c>
      <c r="J14" s="116" t="e">
        <f t="shared" si="8"/>
        <v>#REF!</v>
      </c>
      <c r="K14" s="116" t="e">
        <f t="shared" si="9"/>
        <v>#REF!</v>
      </c>
      <c r="L14" s="116" t="e">
        <f t="shared" si="10"/>
        <v>#REF!</v>
      </c>
      <c r="M14" s="116" t="e">
        <f t="shared" si="11"/>
        <v>#REF!</v>
      </c>
      <c r="N14" s="116">
        <f t="shared" si="12"/>
        <v>0</v>
      </c>
      <c r="Q14" s="116" t="e">
        <f>SUMIF(#REF!,$A14,#REF!)</f>
        <v>#REF!</v>
      </c>
      <c r="R14" s="116">
        <f>SUMIF(ALIF_Y2014!$A:$A,$A14,ALIF_Y2014!$F:$F)</f>
        <v>272978.02</v>
      </c>
      <c r="S14" s="116">
        <f>SUMIF(ALIF_Y2015!$A:$A,$A14,ALIF_Y2015!$F:$F)</f>
        <v>16963.79</v>
      </c>
      <c r="T14" s="116">
        <f>SUMIF(ALIF_Y2016!$A:$A,$A14,ALIF_Y2016!$F:$F)</f>
        <v>52027.55</v>
      </c>
      <c r="U14" s="116">
        <f>SUMIF(ALIF_Y2017!$A:$A,$A14,ALIF_Y2017!$F:$F)</f>
        <v>298807.52</v>
      </c>
      <c r="V14" s="116">
        <f>SUMIF(ALIF_Y2018!$A:$A,$A14,ALIF_Y2018!$F:$F)</f>
        <v>4769151.58</v>
      </c>
      <c r="W14" s="116">
        <f>SUMIF(ALIF_Y2019!$A:$A,$A14,ALIF_Y2019!$F:$F)</f>
        <v>1609557.15</v>
      </c>
      <c r="X14" s="116">
        <f>SUMIF(ALIF_Y2020!$A:$A,$A14,ALIF_Y2020!$F:$F)</f>
        <v>1334479.27</v>
      </c>
      <c r="Y14" s="116">
        <f>SUMIF(ALIF_Y2021!$A:$A,$A14,ALIF_Y2021!$F:$F)</f>
        <v>563831.72</v>
      </c>
      <c r="Z14" s="116">
        <f>SUMIF(ALIF_Y2022!$A:$A,$A14,ALIF_Y2022!$F:$F)</f>
        <v>125346.061</v>
      </c>
      <c r="AA14" s="116">
        <f>SUMIF(ALIF_Y2023!$A:$A,$A14,ALIF_Y2023!$F:$F)</f>
        <v>252733.8</v>
      </c>
      <c r="AE14" s="116" t="e">
        <f>SUMIF(#REF!,$A14,#REF!)</f>
        <v>#REF!</v>
      </c>
      <c r="AF14" s="116" t="e">
        <f>SUMIF(#REF!,$A14,#REF!)</f>
        <v>#REF!</v>
      </c>
      <c r="AG14" s="116" t="e">
        <f>SUMIF(#REF!,$A14,#REF!)</f>
        <v>#REF!</v>
      </c>
      <c r="AH14" s="116" t="e">
        <f>SUMIF(#REF!,$A14,#REF!)</f>
        <v>#REF!</v>
      </c>
      <c r="AI14" s="116" t="e">
        <f>SUMIF(#REF!,$A14,#REF!)</f>
        <v>#REF!</v>
      </c>
      <c r="AJ14" s="116" t="e">
        <f>SUMIF(#REF!,$A14,#REF!)</f>
        <v>#REF!</v>
      </c>
      <c r="AK14" s="116" t="e">
        <f>SUMIF(#REF!,$A14,#REF!)</f>
        <v>#REF!</v>
      </c>
      <c r="AL14" s="116" t="e">
        <f>SUMIF(#REF!,$A14,#REF!)</f>
        <v>#REF!</v>
      </c>
      <c r="AM14" s="116" t="e">
        <f>SUMIF(#REF!,$A14,#REF!)</f>
        <v>#REF!</v>
      </c>
      <c r="AN14" s="116" t="e">
        <f>SUMIF(#REF!,$A14,#REF!)</f>
        <v>#REF!</v>
      </c>
      <c r="AO14" s="116" t="e">
        <f>SUMIF(#REF!,$A14,#REF!)</f>
        <v>#REF!</v>
      </c>
    </row>
    <row r="15" spans="1:43" x14ac:dyDescent="0.25">
      <c r="A15" s="101">
        <v>130009</v>
      </c>
      <c r="B15" t="s">
        <v>27</v>
      </c>
      <c r="C15" s="116" t="e">
        <f t="shared" si="1"/>
        <v>#REF!</v>
      </c>
      <c r="D15" s="116" t="e">
        <f t="shared" si="2"/>
        <v>#REF!</v>
      </c>
      <c r="E15" s="116" t="e">
        <f t="shared" si="3"/>
        <v>#REF!</v>
      </c>
      <c r="F15" s="116" t="e">
        <f t="shared" si="4"/>
        <v>#REF!</v>
      </c>
      <c r="G15" s="116" t="e">
        <f t="shared" si="5"/>
        <v>#REF!</v>
      </c>
      <c r="H15" s="116" t="e">
        <f t="shared" si="6"/>
        <v>#REF!</v>
      </c>
      <c r="I15" s="116" t="e">
        <f t="shared" si="7"/>
        <v>#REF!</v>
      </c>
      <c r="J15" s="116" t="e">
        <f t="shared" si="8"/>
        <v>#REF!</v>
      </c>
      <c r="K15" s="116" t="e">
        <f t="shared" si="9"/>
        <v>#REF!</v>
      </c>
      <c r="L15" s="116" t="e">
        <f t="shared" si="10"/>
        <v>#REF!</v>
      </c>
      <c r="M15" s="116" t="e">
        <f t="shared" si="11"/>
        <v>#REF!</v>
      </c>
      <c r="N15" s="116">
        <f t="shared" si="12"/>
        <v>0</v>
      </c>
      <c r="Q15" s="116" t="e">
        <f>SUMIF(#REF!,$A15,#REF!)</f>
        <v>#REF!</v>
      </c>
      <c r="R15" s="116">
        <f>SUMIF(ALIF_Y2014!$A:$A,$A15,ALIF_Y2014!$F:$F)</f>
        <v>0</v>
      </c>
      <c r="S15" s="116">
        <f>SUMIF(ALIF_Y2015!$A:$A,$A15,ALIF_Y2015!$F:$F)</f>
        <v>0</v>
      </c>
      <c r="T15" s="116">
        <f>SUMIF(ALIF_Y2016!$A:$A,$A15,ALIF_Y2016!$F:$F)</f>
        <v>0</v>
      </c>
      <c r="U15" s="116">
        <f>SUMIF(ALIF_Y2017!$A:$A,$A15,ALIF_Y2017!$F:$F)</f>
        <v>0</v>
      </c>
      <c r="V15" s="116">
        <f>SUMIF(ALIF_Y2018!$A:$A,$A15,ALIF_Y2018!$F:$F)</f>
        <v>0</v>
      </c>
      <c r="W15" s="116">
        <f>SUMIF(ALIF_Y2019!$A:$A,$A15,ALIF_Y2019!$F:$F)</f>
        <v>883583.5</v>
      </c>
      <c r="X15" s="116">
        <f>SUMIF(ALIF_Y2020!$A:$A,$A15,ALIF_Y2020!$F:$F)</f>
        <v>481793.78</v>
      </c>
      <c r="Y15" s="116">
        <f>SUMIF(ALIF_Y2021!$A:$A,$A15,ALIF_Y2021!$F:$F)</f>
        <v>752895.54099999997</v>
      </c>
      <c r="Z15" s="116">
        <f>SUMIF(ALIF_Y2022!$A:$A,$A15,ALIF_Y2022!$F:$F)</f>
        <v>4424114.9989999998</v>
      </c>
      <c r="AA15" s="116">
        <f>SUMIF(ALIF_Y2023!$A:$A,$A15,ALIF_Y2023!$F:$F)</f>
        <v>575464.68000000005</v>
      </c>
      <c r="AE15" s="116" t="e">
        <f>SUMIF(#REF!,$A15,#REF!)</f>
        <v>#REF!</v>
      </c>
      <c r="AF15" s="116" t="e">
        <f>SUMIF(#REF!,$A15,#REF!)</f>
        <v>#REF!</v>
      </c>
      <c r="AG15" s="116" t="e">
        <f>SUMIF(#REF!,$A15,#REF!)</f>
        <v>#REF!</v>
      </c>
      <c r="AH15" s="116" t="e">
        <f>SUMIF(#REF!,$A15,#REF!)</f>
        <v>#REF!</v>
      </c>
      <c r="AI15" s="116" t="e">
        <f>SUMIF(#REF!,$A15,#REF!)</f>
        <v>#REF!</v>
      </c>
      <c r="AJ15" s="116" t="e">
        <f>SUMIF(#REF!,$A15,#REF!)</f>
        <v>#REF!</v>
      </c>
      <c r="AK15" s="116" t="e">
        <f>SUMIF(#REF!,$A15,#REF!)</f>
        <v>#REF!</v>
      </c>
      <c r="AL15" s="116" t="e">
        <f>SUMIF(#REF!,$A15,#REF!)</f>
        <v>#REF!</v>
      </c>
      <c r="AM15" s="116" t="e">
        <f>SUMIF(#REF!,$A15,#REF!)</f>
        <v>#REF!</v>
      </c>
      <c r="AN15" s="116" t="e">
        <f>SUMIF(#REF!,$A15,#REF!)</f>
        <v>#REF!</v>
      </c>
      <c r="AO15" s="116" t="e">
        <f>SUMIF(#REF!,$A15,#REF!)</f>
        <v>#REF!</v>
      </c>
    </row>
    <row r="16" spans="1:43" x14ac:dyDescent="0.25">
      <c r="A16" s="101">
        <v>130010</v>
      </c>
      <c r="B16" t="s">
        <v>28</v>
      </c>
      <c r="C16" s="116" t="e">
        <f t="shared" si="1"/>
        <v>#REF!</v>
      </c>
      <c r="D16" s="116" t="e">
        <f t="shared" si="2"/>
        <v>#REF!</v>
      </c>
      <c r="E16" s="116" t="e">
        <f t="shared" si="3"/>
        <v>#REF!</v>
      </c>
      <c r="F16" s="116" t="e">
        <f t="shared" si="4"/>
        <v>#REF!</v>
      </c>
      <c r="G16" s="116" t="e">
        <f t="shared" si="5"/>
        <v>#REF!</v>
      </c>
      <c r="H16" s="116" t="e">
        <f t="shared" si="6"/>
        <v>#REF!</v>
      </c>
      <c r="I16" s="116" t="e">
        <f t="shared" si="7"/>
        <v>#REF!</v>
      </c>
      <c r="J16" s="116" t="e">
        <f t="shared" si="8"/>
        <v>#REF!</v>
      </c>
      <c r="K16" s="116" t="e">
        <f t="shared" si="9"/>
        <v>#REF!</v>
      </c>
      <c r="L16" s="116" t="e">
        <f t="shared" si="10"/>
        <v>#REF!</v>
      </c>
      <c r="M16" s="116" t="e">
        <f t="shared" si="11"/>
        <v>#REF!</v>
      </c>
      <c r="N16" s="116">
        <f t="shared" si="12"/>
        <v>0</v>
      </c>
      <c r="Q16" s="116" t="e">
        <f>SUMIF(#REF!,$A16,#REF!)</f>
        <v>#REF!</v>
      </c>
      <c r="R16" s="116">
        <f>SUMIF(ALIF_Y2014!$A:$A,$A16,ALIF_Y2014!$F:$F)</f>
        <v>0</v>
      </c>
      <c r="S16" s="116">
        <f>SUMIF(ALIF_Y2015!$A:$A,$A16,ALIF_Y2015!$F:$F)</f>
        <v>0</v>
      </c>
      <c r="T16" s="116">
        <f>SUMIF(ALIF_Y2016!$A:$A,$A16,ALIF_Y2016!$F:$F)</f>
        <v>0</v>
      </c>
      <c r="U16" s="116">
        <f>SUMIF(ALIF_Y2017!$A:$A,$A16,ALIF_Y2017!$F:$F)</f>
        <v>0</v>
      </c>
      <c r="V16" s="116">
        <f>SUMIF(ALIF_Y2018!$A:$A,$A16,ALIF_Y2018!$F:$F)</f>
        <v>0</v>
      </c>
      <c r="W16" s="116">
        <f>SUMIF(ALIF_Y2019!$A:$A,$A16,ALIF_Y2019!$F:$F)</f>
        <v>419127.51</v>
      </c>
      <c r="X16" s="116">
        <f>SUMIF(ALIF_Y2020!$A:$A,$A16,ALIF_Y2020!$F:$F)</f>
        <v>14548085.07</v>
      </c>
      <c r="Y16" s="116">
        <f>SUMIF(ALIF_Y2021!$A:$A,$A16,ALIF_Y2021!$F:$F)</f>
        <v>728505.90399999998</v>
      </c>
      <c r="Z16" s="116">
        <f>SUMIF(ALIF_Y2022!$A:$A,$A16,ALIF_Y2022!$F:$F)</f>
        <v>4858085.3859999999</v>
      </c>
      <c r="AA16" s="116">
        <f>SUMIF(ALIF_Y2023!$A:$A,$A16,ALIF_Y2023!$F:$F)</f>
        <v>912741.95</v>
      </c>
      <c r="AE16" s="116" t="e">
        <f>SUMIF(#REF!,$A16,#REF!)</f>
        <v>#REF!</v>
      </c>
      <c r="AF16" s="116" t="e">
        <f>SUMIF(#REF!,$A16,#REF!)</f>
        <v>#REF!</v>
      </c>
      <c r="AG16" s="116" t="e">
        <f>SUMIF(#REF!,$A16,#REF!)</f>
        <v>#REF!</v>
      </c>
      <c r="AH16" s="116" t="e">
        <f>SUMIF(#REF!,$A16,#REF!)</f>
        <v>#REF!</v>
      </c>
      <c r="AI16" s="116" t="e">
        <f>SUMIF(#REF!,$A16,#REF!)</f>
        <v>#REF!</v>
      </c>
      <c r="AJ16" s="116" t="e">
        <f>SUMIF(#REF!,$A16,#REF!)</f>
        <v>#REF!</v>
      </c>
      <c r="AK16" s="116" t="e">
        <f>SUMIF(#REF!,$A16,#REF!)</f>
        <v>#REF!</v>
      </c>
      <c r="AL16" s="116" t="e">
        <f>SUMIF(#REF!,$A16,#REF!)</f>
        <v>#REF!</v>
      </c>
      <c r="AM16" s="116" t="e">
        <f>SUMIF(#REF!,$A16,#REF!)</f>
        <v>#REF!</v>
      </c>
      <c r="AN16" s="116" t="e">
        <f>SUMIF(#REF!,$A16,#REF!)</f>
        <v>#REF!</v>
      </c>
      <c r="AO16" s="116" t="e">
        <f>SUMIF(#REF!,$A16,#REF!)</f>
        <v>#REF!</v>
      </c>
    </row>
    <row r="17" spans="1:42" x14ac:dyDescent="0.25">
      <c r="A17" s="101">
        <v>130011</v>
      </c>
      <c r="B17" t="s">
        <v>29</v>
      </c>
      <c r="C17" s="116" t="e">
        <f t="shared" si="1"/>
        <v>#REF!</v>
      </c>
      <c r="D17" s="116" t="e">
        <f t="shared" si="2"/>
        <v>#REF!</v>
      </c>
      <c r="E17" s="116" t="e">
        <f t="shared" si="3"/>
        <v>#REF!</v>
      </c>
      <c r="F17" s="116" t="e">
        <f t="shared" si="4"/>
        <v>#REF!</v>
      </c>
      <c r="G17" s="116" t="e">
        <f t="shared" si="5"/>
        <v>#REF!</v>
      </c>
      <c r="H17" s="116" t="e">
        <f t="shared" si="6"/>
        <v>#REF!</v>
      </c>
      <c r="I17" s="116" t="e">
        <f t="shared" si="7"/>
        <v>#REF!</v>
      </c>
      <c r="J17" s="116" t="e">
        <f t="shared" si="8"/>
        <v>#REF!</v>
      </c>
      <c r="K17" s="116" t="e">
        <f t="shared" si="9"/>
        <v>#REF!</v>
      </c>
      <c r="L17" s="116" t="e">
        <f t="shared" si="10"/>
        <v>#REF!</v>
      </c>
      <c r="M17" s="116" t="e">
        <f t="shared" si="11"/>
        <v>#REF!</v>
      </c>
      <c r="N17" s="116">
        <f t="shared" si="12"/>
        <v>0</v>
      </c>
      <c r="Q17" s="116" t="e">
        <f>SUMIF(#REF!,$A17,#REF!)</f>
        <v>#REF!</v>
      </c>
      <c r="R17" s="116">
        <f>SUMIF(ALIF_Y2014!$A:$A,$A17,ALIF_Y2014!$F:$F)</f>
        <v>0</v>
      </c>
      <c r="S17" s="116">
        <f>SUMIF(ALIF_Y2015!$A:$A,$A17,ALIF_Y2015!$F:$F)</f>
        <v>0</v>
      </c>
      <c r="T17" s="116">
        <f>SUMIF(ALIF_Y2016!$A:$A,$A17,ALIF_Y2016!$F:$F)</f>
        <v>0</v>
      </c>
      <c r="U17" s="116">
        <f>SUMIF(ALIF_Y2017!$A:$A,$A17,ALIF_Y2017!$F:$F)</f>
        <v>0</v>
      </c>
      <c r="V17" s="116">
        <f>SUMIF(ALIF_Y2018!$A:$A,$A17,ALIF_Y2018!$F:$F)</f>
        <v>0</v>
      </c>
      <c r="W17" s="116">
        <f>SUMIF(ALIF_Y2019!$A:$A,$A17,ALIF_Y2019!$F:$F)</f>
        <v>0</v>
      </c>
      <c r="X17" s="116">
        <f>SUMIF(ALIF_Y2020!$A:$A,$A17,ALIF_Y2020!$F:$F)</f>
        <v>10099447.390000001</v>
      </c>
      <c r="Y17" s="116">
        <f>SUMIF(ALIF_Y2021!$A:$A,$A17,ALIF_Y2021!$F:$F)</f>
        <v>1837850.2420000001</v>
      </c>
      <c r="Z17" s="116">
        <f>SUMIF(ALIF_Y2022!$A:$A,$A17,ALIF_Y2022!$F:$F)</f>
        <v>1029152.88</v>
      </c>
      <c r="AA17" s="116">
        <f>SUMIF(ALIF_Y2023!$A:$A,$A17,ALIF_Y2023!$F:$F)</f>
        <v>371638.27</v>
      </c>
      <c r="AE17" s="116" t="e">
        <f>SUMIF(#REF!,$A17,#REF!)</f>
        <v>#REF!</v>
      </c>
      <c r="AF17" s="116" t="e">
        <f>SUMIF(#REF!,$A17,#REF!)</f>
        <v>#REF!</v>
      </c>
      <c r="AG17" s="116" t="e">
        <f>SUMIF(#REF!,$A17,#REF!)</f>
        <v>#REF!</v>
      </c>
      <c r="AH17" s="116" t="e">
        <f>SUMIF(#REF!,$A17,#REF!)</f>
        <v>#REF!</v>
      </c>
      <c r="AI17" s="116" t="e">
        <f>SUMIF(#REF!,$A17,#REF!)</f>
        <v>#REF!</v>
      </c>
      <c r="AJ17" s="116" t="e">
        <f>SUMIF(#REF!,$A17,#REF!)</f>
        <v>#REF!</v>
      </c>
      <c r="AK17" s="116" t="e">
        <f>SUMIF(#REF!,$A17,#REF!)</f>
        <v>#REF!</v>
      </c>
      <c r="AL17" s="116" t="e">
        <f>SUMIF(#REF!,$A17,#REF!)</f>
        <v>#REF!</v>
      </c>
      <c r="AM17" s="116" t="e">
        <f>SUMIF(#REF!,$A17,#REF!)</f>
        <v>#REF!</v>
      </c>
      <c r="AN17" s="116" t="e">
        <f>SUMIF(#REF!,$A17,#REF!)</f>
        <v>#REF!</v>
      </c>
      <c r="AO17" s="116" t="e">
        <f>SUMIF(#REF!,$A17,#REF!)</f>
        <v>#REF!</v>
      </c>
    </row>
    <row r="18" spans="1:42" x14ac:dyDescent="0.25">
      <c r="A18" s="101">
        <v>130012</v>
      </c>
      <c r="B18" t="s">
        <v>248</v>
      </c>
      <c r="C18" s="116" t="e">
        <f t="shared" si="1"/>
        <v>#REF!</v>
      </c>
      <c r="D18" s="116" t="e">
        <f t="shared" si="2"/>
        <v>#REF!</v>
      </c>
      <c r="E18" s="116" t="e">
        <f t="shared" si="3"/>
        <v>#REF!</v>
      </c>
      <c r="F18" s="116" t="e">
        <f t="shared" si="4"/>
        <v>#REF!</v>
      </c>
      <c r="G18" s="116" t="e">
        <f t="shared" si="5"/>
        <v>#REF!</v>
      </c>
      <c r="H18" s="116" t="e">
        <f t="shared" si="6"/>
        <v>#REF!</v>
      </c>
      <c r="I18" s="116" t="e">
        <f t="shared" si="7"/>
        <v>#REF!</v>
      </c>
      <c r="J18" s="116" t="e">
        <f t="shared" si="8"/>
        <v>#REF!</v>
      </c>
      <c r="K18" s="116" t="e">
        <f t="shared" si="9"/>
        <v>#REF!</v>
      </c>
      <c r="L18" s="116" t="e">
        <f t="shared" si="10"/>
        <v>#REF!</v>
      </c>
      <c r="M18" s="116" t="e">
        <f t="shared" si="11"/>
        <v>#REF!</v>
      </c>
      <c r="N18" s="116">
        <f t="shared" si="12"/>
        <v>0</v>
      </c>
      <c r="Q18" s="116" t="e">
        <f>SUMIF(#REF!,$A18,#REF!)</f>
        <v>#REF!</v>
      </c>
      <c r="R18" s="116">
        <f>SUMIF(ALIF_Y2014!$A:$A,$A18,ALIF_Y2014!$F:$F)</f>
        <v>0</v>
      </c>
      <c r="S18" s="116">
        <f>SUMIF(ALIF_Y2015!$A:$A,$A18,ALIF_Y2015!$F:$F)</f>
        <v>0</v>
      </c>
      <c r="T18" s="116">
        <f>SUMIF(ALIF_Y2016!$A:$A,$A18,ALIF_Y2016!$F:$F)</f>
        <v>0</v>
      </c>
      <c r="U18" s="116">
        <f>SUMIF(ALIF_Y2017!$A:$A,$A18,ALIF_Y2017!$F:$F)</f>
        <v>0</v>
      </c>
      <c r="V18" s="116">
        <f>SUMIF(ALIF_Y2018!$A:$A,$A18,ALIF_Y2018!$F:$F)</f>
        <v>0</v>
      </c>
      <c r="W18" s="116">
        <f>SUMIF(ALIF_Y2019!$A:$A,$A18,ALIF_Y2019!$F:$F)</f>
        <v>0</v>
      </c>
      <c r="X18" s="116">
        <f>SUMIF(ALIF_Y2020!$A:$A,$A18,ALIF_Y2020!$F:$F)</f>
        <v>12249437.208000001</v>
      </c>
      <c r="Y18" s="116">
        <f>SUMIF(ALIF_Y2021!$A:$A,$A18,ALIF_Y2021!$F:$F)</f>
        <v>2278838.6170000001</v>
      </c>
      <c r="Z18" s="116">
        <f>SUMIF(ALIF_Y2022!$A:$A,$A18,ALIF_Y2022!$F:$F)</f>
        <v>1252439.537</v>
      </c>
      <c r="AA18" s="116">
        <f>SUMIF(ALIF_Y2023!$A:$A,$A18,ALIF_Y2023!$F:$F)</f>
        <v>925749.64</v>
      </c>
      <c r="AE18" s="116" t="e">
        <f>SUMIF(#REF!,$A18,#REF!)</f>
        <v>#REF!</v>
      </c>
      <c r="AF18" s="116" t="e">
        <f>SUMIF(#REF!,$A18,#REF!)</f>
        <v>#REF!</v>
      </c>
      <c r="AG18" s="116" t="e">
        <f>SUMIF(#REF!,$A18,#REF!)</f>
        <v>#REF!</v>
      </c>
      <c r="AH18" s="116" t="e">
        <f>SUMIF(#REF!,$A18,#REF!)</f>
        <v>#REF!</v>
      </c>
      <c r="AI18" s="116" t="e">
        <f>SUMIF(#REF!,$A18,#REF!)</f>
        <v>#REF!</v>
      </c>
      <c r="AJ18" s="116" t="e">
        <f>SUMIF(#REF!,$A18,#REF!)</f>
        <v>#REF!</v>
      </c>
      <c r="AK18" s="116" t="e">
        <f>SUMIF(#REF!,$A18,#REF!)</f>
        <v>#REF!</v>
      </c>
      <c r="AL18" s="116" t="e">
        <f>SUMIF(#REF!,$A18,#REF!)</f>
        <v>#REF!</v>
      </c>
      <c r="AM18" s="116" t="e">
        <f>SUMIF(#REF!,$A18,#REF!)</f>
        <v>#REF!</v>
      </c>
      <c r="AN18" s="116" t="e">
        <f>SUMIF(#REF!,$A18,#REF!)</f>
        <v>#REF!</v>
      </c>
      <c r="AO18" s="116" t="e">
        <f>SUMIF(#REF!,$A18,#REF!)</f>
        <v>#REF!</v>
      </c>
    </row>
    <row r="19" spans="1:42" x14ac:dyDescent="0.25">
      <c r="A19" s="101">
        <v>130013</v>
      </c>
      <c r="B19" t="s">
        <v>30</v>
      </c>
      <c r="C19" s="116" t="e">
        <f t="shared" si="1"/>
        <v>#REF!</v>
      </c>
      <c r="D19" s="116" t="e">
        <f t="shared" si="2"/>
        <v>#REF!</v>
      </c>
      <c r="E19" s="116" t="e">
        <f t="shared" si="3"/>
        <v>#REF!</v>
      </c>
      <c r="F19" s="116" t="e">
        <f t="shared" si="4"/>
        <v>#REF!</v>
      </c>
      <c r="G19" s="116" t="e">
        <f t="shared" si="5"/>
        <v>#REF!</v>
      </c>
      <c r="H19" s="116" t="e">
        <f t="shared" si="6"/>
        <v>#REF!</v>
      </c>
      <c r="I19" s="116" t="e">
        <f t="shared" si="7"/>
        <v>#REF!</v>
      </c>
      <c r="J19" s="116" t="e">
        <f t="shared" si="8"/>
        <v>#REF!</v>
      </c>
      <c r="K19" s="116" t="e">
        <f t="shared" si="9"/>
        <v>#REF!</v>
      </c>
      <c r="L19" s="116" t="e">
        <f t="shared" si="10"/>
        <v>#REF!</v>
      </c>
      <c r="M19" s="116" t="e">
        <f t="shared" si="11"/>
        <v>#REF!</v>
      </c>
      <c r="N19" s="116">
        <f t="shared" si="12"/>
        <v>0</v>
      </c>
      <c r="Q19" s="116" t="e">
        <f>SUMIF(#REF!,$A19,#REF!)</f>
        <v>#REF!</v>
      </c>
      <c r="R19" s="116">
        <f>SUMIF(ALIF_Y2014!$A:$A,$A19,ALIF_Y2014!$F:$F)</f>
        <v>0</v>
      </c>
      <c r="S19" s="116">
        <f>SUMIF(ALIF_Y2015!$A:$A,$A19,ALIF_Y2015!$F:$F)</f>
        <v>0</v>
      </c>
      <c r="T19" s="116">
        <f>SUMIF(ALIF_Y2016!$A:$A,$A19,ALIF_Y2016!$F:$F)</f>
        <v>0</v>
      </c>
      <c r="U19" s="116">
        <f>SUMIF(ALIF_Y2017!$A:$A,$A19,ALIF_Y2017!$F:$F)</f>
        <v>0</v>
      </c>
      <c r="V19" s="116">
        <f>SUMIF(ALIF_Y2018!$A:$A,$A19,ALIF_Y2018!$F:$F)</f>
        <v>0</v>
      </c>
      <c r="W19" s="116">
        <f>SUMIF(ALIF_Y2019!$A:$A,$A19,ALIF_Y2019!$F:$F)</f>
        <v>0</v>
      </c>
      <c r="X19" s="116">
        <f>SUMIF(ALIF_Y2020!$A:$A,$A19,ALIF_Y2020!$F:$F)</f>
        <v>801234.04299999995</v>
      </c>
      <c r="Y19" s="116">
        <f>SUMIF(ALIF_Y2021!$A:$A,$A19,ALIF_Y2021!$F:$F)</f>
        <v>2979550.361</v>
      </c>
      <c r="Z19" s="116">
        <f>SUMIF(ALIF_Y2022!$A:$A,$A19,ALIF_Y2022!$F:$F)</f>
        <v>300937.83799999999</v>
      </c>
      <c r="AA19" s="116">
        <f>SUMIF(ALIF_Y2023!$A:$A,$A19,ALIF_Y2023!$F:$F)</f>
        <v>237620.27900000001</v>
      </c>
      <c r="AE19" s="116" t="e">
        <f>SUMIF(#REF!,$A19,#REF!)</f>
        <v>#REF!</v>
      </c>
      <c r="AF19" s="116" t="e">
        <f>SUMIF(#REF!,$A19,#REF!)</f>
        <v>#REF!</v>
      </c>
      <c r="AG19" s="116" t="e">
        <f>SUMIF(#REF!,$A19,#REF!)</f>
        <v>#REF!</v>
      </c>
      <c r="AH19" s="116" t="e">
        <f>SUMIF(#REF!,$A19,#REF!)</f>
        <v>#REF!</v>
      </c>
      <c r="AI19" s="116" t="e">
        <f>SUMIF(#REF!,$A19,#REF!)</f>
        <v>#REF!</v>
      </c>
      <c r="AJ19" s="116" t="e">
        <f>SUMIF(#REF!,$A19,#REF!)</f>
        <v>#REF!</v>
      </c>
      <c r="AK19" s="116" t="e">
        <f>SUMIF(#REF!,$A19,#REF!)</f>
        <v>#REF!</v>
      </c>
      <c r="AL19" s="116" t="e">
        <f>SUMIF(#REF!,$A19,#REF!)</f>
        <v>#REF!</v>
      </c>
      <c r="AM19" s="116" t="e">
        <f>SUMIF(#REF!,$A19,#REF!)</f>
        <v>#REF!</v>
      </c>
      <c r="AN19" s="116" t="e">
        <f>SUMIF(#REF!,$A19,#REF!)</f>
        <v>#REF!</v>
      </c>
      <c r="AO19" s="116" t="e">
        <f>SUMIF(#REF!,$A19,#REF!)</f>
        <v>#REF!</v>
      </c>
    </row>
    <row r="20" spans="1:42" x14ac:dyDescent="0.25">
      <c r="A20" s="101">
        <v>130014</v>
      </c>
      <c r="B20" t="s">
        <v>31</v>
      </c>
      <c r="C20" s="116" t="e">
        <f t="shared" si="1"/>
        <v>#REF!</v>
      </c>
      <c r="D20" s="116" t="e">
        <f t="shared" si="2"/>
        <v>#REF!</v>
      </c>
      <c r="E20" s="116" t="e">
        <f t="shared" si="3"/>
        <v>#REF!</v>
      </c>
      <c r="F20" s="116" t="e">
        <f t="shared" si="4"/>
        <v>#REF!</v>
      </c>
      <c r="G20" s="116" t="e">
        <f t="shared" si="5"/>
        <v>#REF!</v>
      </c>
      <c r="H20" s="116" t="e">
        <f t="shared" si="6"/>
        <v>#REF!</v>
      </c>
      <c r="I20" s="116" t="e">
        <f t="shared" si="7"/>
        <v>#REF!</v>
      </c>
      <c r="J20" s="116" t="e">
        <f t="shared" si="8"/>
        <v>#REF!</v>
      </c>
      <c r="K20" s="116" t="e">
        <f t="shared" si="9"/>
        <v>#REF!</v>
      </c>
      <c r="L20" s="116" t="e">
        <f t="shared" si="10"/>
        <v>#REF!</v>
      </c>
      <c r="M20" s="116" t="e">
        <f t="shared" si="11"/>
        <v>#REF!</v>
      </c>
      <c r="N20" s="116">
        <f t="shared" si="12"/>
        <v>0</v>
      </c>
      <c r="Q20" s="116" t="e">
        <f>SUMIF(#REF!,$A20,#REF!)</f>
        <v>#REF!</v>
      </c>
      <c r="R20" s="116">
        <f>SUMIF(ALIF_Y2014!$A:$A,$A20,ALIF_Y2014!$F:$F)</f>
        <v>0</v>
      </c>
      <c r="S20" s="116">
        <f>SUMIF(ALIF_Y2015!$A:$A,$A20,ALIF_Y2015!$F:$F)</f>
        <v>0</v>
      </c>
      <c r="T20" s="116">
        <f>SUMIF(ALIF_Y2016!$A:$A,$A20,ALIF_Y2016!$F:$F)</f>
        <v>0</v>
      </c>
      <c r="U20" s="116">
        <f>SUMIF(ALIF_Y2017!$A:$A,$A20,ALIF_Y2017!$F:$F)</f>
        <v>0</v>
      </c>
      <c r="V20" s="116">
        <f>SUMIF(ALIF_Y2018!$A:$A,$A20,ALIF_Y2018!$F:$F)</f>
        <v>0</v>
      </c>
      <c r="W20" s="116">
        <f>SUMIF(ALIF_Y2019!$A:$A,$A20,ALIF_Y2019!$F:$F)</f>
        <v>0</v>
      </c>
      <c r="X20" s="116">
        <f>SUMIF(ALIF_Y2020!$A:$A,$A20,ALIF_Y2020!$F:$F)</f>
        <v>0</v>
      </c>
      <c r="Y20" s="116">
        <f>SUMIF(ALIF_Y2021!$A:$A,$A20,ALIF_Y2021!$F:$F)</f>
        <v>18749.75</v>
      </c>
      <c r="Z20" s="116">
        <f>SUMIF(ALIF_Y2022!$A:$A,$A20,ALIF_Y2022!$F:$F)</f>
        <v>275731.75</v>
      </c>
      <c r="AA20" s="116">
        <f>SUMIF(ALIF_Y2023!$A:$A,$A20,ALIF_Y2023!$F:$F)</f>
        <v>375236.25</v>
      </c>
      <c r="AE20" s="116" t="e">
        <f>SUMIF(#REF!,$A20,#REF!)</f>
        <v>#REF!</v>
      </c>
      <c r="AF20" s="116" t="e">
        <f>SUMIF(#REF!,$A20,#REF!)</f>
        <v>#REF!</v>
      </c>
      <c r="AG20" s="116" t="e">
        <f>SUMIF(#REF!,$A20,#REF!)</f>
        <v>#REF!</v>
      </c>
      <c r="AH20" s="116" t="e">
        <f>SUMIF(#REF!,$A20,#REF!)</f>
        <v>#REF!</v>
      </c>
      <c r="AI20" s="116" t="e">
        <f>SUMIF(#REF!,$A20,#REF!)</f>
        <v>#REF!</v>
      </c>
      <c r="AJ20" s="116" t="e">
        <f>SUMIF(#REF!,$A20,#REF!)</f>
        <v>#REF!</v>
      </c>
      <c r="AK20" s="116" t="e">
        <f>SUMIF(#REF!,$A20,#REF!)</f>
        <v>#REF!</v>
      </c>
      <c r="AL20" s="116" t="e">
        <f>SUMIF(#REF!,$A20,#REF!)</f>
        <v>#REF!</v>
      </c>
      <c r="AM20" s="116" t="e">
        <f>SUMIF(#REF!,$A20,#REF!)</f>
        <v>#REF!</v>
      </c>
      <c r="AN20" s="116" t="e">
        <f>SUMIF(#REF!,$A20,#REF!)</f>
        <v>#REF!</v>
      </c>
      <c r="AO20" s="116" t="e">
        <f>SUMIF(#REF!,$A20,#REF!)</f>
        <v>#REF!</v>
      </c>
    </row>
    <row r="21" spans="1:42" x14ac:dyDescent="0.25">
      <c r="A21" s="101">
        <v>130015</v>
      </c>
      <c r="B21" t="s">
        <v>32</v>
      </c>
      <c r="C21" s="116" t="e">
        <f t="shared" si="1"/>
        <v>#REF!</v>
      </c>
      <c r="D21" s="116" t="e">
        <f t="shared" si="2"/>
        <v>#REF!</v>
      </c>
      <c r="E21" s="116" t="e">
        <f t="shared" si="3"/>
        <v>#REF!</v>
      </c>
      <c r="F21" s="116" t="e">
        <f t="shared" si="4"/>
        <v>#REF!</v>
      </c>
      <c r="G21" s="116" t="e">
        <f t="shared" si="5"/>
        <v>#REF!</v>
      </c>
      <c r="H21" s="116" t="e">
        <f t="shared" si="6"/>
        <v>#REF!</v>
      </c>
      <c r="I21" s="116" t="e">
        <f t="shared" si="7"/>
        <v>#REF!</v>
      </c>
      <c r="J21" s="116" t="e">
        <f t="shared" si="8"/>
        <v>#REF!</v>
      </c>
      <c r="K21" s="116" t="e">
        <f t="shared" si="9"/>
        <v>#REF!</v>
      </c>
      <c r="L21" s="116" t="e">
        <f t="shared" si="10"/>
        <v>#REF!</v>
      </c>
      <c r="M21" s="116" t="e">
        <f t="shared" si="11"/>
        <v>#REF!</v>
      </c>
      <c r="N21" s="116">
        <f t="shared" si="12"/>
        <v>0</v>
      </c>
      <c r="Q21" s="116" t="e">
        <f>SUMIF(#REF!,$A21,#REF!)</f>
        <v>#REF!</v>
      </c>
      <c r="R21" s="116">
        <f>SUMIF(ALIF_Y2014!$A:$A,$A21,ALIF_Y2014!$F:$F)</f>
        <v>0</v>
      </c>
      <c r="S21" s="116">
        <f>SUMIF(ALIF_Y2015!$A:$A,$A21,ALIF_Y2015!$F:$F)</f>
        <v>0</v>
      </c>
      <c r="T21" s="116">
        <f>SUMIF(ALIF_Y2016!$A:$A,$A21,ALIF_Y2016!$F:$F)</f>
        <v>0</v>
      </c>
      <c r="U21" s="116">
        <f>SUMIF(ALIF_Y2017!$A:$A,$A21,ALIF_Y2017!$F:$F)</f>
        <v>0</v>
      </c>
      <c r="V21" s="116">
        <f>SUMIF(ALIF_Y2018!$A:$A,$A21,ALIF_Y2018!$F:$F)</f>
        <v>0</v>
      </c>
      <c r="W21" s="116">
        <f>SUMIF(ALIF_Y2019!$A:$A,$A21,ALIF_Y2019!$F:$F)</f>
        <v>0</v>
      </c>
      <c r="X21" s="116">
        <f>SUMIF(ALIF_Y2020!$A:$A,$A21,ALIF_Y2020!$F:$F)</f>
        <v>0</v>
      </c>
      <c r="Y21" s="116">
        <f>SUMIF(ALIF_Y2021!$A:$A,$A21,ALIF_Y2021!$F:$F)</f>
        <v>0</v>
      </c>
      <c r="Z21" s="116">
        <f>SUMIF(ALIF_Y2022!$A:$A,$A21,ALIF_Y2022!$F:$F)</f>
        <v>0</v>
      </c>
      <c r="AA21" s="116">
        <f>SUMIF(ALIF_Y2023!$A:$A,$A21,ALIF_Y2023!$F:$F)</f>
        <v>32033.58</v>
      </c>
      <c r="AE21" s="116" t="e">
        <f>SUMIF(#REF!,$A21,#REF!)</f>
        <v>#REF!</v>
      </c>
      <c r="AF21" s="116" t="e">
        <f>SUMIF(#REF!,$A21,#REF!)</f>
        <v>#REF!</v>
      </c>
      <c r="AG21" s="116" t="e">
        <f>SUMIF(#REF!,$A21,#REF!)</f>
        <v>#REF!</v>
      </c>
      <c r="AH21" s="116" t="e">
        <f>SUMIF(#REF!,$A21,#REF!)</f>
        <v>#REF!</v>
      </c>
      <c r="AI21" s="116" t="e">
        <f>SUMIF(#REF!,$A21,#REF!)</f>
        <v>#REF!</v>
      </c>
      <c r="AJ21" s="116" t="e">
        <f>SUMIF(#REF!,$A21,#REF!)</f>
        <v>#REF!</v>
      </c>
      <c r="AK21" s="116" t="e">
        <f>SUMIF(#REF!,$A21,#REF!)</f>
        <v>#REF!</v>
      </c>
      <c r="AL21" s="116" t="e">
        <f>SUMIF(#REF!,$A21,#REF!)</f>
        <v>#REF!</v>
      </c>
      <c r="AM21" s="116" t="e">
        <f>SUMIF(#REF!,$A21,#REF!)</f>
        <v>#REF!</v>
      </c>
      <c r="AN21" s="116" t="e">
        <f>SUMIF(#REF!,$A21,#REF!)</f>
        <v>#REF!</v>
      </c>
      <c r="AO21" s="116" t="e">
        <f>SUMIF(#REF!,$A21,#REF!)</f>
        <v>#REF!</v>
      </c>
    </row>
    <row r="22" spans="1:42" x14ac:dyDescent="0.25">
      <c r="A22" s="101">
        <v>130016</v>
      </c>
      <c r="B22" t="s">
        <v>33</v>
      </c>
      <c r="C22" s="116" t="e">
        <f t="shared" si="1"/>
        <v>#REF!</v>
      </c>
      <c r="D22" s="116" t="e">
        <f t="shared" si="2"/>
        <v>#REF!</v>
      </c>
      <c r="E22" s="116" t="e">
        <f t="shared" si="3"/>
        <v>#REF!</v>
      </c>
      <c r="F22" s="116" t="e">
        <f t="shared" si="4"/>
        <v>#REF!</v>
      </c>
      <c r="G22" s="116" t="e">
        <f t="shared" si="5"/>
        <v>#REF!</v>
      </c>
      <c r="H22" s="116" t="e">
        <f t="shared" si="6"/>
        <v>#REF!</v>
      </c>
      <c r="I22" s="116" t="e">
        <f t="shared" si="7"/>
        <v>#REF!</v>
      </c>
      <c r="J22" s="116" t="e">
        <f t="shared" si="8"/>
        <v>#REF!</v>
      </c>
      <c r="K22" s="116" t="e">
        <f t="shared" si="9"/>
        <v>#REF!</v>
      </c>
      <c r="L22" s="116" t="e">
        <f t="shared" si="10"/>
        <v>#REF!</v>
      </c>
      <c r="M22" s="116" t="e">
        <f t="shared" si="11"/>
        <v>#REF!</v>
      </c>
      <c r="N22" s="116">
        <f t="shared" si="12"/>
        <v>0</v>
      </c>
      <c r="Q22" s="116" t="e">
        <f>SUMIF(#REF!,$A22,#REF!)</f>
        <v>#REF!</v>
      </c>
      <c r="R22" s="116">
        <f>SUMIF(ALIF_Y2014!$A:$A,$A22,ALIF_Y2014!$F:$F)</f>
        <v>0</v>
      </c>
      <c r="S22" s="116">
        <f>SUMIF(ALIF_Y2015!$A:$A,$A22,ALIF_Y2015!$F:$F)</f>
        <v>0</v>
      </c>
      <c r="T22" s="116">
        <f>SUMIF(ALIF_Y2016!$A:$A,$A22,ALIF_Y2016!$F:$F)</f>
        <v>0</v>
      </c>
      <c r="U22" s="116">
        <f>SUMIF(ALIF_Y2017!$A:$A,$A22,ALIF_Y2017!$F:$F)</f>
        <v>0</v>
      </c>
      <c r="V22" s="116">
        <f>SUMIF(ALIF_Y2018!$A:$A,$A22,ALIF_Y2018!$F:$F)</f>
        <v>0</v>
      </c>
      <c r="W22" s="116">
        <f>SUMIF(ALIF_Y2019!$A:$A,$A22,ALIF_Y2019!$F:$F)</f>
        <v>0</v>
      </c>
      <c r="X22" s="116">
        <f>SUMIF(ALIF_Y2020!$A:$A,$A22,ALIF_Y2020!$F:$F)</f>
        <v>0</v>
      </c>
      <c r="Y22" s="116">
        <f>SUMIF(ALIF_Y2021!$A:$A,$A22,ALIF_Y2021!$F:$F)</f>
        <v>0</v>
      </c>
      <c r="Z22" s="116">
        <f>SUMIF(ALIF_Y2022!$A:$A,$A22,ALIF_Y2022!$F:$F)</f>
        <v>0</v>
      </c>
      <c r="AA22" s="116">
        <f>SUMIF(ALIF_Y2023!$A:$A,$A22,ALIF_Y2023!$F:$F)</f>
        <v>367494.75</v>
      </c>
      <c r="AE22" s="116" t="e">
        <f>SUMIF(#REF!,$A22,#REF!)</f>
        <v>#REF!</v>
      </c>
      <c r="AF22" s="116" t="e">
        <f>SUMIF(#REF!,$A22,#REF!)</f>
        <v>#REF!</v>
      </c>
      <c r="AG22" s="116" t="e">
        <f>SUMIF(#REF!,$A22,#REF!)</f>
        <v>#REF!</v>
      </c>
      <c r="AH22" s="116" t="e">
        <f>SUMIF(#REF!,$A22,#REF!)</f>
        <v>#REF!</v>
      </c>
      <c r="AI22" s="116" t="e">
        <f>SUMIF(#REF!,$A22,#REF!)</f>
        <v>#REF!</v>
      </c>
      <c r="AJ22" s="116" t="e">
        <f>SUMIF(#REF!,$A22,#REF!)</f>
        <v>#REF!</v>
      </c>
      <c r="AK22" s="116" t="e">
        <f>SUMIF(#REF!,$A22,#REF!)</f>
        <v>#REF!</v>
      </c>
      <c r="AL22" s="116" t="e">
        <f>SUMIF(#REF!,$A22,#REF!)</f>
        <v>#REF!</v>
      </c>
      <c r="AM22" s="116" t="e">
        <f>SUMIF(#REF!,$A22,#REF!)</f>
        <v>#REF!</v>
      </c>
      <c r="AN22" s="116" t="e">
        <f>SUMIF(#REF!,$A22,#REF!)</f>
        <v>#REF!</v>
      </c>
      <c r="AO22" s="116" t="e">
        <f>SUMIF(#REF!,$A22,#REF!)</f>
        <v>#REF!</v>
      </c>
    </row>
    <row r="23" spans="1:42" x14ac:dyDescent="0.25">
      <c r="A23" s="101">
        <v>130099</v>
      </c>
      <c r="B23" t="s">
        <v>34</v>
      </c>
      <c r="C23" s="116" t="e">
        <f t="shared" si="1"/>
        <v>#REF!</v>
      </c>
      <c r="D23" s="116" t="e">
        <f t="shared" si="2"/>
        <v>#REF!</v>
      </c>
      <c r="E23" s="116" t="e">
        <f t="shared" si="3"/>
        <v>#REF!</v>
      </c>
      <c r="F23" s="116" t="e">
        <f t="shared" si="4"/>
        <v>#REF!</v>
      </c>
      <c r="G23" s="116" t="e">
        <f t="shared" si="5"/>
        <v>#REF!</v>
      </c>
      <c r="H23" s="116" t="e">
        <f t="shared" si="6"/>
        <v>#REF!</v>
      </c>
      <c r="I23" s="116" t="e">
        <f t="shared" si="7"/>
        <v>#REF!</v>
      </c>
      <c r="J23" s="116" t="e">
        <f t="shared" si="8"/>
        <v>#REF!</v>
      </c>
      <c r="K23" s="116" t="e">
        <f t="shared" si="9"/>
        <v>#REF!</v>
      </c>
      <c r="L23" s="116" t="e">
        <f t="shared" si="10"/>
        <v>#REF!</v>
      </c>
      <c r="M23" s="116" t="e">
        <f t="shared" si="11"/>
        <v>#REF!</v>
      </c>
      <c r="N23" s="116">
        <f t="shared" si="12"/>
        <v>0</v>
      </c>
      <c r="Q23" s="116" t="e">
        <f>SUMIF(#REF!,$A23,#REF!)</f>
        <v>#REF!</v>
      </c>
      <c r="R23" s="116">
        <f>SUMIF(ALIF_Y2014!$A:$A,$A23,ALIF_Y2014!$F:$F)</f>
        <v>0</v>
      </c>
      <c r="S23" s="116">
        <f>SUMIF(ALIF_Y2015!$A:$A,$A23,ALIF_Y2015!$F:$F)</f>
        <v>0</v>
      </c>
      <c r="T23" s="116">
        <f>SUMIF(ALIF_Y2016!$A:$A,$A23,ALIF_Y2016!$F:$F)</f>
        <v>0</v>
      </c>
      <c r="U23" s="116">
        <f>SUMIF(ALIF_Y2017!$A:$A,$A23,ALIF_Y2017!$F:$F)</f>
        <v>0</v>
      </c>
      <c r="V23" s="116">
        <f>SUMIF(ALIF_Y2018!$A:$A,$A23,ALIF_Y2018!$F:$F)</f>
        <v>0</v>
      </c>
      <c r="W23" s="116">
        <f>SUMIF(ALIF_Y2019!$A:$A,$A23,ALIF_Y2019!$F:$F)</f>
        <v>0</v>
      </c>
      <c r="X23" s="116">
        <f>SUMIF(ALIF_Y2020!$A:$A,$A23,ALIF_Y2020!$F:$F)</f>
        <v>0</v>
      </c>
      <c r="Y23" s="116">
        <f>SUMIF(ALIF_Y2021!$A:$A,$A23,ALIF_Y2021!$F:$F)</f>
        <v>0</v>
      </c>
      <c r="Z23" s="116">
        <f>SUMIF(ALIF_Y2022!$A:$A,$A23,ALIF_Y2022!$F:$F)</f>
        <v>0</v>
      </c>
      <c r="AA23" s="116">
        <f>SUMIF(ALIF_Y2023!$A:$A,$A23,ALIF_Y2023!$F:$F)</f>
        <v>0</v>
      </c>
      <c r="AE23" s="116" t="e">
        <f>SUMIF(#REF!,$A23,#REF!)</f>
        <v>#REF!</v>
      </c>
      <c r="AF23" s="116" t="e">
        <f>SUMIF(#REF!,$A23,#REF!)</f>
        <v>#REF!</v>
      </c>
      <c r="AG23" s="116" t="e">
        <f>SUMIF(#REF!,$A23,#REF!)</f>
        <v>#REF!</v>
      </c>
      <c r="AH23" s="116" t="e">
        <f>SUMIF(#REF!,$A23,#REF!)</f>
        <v>#REF!</v>
      </c>
      <c r="AI23" s="116" t="e">
        <f>SUMIF(#REF!,$A23,#REF!)</f>
        <v>#REF!</v>
      </c>
      <c r="AJ23" s="116" t="e">
        <f>SUMIF(#REF!,$A23,#REF!)</f>
        <v>#REF!</v>
      </c>
      <c r="AK23" s="116" t="e">
        <f>SUMIF(#REF!,$A23,#REF!)</f>
        <v>#REF!</v>
      </c>
      <c r="AL23" s="116" t="e">
        <f>SUMIF(#REF!,$A23,#REF!)</f>
        <v>#REF!</v>
      </c>
      <c r="AM23" s="116" t="e">
        <f>SUMIF(#REF!,$A23,#REF!)</f>
        <v>#REF!</v>
      </c>
      <c r="AN23" s="116" t="e">
        <f>SUMIF(#REF!,$A23,#REF!)</f>
        <v>#REF!</v>
      </c>
      <c r="AO23" s="116" t="e">
        <f>SUMIF(#REF!,$A23,#REF!)</f>
        <v>#REF!</v>
      </c>
    </row>
    <row r="24" spans="1:42" x14ac:dyDescent="0.25">
      <c r="A24" s="101">
        <v>160001</v>
      </c>
      <c r="B24" t="s">
        <v>39</v>
      </c>
      <c r="C24" s="116" t="e">
        <f t="shared" si="1"/>
        <v>#REF!</v>
      </c>
      <c r="D24" s="116" t="e">
        <f t="shared" si="2"/>
        <v>#REF!</v>
      </c>
      <c r="E24" s="116" t="e">
        <f t="shared" si="3"/>
        <v>#REF!</v>
      </c>
      <c r="F24" s="116" t="e">
        <f t="shared" si="4"/>
        <v>#REF!</v>
      </c>
      <c r="G24" s="116" t="e">
        <f t="shared" si="5"/>
        <v>#REF!</v>
      </c>
      <c r="H24" s="116" t="e">
        <f t="shared" si="6"/>
        <v>#REF!</v>
      </c>
      <c r="I24" s="116" t="e">
        <f t="shared" si="7"/>
        <v>#REF!</v>
      </c>
      <c r="J24" s="116" t="e">
        <f t="shared" si="8"/>
        <v>#REF!</v>
      </c>
      <c r="K24" s="116" t="e">
        <f t="shared" si="9"/>
        <v>#REF!</v>
      </c>
      <c r="L24" s="116" t="e">
        <f t="shared" si="10"/>
        <v>#REF!</v>
      </c>
      <c r="M24" s="116" t="e">
        <f t="shared" si="11"/>
        <v>#REF!</v>
      </c>
      <c r="N24" s="116">
        <f t="shared" si="12"/>
        <v>0</v>
      </c>
      <c r="Q24" s="116" t="e">
        <f>SUMIF(#REF!,$A24,#REF!)</f>
        <v>#REF!</v>
      </c>
      <c r="R24" s="116">
        <f>SUMIF(ALIF_Y2014!$A:$A,$A24,ALIF_Y2014!$F:$F)</f>
        <v>54844.55</v>
      </c>
      <c r="S24" s="116">
        <f>SUMIF(ALIF_Y2015!$A:$A,$A24,ALIF_Y2015!$F:$F)</f>
        <v>58391.6</v>
      </c>
      <c r="T24" s="116">
        <f>SUMIF(ALIF_Y2016!$A:$A,$A24,ALIF_Y2016!$F:$F)</f>
        <v>68465.62</v>
      </c>
      <c r="U24" s="116">
        <f>SUMIF(ALIF_Y2017!$A:$A,$A24,ALIF_Y2017!$F:$F)</f>
        <v>46000</v>
      </c>
      <c r="V24" s="116">
        <f>SUMIF(ALIF_Y2018!$A:$A,$A24,ALIF_Y2018!$F:$F)</f>
        <v>30246.880000000001</v>
      </c>
      <c r="W24" s="116">
        <f>SUMIF(ALIF_Y2019!$A:$A,$A24,ALIF_Y2019!$F:$F)</f>
        <v>25429.97</v>
      </c>
      <c r="X24" s="116">
        <f>SUMIF(ALIF_Y2020!$A:$A,$A24,ALIF_Y2020!$F:$F)</f>
        <v>16854.25</v>
      </c>
      <c r="Y24" s="116">
        <f>SUMIF(ALIF_Y2021!$A:$A,$A24,ALIF_Y2021!$F:$F)</f>
        <v>8703.91</v>
      </c>
      <c r="Z24" s="116">
        <f>SUMIF(ALIF_Y2022!$A:$A,$A24,ALIF_Y2022!$F:$F)</f>
        <v>17049.689999999999</v>
      </c>
      <c r="AA24" s="116">
        <f>SUMIF(ALIF_Y2023!$A:$A,$A24,ALIF_Y2023!$F:$F)</f>
        <v>12811.2</v>
      </c>
      <c r="AE24" s="116" t="e">
        <f>SUMIF(#REF!,$A24,#REF!)</f>
        <v>#REF!</v>
      </c>
      <c r="AF24" s="116" t="e">
        <f>SUMIF(#REF!,$A24,#REF!)</f>
        <v>#REF!</v>
      </c>
      <c r="AG24" s="116" t="e">
        <f>SUMIF(#REF!,$A24,#REF!)</f>
        <v>#REF!</v>
      </c>
      <c r="AH24" s="116" t="e">
        <f>SUMIF(#REF!,$A24,#REF!)</f>
        <v>#REF!</v>
      </c>
      <c r="AI24" s="116" t="e">
        <f>SUMIF(#REF!,$A24,#REF!)</f>
        <v>#REF!</v>
      </c>
      <c r="AJ24" s="116" t="e">
        <f>SUMIF(#REF!,$A24,#REF!)</f>
        <v>#REF!</v>
      </c>
      <c r="AK24" s="116" t="e">
        <f>SUMIF(#REF!,$A24,#REF!)</f>
        <v>#REF!</v>
      </c>
      <c r="AL24" s="116" t="e">
        <f>SUMIF(#REF!,$A24,#REF!)</f>
        <v>#REF!</v>
      </c>
      <c r="AM24" s="116" t="e">
        <f>SUMIF(#REF!,$A24,#REF!)</f>
        <v>#REF!</v>
      </c>
      <c r="AN24" s="116" t="e">
        <f>SUMIF(#REF!,$A24,#REF!)</f>
        <v>#REF!</v>
      </c>
      <c r="AO24" s="116" t="e">
        <f>SUMIF(#REF!,$A24,#REF!)</f>
        <v>#REF!</v>
      </c>
    </row>
    <row r="25" spans="1:42" x14ac:dyDescent="0.25">
      <c r="A25" s="101">
        <v>130017</v>
      </c>
      <c r="B25" t="s">
        <v>555</v>
      </c>
      <c r="C25" s="116" t="e">
        <f t="shared" si="1"/>
        <v>#REF!</v>
      </c>
      <c r="D25" s="116" t="e">
        <f t="shared" si="2"/>
        <v>#REF!</v>
      </c>
      <c r="E25" s="116" t="e">
        <f t="shared" si="3"/>
        <v>#REF!</v>
      </c>
      <c r="F25" s="116" t="e">
        <f t="shared" si="4"/>
        <v>#REF!</v>
      </c>
      <c r="G25" s="116" t="e">
        <f t="shared" si="5"/>
        <v>#REF!</v>
      </c>
      <c r="H25" s="116" t="e">
        <f t="shared" si="6"/>
        <v>#REF!</v>
      </c>
      <c r="I25" s="116" t="e">
        <f t="shared" si="7"/>
        <v>#REF!</v>
      </c>
      <c r="J25" s="116" t="e">
        <f t="shared" si="8"/>
        <v>#REF!</v>
      </c>
      <c r="K25" s="116" t="e">
        <f t="shared" si="9"/>
        <v>#REF!</v>
      </c>
      <c r="L25" s="116" t="e">
        <f t="shared" si="10"/>
        <v>#REF!</v>
      </c>
      <c r="M25" s="116" t="e">
        <f t="shared" si="11"/>
        <v>#REF!</v>
      </c>
      <c r="N25" s="116">
        <f t="shared" si="12"/>
        <v>0</v>
      </c>
      <c r="Q25" s="116" t="e">
        <f>SUMIF(#REF!,$A25,#REF!)</f>
        <v>#REF!</v>
      </c>
      <c r="R25" s="116">
        <f>SUMIF(ALIF_Y2014!$A:$A,$A25,ALIF_Y2014!$F:$F)</f>
        <v>0</v>
      </c>
      <c r="S25" s="116">
        <f>SUMIF(ALIF_Y2015!$A:$A,$A25,ALIF_Y2015!$F:$F)</f>
        <v>0</v>
      </c>
      <c r="T25" s="116">
        <f>SUMIF(ALIF_Y2016!$A:$A,$A25,ALIF_Y2016!$F:$F)</f>
        <v>0</v>
      </c>
      <c r="U25" s="116">
        <f>SUMIF(ALIF_Y2017!$A:$A,$A25,ALIF_Y2017!$F:$F)</f>
        <v>0</v>
      </c>
      <c r="V25" s="116">
        <f>SUMIF(ALIF_Y2018!$A:$A,$A25,ALIF_Y2018!$F:$F)</f>
        <v>0</v>
      </c>
      <c r="W25" s="116">
        <f>SUMIF(ALIF_Y2019!$A:$A,$A25,ALIF_Y2019!$F:$F)</f>
        <v>0</v>
      </c>
      <c r="X25" s="116">
        <f>SUMIF(ALIF_Y2020!$A:$A,$A25,ALIF_Y2020!$F:$F)</f>
        <v>0</v>
      </c>
      <c r="Y25" s="116">
        <f>SUMIF(ALIF_Y2021!$A:$A,$A25,ALIF_Y2021!$F:$F)</f>
        <v>0</v>
      </c>
      <c r="Z25" s="116">
        <f>SUMIF(ALIF_Y2022!$A:$A,$A25,ALIF_Y2022!$F:$F)</f>
        <v>0</v>
      </c>
      <c r="AA25" s="116">
        <f>SUMIF(ALIF_Y2023!$A:$A,$A25,ALIF_Y2023!$F:$F)</f>
        <v>0</v>
      </c>
      <c r="AE25" s="116" t="e">
        <f>SUMIF(#REF!,$A25,#REF!)</f>
        <v>#REF!</v>
      </c>
      <c r="AF25" s="116" t="e">
        <f>SUMIF(#REF!,$A25,#REF!)</f>
        <v>#REF!</v>
      </c>
      <c r="AG25" s="116" t="e">
        <f>SUMIF(#REF!,$A25,#REF!)</f>
        <v>#REF!</v>
      </c>
      <c r="AH25" s="116" t="e">
        <f>SUMIF(#REF!,$A25,#REF!)</f>
        <v>#REF!</v>
      </c>
      <c r="AI25" s="116" t="e">
        <f>SUMIF(#REF!,$A25,#REF!)</f>
        <v>#REF!</v>
      </c>
      <c r="AJ25" s="116" t="e">
        <f>SUMIF(#REF!,$A25,#REF!)</f>
        <v>#REF!</v>
      </c>
      <c r="AK25" s="116" t="e">
        <f>SUMIF(#REF!,$A25,#REF!)</f>
        <v>#REF!</v>
      </c>
      <c r="AL25" s="116" t="e">
        <f>SUMIF(#REF!,$A25,#REF!)</f>
        <v>#REF!</v>
      </c>
      <c r="AM25" s="116" t="e">
        <f>SUMIF(#REF!,$A25,#REF!)</f>
        <v>#REF!</v>
      </c>
      <c r="AN25" s="116" t="e">
        <f>SUMIF(#REF!,$A25,#REF!)</f>
        <v>#REF!</v>
      </c>
      <c r="AO25" s="116" t="e">
        <f>SUMIF(#REF!,$A25,#REF!)</f>
        <v>#REF!</v>
      </c>
    </row>
    <row r="26" spans="1:42" ht="7.9" customHeight="1" x14ac:dyDescent="0.25"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</row>
    <row r="27" spans="1:42" x14ac:dyDescent="0.25">
      <c r="C27" s="118" t="e">
        <f t="shared" ref="C27:N27" si="13">SUM(C7:C26)</f>
        <v>#REF!</v>
      </c>
      <c r="D27" s="118" t="e">
        <f t="shared" si="13"/>
        <v>#REF!</v>
      </c>
      <c r="E27" s="118" t="e">
        <f t="shared" si="13"/>
        <v>#REF!</v>
      </c>
      <c r="F27" s="118" t="e">
        <f t="shared" si="13"/>
        <v>#REF!</v>
      </c>
      <c r="G27" s="118" t="e">
        <f t="shared" si="13"/>
        <v>#REF!</v>
      </c>
      <c r="H27" s="118" t="e">
        <f t="shared" si="13"/>
        <v>#REF!</v>
      </c>
      <c r="I27" s="118" t="e">
        <f t="shared" si="13"/>
        <v>#REF!</v>
      </c>
      <c r="J27" s="118" t="e">
        <f t="shared" si="13"/>
        <v>#REF!</v>
      </c>
      <c r="K27" s="118" t="e">
        <f t="shared" si="13"/>
        <v>#REF!</v>
      </c>
      <c r="L27" s="118" t="e">
        <f t="shared" si="13"/>
        <v>#REF!</v>
      </c>
      <c r="M27" s="118" t="e">
        <f t="shared" si="13"/>
        <v>#REF!</v>
      </c>
      <c r="N27" s="118">
        <f t="shared" si="13"/>
        <v>0</v>
      </c>
      <c r="Q27" s="118" t="e">
        <f t="shared" ref="Q27" si="14">SUM(Q7:Q26)</f>
        <v>#REF!</v>
      </c>
      <c r="R27" s="118">
        <f t="shared" ref="R27:AB27" si="15">SUM(R7:R26)</f>
        <v>11085979.221000001</v>
      </c>
      <c r="S27" s="118">
        <f t="shared" si="15"/>
        <v>4470130.79</v>
      </c>
      <c r="T27" s="118">
        <f t="shared" si="15"/>
        <v>4689654.82</v>
      </c>
      <c r="U27" s="118">
        <f t="shared" si="15"/>
        <v>7257276.1430000011</v>
      </c>
      <c r="V27" s="118">
        <f t="shared" si="15"/>
        <v>8817544.4199999999</v>
      </c>
      <c r="W27" s="118">
        <f t="shared" si="15"/>
        <v>6590029.9899999993</v>
      </c>
      <c r="X27" s="118">
        <f t="shared" si="15"/>
        <v>40745293.011</v>
      </c>
      <c r="Y27" s="118">
        <f t="shared" si="15"/>
        <v>10651132.045</v>
      </c>
      <c r="Z27" s="118">
        <f t="shared" si="15"/>
        <v>13695028.931</v>
      </c>
      <c r="AA27" s="118">
        <f t="shared" si="15"/>
        <v>4063524.3990000007</v>
      </c>
      <c r="AB27" s="118">
        <f t="shared" si="15"/>
        <v>0</v>
      </c>
      <c r="AE27" s="118" t="e">
        <f>SUM(AE7:AE26)</f>
        <v>#REF!</v>
      </c>
      <c r="AF27" s="118" t="e">
        <f t="shared" ref="AF27:AO27" si="16">SUM(AF7:AF26)</f>
        <v>#REF!</v>
      </c>
      <c r="AG27" s="118" t="e">
        <f t="shared" si="16"/>
        <v>#REF!</v>
      </c>
      <c r="AH27" s="118" t="e">
        <f t="shared" si="16"/>
        <v>#REF!</v>
      </c>
      <c r="AI27" s="118" t="e">
        <f t="shared" si="16"/>
        <v>#REF!</v>
      </c>
      <c r="AJ27" s="118" t="e">
        <f t="shared" si="16"/>
        <v>#REF!</v>
      </c>
      <c r="AK27" s="118" t="e">
        <f t="shared" si="16"/>
        <v>#REF!</v>
      </c>
      <c r="AL27" s="118" t="e">
        <f t="shared" si="16"/>
        <v>#REF!</v>
      </c>
      <c r="AM27" s="118" t="e">
        <f t="shared" si="16"/>
        <v>#REF!</v>
      </c>
      <c r="AN27" s="118" t="e">
        <f t="shared" si="16"/>
        <v>#REF!</v>
      </c>
      <c r="AO27" s="118" t="e">
        <f t="shared" si="16"/>
        <v>#REF!</v>
      </c>
    </row>
    <row r="29" spans="1:42" x14ac:dyDescent="0.25">
      <c r="A29" s="99" t="s">
        <v>567</v>
      </c>
    </row>
    <row r="30" spans="1:42" x14ac:dyDescent="0.25">
      <c r="A30" s="101">
        <v>140001</v>
      </c>
      <c r="B30" t="s">
        <v>35</v>
      </c>
      <c r="C30" s="116" t="e">
        <f t="shared" ref="C30:C33" si="17">Q30+AE30</f>
        <v>#REF!</v>
      </c>
      <c r="D30" s="116" t="e">
        <f t="shared" ref="D30:D33" si="18">R30+AF30</f>
        <v>#REF!</v>
      </c>
      <c r="E30" s="116" t="e">
        <f t="shared" ref="E30:E33" si="19">S30+AG30</f>
        <v>#REF!</v>
      </c>
      <c r="F30" s="116" t="e">
        <f t="shared" ref="F30:F33" si="20">T30+AH30</f>
        <v>#REF!</v>
      </c>
      <c r="G30" s="116" t="e">
        <f t="shared" ref="G30:G33" si="21">U30+AI30</f>
        <v>#REF!</v>
      </c>
      <c r="H30" s="116" t="e">
        <f t="shared" ref="H30:H33" si="22">V30+AJ30</f>
        <v>#REF!</v>
      </c>
      <c r="I30" s="116" t="e">
        <f t="shared" ref="I30:I33" si="23">W30+AK30</f>
        <v>#REF!</v>
      </c>
      <c r="J30" s="116" t="e">
        <f t="shared" ref="J30:J33" si="24">X30+AL30</f>
        <v>#REF!</v>
      </c>
      <c r="K30" s="116" t="e">
        <f t="shared" ref="K30:K33" si="25">Y30+AM30</f>
        <v>#REF!</v>
      </c>
      <c r="L30" s="116" t="e">
        <f t="shared" ref="L30:L33" si="26">Z30+AN30</f>
        <v>#REF!</v>
      </c>
      <c r="M30" s="116" t="e">
        <f t="shared" ref="M30:M33" si="27">AA30+AO30</f>
        <v>#REF!</v>
      </c>
      <c r="N30" s="116">
        <f t="shared" ref="N30:N33" si="28">AB30+AP30</f>
        <v>0</v>
      </c>
      <c r="Q30" s="116" t="e">
        <f>SUMIF(#REF!,$A30,#REF!)</f>
        <v>#REF!</v>
      </c>
      <c r="R30" s="116">
        <f>SUMIF(ALIF_Y2014!$A:$A,$A30,ALIF_Y2014!$F:$F)</f>
        <v>36187908.814999998</v>
      </c>
      <c r="S30" s="116">
        <f>SUMIF(ALIF_Y2015!$A:$A,$A30,ALIF_Y2015!$F:$F)</f>
        <v>36923559</v>
      </c>
      <c r="T30" s="116">
        <f>SUMIF(ALIF_Y2016!$A:$A,$A30,ALIF_Y2016!$F:$F)</f>
        <v>39673675.619999997</v>
      </c>
      <c r="U30" s="116">
        <f>SUMIF(ALIF_Y2017!$A:$A,$A30,ALIF_Y2017!$F:$F)</f>
        <v>39364277.743000001</v>
      </c>
      <c r="V30" s="116">
        <f>SUMIF(ALIF_Y2018!$A:$A,$A30,ALIF_Y2018!$F:$F)</f>
        <v>38308186.048</v>
      </c>
      <c r="W30" s="116">
        <f>SUMIF(ALIF_Y2019!$A:$A,$A30,ALIF_Y2019!$F:$F)</f>
        <v>43443359.329000004</v>
      </c>
      <c r="X30" s="116">
        <f>SUMIF(ALIF_Y2020!$A:$A,$A30,ALIF_Y2020!$F:$F)</f>
        <v>38933964.941</v>
      </c>
      <c r="Y30" s="116">
        <f>SUMIF(ALIF_Y2021!$A:$A,$A30,ALIF_Y2021!$F:$F)</f>
        <v>63268299.509000003</v>
      </c>
      <c r="Z30" s="116">
        <f>SUMIF(ALIF_Y2022!$A:$A,$A30,ALIF_Y2022!$F:$F)</f>
        <v>73001860.419</v>
      </c>
      <c r="AA30" s="116">
        <f>SUMIF(ALIF_Y2023!$A:$A,$A30,ALIF_Y2023!$F:$F)</f>
        <v>45463353.802000001</v>
      </c>
      <c r="AE30" s="116" t="e">
        <f>SUMIF(#REF!,$A30,#REF!)</f>
        <v>#REF!</v>
      </c>
      <c r="AF30" s="116" t="e">
        <f>SUMIF(#REF!,$A30,#REF!)</f>
        <v>#REF!</v>
      </c>
      <c r="AG30" s="116" t="e">
        <f>SUMIF(#REF!,$A30,#REF!)</f>
        <v>#REF!</v>
      </c>
      <c r="AH30" s="116" t="e">
        <f>SUMIF(#REF!,$A30,#REF!)</f>
        <v>#REF!</v>
      </c>
      <c r="AI30" s="116" t="e">
        <f>SUMIF(#REF!,$A30,#REF!)</f>
        <v>#REF!</v>
      </c>
      <c r="AJ30" s="116" t="e">
        <f>SUMIF(#REF!,$A30,#REF!)</f>
        <v>#REF!</v>
      </c>
      <c r="AK30" s="116" t="e">
        <f>SUMIF(#REF!,$A30,#REF!)</f>
        <v>#REF!</v>
      </c>
      <c r="AL30" s="116" t="e">
        <f>SUMIF(#REF!,$A30,#REF!)</f>
        <v>#REF!</v>
      </c>
      <c r="AM30" s="116" t="e">
        <f>SUMIF(#REF!,$A30,#REF!)</f>
        <v>#REF!</v>
      </c>
      <c r="AN30" s="116" t="e">
        <f>SUMIF(#REF!,$A30,#REF!)</f>
        <v>#REF!</v>
      </c>
      <c r="AO30" s="116" t="e">
        <f>SUMIF(#REF!,$A30,#REF!)</f>
        <v>#REF!</v>
      </c>
    </row>
    <row r="31" spans="1:42" x14ac:dyDescent="0.25">
      <c r="A31" s="101">
        <v>140010</v>
      </c>
      <c r="B31" t="s">
        <v>36</v>
      </c>
      <c r="C31" s="116" t="e">
        <f t="shared" si="17"/>
        <v>#REF!</v>
      </c>
      <c r="D31" s="116" t="e">
        <f t="shared" si="18"/>
        <v>#REF!</v>
      </c>
      <c r="E31" s="116" t="e">
        <f t="shared" si="19"/>
        <v>#REF!</v>
      </c>
      <c r="F31" s="116" t="e">
        <f t="shared" si="20"/>
        <v>#REF!</v>
      </c>
      <c r="G31" s="116" t="e">
        <f t="shared" si="21"/>
        <v>#REF!</v>
      </c>
      <c r="H31" s="116" t="e">
        <f t="shared" si="22"/>
        <v>#REF!</v>
      </c>
      <c r="I31" s="116" t="e">
        <f t="shared" si="23"/>
        <v>#REF!</v>
      </c>
      <c r="J31" s="116" t="e">
        <f t="shared" si="24"/>
        <v>#REF!</v>
      </c>
      <c r="K31" s="116" t="e">
        <f t="shared" si="25"/>
        <v>#REF!</v>
      </c>
      <c r="L31" s="116" t="e">
        <f t="shared" si="26"/>
        <v>#REF!</v>
      </c>
      <c r="M31" s="116" t="e">
        <f t="shared" si="27"/>
        <v>#REF!</v>
      </c>
      <c r="N31" s="116">
        <f t="shared" si="28"/>
        <v>0</v>
      </c>
      <c r="Q31" s="116" t="e">
        <f>SUMIF(#REF!,$A31,#REF!)</f>
        <v>#REF!</v>
      </c>
      <c r="R31" s="116">
        <f>SUMIF(ALIF_Y2014!$A:$A,$A31,ALIF_Y2014!$F:$F)</f>
        <v>0</v>
      </c>
      <c r="S31" s="116">
        <f>SUMIF(ALIF_Y2015!$A:$A,$A31,ALIF_Y2015!$F:$F)</f>
        <v>0</v>
      </c>
      <c r="T31" s="116">
        <f>SUMIF(ALIF_Y2016!$A:$A,$A31,ALIF_Y2016!$F:$F)</f>
        <v>0</v>
      </c>
      <c r="U31" s="116">
        <f>SUMIF(ALIF_Y2017!$A:$A,$A31,ALIF_Y2017!$F:$F)</f>
        <v>0</v>
      </c>
      <c r="V31" s="116">
        <f>SUMIF(ALIF_Y2018!$A:$A,$A31,ALIF_Y2018!$F:$F)</f>
        <v>0</v>
      </c>
      <c r="W31" s="116">
        <f>SUMIF(ALIF_Y2019!$A:$A,$A31,ALIF_Y2019!$F:$F)</f>
        <v>0</v>
      </c>
      <c r="X31" s="116">
        <f>SUMIF(ALIF_Y2020!$A:$A,$A31,ALIF_Y2020!$F:$F)</f>
        <v>0</v>
      </c>
      <c r="Y31" s="116">
        <f>SUMIF(ALIF_Y2021!$A:$A,$A31,ALIF_Y2021!$F:$F)</f>
        <v>0</v>
      </c>
      <c r="Z31" s="116">
        <f>SUMIF(ALIF_Y2022!$A:$A,$A31,ALIF_Y2022!$F:$F)</f>
        <v>0</v>
      </c>
      <c r="AA31" s="116">
        <f>SUMIF(ALIF_Y2023!$A:$A,$A31,ALIF_Y2023!$F:$F)</f>
        <v>0</v>
      </c>
      <c r="AE31" s="116" t="e">
        <f>SUMIF(#REF!,$A31,#REF!)</f>
        <v>#REF!</v>
      </c>
      <c r="AF31" s="116" t="e">
        <f>SUMIF(#REF!,$A31,#REF!)</f>
        <v>#REF!</v>
      </c>
      <c r="AG31" s="116" t="e">
        <f>SUMIF(#REF!,$A31,#REF!)</f>
        <v>#REF!</v>
      </c>
      <c r="AH31" s="116" t="e">
        <f>SUMIF(#REF!,$A31,#REF!)</f>
        <v>#REF!</v>
      </c>
      <c r="AI31" s="116" t="e">
        <f>SUMIF(#REF!,$A31,#REF!)</f>
        <v>#REF!</v>
      </c>
      <c r="AJ31" s="116" t="e">
        <f>SUMIF(#REF!,$A31,#REF!)</f>
        <v>#REF!</v>
      </c>
      <c r="AK31" s="116" t="e">
        <f>SUMIF(#REF!,$A31,#REF!)</f>
        <v>#REF!</v>
      </c>
      <c r="AL31" s="116" t="e">
        <f>SUMIF(#REF!,$A31,#REF!)</f>
        <v>#REF!</v>
      </c>
      <c r="AM31" s="116" t="e">
        <f>SUMIF(#REF!,$A31,#REF!)</f>
        <v>#REF!</v>
      </c>
      <c r="AN31" s="116" t="e">
        <f>SUMIF(#REF!,$A31,#REF!)</f>
        <v>#REF!</v>
      </c>
      <c r="AO31" s="116" t="e">
        <f>SUMIF(#REF!,$A31,#REF!)</f>
        <v>#REF!</v>
      </c>
    </row>
    <row r="32" spans="1:42" x14ac:dyDescent="0.25">
      <c r="A32" s="101">
        <v>121003</v>
      </c>
      <c r="B32" t="s">
        <v>237</v>
      </c>
      <c r="C32" s="116" t="e">
        <f t="shared" si="17"/>
        <v>#REF!</v>
      </c>
      <c r="D32" s="116" t="e">
        <f t="shared" si="18"/>
        <v>#REF!</v>
      </c>
      <c r="E32" s="116" t="e">
        <f t="shared" si="19"/>
        <v>#REF!</v>
      </c>
      <c r="F32" s="116" t="e">
        <f t="shared" si="20"/>
        <v>#REF!</v>
      </c>
      <c r="G32" s="116" t="e">
        <f t="shared" si="21"/>
        <v>#REF!</v>
      </c>
      <c r="H32" s="116" t="e">
        <f t="shared" si="22"/>
        <v>#REF!</v>
      </c>
      <c r="I32" s="116" t="e">
        <f t="shared" si="23"/>
        <v>#REF!</v>
      </c>
      <c r="J32" s="116" t="e">
        <f t="shared" si="24"/>
        <v>#REF!</v>
      </c>
      <c r="K32" s="116" t="e">
        <f t="shared" si="25"/>
        <v>#REF!</v>
      </c>
      <c r="L32" s="116" t="e">
        <f t="shared" si="26"/>
        <v>#REF!</v>
      </c>
      <c r="M32" s="116" t="e">
        <f t="shared" si="27"/>
        <v>#REF!</v>
      </c>
      <c r="N32" s="116">
        <f t="shared" si="28"/>
        <v>0</v>
      </c>
      <c r="Q32" s="116" t="e">
        <f>SUMIF(#REF!,$A32,#REF!)</f>
        <v>#REF!</v>
      </c>
      <c r="R32" s="116">
        <f>SUMIF(ALIF_Y2014!$A:$A,$A32,ALIF_Y2014!$F:$F)</f>
        <v>0</v>
      </c>
      <c r="S32" s="116">
        <f>SUMIF(ALIF_Y2015!$A:$A,$A32,ALIF_Y2015!$F:$F)</f>
        <v>0</v>
      </c>
      <c r="T32" s="116">
        <f>SUMIF(ALIF_Y2016!$A:$A,$A32,ALIF_Y2016!$F:$F)</f>
        <v>0</v>
      </c>
      <c r="U32" s="116">
        <f>SUMIF(ALIF_Y2017!$A:$A,$A32,ALIF_Y2017!$F:$F)</f>
        <v>0</v>
      </c>
      <c r="V32" s="116">
        <f>SUMIF(ALIF_Y2018!$A:$A,$A32,ALIF_Y2018!$F:$F)</f>
        <v>0</v>
      </c>
      <c r="W32" s="116">
        <f>SUMIF(ALIF_Y2019!$A:$A,$A32,ALIF_Y2019!$F:$F)</f>
        <v>0</v>
      </c>
      <c r="X32" s="116">
        <f>SUMIF(ALIF_Y2020!$A:$A,$A32,ALIF_Y2020!$F:$F)</f>
        <v>0</v>
      </c>
      <c r="Y32" s="116">
        <f>SUMIF(ALIF_Y2021!$A:$A,$A32,ALIF_Y2021!$F:$F)</f>
        <v>0</v>
      </c>
      <c r="Z32" s="116">
        <f>SUMIF(ALIF_Y2022!$A:$A,$A32,ALIF_Y2022!$F:$F)</f>
        <v>0</v>
      </c>
      <c r="AA32" s="116">
        <f>SUMIF(ALIF_Y2023!$A:$A,$A32,ALIF_Y2023!$F:$F)</f>
        <v>0</v>
      </c>
      <c r="AE32" s="116" t="e">
        <f>SUMIF(#REF!,$A32,#REF!)</f>
        <v>#REF!</v>
      </c>
      <c r="AF32" s="116" t="e">
        <f>SUMIF(#REF!,$A32,#REF!)</f>
        <v>#REF!</v>
      </c>
      <c r="AG32" s="116" t="e">
        <f>SUMIF(#REF!,$A32,#REF!)</f>
        <v>#REF!</v>
      </c>
      <c r="AH32" s="116" t="e">
        <f>SUMIF(#REF!,$A32,#REF!)</f>
        <v>#REF!</v>
      </c>
      <c r="AI32" s="116" t="e">
        <f>SUMIF(#REF!,$A32,#REF!)</f>
        <v>#REF!</v>
      </c>
      <c r="AJ32" s="116" t="e">
        <f>SUMIF(#REF!,$A32,#REF!)</f>
        <v>#REF!</v>
      </c>
      <c r="AK32" s="116" t="e">
        <f>SUMIF(#REF!,$A32,#REF!)</f>
        <v>#REF!</v>
      </c>
      <c r="AL32" s="116" t="e">
        <f>SUMIF(#REF!,$A32,#REF!)</f>
        <v>#REF!</v>
      </c>
      <c r="AM32" s="116" t="e">
        <f>SUMIF(#REF!,$A32,#REF!)</f>
        <v>#REF!</v>
      </c>
      <c r="AN32" s="116" t="e">
        <f>SUMIF(#REF!,$A32,#REF!)</f>
        <v>#REF!</v>
      </c>
      <c r="AO32" s="116" t="e">
        <f>SUMIF(#REF!,$A32,#REF!)</f>
        <v>#REF!</v>
      </c>
    </row>
    <row r="33" spans="1:42" x14ac:dyDescent="0.25">
      <c r="A33" s="101">
        <v>260003</v>
      </c>
      <c r="B33" t="s">
        <v>98</v>
      </c>
      <c r="C33" s="116" t="e">
        <f t="shared" si="17"/>
        <v>#REF!</v>
      </c>
      <c r="D33" s="116" t="e">
        <f t="shared" si="18"/>
        <v>#REF!</v>
      </c>
      <c r="E33" s="116" t="e">
        <f t="shared" si="19"/>
        <v>#REF!</v>
      </c>
      <c r="F33" s="116" t="e">
        <f t="shared" si="20"/>
        <v>#REF!</v>
      </c>
      <c r="G33" s="116" t="e">
        <f t="shared" si="21"/>
        <v>#REF!</v>
      </c>
      <c r="H33" s="116" t="e">
        <f t="shared" si="22"/>
        <v>#REF!</v>
      </c>
      <c r="I33" s="116" t="e">
        <f t="shared" si="23"/>
        <v>#REF!</v>
      </c>
      <c r="J33" s="116" t="e">
        <f t="shared" si="24"/>
        <v>#REF!</v>
      </c>
      <c r="K33" s="116" t="e">
        <f t="shared" si="25"/>
        <v>#REF!</v>
      </c>
      <c r="L33" s="116" t="e">
        <f t="shared" si="26"/>
        <v>#REF!</v>
      </c>
      <c r="M33" s="116" t="e">
        <f t="shared" si="27"/>
        <v>#REF!</v>
      </c>
      <c r="N33" s="116">
        <f t="shared" si="28"/>
        <v>0</v>
      </c>
      <c r="Q33" s="116" t="e">
        <f>SUMIF(#REF!,$A33,#REF!)</f>
        <v>#REF!</v>
      </c>
      <c r="R33" s="116">
        <f>SUMIF(ALIF_Y2014!$A:$A,$A33,ALIF_Y2014!$F:$F)</f>
        <v>-1409581.54</v>
      </c>
      <c r="S33" s="116">
        <f>SUMIF(ALIF_Y2015!$A:$A,$A33,ALIF_Y2015!$F:$F)</f>
        <v>-1409581.54</v>
      </c>
      <c r="T33" s="116">
        <f>SUMIF(ALIF_Y2016!$A:$A,$A33,ALIF_Y2016!$F:$F)</f>
        <v>-3563173.54</v>
      </c>
      <c r="U33" s="116">
        <f>SUMIF(ALIF_Y2017!$A:$A,$A33,ALIF_Y2017!$F:$F)</f>
        <v>-3563173.54</v>
      </c>
      <c r="V33" s="116">
        <f>SUMIF(ALIF_Y2018!$A:$A,$A33,ALIF_Y2018!$F:$F)</f>
        <v>-3407320.1</v>
      </c>
      <c r="W33" s="116">
        <f>SUMIF(ALIF_Y2019!$A:$A,$A33,ALIF_Y2019!$F:$F)</f>
        <v>-3156727.1</v>
      </c>
      <c r="X33" s="116">
        <f>SUMIF(ALIF_Y2020!$A:$A,$A33,ALIF_Y2020!$F:$F)</f>
        <v>-3482088.0839999998</v>
      </c>
      <c r="Y33" s="116">
        <f>SUMIF(ALIF_Y2021!$A:$A,$A33,ALIF_Y2021!$F:$F)</f>
        <v>-3454104.6740000001</v>
      </c>
      <c r="Z33" s="116">
        <f>SUMIF(ALIF_Y2022!$A:$A,$A33,ALIF_Y2022!$F:$F)</f>
        <v>-3557438</v>
      </c>
      <c r="AA33" s="116">
        <f>SUMIF(ALIF_Y2023!$A:$A,$A33,ALIF_Y2023!$F:$F)</f>
        <v>-12488537.438999999</v>
      </c>
      <c r="AE33" s="116" t="e">
        <f>SUMIF(#REF!,$A33,#REF!)</f>
        <v>#REF!</v>
      </c>
      <c r="AF33" s="116" t="e">
        <f>SUMIF(#REF!,$A33,#REF!)</f>
        <v>#REF!</v>
      </c>
      <c r="AG33" s="116" t="e">
        <f>SUMIF(#REF!,$A33,#REF!)</f>
        <v>#REF!</v>
      </c>
      <c r="AH33" s="116" t="e">
        <f>SUMIF(#REF!,$A33,#REF!)</f>
        <v>#REF!</v>
      </c>
      <c r="AI33" s="116" t="e">
        <f>SUMIF(#REF!,$A33,#REF!)</f>
        <v>#REF!</v>
      </c>
      <c r="AJ33" s="116" t="e">
        <f>SUMIF(#REF!,$A33,#REF!)</f>
        <v>#REF!</v>
      </c>
      <c r="AK33" s="116" t="e">
        <f>SUMIF(#REF!,$A33,#REF!)</f>
        <v>#REF!</v>
      </c>
      <c r="AL33" s="116" t="e">
        <f>SUMIF(#REF!,$A33,#REF!)</f>
        <v>#REF!</v>
      </c>
      <c r="AM33" s="116" t="e">
        <f>SUMIF(#REF!,$A33,#REF!)</f>
        <v>#REF!</v>
      </c>
      <c r="AN33" s="116" t="e">
        <f>SUMIF(#REF!,$A33,#REF!)</f>
        <v>#REF!</v>
      </c>
      <c r="AO33" s="116" t="e">
        <f>SUMIF(#REF!,$A33,#REF!)</f>
        <v>#REF!</v>
      </c>
    </row>
    <row r="34" spans="1:42" ht="7.9" customHeight="1" x14ac:dyDescent="0.25"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</row>
    <row r="35" spans="1:42" x14ac:dyDescent="0.25">
      <c r="C35" s="118" t="e">
        <f t="shared" ref="C35:N35" si="29">SUM(C30:C34)</f>
        <v>#REF!</v>
      </c>
      <c r="D35" s="118" t="e">
        <f t="shared" si="29"/>
        <v>#REF!</v>
      </c>
      <c r="E35" s="118" t="e">
        <f t="shared" si="29"/>
        <v>#REF!</v>
      </c>
      <c r="F35" s="118" t="e">
        <f t="shared" si="29"/>
        <v>#REF!</v>
      </c>
      <c r="G35" s="118" t="e">
        <f t="shared" si="29"/>
        <v>#REF!</v>
      </c>
      <c r="H35" s="118" t="e">
        <f t="shared" si="29"/>
        <v>#REF!</v>
      </c>
      <c r="I35" s="118" t="e">
        <f t="shared" si="29"/>
        <v>#REF!</v>
      </c>
      <c r="J35" s="118" t="e">
        <f t="shared" si="29"/>
        <v>#REF!</v>
      </c>
      <c r="K35" s="118" t="e">
        <f t="shared" si="29"/>
        <v>#REF!</v>
      </c>
      <c r="L35" s="118" t="e">
        <f t="shared" si="29"/>
        <v>#REF!</v>
      </c>
      <c r="M35" s="118" t="e">
        <f t="shared" si="29"/>
        <v>#REF!</v>
      </c>
      <c r="N35" s="118">
        <f t="shared" si="29"/>
        <v>0</v>
      </c>
      <c r="Q35" s="118" t="e">
        <f>SUM(Q30:Q34)</f>
        <v>#REF!</v>
      </c>
      <c r="R35" s="118">
        <f t="shared" ref="R35:AB35" si="30">SUM(R30:R34)</f>
        <v>34778327.274999999</v>
      </c>
      <c r="S35" s="118">
        <f t="shared" si="30"/>
        <v>35513977.460000001</v>
      </c>
      <c r="T35" s="118">
        <f t="shared" si="30"/>
        <v>36110502.079999998</v>
      </c>
      <c r="U35" s="118">
        <f t="shared" si="30"/>
        <v>35801104.203000002</v>
      </c>
      <c r="V35" s="118">
        <f t="shared" si="30"/>
        <v>34900865.947999999</v>
      </c>
      <c r="W35" s="118">
        <f t="shared" si="30"/>
        <v>40286632.229000002</v>
      </c>
      <c r="X35" s="118">
        <f t="shared" si="30"/>
        <v>35451876.857000001</v>
      </c>
      <c r="Y35" s="118">
        <f t="shared" si="30"/>
        <v>59814194.835000001</v>
      </c>
      <c r="Z35" s="118">
        <f t="shared" si="30"/>
        <v>69444422.419</v>
      </c>
      <c r="AA35" s="118">
        <f t="shared" si="30"/>
        <v>32974816.363000002</v>
      </c>
      <c r="AB35" s="118">
        <f t="shared" si="30"/>
        <v>0</v>
      </c>
      <c r="AE35" s="118" t="e">
        <f>SUM(AE30:AE34)</f>
        <v>#REF!</v>
      </c>
      <c r="AF35" s="118" t="e">
        <f t="shared" ref="AF35:AO35" si="31">SUM(AF30:AF34)</f>
        <v>#REF!</v>
      </c>
      <c r="AG35" s="118" t="e">
        <f t="shared" si="31"/>
        <v>#REF!</v>
      </c>
      <c r="AH35" s="118" t="e">
        <f t="shared" si="31"/>
        <v>#REF!</v>
      </c>
      <c r="AI35" s="118" t="e">
        <f t="shared" si="31"/>
        <v>#REF!</v>
      </c>
      <c r="AJ35" s="118" t="e">
        <f t="shared" si="31"/>
        <v>#REF!</v>
      </c>
      <c r="AK35" s="118" t="e">
        <f t="shared" si="31"/>
        <v>#REF!</v>
      </c>
      <c r="AL35" s="118" t="e">
        <f t="shared" si="31"/>
        <v>#REF!</v>
      </c>
      <c r="AM35" s="118" t="e">
        <f t="shared" si="31"/>
        <v>#REF!</v>
      </c>
      <c r="AN35" s="118" t="e">
        <f t="shared" si="31"/>
        <v>#REF!</v>
      </c>
      <c r="AO35" s="118" t="e">
        <f t="shared" si="31"/>
        <v>#REF!</v>
      </c>
    </row>
    <row r="36" spans="1:42" x14ac:dyDescent="0.25">
      <c r="A36" s="99" t="s">
        <v>535</v>
      </c>
    </row>
    <row r="37" spans="1:42" x14ac:dyDescent="0.25">
      <c r="A37" s="101">
        <v>121001</v>
      </c>
      <c r="B37" t="s">
        <v>18</v>
      </c>
      <c r="C37" s="116" t="e">
        <f t="shared" ref="C37:C56" si="32">Q37+AE37</f>
        <v>#REF!</v>
      </c>
      <c r="D37" s="116" t="e">
        <f t="shared" ref="D37:D56" si="33">R37+AF37</f>
        <v>#REF!</v>
      </c>
      <c r="E37" s="116" t="e">
        <f t="shared" ref="E37:E56" si="34">S37+AG37</f>
        <v>#REF!</v>
      </c>
      <c r="F37" s="116" t="e">
        <f t="shared" ref="F37:F56" si="35">T37+AH37</f>
        <v>#REF!</v>
      </c>
      <c r="G37" s="116" t="e">
        <f t="shared" ref="G37:G56" si="36">U37+AI37</f>
        <v>#REF!</v>
      </c>
      <c r="H37" s="116" t="e">
        <f t="shared" ref="H37:H56" si="37">V37+AJ37</f>
        <v>#REF!</v>
      </c>
      <c r="I37" s="116" t="e">
        <f t="shared" ref="I37:I56" si="38">W37+AK37</f>
        <v>#REF!</v>
      </c>
      <c r="J37" s="116" t="e">
        <f t="shared" ref="J37:J56" si="39">X37+AL37</f>
        <v>#REF!</v>
      </c>
      <c r="K37" s="116" t="e">
        <f t="shared" ref="K37:K56" si="40">Y37+AM37</f>
        <v>#REF!</v>
      </c>
      <c r="L37" s="116" t="e">
        <f t="shared" ref="L37:L56" si="41">Z37+AN37</f>
        <v>#REF!</v>
      </c>
      <c r="M37" s="116" t="e">
        <f t="shared" ref="M37:M56" si="42">AA37+AO37</f>
        <v>#REF!</v>
      </c>
      <c r="N37" s="116">
        <f t="shared" ref="N37:N56" si="43">AB37+AP37</f>
        <v>0</v>
      </c>
      <c r="Q37" s="116" t="e">
        <f>SUMIF(#REF!,$A37,#REF!)</f>
        <v>#REF!</v>
      </c>
      <c r="R37" s="116">
        <f>SUMIF(ALIF_Y2014!$A:$A,$A37,ALIF_Y2014!$F:$F)</f>
        <v>5363766.13</v>
      </c>
      <c r="S37" s="116">
        <f>SUMIF(ALIF_Y2015!$A:$A,$A37,ALIF_Y2015!$F:$F)</f>
        <v>6677123.2829999998</v>
      </c>
      <c r="T37" s="116">
        <f>SUMIF(ALIF_Y2016!$A:$A,$A37,ALIF_Y2016!$F:$F)</f>
        <v>8098665.1299999999</v>
      </c>
      <c r="U37" s="116">
        <f>SUMIF(ALIF_Y2017!$A:$A,$A37,ALIF_Y2017!$F:$F)</f>
        <v>13762616.130000001</v>
      </c>
      <c r="V37" s="116">
        <f>SUMIF(ALIF_Y2018!$A:$A,$A37,ALIF_Y2018!$F:$F)</f>
        <v>13762616.130000001</v>
      </c>
      <c r="W37" s="116">
        <f>SUMIF(ALIF_Y2019!$A:$A,$A37,ALIF_Y2019!$F:$F)</f>
        <v>13762616.130000001</v>
      </c>
      <c r="X37" s="116">
        <f>SUMIF(ALIF_Y2020!$A:$A,$A37,ALIF_Y2020!$F:$F)</f>
        <v>13762616.130000001</v>
      </c>
      <c r="Y37" s="116">
        <f>SUMIF(ALIF_Y2021!$A:$A,$A37,ALIF_Y2021!$F:$F)</f>
        <v>13762616.130000001</v>
      </c>
      <c r="Z37" s="116">
        <f>SUMIF(ALIF_Y2022!$A:$A,$A37,ALIF_Y2022!$F:$F)</f>
        <v>13762616.130000001</v>
      </c>
      <c r="AA37" s="116">
        <f>SUMIF(ALIF_Y2023!$A:$A,$A37,ALIF_Y2023!$F:$F)</f>
        <v>13762616.130000001</v>
      </c>
      <c r="AE37" s="116" t="e">
        <f>SUMIF(#REF!,$A37,#REF!)</f>
        <v>#REF!</v>
      </c>
      <c r="AF37" s="116" t="e">
        <f>SUMIF(#REF!,$A37,#REF!)</f>
        <v>#REF!</v>
      </c>
      <c r="AG37" s="116" t="e">
        <f>SUMIF(#REF!,$A37,#REF!)</f>
        <v>#REF!</v>
      </c>
      <c r="AH37" s="116" t="e">
        <f>SUMIF(#REF!,$A37,#REF!)</f>
        <v>#REF!</v>
      </c>
      <c r="AI37" s="116" t="e">
        <f>SUMIF(#REF!,$A37,#REF!)</f>
        <v>#REF!</v>
      </c>
      <c r="AJ37" s="116" t="e">
        <f>SUMIF(#REF!,$A37,#REF!)</f>
        <v>#REF!</v>
      </c>
      <c r="AK37" s="116" t="e">
        <f>SUMIF(#REF!,$A37,#REF!)</f>
        <v>#REF!</v>
      </c>
      <c r="AL37" s="116" t="e">
        <f>SUMIF(#REF!,$A37,#REF!)</f>
        <v>#REF!</v>
      </c>
      <c r="AM37" s="116" t="e">
        <f>SUMIF(#REF!,$A37,#REF!)</f>
        <v>#REF!</v>
      </c>
      <c r="AN37" s="116" t="e">
        <f>SUMIF(#REF!,$A37,#REF!)</f>
        <v>#REF!</v>
      </c>
      <c r="AO37" s="116" t="e">
        <f>SUMIF(#REF!,$A37,#REF!)</f>
        <v>#REF!</v>
      </c>
    </row>
    <row r="38" spans="1:42" x14ac:dyDescent="0.25">
      <c r="A38" s="101">
        <v>121002</v>
      </c>
      <c r="B38" t="s">
        <v>19</v>
      </c>
      <c r="C38" s="116" t="e">
        <f t="shared" si="32"/>
        <v>#REF!</v>
      </c>
      <c r="D38" s="116" t="e">
        <f t="shared" si="33"/>
        <v>#REF!</v>
      </c>
      <c r="E38" s="116" t="e">
        <f t="shared" si="34"/>
        <v>#REF!</v>
      </c>
      <c r="F38" s="116" t="e">
        <f t="shared" si="35"/>
        <v>#REF!</v>
      </c>
      <c r="G38" s="116" t="e">
        <f t="shared" si="36"/>
        <v>#REF!</v>
      </c>
      <c r="H38" s="116" t="e">
        <f t="shared" si="37"/>
        <v>#REF!</v>
      </c>
      <c r="I38" s="116" t="e">
        <f t="shared" si="38"/>
        <v>#REF!</v>
      </c>
      <c r="J38" s="116" t="e">
        <f t="shared" si="39"/>
        <v>#REF!</v>
      </c>
      <c r="K38" s="116" t="e">
        <f t="shared" si="40"/>
        <v>#REF!</v>
      </c>
      <c r="L38" s="116" t="e">
        <f t="shared" si="41"/>
        <v>#REF!</v>
      </c>
      <c r="M38" s="116" t="e">
        <f t="shared" si="42"/>
        <v>#REF!</v>
      </c>
      <c r="N38" s="116">
        <f t="shared" si="43"/>
        <v>0</v>
      </c>
      <c r="Q38" s="116" t="e">
        <f>SUMIF(#REF!,$A38,#REF!)</f>
        <v>#REF!</v>
      </c>
      <c r="R38" s="116">
        <f>SUMIF(ALIF_Y2014!$A:$A,$A38,ALIF_Y2014!$F:$F)</f>
        <v>-3650674.13</v>
      </c>
      <c r="S38" s="116">
        <f>SUMIF(ALIF_Y2015!$A:$A,$A38,ALIF_Y2015!$F:$F)</f>
        <v>-3650674.13</v>
      </c>
      <c r="T38" s="116">
        <f>SUMIF(ALIF_Y2016!$A:$A,$A38,ALIF_Y2016!$F:$F)</f>
        <v>-8098665.1299999999</v>
      </c>
      <c r="U38" s="116">
        <f>SUMIF(ALIF_Y2017!$A:$A,$A38,ALIF_Y2017!$F:$F)</f>
        <v>-13762616.130000001</v>
      </c>
      <c r="V38" s="116">
        <f>SUMIF(ALIF_Y2018!$A:$A,$A38,ALIF_Y2018!$F:$F)</f>
        <v>-13762616.130000001</v>
      </c>
      <c r="W38" s="116">
        <f>SUMIF(ALIF_Y2019!$A:$A,$A38,ALIF_Y2019!$F:$F)</f>
        <v>-13762616.130000001</v>
      </c>
      <c r="X38" s="116">
        <f>SUMIF(ALIF_Y2020!$A:$A,$A38,ALIF_Y2020!$F:$F)</f>
        <v>-13762616.130000001</v>
      </c>
      <c r="Y38" s="116">
        <f>SUMIF(ALIF_Y2021!$A:$A,$A38,ALIF_Y2021!$F:$F)</f>
        <v>-13762616.130000001</v>
      </c>
      <c r="Z38" s="116">
        <f>SUMIF(ALIF_Y2022!$A:$A,$A38,ALIF_Y2022!$F:$F)</f>
        <v>-13762616.130000001</v>
      </c>
      <c r="AA38" s="116">
        <f>SUMIF(ALIF_Y2023!$A:$A,$A38,ALIF_Y2023!$F:$F)</f>
        <v>-13762616.130000001</v>
      </c>
      <c r="AE38" s="116" t="e">
        <f>SUMIF(#REF!,$A38,#REF!)</f>
        <v>#REF!</v>
      </c>
      <c r="AF38" s="116" t="e">
        <f>SUMIF(#REF!,$A38,#REF!)</f>
        <v>#REF!</v>
      </c>
      <c r="AG38" s="116" t="e">
        <f>SUMIF(#REF!,$A38,#REF!)</f>
        <v>#REF!</v>
      </c>
      <c r="AH38" s="116" t="e">
        <f>SUMIF(#REF!,$A38,#REF!)</f>
        <v>#REF!</v>
      </c>
      <c r="AI38" s="116" t="e">
        <f>SUMIF(#REF!,$A38,#REF!)</f>
        <v>#REF!</v>
      </c>
      <c r="AJ38" s="116" t="e">
        <f>SUMIF(#REF!,$A38,#REF!)</f>
        <v>#REF!</v>
      </c>
      <c r="AK38" s="116" t="e">
        <f>SUMIF(#REF!,$A38,#REF!)</f>
        <v>#REF!</v>
      </c>
      <c r="AL38" s="116" t="e">
        <f>SUMIF(#REF!,$A38,#REF!)</f>
        <v>#REF!</v>
      </c>
      <c r="AM38" s="116" t="e">
        <f>SUMIF(#REF!,$A38,#REF!)</f>
        <v>#REF!</v>
      </c>
      <c r="AN38" s="116" t="e">
        <f>SUMIF(#REF!,$A38,#REF!)</f>
        <v>#REF!</v>
      </c>
      <c r="AO38" s="116" t="e">
        <f>SUMIF(#REF!,$A38,#REF!)</f>
        <v>#REF!</v>
      </c>
    </row>
    <row r="39" spans="1:42" x14ac:dyDescent="0.25">
      <c r="A39" s="101">
        <v>150001</v>
      </c>
      <c r="B39" t="s">
        <v>37</v>
      </c>
      <c r="C39" s="116" t="e">
        <f t="shared" si="32"/>
        <v>#REF!</v>
      </c>
      <c r="D39" s="116" t="e">
        <f t="shared" si="33"/>
        <v>#REF!</v>
      </c>
      <c r="E39" s="116" t="e">
        <f t="shared" si="34"/>
        <v>#REF!</v>
      </c>
      <c r="F39" s="116" t="e">
        <f t="shared" si="35"/>
        <v>#REF!</v>
      </c>
      <c r="G39" s="116" t="e">
        <f t="shared" si="36"/>
        <v>#REF!</v>
      </c>
      <c r="H39" s="116" t="e">
        <f t="shared" si="37"/>
        <v>#REF!</v>
      </c>
      <c r="I39" s="116" t="e">
        <f t="shared" si="38"/>
        <v>#REF!</v>
      </c>
      <c r="J39" s="116" t="e">
        <f t="shared" si="39"/>
        <v>#REF!</v>
      </c>
      <c r="K39" s="116" t="e">
        <f t="shared" si="40"/>
        <v>#REF!</v>
      </c>
      <c r="L39" s="116" t="e">
        <f t="shared" si="41"/>
        <v>#REF!</v>
      </c>
      <c r="M39" s="116" t="e">
        <f t="shared" si="42"/>
        <v>#REF!</v>
      </c>
      <c r="N39" s="116">
        <f t="shared" si="43"/>
        <v>0</v>
      </c>
      <c r="Q39" s="116" t="e">
        <f>SUMIF(#REF!,$A39,#REF!)</f>
        <v>#REF!</v>
      </c>
      <c r="R39" s="116">
        <f>SUMIF(ALIF_Y2014!$A:$A,$A39,ALIF_Y2014!$F:$F)</f>
        <v>584170.47900000005</v>
      </c>
      <c r="S39" s="116">
        <f>SUMIF(ALIF_Y2015!$A:$A,$A39,ALIF_Y2015!$F:$F)</f>
        <v>456284.47899999999</v>
      </c>
      <c r="T39" s="116">
        <f>SUMIF(ALIF_Y2016!$A:$A,$A39,ALIF_Y2016!$F:$F)</f>
        <v>420934.68</v>
      </c>
      <c r="U39" s="116">
        <f>SUMIF(ALIF_Y2017!$A:$A,$A39,ALIF_Y2017!$F:$F)</f>
        <v>43750</v>
      </c>
      <c r="V39" s="116">
        <f>SUMIF(ALIF_Y2018!$A:$A,$A39,ALIF_Y2018!$F:$F)</f>
        <v>383368</v>
      </c>
      <c r="W39" s="116">
        <f>SUMIF(ALIF_Y2019!$A:$A,$A39,ALIF_Y2019!$F:$F)</f>
        <v>516445.74</v>
      </c>
      <c r="X39" s="116">
        <f>SUMIF(ALIF_Y2020!$A:$A,$A39,ALIF_Y2020!$F:$F)</f>
        <v>161280</v>
      </c>
      <c r="Y39" s="116">
        <f>SUMIF(ALIF_Y2021!$A:$A,$A39,ALIF_Y2021!$F:$F)</f>
        <v>37250</v>
      </c>
      <c r="Z39" s="116">
        <f>SUMIF(ALIF_Y2022!$A:$A,$A39,ALIF_Y2022!$F:$F)</f>
        <v>19000.5</v>
      </c>
      <c r="AA39" s="116">
        <f>SUMIF(ALIF_Y2023!$A:$A,$A39,ALIF_Y2023!$F:$F)</f>
        <v>131188.177</v>
      </c>
      <c r="AE39" s="116" t="e">
        <f>SUMIF(#REF!,$A39,#REF!)</f>
        <v>#REF!</v>
      </c>
      <c r="AF39" s="116" t="e">
        <f>SUMIF(#REF!,$A39,#REF!)</f>
        <v>#REF!</v>
      </c>
      <c r="AG39" s="116" t="e">
        <f>SUMIF(#REF!,$A39,#REF!)</f>
        <v>#REF!</v>
      </c>
      <c r="AH39" s="116" t="e">
        <f>SUMIF(#REF!,$A39,#REF!)</f>
        <v>#REF!</v>
      </c>
      <c r="AI39" s="116" t="e">
        <f>SUMIF(#REF!,$A39,#REF!)</f>
        <v>#REF!</v>
      </c>
      <c r="AJ39" s="116" t="e">
        <f>SUMIF(#REF!,$A39,#REF!)</f>
        <v>#REF!</v>
      </c>
      <c r="AK39" s="116" t="e">
        <f>SUMIF(#REF!,$A39,#REF!)</f>
        <v>#REF!</v>
      </c>
      <c r="AL39" s="116" t="e">
        <f>SUMIF(#REF!,$A39,#REF!)</f>
        <v>#REF!</v>
      </c>
      <c r="AM39" s="116" t="e">
        <f>SUMIF(#REF!,$A39,#REF!)</f>
        <v>#REF!</v>
      </c>
      <c r="AN39" s="116" t="e">
        <f>SUMIF(#REF!,$A39,#REF!)</f>
        <v>#REF!</v>
      </c>
      <c r="AO39" s="116" t="e">
        <f>SUMIF(#REF!,$A39,#REF!)</f>
        <v>#REF!</v>
      </c>
    </row>
    <row r="40" spans="1:42" x14ac:dyDescent="0.25">
      <c r="A40" s="101">
        <v>170005</v>
      </c>
      <c r="B40" t="s">
        <v>44</v>
      </c>
      <c r="C40" s="116" t="e">
        <f t="shared" si="32"/>
        <v>#REF!</v>
      </c>
      <c r="D40" s="116" t="e">
        <f t="shared" si="33"/>
        <v>#REF!</v>
      </c>
      <c r="E40" s="116" t="e">
        <f t="shared" si="34"/>
        <v>#REF!</v>
      </c>
      <c r="F40" s="116" t="e">
        <f t="shared" si="35"/>
        <v>#REF!</v>
      </c>
      <c r="G40" s="116" t="e">
        <f t="shared" si="36"/>
        <v>#REF!</v>
      </c>
      <c r="H40" s="116" t="e">
        <f t="shared" si="37"/>
        <v>#REF!</v>
      </c>
      <c r="I40" s="116" t="e">
        <f t="shared" si="38"/>
        <v>#REF!</v>
      </c>
      <c r="J40" s="116" t="e">
        <f t="shared" si="39"/>
        <v>#REF!</v>
      </c>
      <c r="K40" s="116" t="e">
        <f t="shared" si="40"/>
        <v>#REF!</v>
      </c>
      <c r="L40" s="116" t="e">
        <f t="shared" si="41"/>
        <v>#REF!</v>
      </c>
      <c r="M40" s="116" t="e">
        <f t="shared" si="42"/>
        <v>#REF!</v>
      </c>
      <c r="N40" s="116">
        <f t="shared" si="43"/>
        <v>0</v>
      </c>
      <c r="Q40" s="116" t="e">
        <f>SUMIF(#REF!,$A40,#REF!)</f>
        <v>#REF!</v>
      </c>
      <c r="R40" s="116">
        <f>SUMIF(ALIF_Y2014!$A:$A,$A40,ALIF_Y2014!$F:$F)</f>
        <v>0</v>
      </c>
      <c r="S40" s="116">
        <f>SUMIF(ALIF_Y2015!$A:$A,$A40,ALIF_Y2015!$F:$F)</f>
        <v>0</v>
      </c>
      <c r="T40" s="116">
        <f>SUMIF(ALIF_Y2016!$A:$A,$A40,ALIF_Y2016!$F:$F)</f>
        <v>0</v>
      </c>
      <c r="U40" s="116">
        <f>SUMIF(ALIF_Y2017!$A:$A,$A40,ALIF_Y2017!$F:$F)</f>
        <v>0</v>
      </c>
      <c r="V40" s="116">
        <f>SUMIF(ALIF_Y2018!$A:$A,$A40,ALIF_Y2018!$F:$F)</f>
        <v>0</v>
      </c>
      <c r="W40" s="116">
        <f>SUMIF(ALIF_Y2019!$A:$A,$A40,ALIF_Y2019!$F:$F)</f>
        <v>0</v>
      </c>
      <c r="X40" s="116">
        <f>SUMIF(ALIF_Y2020!$A:$A,$A40,ALIF_Y2020!$F:$F)</f>
        <v>0</v>
      </c>
      <c r="Y40" s="116">
        <f>SUMIF(ALIF_Y2021!$A:$A,$A40,ALIF_Y2021!$F:$F)</f>
        <v>0</v>
      </c>
      <c r="Z40" s="116">
        <f>SUMIF(ALIF_Y2022!$A:$A,$A40,ALIF_Y2022!$F:$F)</f>
        <v>0</v>
      </c>
      <c r="AA40" s="116">
        <f>SUMIF(ALIF_Y2023!$A:$A,$A40,ALIF_Y2023!$F:$F)</f>
        <v>0</v>
      </c>
      <c r="AE40" s="116" t="e">
        <f>SUMIF(#REF!,$A40,#REF!)</f>
        <v>#REF!</v>
      </c>
      <c r="AF40" s="116" t="e">
        <f>SUMIF(#REF!,$A40,#REF!)</f>
        <v>#REF!</v>
      </c>
      <c r="AG40" s="116" t="e">
        <f>SUMIF(#REF!,$A40,#REF!)</f>
        <v>#REF!</v>
      </c>
      <c r="AH40" s="116" t="e">
        <f>SUMIF(#REF!,$A40,#REF!)</f>
        <v>#REF!</v>
      </c>
      <c r="AI40" s="116" t="e">
        <f>SUMIF(#REF!,$A40,#REF!)</f>
        <v>#REF!</v>
      </c>
      <c r="AJ40" s="116" t="e">
        <f>SUMIF(#REF!,$A40,#REF!)</f>
        <v>#REF!</v>
      </c>
      <c r="AK40" s="116" t="e">
        <f>SUMIF(#REF!,$A40,#REF!)</f>
        <v>#REF!</v>
      </c>
      <c r="AL40" s="116" t="e">
        <f>SUMIF(#REF!,$A40,#REF!)</f>
        <v>#REF!</v>
      </c>
      <c r="AM40" s="116" t="e">
        <f>SUMIF(#REF!,$A40,#REF!)</f>
        <v>#REF!</v>
      </c>
      <c r="AN40" s="116" t="e">
        <f>SUMIF(#REF!,$A40,#REF!)</f>
        <v>#REF!</v>
      </c>
      <c r="AO40" s="116" t="e">
        <f>SUMIF(#REF!,$A40,#REF!)</f>
        <v>#REF!</v>
      </c>
    </row>
    <row r="41" spans="1:42" x14ac:dyDescent="0.25">
      <c r="A41" s="101">
        <v>170006</v>
      </c>
      <c r="B41" t="s">
        <v>45</v>
      </c>
      <c r="C41" s="116" t="e">
        <f t="shared" si="32"/>
        <v>#REF!</v>
      </c>
      <c r="D41" s="116" t="e">
        <f t="shared" si="33"/>
        <v>#REF!</v>
      </c>
      <c r="E41" s="116" t="e">
        <f t="shared" si="34"/>
        <v>#REF!</v>
      </c>
      <c r="F41" s="116" t="e">
        <f t="shared" si="35"/>
        <v>#REF!</v>
      </c>
      <c r="G41" s="116" t="e">
        <f t="shared" si="36"/>
        <v>#REF!</v>
      </c>
      <c r="H41" s="116" t="e">
        <f t="shared" si="37"/>
        <v>#REF!</v>
      </c>
      <c r="I41" s="116" t="e">
        <f t="shared" si="38"/>
        <v>#REF!</v>
      </c>
      <c r="J41" s="116" t="e">
        <f t="shared" si="39"/>
        <v>#REF!</v>
      </c>
      <c r="K41" s="116" t="e">
        <f t="shared" si="40"/>
        <v>#REF!</v>
      </c>
      <c r="L41" s="116" t="e">
        <f t="shared" si="41"/>
        <v>#REF!</v>
      </c>
      <c r="M41" s="116" t="e">
        <f t="shared" si="42"/>
        <v>#REF!</v>
      </c>
      <c r="N41" s="116">
        <f t="shared" si="43"/>
        <v>0</v>
      </c>
      <c r="Q41" s="116" t="e">
        <f>SUMIF(#REF!,$A41,#REF!)</f>
        <v>#REF!</v>
      </c>
      <c r="R41" s="116">
        <f>SUMIF(ALIF_Y2014!$A:$A,$A41,ALIF_Y2014!$F:$F)</f>
        <v>190719</v>
      </c>
      <c r="S41" s="116">
        <f>SUMIF(ALIF_Y2015!$A:$A,$A41,ALIF_Y2015!$F:$F)</f>
        <v>453316.30099999998</v>
      </c>
      <c r="T41" s="116">
        <f>SUMIF(ALIF_Y2016!$A:$A,$A41,ALIF_Y2016!$F:$F)</f>
        <v>971548.60900000005</v>
      </c>
      <c r="U41" s="116">
        <f>SUMIF(ALIF_Y2017!$A:$A,$A41,ALIF_Y2017!$F:$F)</f>
        <v>0</v>
      </c>
      <c r="V41" s="116">
        <f>SUMIF(ALIF_Y2018!$A:$A,$A41,ALIF_Y2018!$F:$F)</f>
        <v>0</v>
      </c>
      <c r="W41" s="116">
        <f>SUMIF(ALIF_Y2019!$A:$A,$A41,ALIF_Y2019!$F:$F)</f>
        <v>0</v>
      </c>
      <c r="X41" s="116">
        <f>SUMIF(ALIF_Y2020!$A:$A,$A41,ALIF_Y2020!$F:$F)</f>
        <v>0</v>
      </c>
      <c r="Y41" s="116">
        <f>SUMIF(ALIF_Y2021!$A:$A,$A41,ALIF_Y2021!$F:$F)</f>
        <v>1240226.54</v>
      </c>
      <c r="Z41" s="116">
        <f>SUMIF(ALIF_Y2022!$A:$A,$A41,ALIF_Y2022!$F:$F)</f>
        <v>18329.419999999998</v>
      </c>
      <c r="AA41" s="116">
        <f>SUMIF(ALIF_Y2023!$A:$A,$A41,ALIF_Y2023!$F:$F)</f>
        <v>0</v>
      </c>
      <c r="AE41" s="116" t="e">
        <f>SUMIF(#REF!,$A41,#REF!)</f>
        <v>#REF!</v>
      </c>
      <c r="AF41" s="116" t="e">
        <f>SUMIF(#REF!,$A41,#REF!)</f>
        <v>#REF!</v>
      </c>
      <c r="AG41" s="116" t="e">
        <f>SUMIF(#REF!,$A41,#REF!)</f>
        <v>#REF!</v>
      </c>
      <c r="AH41" s="116" t="e">
        <f>SUMIF(#REF!,$A41,#REF!)</f>
        <v>#REF!</v>
      </c>
      <c r="AI41" s="116" t="e">
        <f>SUMIF(#REF!,$A41,#REF!)</f>
        <v>#REF!</v>
      </c>
      <c r="AJ41" s="116" t="e">
        <f>SUMIF(#REF!,$A41,#REF!)</f>
        <v>#REF!</v>
      </c>
      <c r="AK41" s="116" t="e">
        <f>SUMIF(#REF!,$A41,#REF!)</f>
        <v>#REF!</v>
      </c>
      <c r="AL41" s="116" t="e">
        <f>SUMIF(#REF!,$A41,#REF!)</f>
        <v>#REF!</v>
      </c>
      <c r="AM41" s="116" t="e">
        <f>SUMIF(#REF!,$A41,#REF!)</f>
        <v>#REF!</v>
      </c>
      <c r="AN41" s="116" t="e">
        <f>SUMIF(#REF!,$A41,#REF!)</f>
        <v>#REF!</v>
      </c>
      <c r="AO41" s="116" t="e">
        <f>SUMIF(#REF!,$A41,#REF!)</f>
        <v>#REF!</v>
      </c>
    </row>
    <row r="42" spans="1:42" x14ac:dyDescent="0.25">
      <c r="A42" s="101">
        <v>170007</v>
      </c>
      <c r="B42" t="s">
        <v>46</v>
      </c>
      <c r="C42" s="116" t="e">
        <f t="shared" si="32"/>
        <v>#REF!</v>
      </c>
      <c r="D42" s="116" t="e">
        <f t="shared" si="33"/>
        <v>#REF!</v>
      </c>
      <c r="E42" s="116" t="e">
        <f t="shared" si="34"/>
        <v>#REF!</v>
      </c>
      <c r="F42" s="116" t="e">
        <f t="shared" si="35"/>
        <v>#REF!</v>
      </c>
      <c r="G42" s="116" t="e">
        <f t="shared" si="36"/>
        <v>#REF!</v>
      </c>
      <c r="H42" s="116" t="e">
        <f t="shared" si="37"/>
        <v>#REF!</v>
      </c>
      <c r="I42" s="116" t="e">
        <f t="shared" si="38"/>
        <v>#REF!</v>
      </c>
      <c r="J42" s="116" t="e">
        <f t="shared" si="39"/>
        <v>#REF!</v>
      </c>
      <c r="K42" s="116" t="e">
        <f t="shared" si="40"/>
        <v>#REF!</v>
      </c>
      <c r="L42" s="116" t="e">
        <f t="shared" si="41"/>
        <v>#REF!</v>
      </c>
      <c r="M42" s="116" t="e">
        <f t="shared" si="42"/>
        <v>#REF!</v>
      </c>
      <c r="N42" s="116">
        <f t="shared" si="43"/>
        <v>0</v>
      </c>
      <c r="Q42" s="116" t="e">
        <f>SUMIF(#REF!,$A42,#REF!)</f>
        <v>#REF!</v>
      </c>
      <c r="R42" s="116">
        <f>SUMIF(ALIF_Y2014!$A:$A,$A42,ALIF_Y2014!$F:$F)</f>
        <v>1274692.58</v>
      </c>
      <c r="S42" s="116">
        <f>SUMIF(ALIF_Y2015!$A:$A,$A42,ALIF_Y2015!$F:$F)</f>
        <v>319948.95400000003</v>
      </c>
      <c r="T42" s="116">
        <f>SUMIF(ALIF_Y2016!$A:$A,$A42,ALIF_Y2016!$F:$F)</f>
        <v>0</v>
      </c>
      <c r="U42" s="116">
        <f>SUMIF(ALIF_Y2017!$A:$A,$A42,ALIF_Y2017!$F:$F)</f>
        <v>0</v>
      </c>
      <c r="V42" s="116">
        <f>SUMIF(ALIF_Y2018!$A:$A,$A42,ALIF_Y2018!$F:$F)</f>
        <v>0</v>
      </c>
      <c r="W42" s="116">
        <f>SUMIF(ALIF_Y2019!$A:$A,$A42,ALIF_Y2019!$F:$F)</f>
        <v>0</v>
      </c>
      <c r="X42" s="116">
        <f>SUMIF(ALIF_Y2020!$A:$A,$A42,ALIF_Y2020!$F:$F)</f>
        <v>0</v>
      </c>
      <c r="Y42" s="116">
        <f>SUMIF(ALIF_Y2021!$A:$A,$A42,ALIF_Y2021!$F:$F)</f>
        <v>0</v>
      </c>
      <c r="Z42" s="116">
        <f>SUMIF(ALIF_Y2022!$A:$A,$A42,ALIF_Y2022!$F:$F)</f>
        <v>0</v>
      </c>
      <c r="AA42" s="116">
        <f>SUMIF(ALIF_Y2023!$A:$A,$A42,ALIF_Y2023!$F:$F)</f>
        <v>0</v>
      </c>
      <c r="AE42" s="116" t="e">
        <f>SUMIF(#REF!,$A42,#REF!)</f>
        <v>#REF!</v>
      </c>
      <c r="AF42" s="116" t="e">
        <f>SUMIF(#REF!,$A42,#REF!)</f>
        <v>#REF!</v>
      </c>
      <c r="AG42" s="116" t="e">
        <f>SUMIF(#REF!,$A42,#REF!)</f>
        <v>#REF!</v>
      </c>
      <c r="AH42" s="116" t="e">
        <f>SUMIF(#REF!,$A42,#REF!)</f>
        <v>#REF!</v>
      </c>
      <c r="AI42" s="116" t="e">
        <f>SUMIF(#REF!,$A42,#REF!)</f>
        <v>#REF!</v>
      </c>
      <c r="AJ42" s="116" t="e">
        <f>SUMIF(#REF!,$A42,#REF!)</f>
        <v>#REF!</v>
      </c>
      <c r="AK42" s="116" t="e">
        <f>SUMIF(#REF!,$A42,#REF!)</f>
        <v>#REF!</v>
      </c>
      <c r="AL42" s="116" t="e">
        <f>SUMIF(#REF!,$A42,#REF!)</f>
        <v>#REF!</v>
      </c>
      <c r="AM42" s="116" t="e">
        <f>SUMIF(#REF!,$A42,#REF!)</f>
        <v>#REF!</v>
      </c>
      <c r="AN42" s="116" t="e">
        <f>SUMIF(#REF!,$A42,#REF!)</f>
        <v>#REF!</v>
      </c>
      <c r="AO42" s="116" t="e">
        <f>SUMIF(#REF!,$A42,#REF!)</f>
        <v>#REF!</v>
      </c>
    </row>
    <row r="43" spans="1:42" x14ac:dyDescent="0.25">
      <c r="A43" s="101">
        <v>170008</v>
      </c>
      <c r="B43" t="s">
        <v>47</v>
      </c>
      <c r="C43" s="116" t="e">
        <f t="shared" si="32"/>
        <v>#REF!</v>
      </c>
      <c r="D43" s="116" t="e">
        <f t="shared" si="33"/>
        <v>#REF!</v>
      </c>
      <c r="E43" s="116" t="e">
        <f t="shared" si="34"/>
        <v>#REF!</v>
      </c>
      <c r="F43" s="116" t="e">
        <f t="shared" si="35"/>
        <v>#REF!</v>
      </c>
      <c r="G43" s="116" t="e">
        <f t="shared" si="36"/>
        <v>#REF!</v>
      </c>
      <c r="H43" s="116" t="e">
        <f t="shared" si="37"/>
        <v>#REF!</v>
      </c>
      <c r="I43" s="116" t="e">
        <f t="shared" si="38"/>
        <v>#REF!</v>
      </c>
      <c r="J43" s="116" t="e">
        <f t="shared" si="39"/>
        <v>#REF!</v>
      </c>
      <c r="K43" s="116" t="e">
        <f t="shared" si="40"/>
        <v>#REF!</v>
      </c>
      <c r="L43" s="116" t="e">
        <f t="shared" si="41"/>
        <v>#REF!</v>
      </c>
      <c r="M43" s="116" t="e">
        <f t="shared" si="42"/>
        <v>#REF!</v>
      </c>
      <c r="N43" s="116">
        <f t="shared" si="43"/>
        <v>0</v>
      </c>
      <c r="Q43" s="116" t="e">
        <f>SUMIF(#REF!,$A43,#REF!)</f>
        <v>#REF!</v>
      </c>
      <c r="R43" s="116">
        <f>SUMIF(ALIF_Y2014!$A:$A,$A43,ALIF_Y2014!$F:$F)</f>
        <v>0</v>
      </c>
      <c r="S43" s="116">
        <f>SUMIF(ALIF_Y2015!$A:$A,$A43,ALIF_Y2015!$F:$F)</f>
        <v>-2E-3</v>
      </c>
      <c r="T43" s="116">
        <f>SUMIF(ALIF_Y2016!$A:$A,$A43,ALIF_Y2016!$F:$F)</f>
        <v>0</v>
      </c>
      <c r="U43" s="116">
        <f>SUMIF(ALIF_Y2017!$A:$A,$A43,ALIF_Y2017!$F:$F)</f>
        <v>0</v>
      </c>
      <c r="V43" s="116">
        <f>SUMIF(ALIF_Y2018!$A:$A,$A43,ALIF_Y2018!$F:$F)</f>
        <v>0</v>
      </c>
      <c r="W43" s="116">
        <f>SUMIF(ALIF_Y2019!$A:$A,$A43,ALIF_Y2019!$F:$F)</f>
        <v>75267.740000000005</v>
      </c>
      <c r="X43" s="116">
        <f>SUMIF(ALIF_Y2020!$A:$A,$A43,ALIF_Y2020!$F:$F)</f>
        <v>0</v>
      </c>
      <c r="Y43" s="116">
        <f>SUMIF(ALIF_Y2021!$A:$A,$A43,ALIF_Y2021!$F:$F)</f>
        <v>402889.63</v>
      </c>
      <c r="Z43" s="116">
        <f>SUMIF(ALIF_Y2022!$A:$A,$A43,ALIF_Y2022!$F:$F)</f>
        <v>0</v>
      </c>
      <c r="AA43" s="116">
        <f>SUMIF(ALIF_Y2023!$A:$A,$A43,ALIF_Y2023!$F:$F)</f>
        <v>0</v>
      </c>
      <c r="AE43" s="116" t="e">
        <f>SUMIF(#REF!,$A43,#REF!)</f>
        <v>#REF!</v>
      </c>
      <c r="AF43" s="116" t="e">
        <f>SUMIF(#REF!,$A43,#REF!)</f>
        <v>#REF!</v>
      </c>
      <c r="AG43" s="116" t="e">
        <f>SUMIF(#REF!,$A43,#REF!)</f>
        <v>#REF!</v>
      </c>
      <c r="AH43" s="116" t="e">
        <f>SUMIF(#REF!,$A43,#REF!)</f>
        <v>#REF!</v>
      </c>
      <c r="AI43" s="116" t="e">
        <f>SUMIF(#REF!,$A43,#REF!)</f>
        <v>#REF!</v>
      </c>
      <c r="AJ43" s="116" t="e">
        <f>SUMIF(#REF!,$A43,#REF!)</f>
        <v>#REF!</v>
      </c>
      <c r="AK43" s="116" t="e">
        <f>SUMIF(#REF!,$A43,#REF!)</f>
        <v>#REF!</v>
      </c>
      <c r="AL43" s="116" t="e">
        <f>SUMIF(#REF!,$A43,#REF!)</f>
        <v>#REF!</v>
      </c>
      <c r="AM43" s="116" t="e">
        <f>SUMIF(#REF!,$A43,#REF!)</f>
        <v>#REF!</v>
      </c>
      <c r="AN43" s="116" t="e">
        <f>SUMIF(#REF!,$A43,#REF!)</f>
        <v>#REF!</v>
      </c>
      <c r="AO43" s="116" t="e">
        <f>SUMIF(#REF!,$A43,#REF!)</f>
        <v>#REF!</v>
      </c>
    </row>
    <row r="44" spans="1:42" x14ac:dyDescent="0.25">
      <c r="A44" s="101">
        <v>170009</v>
      </c>
      <c r="B44" t="s">
        <v>48</v>
      </c>
      <c r="C44" s="116" t="e">
        <f t="shared" si="32"/>
        <v>#REF!</v>
      </c>
      <c r="D44" s="116" t="e">
        <f t="shared" si="33"/>
        <v>#REF!</v>
      </c>
      <c r="E44" s="116" t="e">
        <f t="shared" si="34"/>
        <v>#REF!</v>
      </c>
      <c r="F44" s="116" t="e">
        <f t="shared" si="35"/>
        <v>#REF!</v>
      </c>
      <c r="G44" s="116" t="e">
        <f t="shared" si="36"/>
        <v>#REF!</v>
      </c>
      <c r="H44" s="116" t="e">
        <f t="shared" si="37"/>
        <v>#REF!</v>
      </c>
      <c r="I44" s="116" t="e">
        <f t="shared" si="38"/>
        <v>#REF!</v>
      </c>
      <c r="J44" s="116" t="e">
        <f t="shared" si="39"/>
        <v>#REF!</v>
      </c>
      <c r="K44" s="116" t="e">
        <f t="shared" si="40"/>
        <v>#REF!</v>
      </c>
      <c r="L44" s="116" t="e">
        <f t="shared" si="41"/>
        <v>#REF!</v>
      </c>
      <c r="M44" s="116" t="e">
        <f t="shared" si="42"/>
        <v>#REF!</v>
      </c>
      <c r="N44" s="116">
        <f t="shared" si="43"/>
        <v>0</v>
      </c>
      <c r="Q44" s="116" t="e">
        <f>SUMIF(#REF!,$A44,#REF!)</f>
        <v>#REF!</v>
      </c>
      <c r="R44" s="116">
        <f>SUMIF(ALIF_Y2014!$A:$A,$A44,ALIF_Y2014!$F:$F)</f>
        <v>120000.1</v>
      </c>
      <c r="S44" s="116">
        <f>SUMIF(ALIF_Y2015!$A:$A,$A44,ALIF_Y2015!$F:$F)</f>
        <v>94955</v>
      </c>
      <c r="T44" s="116">
        <f>SUMIF(ALIF_Y2016!$A:$A,$A44,ALIF_Y2016!$F:$F)</f>
        <v>59583</v>
      </c>
      <c r="U44" s="116">
        <f>SUMIF(ALIF_Y2017!$A:$A,$A44,ALIF_Y2017!$F:$F)</f>
        <v>34444.000999999997</v>
      </c>
      <c r="V44" s="116">
        <f>SUMIF(ALIF_Y2018!$A:$A,$A44,ALIF_Y2018!$F:$F)</f>
        <v>75235</v>
      </c>
      <c r="W44" s="116">
        <f>SUMIF(ALIF_Y2019!$A:$A,$A44,ALIF_Y2019!$F:$F)</f>
        <v>85513</v>
      </c>
      <c r="X44" s="116">
        <f>SUMIF(ALIF_Y2020!$A:$A,$A44,ALIF_Y2020!$F:$F)</f>
        <v>64609</v>
      </c>
      <c r="Y44" s="116">
        <f>SUMIF(ALIF_Y2021!$A:$A,$A44,ALIF_Y2021!$F:$F)</f>
        <v>33000</v>
      </c>
      <c r="Z44" s="116">
        <f>SUMIF(ALIF_Y2022!$A:$A,$A44,ALIF_Y2022!$F:$F)</f>
        <v>62777</v>
      </c>
      <c r="AA44" s="116">
        <f>SUMIF(ALIF_Y2023!$A:$A,$A44,ALIF_Y2023!$F:$F)</f>
        <v>60962</v>
      </c>
      <c r="AE44" s="116" t="e">
        <f>SUMIF(#REF!,$A44,#REF!)</f>
        <v>#REF!</v>
      </c>
      <c r="AF44" s="116" t="e">
        <f>SUMIF(#REF!,$A44,#REF!)</f>
        <v>#REF!</v>
      </c>
      <c r="AG44" s="116" t="e">
        <f>SUMIF(#REF!,$A44,#REF!)</f>
        <v>#REF!</v>
      </c>
      <c r="AH44" s="116" t="e">
        <f>SUMIF(#REF!,$A44,#REF!)</f>
        <v>#REF!</v>
      </c>
      <c r="AI44" s="116" t="e">
        <f>SUMIF(#REF!,$A44,#REF!)</f>
        <v>#REF!</v>
      </c>
      <c r="AJ44" s="116" t="e">
        <f>SUMIF(#REF!,$A44,#REF!)</f>
        <v>#REF!</v>
      </c>
      <c r="AK44" s="116" t="e">
        <f>SUMIF(#REF!,$A44,#REF!)</f>
        <v>#REF!</v>
      </c>
      <c r="AL44" s="116" t="e">
        <f>SUMIF(#REF!,$A44,#REF!)</f>
        <v>#REF!</v>
      </c>
      <c r="AM44" s="116" t="e">
        <f>SUMIF(#REF!,$A44,#REF!)</f>
        <v>#REF!</v>
      </c>
      <c r="AN44" s="116" t="e">
        <f>SUMIF(#REF!,$A44,#REF!)</f>
        <v>#REF!</v>
      </c>
      <c r="AO44" s="116" t="e">
        <f>SUMIF(#REF!,$A44,#REF!)</f>
        <v>#REF!</v>
      </c>
    </row>
    <row r="45" spans="1:42" x14ac:dyDescent="0.25">
      <c r="A45" s="101">
        <v>170010</v>
      </c>
      <c r="B45" t="s">
        <v>49</v>
      </c>
      <c r="C45" s="116" t="e">
        <f t="shared" si="32"/>
        <v>#REF!</v>
      </c>
      <c r="D45" s="116" t="e">
        <f t="shared" si="33"/>
        <v>#REF!</v>
      </c>
      <c r="E45" s="116" t="e">
        <f t="shared" si="34"/>
        <v>#REF!</v>
      </c>
      <c r="F45" s="116" t="e">
        <f t="shared" si="35"/>
        <v>#REF!</v>
      </c>
      <c r="G45" s="116" t="e">
        <f t="shared" si="36"/>
        <v>#REF!</v>
      </c>
      <c r="H45" s="116" t="e">
        <f t="shared" si="37"/>
        <v>#REF!</v>
      </c>
      <c r="I45" s="116" t="e">
        <f t="shared" si="38"/>
        <v>#REF!</v>
      </c>
      <c r="J45" s="116" t="e">
        <f t="shared" si="39"/>
        <v>#REF!</v>
      </c>
      <c r="K45" s="116" t="e">
        <f t="shared" si="40"/>
        <v>#REF!</v>
      </c>
      <c r="L45" s="116" t="e">
        <f t="shared" si="41"/>
        <v>#REF!</v>
      </c>
      <c r="M45" s="116" t="e">
        <f t="shared" si="42"/>
        <v>#REF!</v>
      </c>
      <c r="N45" s="116">
        <f t="shared" si="43"/>
        <v>0</v>
      </c>
      <c r="Q45" s="116" t="e">
        <f>SUMIF(#REF!,$A45,#REF!)</f>
        <v>#REF!</v>
      </c>
      <c r="R45" s="116">
        <f>SUMIF(ALIF_Y2014!$A:$A,$A45,ALIF_Y2014!$F:$F)</f>
        <v>0</v>
      </c>
      <c r="S45" s="116">
        <f>SUMIF(ALIF_Y2015!$A:$A,$A45,ALIF_Y2015!$F:$F)</f>
        <v>0</v>
      </c>
      <c r="T45" s="116">
        <f>SUMIF(ALIF_Y2016!$A:$A,$A45,ALIF_Y2016!$F:$F)</f>
        <v>0</v>
      </c>
      <c r="U45" s="116">
        <f>SUMIF(ALIF_Y2017!$A:$A,$A45,ALIF_Y2017!$F:$F)</f>
        <v>0</v>
      </c>
      <c r="V45" s="116">
        <f>SUMIF(ALIF_Y2018!$A:$A,$A45,ALIF_Y2018!$F:$F)</f>
        <v>0</v>
      </c>
      <c r="W45" s="116">
        <f>SUMIF(ALIF_Y2019!$A:$A,$A45,ALIF_Y2019!$F:$F)</f>
        <v>0</v>
      </c>
      <c r="X45" s="116">
        <f>SUMIF(ALIF_Y2020!$A:$A,$A45,ALIF_Y2020!$F:$F)</f>
        <v>0</v>
      </c>
      <c r="Y45" s="116">
        <f>SUMIF(ALIF_Y2021!$A:$A,$A45,ALIF_Y2021!$F:$F)</f>
        <v>0</v>
      </c>
      <c r="Z45" s="116">
        <f>SUMIF(ALIF_Y2022!$A:$A,$A45,ALIF_Y2022!$F:$F)</f>
        <v>0</v>
      </c>
      <c r="AA45" s="116">
        <f>SUMIF(ALIF_Y2023!$A:$A,$A45,ALIF_Y2023!$F:$F)</f>
        <v>0</v>
      </c>
      <c r="AE45" s="116" t="e">
        <f>SUMIF(#REF!,$A45,#REF!)</f>
        <v>#REF!</v>
      </c>
      <c r="AF45" s="116" t="e">
        <f>SUMIF(#REF!,$A45,#REF!)</f>
        <v>#REF!</v>
      </c>
      <c r="AG45" s="116" t="e">
        <f>SUMIF(#REF!,$A45,#REF!)</f>
        <v>#REF!</v>
      </c>
      <c r="AH45" s="116" t="e">
        <f>SUMIF(#REF!,$A45,#REF!)</f>
        <v>#REF!</v>
      </c>
      <c r="AI45" s="116" t="e">
        <f>SUMIF(#REF!,$A45,#REF!)</f>
        <v>#REF!</v>
      </c>
      <c r="AJ45" s="116" t="e">
        <f>SUMIF(#REF!,$A45,#REF!)</f>
        <v>#REF!</v>
      </c>
      <c r="AK45" s="116" t="e">
        <f>SUMIF(#REF!,$A45,#REF!)</f>
        <v>#REF!</v>
      </c>
      <c r="AL45" s="116" t="e">
        <f>SUMIF(#REF!,$A45,#REF!)</f>
        <v>#REF!</v>
      </c>
      <c r="AM45" s="116" t="e">
        <f>SUMIF(#REF!,$A45,#REF!)</f>
        <v>#REF!</v>
      </c>
      <c r="AN45" s="116" t="e">
        <f>SUMIF(#REF!,$A45,#REF!)</f>
        <v>#REF!</v>
      </c>
      <c r="AO45" s="116" t="e">
        <f>SUMIF(#REF!,$A45,#REF!)</f>
        <v>#REF!</v>
      </c>
    </row>
    <row r="46" spans="1:42" x14ac:dyDescent="0.25">
      <c r="A46" s="101">
        <v>170011</v>
      </c>
      <c r="B46" t="s">
        <v>50</v>
      </c>
      <c r="C46" s="116" t="e">
        <f t="shared" si="32"/>
        <v>#REF!</v>
      </c>
      <c r="D46" s="116" t="e">
        <f t="shared" si="33"/>
        <v>#REF!</v>
      </c>
      <c r="E46" s="116" t="e">
        <f t="shared" si="34"/>
        <v>#REF!</v>
      </c>
      <c r="F46" s="116" t="e">
        <f t="shared" si="35"/>
        <v>#REF!</v>
      </c>
      <c r="G46" s="116" t="e">
        <f t="shared" si="36"/>
        <v>#REF!</v>
      </c>
      <c r="H46" s="116" t="e">
        <f t="shared" si="37"/>
        <v>#REF!</v>
      </c>
      <c r="I46" s="116" t="e">
        <f t="shared" si="38"/>
        <v>#REF!</v>
      </c>
      <c r="J46" s="116" t="e">
        <f t="shared" si="39"/>
        <v>#REF!</v>
      </c>
      <c r="K46" s="116" t="e">
        <f t="shared" si="40"/>
        <v>#REF!</v>
      </c>
      <c r="L46" s="116" t="e">
        <f t="shared" si="41"/>
        <v>#REF!</v>
      </c>
      <c r="M46" s="116" t="e">
        <f t="shared" si="42"/>
        <v>#REF!</v>
      </c>
      <c r="N46" s="116">
        <f t="shared" si="43"/>
        <v>0</v>
      </c>
      <c r="Q46" s="116" t="e">
        <f>SUMIF(#REF!,$A46,#REF!)</f>
        <v>#REF!</v>
      </c>
      <c r="R46" s="116">
        <f>SUMIF(ALIF_Y2014!$A:$A,$A46,ALIF_Y2014!$F:$F)</f>
        <v>0</v>
      </c>
      <c r="S46" s="116">
        <f>SUMIF(ALIF_Y2015!$A:$A,$A46,ALIF_Y2015!$F:$F)</f>
        <v>0</v>
      </c>
      <c r="T46" s="116">
        <f>SUMIF(ALIF_Y2016!$A:$A,$A46,ALIF_Y2016!$F:$F)</f>
        <v>0</v>
      </c>
      <c r="U46" s="116">
        <f>SUMIF(ALIF_Y2017!$A:$A,$A46,ALIF_Y2017!$F:$F)</f>
        <v>0</v>
      </c>
      <c r="V46" s="116">
        <f>SUMIF(ALIF_Y2018!$A:$A,$A46,ALIF_Y2018!$F:$F)</f>
        <v>175000</v>
      </c>
      <c r="W46" s="116">
        <f>SUMIF(ALIF_Y2019!$A:$A,$A46,ALIF_Y2019!$F:$F)</f>
        <v>1453882.8</v>
      </c>
      <c r="X46" s="116">
        <f>SUMIF(ALIF_Y2020!$A:$A,$A46,ALIF_Y2020!$F:$F)</f>
        <v>0</v>
      </c>
      <c r="Y46" s="116">
        <f>SUMIF(ALIF_Y2021!$A:$A,$A46,ALIF_Y2021!$F:$F)</f>
        <v>0</v>
      </c>
      <c r="Z46" s="116">
        <f>SUMIF(ALIF_Y2022!$A:$A,$A46,ALIF_Y2022!$F:$F)</f>
        <v>0</v>
      </c>
      <c r="AA46" s="116">
        <f>SUMIF(ALIF_Y2023!$A:$A,$A46,ALIF_Y2023!$F:$F)</f>
        <v>0</v>
      </c>
      <c r="AE46" s="116" t="e">
        <f>SUMIF(#REF!,$A46,#REF!)</f>
        <v>#REF!</v>
      </c>
      <c r="AF46" s="116" t="e">
        <f>SUMIF(#REF!,$A46,#REF!)</f>
        <v>#REF!</v>
      </c>
      <c r="AG46" s="116" t="e">
        <f>SUMIF(#REF!,$A46,#REF!)</f>
        <v>#REF!</v>
      </c>
      <c r="AH46" s="116" t="e">
        <f>SUMIF(#REF!,$A46,#REF!)</f>
        <v>#REF!</v>
      </c>
      <c r="AI46" s="116" t="e">
        <f>SUMIF(#REF!,$A46,#REF!)</f>
        <v>#REF!</v>
      </c>
      <c r="AJ46" s="116" t="e">
        <f>SUMIF(#REF!,$A46,#REF!)</f>
        <v>#REF!</v>
      </c>
      <c r="AK46" s="116" t="e">
        <f>SUMIF(#REF!,$A46,#REF!)</f>
        <v>#REF!</v>
      </c>
      <c r="AL46" s="116" t="e">
        <f>SUMIF(#REF!,$A46,#REF!)</f>
        <v>#REF!</v>
      </c>
      <c r="AM46" s="116" t="e">
        <f>SUMIF(#REF!,$A46,#REF!)</f>
        <v>#REF!</v>
      </c>
      <c r="AN46" s="116" t="e">
        <f>SUMIF(#REF!,$A46,#REF!)</f>
        <v>#REF!</v>
      </c>
      <c r="AO46" s="116" t="e">
        <f>SUMIF(#REF!,$A46,#REF!)</f>
        <v>#REF!</v>
      </c>
    </row>
    <row r="47" spans="1:42" x14ac:dyDescent="0.25">
      <c r="A47" s="101">
        <v>170012</v>
      </c>
      <c r="B47" t="s">
        <v>51</v>
      </c>
      <c r="C47" s="116" t="e">
        <f t="shared" si="32"/>
        <v>#REF!</v>
      </c>
      <c r="D47" s="116" t="e">
        <f t="shared" si="33"/>
        <v>#REF!</v>
      </c>
      <c r="E47" s="116" t="e">
        <f t="shared" si="34"/>
        <v>#REF!</v>
      </c>
      <c r="F47" s="116" t="e">
        <f t="shared" si="35"/>
        <v>#REF!</v>
      </c>
      <c r="G47" s="116" t="e">
        <f t="shared" si="36"/>
        <v>#REF!</v>
      </c>
      <c r="H47" s="116" t="e">
        <f t="shared" si="37"/>
        <v>#REF!</v>
      </c>
      <c r="I47" s="116" t="e">
        <f t="shared" si="38"/>
        <v>#REF!</v>
      </c>
      <c r="J47" s="116" t="e">
        <f t="shared" si="39"/>
        <v>#REF!</v>
      </c>
      <c r="K47" s="116" t="e">
        <f t="shared" si="40"/>
        <v>#REF!</v>
      </c>
      <c r="L47" s="116" t="e">
        <f t="shared" si="41"/>
        <v>#REF!</v>
      </c>
      <c r="M47" s="116" t="e">
        <f t="shared" si="42"/>
        <v>#REF!</v>
      </c>
      <c r="N47" s="116">
        <f t="shared" si="43"/>
        <v>0</v>
      </c>
      <c r="Q47" s="116" t="e">
        <f>SUMIF(#REF!,$A47,#REF!)</f>
        <v>#REF!</v>
      </c>
      <c r="R47" s="116">
        <f>SUMIF(ALIF_Y2014!$A:$A,$A47,ALIF_Y2014!$F:$F)</f>
        <v>0</v>
      </c>
      <c r="S47" s="116">
        <f>SUMIF(ALIF_Y2015!$A:$A,$A47,ALIF_Y2015!$F:$F)</f>
        <v>0</v>
      </c>
      <c r="T47" s="116">
        <f>SUMIF(ALIF_Y2016!$A:$A,$A47,ALIF_Y2016!$F:$F)</f>
        <v>0</v>
      </c>
      <c r="U47" s="116">
        <f>SUMIF(ALIF_Y2017!$A:$A,$A47,ALIF_Y2017!$F:$F)</f>
        <v>0</v>
      </c>
      <c r="V47" s="116">
        <f>SUMIF(ALIF_Y2018!$A:$A,$A47,ALIF_Y2018!$F:$F)</f>
        <v>0</v>
      </c>
      <c r="W47" s="116">
        <f>SUMIF(ALIF_Y2019!$A:$A,$A47,ALIF_Y2019!$F:$F)</f>
        <v>214300</v>
      </c>
      <c r="X47" s="116">
        <f>SUMIF(ALIF_Y2020!$A:$A,$A47,ALIF_Y2020!$F:$F)</f>
        <v>171440</v>
      </c>
      <c r="Y47" s="116">
        <f>SUMIF(ALIF_Y2021!$A:$A,$A47,ALIF_Y2021!$F:$F)</f>
        <v>128580</v>
      </c>
      <c r="Z47" s="116">
        <f>SUMIF(ALIF_Y2022!$A:$A,$A47,ALIF_Y2022!$F:$F)</f>
        <v>-6.0000000000000001E-3</v>
      </c>
      <c r="AA47" s="116">
        <f>SUMIF(ALIF_Y2023!$A:$A,$A47,ALIF_Y2023!$F:$F)</f>
        <v>0</v>
      </c>
      <c r="AE47" s="116" t="e">
        <f>SUMIF(#REF!,$A47,#REF!)</f>
        <v>#REF!</v>
      </c>
      <c r="AF47" s="116" t="e">
        <f>SUMIF(#REF!,$A47,#REF!)</f>
        <v>#REF!</v>
      </c>
      <c r="AG47" s="116" t="e">
        <f>SUMIF(#REF!,$A47,#REF!)</f>
        <v>#REF!</v>
      </c>
      <c r="AH47" s="116" t="e">
        <f>SUMIF(#REF!,$A47,#REF!)</f>
        <v>#REF!</v>
      </c>
      <c r="AI47" s="116" t="e">
        <f>SUMIF(#REF!,$A47,#REF!)</f>
        <v>#REF!</v>
      </c>
      <c r="AJ47" s="116" t="e">
        <f>SUMIF(#REF!,$A47,#REF!)</f>
        <v>#REF!</v>
      </c>
      <c r="AK47" s="116" t="e">
        <f>SUMIF(#REF!,$A47,#REF!)</f>
        <v>#REF!</v>
      </c>
      <c r="AL47" s="116" t="e">
        <f>SUMIF(#REF!,$A47,#REF!)</f>
        <v>#REF!</v>
      </c>
      <c r="AM47" s="116" t="e">
        <f>SUMIF(#REF!,$A47,#REF!)</f>
        <v>#REF!</v>
      </c>
      <c r="AN47" s="116" t="e">
        <f>SUMIF(#REF!,$A47,#REF!)</f>
        <v>#REF!</v>
      </c>
      <c r="AO47" s="116" t="e">
        <f>SUMIF(#REF!,$A47,#REF!)</f>
        <v>#REF!</v>
      </c>
    </row>
    <row r="48" spans="1:42" x14ac:dyDescent="0.25">
      <c r="A48" s="101">
        <v>170013</v>
      </c>
      <c r="B48" t="s">
        <v>52</v>
      </c>
      <c r="C48" s="116" t="e">
        <f t="shared" si="32"/>
        <v>#REF!</v>
      </c>
      <c r="D48" s="116" t="e">
        <f t="shared" si="33"/>
        <v>#REF!</v>
      </c>
      <c r="E48" s="116" t="e">
        <f t="shared" si="34"/>
        <v>#REF!</v>
      </c>
      <c r="F48" s="116" t="e">
        <f t="shared" si="35"/>
        <v>#REF!</v>
      </c>
      <c r="G48" s="116" t="e">
        <f t="shared" si="36"/>
        <v>#REF!</v>
      </c>
      <c r="H48" s="116" t="e">
        <f t="shared" si="37"/>
        <v>#REF!</v>
      </c>
      <c r="I48" s="116" t="e">
        <f t="shared" si="38"/>
        <v>#REF!</v>
      </c>
      <c r="J48" s="116" t="e">
        <f t="shared" si="39"/>
        <v>#REF!</v>
      </c>
      <c r="K48" s="116" t="e">
        <f t="shared" si="40"/>
        <v>#REF!</v>
      </c>
      <c r="L48" s="116" t="e">
        <f t="shared" si="41"/>
        <v>#REF!</v>
      </c>
      <c r="M48" s="116" t="e">
        <f t="shared" si="42"/>
        <v>#REF!</v>
      </c>
      <c r="N48" s="116">
        <f t="shared" si="43"/>
        <v>0</v>
      </c>
      <c r="Q48" s="116" t="e">
        <f>SUMIF(#REF!,$A48,#REF!)</f>
        <v>#REF!</v>
      </c>
      <c r="R48" s="116">
        <f>SUMIF(ALIF_Y2014!$A:$A,$A48,ALIF_Y2014!$F:$F)</f>
        <v>59000</v>
      </c>
      <c r="S48" s="116">
        <f>SUMIF(ALIF_Y2015!$A:$A,$A48,ALIF_Y2015!$F:$F)</f>
        <v>59000</v>
      </c>
      <c r="T48" s="116">
        <f>SUMIF(ALIF_Y2016!$A:$A,$A48,ALIF_Y2016!$F:$F)</f>
        <v>59000</v>
      </c>
      <c r="U48" s="116">
        <f>SUMIF(ALIF_Y2017!$A:$A,$A48,ALIF_Y2017!$F:$F)</f>
        <v>59000</v>
      </c>
      <c r="V48" s="116">
        <f>SUMIF(ALIF_Y2018!$A:$A,$A48,ALIF_Y2018!$F:$F)</f>
        <v>64000</v>
      </c>
      <c r="W48" s="116">
        <f>SUMIF(ALIF_Y2019!$A:$A,$A48,ALIF_Y2019!$F:$F)</f>
        <v>67999.599000000002</v>
      </c>
      <c r="X48" s="116">
        <f>SUMIF(ALIF_Y2020!$A:$A,$A48,ALIF_Y2020!$F:$F)</f>
        <v>67999.599000000002</v>
      </c>
      <c r="Y48" s="116">
        <f>SUMIF(ALIF_Y2021!$A:$A,$A48,ALIF_Y2021!$F:$F)</f>
        <v>67999.599000000002</v>
      </c>
      <c r="Z48" s="116">
        <f>SUMIF(ALIF_Y2022!$A:$A,$A48,ALIF_Y2022!$F:$F)</f>
        <v>0</v>
      </c>
      <c r="AA48" s="116">
        <f>SUMIF(ALIF_Y2023!$A:$A,$A48,ALIF_Y2023!$F:$F)</f>
        <v>0</v>
      </c>
      <c r="AE48" s="116" t="e">
        <f>SUMIF(#REF!,$A48,#REF!)</f>
        <v>#REF!</v>
      </c>
      <c r="AF48" s="116" t="e">
        <f>SUMIF(#REF!,$A48,#REF!)</f>
        <v>#REF!</v>
      </c>
      <c r="AG48" s="116" t="e">
        <f>SUMIF(#REF!,$A48,#REF!)</f>
        <v>#REF!</v>
      </c>
      <c r="AH48" s="116" t="e">
        <f>SUMIF(#REF!,$A48,#REF!)</f>
        <v>#REF!</v>
      </c>
      <c r="AI48" s="116" t="e">
        <f>SUMIF(#REF!,$A48,#REF!)</f>
        <v>#REF!</v>
      </c>
      <c r="AJ48" s="116" t="e">
        <f>SUMIF(#REF!,$A48,#REF!)</f>
        <v>#REF!</v>
      </c>
      <c r="AK48" s="116" t="e">
        <f>SUMIF(#REF!,$A48,#REF!)</f>
        <v>#REF!</v>
      </c>
      <c r="AL48" s="116" t="e">
        <f>SUMIF(#REF!,$A48,#REF!)</f>
        <v>#REF!</v>
      </c>
      <c r="AM48" s="116" t="e">
        <f>SUMIF(#REF!,$A48,#REF!)</f>
        <v>#REF!</v>
      </c>
      <c r="AN48" s="116" t="e">
        <f>SUMIF(#REF!,$A48,#REF!)</f>
        <v>#REF!</v>
      </c>
      <c r="AO48" s="116" t="e">
        <f>SUMIF(#REF!,$A48,#REF!)</f>
        <v>#REF!</v>
      </c>
    </row>
    <row r="49" spans="1:42" x14ac:dyDescent="0.25">
      <c r="A49" s="101">
        <v>170014</v>
      </c>
      <c r="B49" t="s">
        <v>53</v>
      </c>
      <c r="C49" s="116" t="e">
        <f t="shared" si="32"/>
        <v>#REF!</v>
      </c>
      <c r="D49" s="116" t="e">
        <f t="shared" si="33"/>
        <v>#REF!</v>
      </c>
      <c r="E49" s="116" t="e">
        <f t="shared" si="34"/>
        <v>#REF!</v>
      </c>
      <c r="F49" s="116" t="e">
        <f t="shared" si="35"/>
        <v>#REF!</v>
      </c>
      <c r="G49" s="116" t="e">
        <f t="shared" si="36"/>
        <v>#REF!</v>
      </c>
      <c r="H49" s="116" t="e">
        <f t="shared" si="37"/>
        <v>#REF!</v>
      </c>
      <c r="I49" s="116" t="e">
        <f t="shared" si="38"/>
        <v>#REF!</v>
      </c>
      <c r="J49" s="116" t="e">
        <f t="shared" si="39"/>
        <v>#REF!</v>
      </c>
      <c r="K49" s="116" t="e">
        <f t="shared" si="40"/>
        <v>#REF!</v>
      </c>
      <c r="L49" s="116" t="e">
        <f t="shared" si="41"/>
        <v>#REF!</v>
      </c>
      <c r="M49" s="116" t="e">
        <f t="shared" si="42"/>
        <v>#REF!</v>
      </c>
      <c r="N49" s="116">
        <f t="shared" si="43"/>
        <v>0</v>
      </c>
      <c r="Q49" s="116" t="e">
        <f>SUMIF(#REF!,$A49,#REF!)</f>
        <v>#REF!</v>
      </c>
      <c r="R49" s="116">
        <f>SUMIF(ALIF_Y2014!$A:$A,$A49,ALIF_Y2014!$F:$F)</f>
        <v>227199</v>
      </c>
      <c r="S49" s="116">
        <f>SUMIF(ALIF_Y2015!$A:$A,$A49,ALIF_Y2015!$F:$F)</f>
        <v>227470.541</v>
      </c>
      <c r="T49" s="116">
        <f>SUMIF(ALIF_Y2016!$A:$A,$A49,ALIF_Y2016!$F:$F)</f>
        <v>314532</v>
      </c>
      <c r="U49" s="116">
        <f>SUMIF(ALIF_Y2017!$A:$A,$A49,ALIF_Y2017!$F:$F)</f>
        <v>284241.5</v>
      </c>
      <c r="V49" s="116">
        <f>SUMIF(ALIF_Y2018!$A:$A,$A49,ALIF_Y2018!$F:$F)</f>
        <v>321097</v>
      </c>
      <c r="W49" s="116">
        <f>SUMIF(ALIF_Y2019!$A:$A,$A49,ALIF_Y2019!$F:$F)</f>
        <v>335549.7</v>
      </c>
      <c r="X49" s="116">
        <f>SUMIF(ALIF_Y2020!$A:$A,$A49,ALIF_Y2020!$F:$F)</f>
        <v>291018.283</v>
      </c>
      <c r="Y49" s="116">
        <f>SUMIF(ALIF_Y2021!$A:$A,$A49,ALIF_Y2021!$F:$F)</f>
        <v>364209.5</v>
      </c>
      <c r="Z49" s="116">
        <f>SUMIF(ALIF_Y2022!$A:$A,$A49,ALIF_Y2022!$F:$F)</f>
        <v>569660.51</v>
      </c>
      <c r="AA49" s="116">
        <f>SUMIF(ALIF_Y2023!$A:$A,$A49,ALIF_Y2023!$F:$F)</f>
        <v>337938</v>
      </c>
      <c r="AE49" s="116" t="e">
        <f>SUMIF(#REF!,$A49,#REF!)</f>
        <v>#REF!</v>
      </c>
      <c r="AF49" s="116" t="e">
        <f>SUMIF(#REF!,$A49,#REF!)</f>
        <v>#REF!</v>
      </c>
      <c r="AG49" s="116" t="e">
        <f>SUMIF(#REF!,$A49,#REF!)</f>
        <v>#REF!</v>
      </c>
      <c r="AH49" s="116" t="e">
        <f>SUMIF(#REF!,$A49,#REF!)</f>
        <v>#REF!</v>
      </c>
      <c r="AI49" s="116" t="e">
        <f>SUMIF(#REF!,$A49,#REF!)</f>
        <v>#REF!</v>
      </c>
      <c r="AJ49" s="116" t="e">
        <f>SUMIF(#REF!,$A49,#REF!)</f>
        <v>#REF!</v>
      </c>
      <c r="AK49" s="116" t="e">
        <f>SUMIF(#REF!,$A49,#REF!)</f>
        <v>#REF!</v>
      </c>
      <c r="AL49" s="116" t="e">
        <f>SUMIF(#REF!,$A49,#REF!)</f>
        <v>#REF!</v>
      </c>
      <c r="AM49" s="116" t="e">
        <f>SUMIF(#REF!,$A49,#REF!)</f>
        <v>#REF!</v>
      </c>
      <c r="AN49" s="116" t="e">
        <f>SUMIF(#REF!,$A49,#REF!)</f>
        <v>#REF!</v>
      </c>
      <c r="AO49" s="116" t="e">
        <f>SUMIF(#REF!,$A49,#REF!)</f>
        <v>#REF!</v>
      </c>
    </row>
    <row r="50" spans="1:42" x14ac:dyDescent="0.25">
      <c r="A50" s="101">
        <v>170015</v>
      </c>
      <c r="B50" t="s">
        <v>54</v>
      </c>
      <c r="C50" s="116" t="e">
        <f t="shared" si="32"/>
        <v>#REF!</v>
      </c>
      <c r="D50" s="116" t="e">
        <f t="shared" si="33"/>
        <v>#REF!</v>
      </c>
      <c r="E50" s="116" t="e">
        <f t="shared" si="34"/>
        <v>#REF!</v>
      </c>
      <c r="F50" s="116" t="e">
        <f t="shared" si="35"/>
        <v>#REF!</v>
      </c>
      <c r="G50" s="116" t="e">
        <f t="shared" si="36"/>
        <v>#REF!</v>
      </c>
      <c r="H50" s="116" t="e">
        <f t="shared" si="37"/>
        <v>#REF!</v>
      </c>
      <c r="I50" s="116" t="e">
        <f t="shared" si="38"/>
        <v>#REF!</v>
      </c>
      <c r="J50" s="116" t="e">
        <f t="shared" si="39"/>
        <v>#REF!</v>
      </c>
      <c r="K50" s="116" t="e">
        <f t="shared" si="40"/>
        <v>#REF!</v>
      </c>
      <c r="L50" s="116" t="e">
        <f t="shared" si="41"/>
        <v>#REF!</v>
      </c>
      <c r="M50" s="116" t="e">
        <f t="shared" si="42"/>
        <v>#REF!</v>
      </c>
      <c r="N50" s="116">
        <f t="shared" si="43"/>
        <v>0</v>
      </c>
      <c r="Q50" s="116" t="e">
        <f>SUMIF(#REF!,$A50,#REF!)</f>
        <v>#REF!</v>
      </c>
      <c r="R50" s="116">
        <f>SUMIF(ALIF_Y2014!$A:$A,$A50,ALIF_Y2014!$F:$F)</f>
        <v>0</v>
      </c>
      <c r="S50" s="116">
        <f>SUMIF(ALIF_Y2015!$A:$A,$A50,ALIF_Y2015!$F:$F)</f>
        <v>0</v>
      </c>
      <c r="T50" s="116">
        <f>SUMIF(ALIF_Y2016!$A:$A,$A50,ALIF_Y2016!$F:$F)</f>
        <v>0</v>
      </c>
      <c r="U50" s="116">
        <f>SUMIF(ALIF_Y2017!$A:$A,$A50,ALIF_Y2017!$F:$F)</f>
        <v>0</v>
      </c>
      <c r="V50" s="116">
        <f>SUMIF(ALIF_Y2018!$A:$A,$A50,ALIF_Y2018!$F:$F)</f>
        <v>0</v>
      </c>
      <c r="W50" s="116">
        <f>SUMIF(ALIF_Y2019!$A:$A,$A50,ALIF_Y2019!$F:$F)</f>
        <v>0</v>
      </c>
      <c r="X50" s="116">
        <f>SUMIF(ALIF_Y2020!$A:$A,$A50,ALIF_Y2020!$F:$F)</f>
        <v>0</v>
      </c>
      <c r="Y50" s="116">
        <f>SUMIF(ALIF_Y2021!$A:$A,$A50,ALIF_Y2021!$F:$F)</f>
        <v>0</v>
      </c>
      <c r="Z50" s="116">
        <f>SUMIF(ALIF_Y2022!$A:$A,$A50,ALIF_Y2022!$F:$F)</f>
        <v>0</v>
      </c>
      <c r="AA50" s="116">
        <f>SUMIF(ALIF_Y2023!$A:$A,$A50,ALIF_Y2023!$F:$F)</f>
        <v>0</v>
      </c>
      <c r="AE50" s="116" t="e">
        <f>SUMIF(#REF!,$A50,#REF!)</f>
        <v>#REF!</v>
      </c>
      <c r="AF50" s="116" t="e">
        <f>SUMIF(#REF!,$A50,#REF!)</f>
        <v>#REF!</v>
      </c>
      <c r="AG50" s="116" t="e">
        <f>SUMIF(#REF!,$A50,#REF!)</f>
        <v>#REF!</v>
      </c>
      <c r="AH50" s="116" t="e">
        <f>SUMIF(#REF!,$A50,#REF!)</f>
        <v>#REF!</v>
      </c>
      <c r="AI50" s="116" t="e">
        <f>SUMIF(#REF!,$A50,#REF!)</f>
        <v>#REF!</v>
      </c>
      <c r="AJ50" s="116" t="e">
        <f>SUMIF(#REF!,$A50,#REF!)</f>
        <v>#REF!</v>
      </c>
      <c r="AK50" s="116" t="e">
        <f>SUMIF(#REF!,$A50,#REF!)</f>
        <v>#REF!</v>
      </c>
      <c r="AL50" s="116" t="e">
        <f>SUMIF(#REF!,$A50,#REF!)</f>
        <v>#REF!</v>
      </c>
      <c r="AM50" s="116" t="e">
        <f>SUMIF(#REF!,$A50,#REF!)</f>
        <v>#REF!</v>
      </c>
      <c r="AN50" s="116" t="e">
        <f>SUMIF(#REF!,$A50,#REF!)</f>
        <v>#REF!</v>
      </c>
      <c r="AO50" s="116" t="e">
        <f>SUMIF(#REF!,$A50,#REF!)</f>
        <v>#REF!</v>
      </c>
    </row>
    <row r="51" spans="1:42" x14ac:dyDescent="0.25">
      <c r="A51" s="101">
        <v>170016</v>
      </c>
      <c r="B51" t="s">
        <v>55</v>
      </c>
      <c r="C51" s="116" t="e">
        <f t="shared" si="32"/>
        <v>#REF!</v>
      </c>
      <c r="D51" s="116" t="e">
        <f t="shared" si="33"/>
        <v>#REF!</v>
      </c>
      <c r="E51" s="116" t="e">
        <f t="shared" si="34"/>
        <v>#REF!</v>
      </c>
      <c r="F51" s="116" t="e">
        <f t="shared" si="35"/>
        <v>#REF!</v>
      </c>
      <c r="G51" s="116" t="e">
        <f t="shared" si="36"/>
        <v>#REF!</v>
      </c>
      <c r="H51" s="116" t="e">
        <f t="shared" si="37"/>
        <v>#REF!</v>
      </c>
      <c r="I51" s="116" t="e">
        <f t="shared" si="38"/>
        <v>#REF!</v>
      </c>
      <c r="J51" s="116" t="e">
        <f t="shared" si="39"/>
        <v>#REF!</v>
      </c>
      <c r="K51" s="116" t="e">
        <f t="shared" si="40"/>
        <v>#REF!</v>
      </c>
      <c r="L51" s="116" t="e">
        <f t="shared" si="41"/>
        <v>#REF!</v>
      </c>
      <c r="M51" s="116" t="e">
        <f t="shared" si="42"/>
        <v>#REF!</v>
      </c>
      <c r="N51" s="116">
        <f t="shared" si="43"/>
        <v>0</v>
      </c>
      <c r="Q51" s="116" t="e">
        <f>SUMIF(#REF!,$A51,#REF!)</f>
        <v>#REF!</v>
      </c>
      <c r="R51" s="116">
        <f>SUMIF(ALIF_Y2014!$A:$A,$A51,ALIF_Y2014!$F:$F)</f>
        <v>0</v>
      </c>
      <c r="S51" s="116">
        <f>SUMIF(ALIF_Y2015!$A:$A,$A51,ALIF_Y2015!$F:$F)</f>
        <v>0</v>
      </c>
      <c r="T51" s="116">
        <f>SUMIF(ALIF_Y2016!$A:$A,$A51,ALIF_Y2016!$F:$F)</f>
        <v>0</v>
      </c>
      <c r="U51" s="116">
        <f>SUMIF(ALIF_Y2017!$A:$A,$A51,ALIF_Y2017!$F:$F)</f>
        <v>0</v>
      </c>
      <c r="V51" s="116">
        <f>SUMIF(ALIF_Y2018!$A:$A,$A51,ALIF_Y2018!$F:$F)</f>
        <v>323178</v>
      </c>
      <c r="W51" s="116">
        <f>SUMIF(ALIF_Y2019!$A:$A,$A51,ALIF_Y2019!$F:$F)</f>
        <v>0</v>
      </c>
      <c r="X51" s="116">
        <f>SUMIF(ALIF_Y2020!$A:$A,$A51,ALIF_Y2020!$F:$F)</f>
        <v>0</v>
      </c>
      <c r="Y51" s="116">
        <f>SUMIF(ALIF_Y2021!$A:$A,$A51,ALIF_Y2021!$F:$F)</f>
        <v>0</v>
      </c>
      <c r="Z51" s="116">
        <f>SUMIF(ALIF_Y2022!$A:$A,$A51,ALIF_Y2022!$F:$F)</f>
        <v>437398.6</v>
      </c>
      <c r="AA51" s="116">
        <f>SUMIF(ALIF_Y2023!$A:$A,$A51,ALIF_Y2023!$F:$F)</f>
        <v>0</v>
      </c>
      <c r="AE51" s="116" t="e">
        <f>SUMIF(#REF!,$A51,#REF!)</f>
        <v>#REF!</v>
      </c>
      <c r="AF51" s="116" t="e">
        <f>SUMIF(#REF!,$A51,#REF!)</f>
        <v>#REF!</v>
      </c>
      <c r="AG51" s="116" t="e">
        <f>SUMIF(#REF!,$A51,#REF!)</f>
        <v>#REF!</v>
      </c>
      <c r="AH51" s="116" t="e">
        <f>SUMIF(#REF!,$A51,#REF!)</f>
        <v>#REF!</v>
      </c>
      <c r="AI51" s="116" t="e">
        <f>SUMIF(#REF!,$A51,#REF!)</f>
        <v>#REF!</v>
      </c>
      <c r="AJ51" s="116" t="e">
        <f>SUMIF(#REF!,$A51,#REF!)</f>
        <v>#REF!</v>
      </c>
      <c r="AK51" s="116" t="e">
        <f>SUMIF(#REF!,$A51,#REF!)</f>
        <v>#REF!</v>
      </c>
      <c r="AL51" s="116" t="e">
        <f>SUMIF(#REF!,$A51,#REF!)</f>
        <v>#REF!</v>
      </c>
      <c r="AM51" s="116" t="e">
        <f>SUMIF(#REF!,$A51,#REF!)</f>
        <v>#REF!</v>
      </c>
      <c r="AN51" s="116" t="e">
        <f>SUMIF(#REF!,$A51,#REF!)</f>
        <v>#REF!</v>
      </c>
      <c r="AO51" s="116" t="e">
        <f>SUMIF(#REF!,$A51,#REF!)</f>
        <v>#REF!</v>
      </c>
    </row>
    <row r="52" spans="1:42" x14ac:dyDescent="0.25">
      <c r="A52" s="101">
        <v>170017</v>
      </c>
      <c r="B52" t="s">
        <v>56</v>
      </c>
      <c r="C52" s="116" t="e">
        <f t="shared" si="32"/>
        <v>#REF!</v>
      </c>
      <c r="D52" s="116" t="e">
        <f t="shared" si="33"/>
        <v>#REF!</v>
      </c>
      <c r="E52" s="116" t="e">
        <f t="shared" si="34"/>
        <v>#REF!</v>
      </c>
      <c r="F52" s="116" t="e">
        <f t="shared" si="35"/>
        <v>#REF!</v>
      </c>
      <c r="G52" s="116" t="e">
        <f t="shared" si="36"/>
        <v>#REF!</v>
      </c>
      <c r="H52" s="116" t="e">
        <f t="shared" si="37"/>
        <v>#REF!</v>
      </c>
      <c r="I52" s="116" t="e">
        <f t="shared" si="38"/>
        <v>#REF!</v>
      </c>
      <c r="J52" s="116" t="e">
        <f t="shared" si="39"/>
        <v>#REF!</v>
      </c>
      <c r="K52" s="116" t="e">
        <f t="shared" si="40"/>
        <v>#REF!</v>
      </c>
      <c r="L52" s="116" t="e">
        <f t="shared" si="41"/>
        <v>#REF!</v>
      </c>
      <c r="M52" s="116" t="e">
        <f t="shared" si="42"/>
        <v>#REF!</v>
      </c>
      <c r="N52" s="116">
        <f t="shared" si="43"/>
        <v>0</v>
      </c>
      <c r="Q52" s="116" t="e">
        <f>SUMIF(#REF!,$A52,#REF!)</f>
        <v>#REF!</v>
      </c>
      <c r="R52" s="116">
        <f>SUMIF(ALIF_Y2014!$A:$A,$A52,ALIF_Y2014!$F:$F)</f>
        <v>0</v>
      </c>
      <c r="S52" s="116">
        <f>SUMIF(ALIF_Y2015!$A:$A,$A52,ALIF_Y2015!$F:$F)</f>
        <v>0</v>
      </c>
      <c r="T52" s="116">
        <f>SUMIF(ALIF_Y2016!$A:$A,$A52,ALIF_Y2016!$F:$F)</f>
        <v>0</v>
      </c>
      <c r="U52" s="116">
        <f>SUMIF(ALIF_Y2017!$A:$A,$A52,ALIF_Y2017!$F:$F)</f>
        <v>0</v>
      </c>
      <c r="V52" s="116">
        <f>SUMIF(ALIF_Y2018!$A:$A,$A52,ALIF_Y2018!$F:$F)</f>
        <v>0</v>
      </c>
      <c r="W52" s="116">
        <f>SUMIF(ALIF_Y2019!$A:$A,$A52,ALIF_Y2019!$F:$F)</f>
        <v>0</v>
      </c>
      <c r="X52" s="116">
        <f>SUMIF(ALIF_Y2020!$A:$A,$A52,ALIF_Y2020!$F:$F)</f>
        <v>0</v>
      </c>
      <c r="Y52" s="116">
        <f>SUMIF(ALIF_Y2021!$A:$A,$A52,ALIF_Y2021!$F:$F)</f>
        <v>0</v>
      </c>
      <c r="Z52" s="116">
        <f>SUMIF(ALIF_Y2022!$A:$A,$A52,ALIF_Y2022!$F:$F)</f>
        <v>0</v>
      </c>
      <c r="AA52" s="116">
        <f>SUMIF(ALIF_Y2023!$A:$A,$A52,ALIF_Y2023!$F:$F)</f>
        <v>0</v>
      </c>
      <c r="AE52" s="116" t="e">
        <f>SUMIF(#REF!,$A52,#REF!)</f>
        <v>#REF!</v>
      </c>
      <c r="AF52" s="116" t="e">
        <f>SUMIF(#REF!,$A52,#REF!)</f>
        <v>#REF!</v>
      </c>
      <c r="AG52" s="116" t="e">
        <f>SUMIF(#REF!,$A52,#REF!)</f>
        <v>#REF!</v>
      </c>
      <c r="AH52" s="116" t="e">
        <f>SUMIF(#REF!,$A52,#REF!)</f>
        <v>#REF!</v>
      </c>
      <c r="AI52" s="116" t="e">
        <f>SUMIF(#REF!,$A52,#REF!)</f>
        <v>#REF!</v>
      </c>
      <c r="AJ52" s="116" t="e">
        <f>SUMIF(#REF!,$A52,#REF!)</f>
        <v>#REF!</v>
      </c>
      <c r="AK52" s="116" t="e">
        <f>SUMIF(#REF!,$A52,#REF!)</f>
        <v>#REF!</v>
      </c>
      <c r="AL52" s="116" t="e">
        <f>SUMIF(#REF!,$A52,#REF!)</f>
        <v>#REF!</v>
      </c>
      <c r="AM52" s="116" t="e">
        <f>SUMIF(#REF!,$A52,#REF!)</f>
        <v>#REF!</v>
      </c>
      <c r="AN52" s="116" t="e">
        <f>SUMIF(#REF!,$A52,#REF!)</f>
        <v>#REF!</v>
      </c>
      <c r="AO52" s="116" t="e">
        <f>SUMIF(#REF!,$A52,#REF!)</f>
        <v>#REF!</v>
      </c>
    </row>
    <row r="53" spans="1:42" x14ac:dyDescent="0.25">
      <c r="A53" s="101">
        <v>170018</v>
      </c>
      <c r="B53" t="s">
        <v>57</v>
      </c>
      <c r="C53" s="116" t="e">
        <f t="shared" si="32"/>
        <v>#REF!</v>
      </c>
      <c r="D53" s="116" t="e">
        <f t="shared" si="33"/>
        <v>#REF!</v>
      </c>
      <c r="E53" s="116" t="e">
        <f t="shared" si="34"/>
        <v>#REF!</v>
      </c>
      <c r="F53" s="116" t="e">
        <f t="shared" si="35"/>
        <v>#REF!</v>
      </c>
      <c r="G53" s="116" t="e">
        <f t="shared" si="36"/>
        <v>#REF!</v>
      </c>
      <c r="H53" s="116" t="e">
        <f t="shared" si="37"/>
        <v>#REF!</v>
      </c>
      <c r="I53" s="116" t="e">
        <f t="shared" si="38"/>
        <v>#REF!</v>
      </c>
      <c r="J53" s="116" t="e">
        <f t="shared" si="39"/>
        <v>#REF!</v>
      </c>
      <c r="K53" s="116" t="e">
        <f t="shared" si="40"/>
        <v>#REF!</v>
      </c>
      <c r="L53" s="116" t="e">
        <f t="shared" si="41"/>
        <v>#REF!</v>
      </c>
      <c r="M53" s="116" t="e">
        <f t="shared" si="42"/>
        <v>#REF!</v>
      </c>
      <c r="N53" s="116">
        <f t="shared" si="43"/>
        <v>0</v>
      </c>
      <c r="Q53" s="116" t="e">
        <f>SUMIF(#REF!,$A53,#REF!)</f>
        <v>#REF!</v>
      </c>
      <c r="R53" s="116">
        <f>SUMIF(ALIF_Y2014!$A:$A,$A53,ALIF_Y2014!$F:$F)</f>
        <v>0</v>
      </c>
      <c r="S53" s="116">
        <f>SUMIF(ALIF_Y2015!$A:$A,$A53,ALIF_Y2015!$F:$F)</f>
        <v>0</v>
      </c>
      <c r="T53" s="116">
        <f>SUMIF(ALIF_Y2016!$A:$A,$A53,ALIF_Y2016!$F:$F)</f>
        <v>0</v>
      </c>
      <c r="U53" s="116">
        <f>SUMIF(ALIF_Y2017!$A:$A,$A53,ALIF_Y2017!$F:$F)</f>
        <v>0</v>
      </c>
      <c r="V53" s="116">
        <f>SUMIF(ALIF_Y2018!$A:$A,$A53,ALIF_Y2018!$F:$F)</f>
        <v>0</v>
      </c>
      <c r="W53" s="116">
        <f>SUMIF(ALIF_Y2019!$A:$A,$A53,ALIF_Y2019!$F:$F)</f>
        <v>0</v>
      </c>
      <c r="X53" s="116">
        <f>SUMIF(ALIF_Y2020!$A:$A,$A53,ALIF_Y2020!$F:$F)</f>
        <v>0</v>
      </c>
      <c r="Y53" s="116">
        <f>SUMIF(ALIF_Y2021!$A:$A,$A53,ALIF_Y2021!$F:$F)</f>
        <v>0</v>
      </c>
      <c r="Z53" s="116">
        <f>SUMIF(ALIF_Y2022!$A:$A,$A53,ALIF_Y2022!$F:$F)</f>
        <v>0</v>
      </c>
      <c r="AA53" s="116">
        <f>SUMIF(ALIF_Y2023!$A:$A,$A53,ALIF_Y2023!$F:$F)</f>
        <v>0</v>
      </c>
      <c r="AE53" s="116" t="e">
        <f>SUMIF(#REF!,$A53,#REF!)</f>
        <v>#REF!</v>
      </c>
      <c r="AF53" s="116" t="e">
        <f>SUMIF(#REF!,$A53,#REF!)</f>
        <v>#REF!</v>
      </c>
      <c r="AG53" s="116" t="e">
        <f>SUMIF(#REF!,$A53,#REF!)</f>
        <v>#REF!</v>
      </c>
      <c r="AH53" s="116" t="e">
        <f>SUMIF(#REF!,$A53,#REF!)</f>
        <v>#REF!</v>
      </c>
      <c r="AI53" s="116" t="e">
        <f>SUMIF(#REF!,$A53,#REF!)</f>
        <v>#REF!</v>
      </c>
      <c r="AJ53" s="116" t="e">
        <f>SUMIF(#REF!,$A53,#REF!)</f>
        <v>#REF!</v>
      </c>
      <c r="AK53" s="116" t="e">
        <f>SUMIF(#REF!,$A53,#REF!)</f>
        <v>#REF!</v>
      </c>
      <c r="AL53" s="116" t="e">
        <f>SUMIF(#REF!,$A53,#REF!)</f>
        <v>#REF!</v>
      </c>
      <c r="AM53" s="116" t="e">
        <f>SUMIF(#REF!,$A53,#REF!)</f>
        <v>#REF!</v>
      </c>
      <c r="AN53" s="116" t="e">
        <f>SUMIF(#REF!,$A53,#REF!)</f>
        <v>#REF!</v>
      </c>
      <c r="AO53" s="116" t="e">
        <f>SUMIF(#REF!,$A53,#REF!)</f>
        <v>#REF!</v>
      </c>
    </row>
    <row r="54" spans="1:42" x14ac:dyDescent="0.25">
      <c r="A54" s="101">
        <v>170019</v>
      </c>
      <c r="B54" t="s">
        <v>58</v>
      </c>
      <c r="C54" s="116" t="e">
        <f t="shared" si="32"/>
        <v>#REF!</v>
      </c>
      <c r="D54" s="116" t="e">
        <f t="shared" si="33"/>
        <v>#REF!</v>
      </c>
      <c r="E54" s="116" t="e">
        <f t="shared" si="34"/>
        <v>#REF!</v>
      </c>
      <c r="F54" s="116" t="e">
        <f t="shared" si="35"/>
        <v>#REF!</v>
      </c>
      <c r="G54" s="116" t="e">
        <f t="shared" si="36"/>
        <v>#REF!</v>
      </c>
      <c r="H54" s="116" t="e">
        <f t="shared" si="37"/>
        <v>#REF!</v>
      </c>
      <c r="I54" s="116" t="e">
        <f t="shared" si="38"/>
        <v>#REF!</v>
      </c>
      <c r="J54" s="116" t="e">
        <f t="shared" si="39"/>
        <v>#REF!</v>
      </c>
      <c r="K54" s="116" t="e">
        <f t="shared" si="40"/>
        <v>#REF!</v>
      </c>
      <c r="L54" s="116" t="e">
        <f t="shared" si="41"/>
        <v>#REF!</v>
      </c>
      <c r="M54" s="116" t="e">
        <f t="shared" si="42"/>
        <v>#REF!</v>
      </c>
      <c r="N54" s="116">
        <f t="shared" si="43"/>
        <v>0</v>
      </c>
      <c r="Q54" s="116" t="e">
        <f>SUMIF(#REF!,$A54,#REF!)</f>
        <v>#REF!</v>
      </c>
      <c r="R54" s="116">
        <f>SUMIF(ALIF_Y2014!$A:$A,$A54,ALIF_Y2014!$F:$F)</f>
        <v>0</v>
      </c>
      <c r="S54" s="116">
        <f>SUMIF(ALIF_Y2015!$A:$A,$A54,ALIF_Y2015!$F:$F)</f>
        <v>0</v>
      </c>
      <c r="T54" s="116">
        <f>SUMIF(ALIF_Y2016!$A:$A,$A54,ALIF_Y2016!$F:$F)</f>
        <v>0</v>
      </c>
      <c r="U54" s="116">
        <f>SUMIF(ALIF_Y2017!$A:$A,$A54,ALIF_Y2017!$F:$F)</f>
        <v>0</v>
      </c>
      <c r="V54" s="116">
        <f>SUMIF(ALIF_Y2018!$A:$A,$A54,ALIF_Y2018!$F:$F)</f>
        <v>0</v>
      </c>
      <c r="W54" s="116">
        <f>SUMIF(ALIF_Y2019!$A:$A,$A54,ALIF_Y2019!$F:$F)</f>
        <v>0</v>
      </c>
      <c r="X54" s="116">
        <f>SUMIF(ALIF_Y2020!$A:$A,$A54,ALIF_Y2020!$F:$F)</f>
        <v>0</v>
      </c>
      <c r="Y54" s="116">
        <f>SUMIF(ALIF_Y2021!$A:$A,$A54,ALIF_Y2021!$F:$F)</f>
        <v>0</v>
      </c>
      <c r="Z54" s="116">
        <f>SUMIF(ALIF_Y2022!$A:$A,$A54,ALIF_Y2022!$F:$F)</f>
        <v>0</v>
      </c>
      <c r="AA54" s="116">
        <f>SUMIF(ALIF_Y2023!$A:$A,$A54,ALIF_Y2023!$F:$F)</f>
        <v>0</v>
      </c>
      <c r="AE54" s="116" t="e">
        <f>SUMIF(#REF!,$A54,#REF!)</f>
        <v>#REF!</v>
      </c>
      <c r="AF54" s="116" t="e">
        <f>SUMIF(#REF!,$A54,#REF!)</f>
        <v>#REF!</v>
      </c>
      <c r="AG54" s="116" t="e">
        <f>SUMIF(#REF!,$A54,#REF!)</f>
        <v>#REF!</v>
      </c>
      <c r="AH54" s="116" t="e">
        <f>SUMIF(#REF!,$A54,#REF!)</f>
        <v>#REF!</v>
      </c>
      <c r="AI54" s="116" t="e">
        <f>SUMIF(#REF!,$A54,#REF!)</f>
        <v>#REF!</v>
      </c>
      <c r="AJ54" s="116" t="e">
        <f>SUMIF(#REF!,$A54,#REF!)</f>
        <v>#REF!</v>
      </c>
      <c r="AK54" s="116" t="e">
        <f>SUMIF(#REF!,$A54,#REF!)</f>
        <v>#REF!</v>
      </c>
      <c r="AL54" s="116" t="e">
        <f>SUMIF(#REF!,$A54,#REF!)</f>
        <v>#REF!</v>
      </c>
      <c r="AM54" s="116" t="e">
        <f>SUMIF(#REF!,$A54,#REF!)</f>
        <v>#REF!</v>
      </c>
      <c r="AN54" s="116" t="e">
        <f>SUMIF(#REF!,$A54,#REF!)</f>
        <v>#REF!</v>
      </c>
      <c r="AO54" s="116" t="e">
        <f>SUMIF(#REF!,$A54,#REF!)</f>
        <v>#REF!</v>
      </c>
    </row>
    <row r="55" spans="1:42" x14ac:dyDescent="0.25">
      <c r="A55" s="101">
        <v>170020</v>
      </c>
      <c r="B55" t="s">
        <v>59</v>
      </c>
      <c r="C55" s="116" t="e">
        <f t="shared" si="32"/>
        <v>#REF!</v>
      </c>
      <c r="D55" s="116" t="e">
        <f t="shared" si="33"/>
        <v>#REF!</v>
      </c>
      <c r="E55" s="116" t="e">
        <f t="shared" si="34"/>
        <v>#REF!</v>
      </c>
      <c r="F55" s="116" t="e">
        <f t="shared" si="35"/>
        <v>#REF!</v>
      </c>
      <c r="G55" s="116" t="e">
        <f t="shared" si="36"/>
        <v>#REF!</v>
      </c>
      <c r="H55" s="116" t="e">
        <f t="shared" si="37"/>
        <v>#REF!</v>
      </c>
      <c r="I55" s="116" t="e">
        <f t="shared" si="38"/>
        <v>#REF!</v>
      </c>
      <c r="J55" s="116" t="e">
        <f t="shared" si="39"/>
        <v>#REF!</v>
      </c>
      <c r="K55" s="116" t="e">
        <f t="shared" si="40"/>
        <v>#REF!</v>
      </c>
      <c r="L55" s="116" t="e">
        <f t="shared" si="41"/>
        <v>#REF!</v>
      </c>
      <c r="M55" s="116" t="e">
        <f t="shared" si="42"/>
        <v>#REF!</v>
      </c>
      <c r="N55" s="116">
        <f t="shared" si="43"/>
        <v>0</v>
      </c>
      <c r="Q55" s="116" t="e">
        <f>SUMIF(#REF!,$A55,#REF!)</f>
        <v>#REF!</v>
      </c>
      <c r="R55" s="116">
        <f>SUMIF(ALIF_Y2014!$A:$A,$A55,ALIF_Y2014!$F:$F)</f>
        <v>0</v>
      </c>
      <c r="S55" s="116">
        <f>SUMIF(ALIF_Y2015!$A:$A,$A55,ALIF_Y2015!$F:$F)</f>
        <v>0</v>
      </c>
      <c r="T55" s="116">
        <f>SUMIF(ALIF_Y2016!$A:$A,$A55,ALIF_Y2016!$F:$F)</f>
        <v>0</v>
      </c>
      <c r="U55" s="116">
        <f>SUMIF(ALIF_Y2017!$A:$A,$A55,ALIF_Y2017!$F:$F)</f>
        <v>0</v>
      </c>
      <c r="V55" s="116">
        <f>SUMIF(ALIF_Y2018!$A:$A,$A55,ALIF_Y2018!$F:$F)</f>
        <v>0</v>
      </c>
      <c r="W55" s="116">
        <f>SUMIF(ALIF_Y2019!$A:$A,$A55,ALIF_Y2019!$F:$F)</f>
        <v>0</v>
      </c>
      <c r="X55" s="116">
        <f>SUMIF(ALIF_Y2020!$A:$A,$A55,ALIF_Y2020!$F:$F)</f>
        <v>0</v>
      </c>
      <c r="Y55" s="116">
        <f>SUMIF(ALIF_Y2021!$A:$A,$A55,ALIF_Y2021!$F:$F)</f>
        <v>0</v>
      </c>
      <c r="Z55" s="116">
        <f>SUMIF(ALIF_Y2022!$A:$A,$A55,ALIF_Y2022!$F:$F)</f>
        <v>0</v>
      </c>
      <c r="AA55" s="116">
        <f>SUMIF(ALIF_Y2023!$A:$A,$A55,ALIF_Y2023!$F:$F)</f>
        <v>187932.64</v>
      </c>
      <c r="AE55" s="116" t="e">
        <f>SUMIF(#REF!,$A55,#REF!)</f>
        <v>#REF!</v>
      </c>
      <c r="AF55" s="116" t="e">
        <f>SUMIF(#REF!,$A55,#REF!)</f>
        <v>#REF!</v>
      </c>
      <c r="AG55" s="116" t="e">
        <f>SUMIF(#REF!,$A55,#REF!)</f>
        <v>#REF!</v>
      </c>
      <c r="AH55" s="116" t="e">
        <f>SUMIF(#REF!,$A55,#REF!)</f>
        <v>#REF!</v>
      </c>
      <c r="AI55" s="116" t="e">
        <f>SUMIF(#REF!,$A55,#REF!)</f>
        <v>#REF!</v>
      </c>
      <c r="AJ55" s="116" t="e">
        <f>SUMIF(#REF!,$A55,#REF!)</f>
        <v>#REF!</v>
      </c>
      <c r="AK55" s="116" t="e">
        <f>SUMIF(#REF!,$A55,#REF!)</f>
        <v>#REF!</v>
      </c>
      <c r="AL55" s="116" t="e">
        <f>SUMIF(#REF!,$A55,#REF!)</f>
        <v>#REF!</v>
      </c>
      <c r="AM55" s="116" t="e">
        <f>SUMIF(#REF!,$A55,#REF!)</f>
        <v>#REF!</v>
      </c>
      <c r="AN55" s="116" t="e">
        <f>SUMIF(#REF!,$A55,#REF!)</f>
        <v>#REF!</v>
      </c>
      <c r="AO55" s="116" t="e">
        <f>SUMIF(#REF!,$A55,#REF!)</f>
        <v>#REF!</v>
      </c>
    </row>
    <row r="56" spans="1:42" x14ac:dyDescent="0.25">
      <c r="A56" s="101">
        <v>170021</v>
      </c>
      <c r="B56" t="s">
        <v>535</v>
      </c>
      <c r="C56" s="116" t="e">
        <f t="shared" si="32"/>
        <v>#REF!</v>
      </c>
      <c r="D56" s="116" t="e">
        <f t="shared" si="33"/>
        <v>#REF!</v>
      </c>
      <c r="E56" s="116" t="e">
        <f t="shared" si="34"/>
        <v>#REF!</v>
      </c>
      <c r="F56" s="116" t="e">
        <f t="shared" si="35"/>
        <v>#REF!</v>
      </c>
      <c r="G56" s="116" t="e">
        <f t="shared" si="36"/>
        <v>#REF!</v>
      </c>
      <c r="H56" s="116" t="e">
        <f t="shared" si="37"/>
        <v>#REF!</v>
      </c>
      <c r="I56" s="116" t="e">
        <f t="shared" si="38"/>
        <v>#REF!</v>
      </c>
      <c r="J56" s="116" t="e">
        <f t="shared" si="39"/>
        <v>#REF!</v>
      </c>
      <c r="K56" s="116" t="e">
        <f t="shared" si="40"/>
        <v>#REF!</v>
      </c>
      <c r="L56" s="116" t="e">
        <f t="shared" si="41"/>
        <v>#REF!</v>
      </c>
      <c r="M56" s="116" t="e">
        <f t="shared" si="42"/>
        <v>#REF!</v>
      </c>
      <c r="N56" s="116">
        <f t="shared" si="43"/>
        <v>0</v>
      </c>
      <c r="Q56" s="116" t="e">
        <f>SUMIF(#REF!,$A56,#REF!)</f>
        <v>#REF!</v>
      </c>
      <c r="R56" s="116">
        <f>SUMIF(ALIF_Y2014!$A:$A,$A56,ALIF_Y2014!$F:$F)</f>
        <v>4501835.45</v>
      </c>
      <c r="S56" s="116">
        <f>SUMIF(ALIF_Y2015!$A:$A,$A56,ALIF_Y2015!$F:$F)</f>
        <v>3062618</v>
      </c>
      <c r="T56" s="116">
        <f>SUMIF(ALIF_Y2016!$A:$A,$A56,ALIF_Y2016!$F:$F)</f>
        <v>4741163.17</v>
      </c>
      <c r="U56" s="116">
        <f>SUMIF(ALIF_Y2017!$A:$A,$A56,ALIF_Y2017!$F:$F)</f>
        <v>12679112.02</v>
      </c>
      <c r="V56" s="116">
        <f>SUMIF(ALIF_Y2018!$A:$A,$A56,ALIF_Y2018!$F:$F)</f>
        <v>9600761.3000000007</v>
      </c>
      <c r="W56" s="116">
        <f>SUMIF(ALIF_Y2019!$A:$A,$A56,ALIF_Y2019!$F:$F)</f>
        <v>5773707.4500000002</v>
      </c>
      <c r="X56" s="116">
        <f>SUMIF(ALIF_Y2020!$A:$A,$A56,ALIF_Y2020!$F:$F)</f>
        <v>2935982.66</v>
      </c>
      <c r="Y56" s="116">
        <f>SUMIF(ALIF_Y2021!$A:$A,$A56,ALIF_Y2021!$F:$F)</f>
        <v>2935982.66</v>
      </c>
      <c r="Z56" s="116">
        <f>SUMIF(ALIF_Y2022!$A:$A,$A56,ALIF_Y2022!$F:$F)</f>
        <v>0</v>
      </c>
      <c r="AA56" s="116">
        <f>SUMIF(ALIF_Y2023!$A:$A,$A56,ALIF_Y2023!$F:$F)</f>
        <v>4054218.42</v>
      </c>
      <c r="AE56" s="116" t="e">
        <f>SUMIF(#REF!,$A56,#REF!)</f>
        <v>#REF!</v>
      </c>
      <c r="AF56" s="116" t="e">
        <f>SUMIF(#REF!,$A56,#REF!)</f>
        <v>#REF!</v>
      </c>
      <c r="AG56" s="116" t="e">
        <f>SUMIF(#REF!,$A56,#REF!)</f>
        <v>#REF!</v>
      </c>
      <c r="AH56" s="116" t="e">
        <f>SUMIF(#REF!,$A56,#REF!)</f>
        <v>#REF!</v>
      </c>
      <c r="AI56" s="116" t="e">
        <f>SUMIF(#REF!,$A56,#REF!)</f>
        <v>#REF!</v>
      </c>
      <c r="AJ56" s="116" t="e">
        <f>SUMIF(#REF!,$A56,#REF!)</f>
        <v>#REF!</v>
      </c>
      <c r="AK56" s="116" t="e">
        <f>SUMIF(#REF!,$A56,#REF!)</f>
        <v>#REF!</v>
      </c>
      <c r="AL56" s="116" t="e">
        <f>SUMIF(#REF!,$A56,#REF!)</f>
        <v>#REF!</v>
      </c>
      <c r="AM56" s="116" t="e">
        <f>SUMIF(#REF!,$A56,#REF!)</f>
        <v>#REF!</v>
      </c>
      <c r="AN56" s="116" t="e">
        <f>SUMIF(#REF!,$A56,#REF!)</f>
        <v>#REF!</v>
      </c>
      <c r="AO56" s="116" t="e">
        <f>SUMIF(#REF!,$A56,#REF!)</f>
        <v>#REF!</v>
      </c>
    </row>
    <row r="57" spans="1:42" ht="7.9" customHeight="1" x14ac:dyDescent="0.25"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</row>
    <row r="58" spans="1:42" x14ac:dyDescent="0.25">
      <c r="C58" s="118" t="e">
        <f t="shared" ref="C58:N58" si="44">SUM(C37:C57)</f>
        <v>#REF!</v>
      </c>
      <c r="D58" s="118" t="e">
        <f t="shared" si="44"/>
        <v>#REF!</v>
      </c>
      <c r="E58" s="118" t="e">
        <f t="shared" si="44"/>
        <v>#REF!</v>
      </c>
      <c r="F58" s="118" t="e">
        <f t="shared" si="44"/>
        <v>#REF!</v>
      </c>
      <c r="G58" s="118" t="e">
        <f t="shared" si="44"/>
        <v>#REF!</v>
      </c>
      <c r="H58" s="118" t="e">
        <f t="shared" si="44"/>
        <v>#REF!</v>
      </c>
      <c r="I58" s="118" t="e">
        <f t="shared" si="44"/>
        <v>#REF!</v>
      </c>
      <c r="J58" s="118" t="e">
        <f t="shared" si="44"/>
        <v>#REF!</v>
      </c>
      <c r="K58" s="118" t="e">
        <f t="shared" si="44"/>
        <v>#REF!</v>
      </c>
      <c r="L58" s="118" t="e">
        <f t="shared" si="44"/>
        <v>#REF!</v>
      </c>
      <c r="M58" s="118" t="e">
        <f t="shared" si="44"/>
        <v>#REF!</v>
      </c>
      <c r="N58" s="118">
        <f t="shared" si="44"/>
        <v>0</v>
      </c>
      <c r="Q58" s="118" t="e">
        <f>SUM(Q37:Q57)</f>
        <v>#REF!</v>
      </c>
      <c r="R58" s="118">
        <f t="shared" ref="R58:AB58" si="45">SUM(R37:R57)</f>
        <v>8670708.6090000011</v>
      </c>
      <c r="S58" s="118">
        <f t="shared" si="45"/>
        <v>7700042.426</v>
      </c>
      <c r="T58" s="118">
        <f t="shared" si="45"/>
        <v>6566761.4589999998</v>
      </c>
      <c r="U58" s="118">
        <f t="shared" si="45"/>
        <v>13100547.521</v>
      </c>
      <c r="V58" s="118">
        <f t="shared" si="45"/>
        <v>10942639.300000001</v>
      </c>
      <c r="W58" s="118">
        <f t="shared" si="45"/>
        <v>8522666.029000001</v>
      </c>
      <c r="X58" s="118">
        <f t="shared" si="45"/>
        <v>3692329.5420000004</v>
      </c>
      <c r="Y58" s="118">
        <f t="shared" si="45"/>
        <v>5210137.9289999995</v>
      </c>
      <c r="Z58" s="118">
        <f t="shared" si="45"/>
        <v>1107166.024</v>
      </c>
      <c r="AA58" s="118">
        <f t="shared" si="45"/>
        <v>4772239.2369999997</v>
      </c>
      <c r="AB58" s="118">
        <f t="shared" si="45"/>
        <v>0</v>
      </c>
      <c r="AE58" s="118" t="e">
        <f>SUM(AE37:AE57)</f>
        <v>#REF!</v>
      </c>
      <c r="AF58" s="118" t="e">
        <f t="shared" ref="AF58:AO58" si="46">SUM(AF37:AF57)</f>
        <v>#REF!</v>
      </c>
      <c r="AG58" s="118" t="e">
        <f t="shared" si="46"/>
        <v>#REF!</v>
      </c>
      <c r="AH58" s="118" t="e">
        <f t="shared" si="46"/>
        <v>#REF!</v>
      </c>
      <c r="AI58" s="118" t="e">
        <f t="shared" si="46"/>
        <v>#REF!</v>
      </c>
      <c r="AJ58" s="118" t="e">
        <f t="shared" si="46"/>
        <v>#REF!</v>
      </c>
      <c r="AK58" s="118" t="e">
        <f t="shared" si="46"/>
        <v>#REF!</v>
      </c>
      <c r="AL58" s="118" t="e">
        <f t="shared" si="46"/>
        <v>#REF!</v>
      </c>
      <c r="AM58" s="118" t="e">
        <f t="shared" si="46"/>
        <v>#REF!</v>
      </c>
      <c r="AN58" s="118" t="e">
        <f t="shared" si="46"/>
        <v>#REF!</v>
      </c>
      <c r="AO58" s="118" t="e">
        <f t="shared" si="46"/>
        <v>#REF!</v>
      </c>
    </row>
    <row r="60" spans="1:42" x14ac:dyDescent="0.25">
      <c r="A60" s="99" t="s">
        <v>568</v>
      </c>
    </row>
    <row r="61" spans="1:42" x14ac:dyDescent="0.25">
      <c r="A61" s="101">
        <v>180001</v>
      </c>
      <c r="B61" t="s">
        <v>60</v>
      </c>
      <c r="C61" s="116" t="e">
        <f t="shared" ref="C61:C79" si="47">Q61+AE61</f>
        <v>#REF!</v>
      </c>
      <c r="D61" s="116" t="e">
        <f t="shared" ref="D61:D79" si="48">R61+AF61</f>
        <v>#REF!</v>
      </c>
      <c r="E61" s="116" t="e">
        <f t="shared" ref="E61:E79" si="49">S61+AG61</f>
        <v>#REF!</v>
      </c>
      <c r="F61" s="116" t="e">
        <f t="shared" ref="F61:F79" si="50">T61+AH61</f>
        <v>#REF!</v>
      </c>
      <c r="G61" s="116" t="e">
        <f t="shared" ref="G61:G79" si="51">U61+AI61</f>
        <v>#REF!</v>
      </c>
      <c r="H61" s="116" t="e">
        <f t="shared" ref="H61:H79" si="52">V61+AJ61</f>
        <v>#REF!</v>
      </c>
      <c r="I61" s="116" t="e">
        <f t="shared" ref="I61:I79" si="53">W61+AK61</f>
        <v>#REF!</v>
      </c>
      <c r="J61" s="116" t="e">
        <f t="shared" ref="J61:J79" si="54">X61+AL61</f>
        <v>#REF!</v>
      </c>
      <c r="K61" s="116" t="e">
        <f t="shared" ref="K61:K79" si="55">Y61+AM61</f>
        <v>#REF!</v>
      </c>
      <c r="L61" s="116" t="e">
        <f t="shared" ref="L61:L79" si="56">Z61+AN61</f>
        <v>#REF!</v>
      </c>
      <c r="M61" s="116" t="e">
        <f t="shared" ref="M61:M79" si="57">AA61+AO61</f>
        <v>#REF!</v>
      </c>
      <c r="N61" s="116">
        <f t="shared" ref="N61:N79" si="58">AB61+AP61</f>
        <v>0</v>
      </c>
      <c r="Q61" s="116" t="e">
        <f>SUMIF(#REF!,$A61,#REF!)</f>
        <v>#REF!</v>
      </c>
      <c r="R61" s="116">
        <f>SUMIF(ALIF_Y2014!$A:$A,$A61,ALIF_Y2014!$F:$F)</f>
        <v>156339.99</v>
      </c>
      <c r="S61" s="116">
        <f>SUMIF(ALIF_Y2015!$A:$A,$A61,ALIF_Y2015!$F:$F)</f>
        <v>180341.72399999999</v>
      </c>
      <c r="T61" s="116">
        <f>SUMIF(ALIF_Y2016!$A:$A,$A61,ALIF_Y2016!$F:$F)</f>
        <v>0</v>
      </c>
      <c r="U61" s="116">
        <f>SUMIF(ALIF_Y2017!$A:$A,$A61,ALIF_Y2017!$F:$F)</f>
        <v>0</v>
      </c>
      <c r="V61" s="116">
        <f>SUMIF(ALIF_Y2018!$A:$A,$A61,ALIF_Y2018!$F:$F)</f>
        <v>0</v>
      </c>
      <c r="W61" s="116">
        <f>SUMIF(ALIF_Y2019!$A:$A,$A61,ALIF_Y2019!$F:$F)</f>
        <v>0</v>
      </c>
      <c r="X61" s="116">
        <f>SUMIF(ALIF_Y2020!$A:$A,$A61,ALIF_Y2020!$F:$F)</f>
        <v>460574.58399999997</v>
      </c>
      <c r="Y61" s="116">
        <f>SUMIF(ALIF_Y2021!$A:$A,$A61,ALIF_Y2021!$F:$F)</f>
        <v>472084.609</v>
      </c>
      <c r="Z61" s="116">
        <f>SUMIF(ALIF_Y2022!$A:$A,$A61,ALIF_Y2022!$F:$F)</f>
        <v>579715.09400000004</v>
      </c>
      <c r="AA61" s="116">
        <f>SUMIF(ALIF_Y2023!$A:$A,$A61,ALIF_Y2023!$F:$F)</f>
        <v>393596.77299999999</v>
      </c>
      <c r="AE61" s="116" t="e">
        <f>SUMIF(#REF!,$A61,#REF!)</f>
        <v>#REF!</v>
      </c>
      <c r="AF61" s="116" t="e">
        <f>SUMIF(#REF!,$A61,#REF!)</f>
        <v>#REF!</v>
      </c>
      <c r="AG61" s="116" t="e">
        <f>SUMIF(#REF!,$A61,#REF!)</f>
        <v>#REF!</v>
      </c>
      <c r="AH61" s="116" t="e">
        <f>SUMIF(#REF!,$A61,#REF!)</f>
        <v>#REF!</v>
      </c>
      <c r="AI61" s="116" t="e">
        <f>SUMIF(#REF!,$A61,#REF!)</f>
        <v>#REF!</v>
      </c>
      <c r="AJ61" s="116" t="e">
        <f>SUMIF(#REF!,$A61,#REF!)</f>
        <v>#REF!</v>
      </c>
      <c r="AK61" s="116" t="e">
        <f>SUMIF(#REF!,$A61,#REF!)</f>
        <v>#REF!</v>
      </c>
      <c r="AL61" s="116" t="e">
        <f>SUMIF(#REF!,$A61,#REF!)</f>
        <v>#REF!</v>
      </c>
      <c r="AM61" s="116" t="e">
        <f>SUMIF(#REF!,$A61,#REF!)</f>
        <v>#REF!</v>
      </c>
      <c r="AN61" s="116" t="e">
        <f>SUMIF(#REF!,$A61,#REF!)</f>
        <v>#REF!</v>
      </c>
      <c r="AO61" s="116" t="e">
        <f>SUMIF(#REF!,$A61,#REF!)</f>
        <v>#REF!</v>
      </c>
    </row>
    <row r="62" spans="1:42" x14ac:dyDescent="0.25">
      <c r="A62" s="101">
        <v>180002</v>
      </c>
      <c r="B62" t="s">
        <v>61</v>
      </c>
      <c r="C62" s="116" t="e">
        <f t="shared" si="47"/>
        <v>#REF!</v>
      </c>
      <c r="D62" s="116" t="e">
        <f t="shared" si="48"/>
        <v>#REF!</v>
      </c>
      <c r="E62" s="116" t="e">
        <f t="shared" si="49"/>
        <v>#REF!</v>
      </c>
      <c r="F62" s="116" t="e">
        <f t="shared" si="50"/>
        <v>#REF!</v>
      </c>
      <c r="G62" s="116" t="e">
        <f t="shared" si="51"/>
        <v>#REF!</v>
      </c>
      <c r="H62" s="116" t="e">
        <f t="shared" si="52"/>
        <v>#REF!</v>
      </c>
      <c r="I62" s="116" t="e">
        <f t="shared" si="53"/>
        <v>#REF!</v>
      </c>
      <c r="J62" s="116" t="e">
        <f t="shared" si="54"/>
        <v>#REF!</v>
      </c>
      <c r="K62" s="116" t="e">
        <f t="shared" si="55"/>
        <v>#REF!</v>
      </c>
      <c r="L62" s="116" t="e">
        <f t="shared" si="56"/>
        <v>#REF!</v>
      </c>
      <c r="M62" s="116" t="e">
        <f t="shared" si="57"/>
        <v>#REF!</v>
      </c>
      <c r="N62" s="116">
        <f t="shared" si="58"/>
        <v>0</v>
      </c>
      <c r="Q62" s="116" t="e">
        <f>SUMIF(#REF!,$A62,#REF!)</f>
        <v>#REF!</v>
      </c>
      <c r="R62" s="116">
        <f>SUMIF(ALIF_Y2014!$A:$A,$A62,ALIF_Y2014!$F:$F)</f>
        <v>0</v>
      </c>
      <c r="S62" s="116">
        <f>SUMIF(ALIF_Y2015!$A:$A,$A62,ALIF_Y2015!$F:$F)</f>
        <v>0</v>
      </c>
      <c r="T62" s="116">
        <f>SUMIF(ALIF_Y2016!$A:$A,$A62,ALIF_Y2016!$F:$F)</f>
        <v>0</v>
      </c>
      <c r="U62" s="116">
        <f>SUMIF(ALIF_Y2017!$A:$A,$A62,ALIF_Y2017!$F:$F)</f>
        <v>0</v>
      </c>
      <c r="V62" s="116">
        <f>SUMIF(ALIF_Y2018!$A:$A,$A62,ALIF_Y2018!$F:$F)</f>
        <v>0</v>
      </c>
      <c r="W62" s="116">
        <f>SUMIF(ALIF_Y2019!$A:$A,$A62,ALIF_Y2019!$F:$F)</f>
        <v>0</v>
      </c>
      <c r="X62" s="116">
        <f>SUMIF(ALIF_Y2020!$A:$A,$A62,ALIF_Y2020!$F:$F)</f>
        <v>0</v>
      </c>
      <c r="Y62" s="116">
        <f>SUMIF(ALIF_Y2021!$A:$A,$A62,ALIF_Y2021!$F:$F)</f>
        <v>0</v>
      </c>
      <c r="Z62" s="116">
        <f>SUMIF(ALIF_Y2022!$A:$A,$A62,ALIF_Y2022!$F:$F)</f>
        <v>0</v>
      </c>
      <c r="AA62" s="116">
        <f>SUMIF(ALIF_Y2023!$A:$A,$A62,ALIF_Y2023!$F:$F)</f>
        <v>0</v>
      </c>
      <c r="AE62" s="116" t="e">
        <f>SUMIF(#REF!,$A62,#REF!)</f>
        <v>#REF!</v>
      </c>
      <c r="AF62" s="116" t="e">
        <f>SUMIF(#REF!,$A62,#REF!)</f>
        <v>#REF!</v>
      </c>
      <c r="AG62" s="116" t="e">
        <f>SUMIF(#REF!,$A62,#REF!)</f>
        <v>#REF!</v>
      </c>
      <c r="AH62" s="116" t="e">
        <f>SUMIF(#REF!,$A62,#REF!)</f>
        <v>#REF!</v>
      </c>
      <c r="AI62" s="116" t="e">
        <f>SUMIF(#REF!,$A62,#REF!)</f>
        <v>#REF!</v>
      </c>
      <c r="AJ62" s="116" t="e">
        <f>SUMIF(#REF!,$A62,#REF!)</f>
        <v>#REF!</v>
      </c>
      <c r="AK62" s="116" t="e">
        <f>SUMIF(#REF!,$A62,#REF!)</f>
        <v>#REF!</v>
      </c>
      <c r="AL62" s="116" t="e">
        <f>SUMIF(#REF!,$A62,#REF!)</f>
        <v>#REF!</v>
      </c>
      <c r="AM62" s="116" t="e">
        <f>SUMIF(#REF!,$A62,#REF!)</f>
        <v>#REF!</v>
      </c>
      <c r="AN62" s="116" t="e">
        <f>SUMIF(#REF!,$A62,#REF!)</f>
        <v>#REF!</v>
      </c>
      <c r="AO62" s="116" t="e">
        <f>SUMIF(#REF!,$A62,#REF!)</f>
        <v>#REF!</v>
      </c>
    </row>
    <row r="63" spans="1:42" x14ac:dyDescent="0.25">
      <c r="A63" s="101">
        <v>180003</v>
      </c>
      <c r="B63" t="s">
        <v>62</v>
      </c>
      <c r="C63" s="116" t="e">
        <f t="shared" si="47"/>
        <v>#REF!</v>
      </c>
      <c r="D63" s="116" t="e">
        <f t="shared" si="48"/>
        <v>#REF!</v>
      </c>
      <c r="E63" s="116" t="e">
        <f t="shared" si="49"/>
        <v>#REF!</v>
      </c>
      <c r="F63" s="116" t="e">
        <f t="shared" si="50"/>
        <v>#REF!</v>
      </c>
      <c r="G63" s="116" t="e">
        <f t="shared" si="51"/>
        <v>#REF!</v>
      </c>
      <c r="H63" s="116" t="e">
        <f t="shared" si="52"/>
        <v>#REF!</v>
      </c>
      <c r="I63" s="116" t="e">
        <f t="shared" si="53"/>
        <v>#REF!</v>
      </c>
      <c r="J63" s="116" t="e">
        <f t="shared" si="54"/>
        <v>#REF!</v>
      </c>
      <c r="K63" s="116" t="e">
        <f t="shared" si="55"/>
        <v>#REF!</v>
      </c>
      <c r="L63" s="116" t="e">
        <f t="shared" si="56"/>
        <v>#REF!</v>
      </c>
      <c r="M63" s="116" t="e">
        <f t="shared" si="57"/>
        <v>#REF!</v>
      </c>
      <c r="N63" s="116">
        <f t="shared" si="58"/>
        <v>0</v>
      </c>
      <c r="Q63" s="116" t="e">
        <f>SUMIF(#REF!,$A63,#REF!)</f>
        <v>#REF!</v>
      </c>
      <c r="R63" s="116">
        <f>SUMIF(ALIF_Y2014!$A:$A,$A63,ALIF_Y2014!$F:$F)</f>
        <v>653513.32999999996</v>
      </c>
      <c r="S63" s="116">
        <f>SUMIF(ALIF_Y2015!$A:$A,$A63,ALIF_Y2015!$F:$F)</f>
        <v>1662493.5430000001</v>
      </c>
      <c r="T63" s="116">
        <f>SUMIF(ALIF_Y2016!$A:$A,$A63,ALIF_Y2016!$F:$F)</f>
        <v>3495512.389</v>
      </c>
      <c r="U63" s="116">
        <f>SUMIF(ALIF_Y2017!$A:$A,$A63,ALIF_Y2017!$F:$F)</f>
        <v>3299573.9649999999</v>
      </c>
      <c r="V63" s="116">
        <f>SUMIF(ALIF_Y2018!$A:$A,$A63,ALIF_Y2018!$F:$F)</f>
        <v>6617901.977</v>
      </c>
      <c r="W63" s="116">
        <f>SUMIF(ALIF_Y2019!$A:$A,$A63,ALIF_Y2019!$F:$F)</f>
        <v>9335439.2479999997</v>
      </c>
      <c r="X63" s="116">
        <f>SUMIF(ALIF_Y2020!$A:$A,$A63,ALIF_Y2020!$F:$F)</f>
        <v>9861152.8129999992</v>
      </c>
      <c r="Y63" s="116">
        <f>SUMIF(ALIF_Y2021!$A:$A,$A63,ALIF_Y2021!$F:$F)</f>
        <v>8204122.3789999997</v>
      </c>
      <c r="Z63" s="116">
        <f>SUMIF(ALIF_Y2022!$A:$A,$A63,ALIF_Y2022!$F:$F)</f>
        <v>8453179.3629999999</v>
      </c>
      <c r="AA63" s="116">
        <f>SUMIF(ALIF_Y2023!$A:$A,$A63,ALIF_Y2023!$F:$F)</f>
        <v>7034865.0970000001</v>
      </c>
      <c r="AE63" s="116" t="e">
        <f>SUMIF(#REF!,$A63,#REF!)</f>
        <v>#REF!</v>
      </c>
      <c r="AF63" s="116" t="e">
        <f>SUMIF(#REF!,$A63,#REF!)</f>
        <v>#REF!</v>
      </c>
      <c r="AG63" s="116" t="e">
        <f>SUMIF(#REF!,$A63,#REF!)</f>
        <v>#REF!</v>
      </c>
      <c r="AH63" s="116" t="e">
        <f>SUMIF(#REF!,$A63,#REF!)</f>
        <v>#REF!</v>
      </c>
      <c r="AI63" s="116" t="e">
        <f>SUMIF(#REF!,$A63,#REF!)</f>
        <v>#REF!</v>
      </c>
      <c r="AJ63" s="116" t="e">
        <f>SUMIF(#REF!,$A63,#REF!)</f>
        <v>#REF!</v>
      </c>
      <c r="AK63" s="116" t="e">
        <f>SUMIF(#REF!,$A63,#REF!)</f>
        <v>#REF!</v>
      </c>
      <c r="AL63" s="116" t="e">
        <f>SUMIF(#REF!,$A63,#REF!)</f>
        <v>#REF!</v>
      </c>
      <c r="AM63" s="116" t="e">
        <f>SUMIF(#REF!,$A63,#REF!)</f>
        <v>#REF!</v>
      </c>
      <c r="AN63" s="116" t="e">
        <f>SUMIF(#REF!,$A63,#REF!)</f>
        <v>#REF!</v>
      </c>
      <c r="AO63" s="116" t="e">
        <f>SUMIF(#REF!,$A63,#REF!)</f>
        <v>#REF!</v>
      </c>
    </row>
    <row r="64" spans="1:42" x14ac:dyDescent="0.25">
      <c r="A64" s="101">
        <v>180004</v>
      </c>
      <c r="B64" t="s">
        <v>63</v>
      </c>
      <c r="C64" s="116" t="e">
        <f t="shared" si="47"/>
        <v>#REF!</v>
      </c>
      <c r="D64" s="116" t="e">
        <f t="shared" si="48"/>
        <v>#REF!</v>
      </c>
      <c r="E64" s="116" t="e">
        <f t="shared" si="49"/>
        <v>#REF!</v>
      </c>
      <c r="F64" s="116" t="e">
        <f t="shared" si="50"/>
        <v>#REF!</v>
      </c>
      <c r="G64" s="116" t="e">
        <f t="shared" si="51"/>
        <v>#REF!</v>
      </c>
      <c r="H64" s="116" t="e">
        <f t="shared" si="52"/>
        <v>#REF!</v>
      </c>
      <c r="I64" s="116" t="e">
        <f t="shared" si="53"/>
        <v>#REF!</v>
      </c>
      <c r="J64" s="116" t="e">
        <f t="shared" si="54"/>
        <v>#REF!</v>
      </c>
      <c r="K64" s="116" t="e">
        <f t="shared" si="55"/>
        <v>#REF!</v>
      </c>
      <c r="L64" s="116" t="e">
        <f t="shared" si="56"/>
        <v>#REF!</v>
      </c>
      <c r="M64" s="116" t="e">
        <f t="shared" si="57"/>
        <v>#REF!</v>
      </c>
      <c r="N64" s="116">
        <f t="shared" si="58"/>
        <v>0</v>
      </c>
      <c r="Q64" s="116" t="e">
        <f>SUMIF(#REF!,$A64,#REF!)</f>
        <v>#REF!</v>
      </c>
      <c r="R64" s="116">
        <f>SUMIF(ALIF_Y2014!$A:$A,$A64,ALIF_Y2014!$F:$F)</f>
        <v>7043113.4110000003</v>
      </c>
      <c r="S64" s="116">
        <f>SUMIF(ALIF_Y2015!$A:$A,$A64,ALIF_Y2015!$F:$F)</f>
        <v>3346088.281</v>
      </c>
      <c r="T64" s="116">
        <f>SUMIF(ALIF_Y2016!$A:$A,$A64,ALIF_Y2016!$F:$F)</f>
        <v>2005087.6440000001</v>
      </c>
      <c r="U64" s="116">
        <f>SUMIF(ALIF_Y2017!$A:$A,$A64,ALIF_Y2017!$F:$F)</f>
        <v>5349660.4009999996</v>
      </c>
      <c r="V64" s="116">
        <f>SUMIF(ALIF_Y2018!$A:$A,$A64,ALIF_Y2018!$F:$F)</f>
        <v>17461290.598000001</v>
      </c>
      <c r="W64" s="116">
        <f>SUMIF(ALIF_Y2019!$A:$A,$A64,ALIF_Y2019!$F:$F)</f>
        <v>10353608.835999999</v>
      </c>
      <c r="X64" s="116">
        <f>SUMIF(ALIF_Y2020!$A:$A,$A64,ALIF_Y2020!$F:$F)</f>
        <v>6375063.9330000002</v>
      </c>
      <c r="Y64" s="116">
        <f>SUMIF(ALIF_Y2021!$A:$A,$A64,ALIF_Y2021!$F:$F)</f>
        <v>21414671.879000001</v>
      </c>
      <c r="Z64" s="116">
        <f>SUMIF(ALIF_Y2022!$A:$A,$A64,ALIF_Y2022!$F:$F)</f>
        <v>24628808.791000001</v>
      </c>
      <c r="AA64" s="116">
        <f>SUMIF(ALIF_Y2023!$A:$A,$A64,ALIF_Y2023!$F:$F)</f>
        <v>12721521.119999999</v>
      </c>
      <c r="AE64" s="116" t="e">
        <f>SUMIF(#REF!,$A64,#REF!)</f>
        <v>#REF!</v>
      </c>
      <c r="AF64" s="116" t="e">
        <f>SUMIF(#REF!,$A64,#REF!)</f>
        <v>#REF!</v>
      </c>
      <c r="AG64" s="116" t="e">
        <f>SUMIF(#REF!,$A64,#REF!)</f>
        <v>#REF!</v>
      </c>
      <c r="AH64" s="116" t="e">
        <f>SUMIF(#REF!,$A64,#REF!)</f>
        <v>#REF!</v>
      </c>
      <c r="AI64" s="116" t="e">
        <f>SUMIF(#REF!,$A64,#REF!)</f>
        <v>#REF!</v>
      </c>
      <c r="AJ64" s="116" t="e">
        <f>SUMIF(#REF!,$A64,#REF!)</f>
        <v>#REF!</v>
      </c>
      <c r="AK64" s="116" t="e">
        <f>SUMIF(#REF!,$A64,#REF!)</f>
        <v>#REF!</v>
      </c>
      <c r="AL64" s="116" t="e">
        <f>SUMIF(#REF!,$A64,#REF!)</f>
        <v>#REF!</v>
      </c>
      <c r="AM64" s="116" t="e">
        <f>SUMIF(#REF!,$A64,#REF!)</f>
        <v>#REF!</v>
      </c>
      <c r="AN64" s="116" t="e">
        <f>SUMIF(#REF!,$A64,#REF!)</f>
        <v>#REF!</v>
      </c>
      <c r="AO64" s="116" t="e">
        <f>SUMIF(#REF!,$A64,#REF!)</f>
        <v>#REF!</v>
      </c>
    </row>
    <row r="65" spans="1:42" x14ac:dyDescent="0.25">
      <c r="A65" s="101">
        <v>180005</v>
      </c>
      <c r="B65" t="s">
        <v>64</v>
      </c>
      <c r="C65" s="116" t="e">
        <f t="shared" si="47"/>
        <v>#REF!</v>
      </c>
      <c r="D65" s="116" t="e">
        <f t="shared" si="48"/>
        <v>#REF!</v>
      </c>
      <c r="E65" s="116" t="e">
        <f t="shared" si="49"/>
        <v>#REF!</v>
      </c>
      <c r="F65" s="116" t="e">
        <f t="shared" si="50"/>
        <v>#REF!</v>
      </c>
      <c r="G65" s="116" t="e">
        <f t="shared" si="51"/>
        <v>#REF!</v>
      </c>
      <c r="H65" s="116" t="e">
        <f t="shared" si="52"/>
        <v>#REF!</v>
      </c>
      <c r="I65" s="116" t="e">
        <f t="shared" si="53"/>
        <v>#REF!</v>
      </c>
      <c r="J65" s="116" t="e">
        <f t="shared" si="54"/>
        <v>#REF!</v>
      </c>
      <c r="K65" s="116" t="e">
        <f t="shared" si="55"/>
        <v>#REF!</v>
      </c>
      <c r="L65" s="116" t="e">
        <f t="shared" si="56"/>
        <v>#REF!</v>
      </c>
      <c r="M65" s="116" t="e">
        <f t="shared" si="57"/>
        <v>#REF!</v>
      </c>
      <c r="N65" s="116">
        <f t="shared" si="58"/>
        <v>0</v>
      </c>
      <c r="Q65" s="116" t="e">
        <f>SUMIF(#REF!,$A65,#REF!)</f>
        <v>#REF!</v>
      </c>
      <c r="R65" s="116">
        <f>SUMIF(ALIF_Y2014!$A:$A,$A65,ALIF_Y2014!$F:$F)</f>
        <v>5804758.5659999996</v>
      </c>
      <c r="S65" s="116">
        <f>SUMIF(ALIF_Y2015!$A:$A,$A65,ALIF_Y2015!$F:$F)</f>
        <v>5751580.5860000001</v>
      </c>
      <c r="T65" s="116">
        <f>SUMIF(ALIF_Y2016!$A:$A,$A65,ALIF_Y2016!$F:$F)</f>
        <v>1175699.1090000002</v>
      </c>
      <c r="U65" s="116">
        <f>SUMIF(ALIF_Y2017!$A:$A,$A65,ALIF_Y2017!$F:$F)</f>
        <v>2403224.9559999998</v>
      </c>
      <c r="V65" s="116">
        <f>SUMIF(ALIF_Y2018!$A:$A,$A65,ALIF_Y2018!$F:$F)</f>
        <v>13671938.976</v>
      </c>
      <c r="W65" s="116">
        <f>SUMIF(ALIF_Y2019!$A:$A,$A65,ALIF_Y2019!$F:$F)</f>
        <v>14923756.469000001</v>
      </c>
      <c r="X65" s="116">
        <f>SUMIF(ALIF_Y2020!$A:$A,$A65,ALIF_Y2020!$F:$F)</f>
        <v>13945865.502</v>
      </c>
      <c r="Y65" s="116">
        <f>SUMIF(ALIF_Y2021!$A:$A,$A65,ALIF_Y2021!$F:$F)</f>
        <v>10850303.380999999</v>
      </c>
      <c r="Z65" s="116">
        <f>SUMIF(ALIF_Y2022!$A:$A,$A65,ALIF_Y2022!$F:$F)</f>
        <v>22323654.041999999</v>
      </c>
      <c r="AA65" s="116">
        <f>SUMIF(ALIF_Y2023!$A:$A,$A65,ALIF_Y2023!$F:$F)</f>
        <v>6421066.4900000002</v>
      </c>
      <c r="AE65" s="116" t="e">
        <f>SUMIF(#REF!,$A65,#REF!)</f>
        <v>#REF!</v>
      </c>
      <c r="AF65" s="116" t="e">
        <f>SUMIF(#REF!,$A65,#REF!)</f>
        <v>#REF!</v>
      </c>
      <c r="AG65" s="116" t="e">
        <f>SUMIF(#REF!,$A65,#REF!)</f>
        <v>#REF!</v>
      </c>
      <c r="AH65" s="116" t="e">
        <f>SUMIF(#REF!,$A65,#REF!)</f>
        <v>#REF!</v>
      </c>
      <c r="AI65" s="116" t="e">
        <f>SUMIF(#REF!,$A65,#REF!)</f>
        <v>#REF!</v>
      </c>
      <c r="AJ65" s="116" t="e">
        <f>SUMIF(#REF!,$A65,#REF!)</f>
        <v>#REF!</v>
      </c>
      <c r="AK65" s="116" t="e">
        <f>SUMIF(#REF!,$A65,#REF!)</f>
        <v>#REF!</v>
      </c>
      <c r="AL65" s="116" t="e">
        <f>SUMIF(#REF!,$A65,#REF!)</f>
        <v>#REF!</v>
      </c>
      <c r="AM65" s="116" t="e">
        <f>SUMIF(#REF!,$A65,#REF!)</f>
        <v>#REF!</v>
      </c>
      <c r="AN65" s="116" t="e">
        <f>SUMIF(#REF!,$A65,#REF!)</f>
        <v>#REF!</v>
      </c>
      <c r="AO65" s="116" t="e">
        <f>SUMIF(#REF!,$A65,#REF!)</f>
        <v>#REF!</v>
      </c>
    </row>
    <row r="66" spans="1:42" x14ac:dyDescent="0.25">
      <c r="A66" s="101">
        <v>180006</v>
      </c>
      <c r="B66" t="s">
        <v>65</v>
      </c>
      <c r="C66" s="116" t="e">
        <f t="shared" si="47"/>
        <v>#REF!</v>
      </c>
      <c r="D66" s="116" t="e">
        <f t="shared" si="48"/>
        <v>#REF!</v>
      </c>
      <c r="E66" s="116" t="e">
        <f t="shared" si="49"/>
        <v>#REF!</v>
      </c>
      <c r="F66" s="116" t="e">
        <f t="shared" si="50"/>
        <v>#REF!</v>
      </c>
      <c r="G66" s="116" t="e">
        <f t="shared" si="51"/>
        <v>#REF!</v>
      </c>
      <c r="H66" s="116" t="e">
        <f t="shared" si="52"/>
        <v>#REF!</v>
      </c>
      <c r="I66" s="116" t="e">
        <f t="shared" si="53"/>
        <v>#REF!</v>
      </c>
      <c r="J66" s="116" t="e">
        <f t="shared" si="54"/>
        <v>#REF!</v>
      </c>
      <c r="K66" s="116" t="e">
        <f t="shared" si="55"/>
        <v>#REF!</v>
      </c>
      <c r="L66" s="116" t="e">
        <f t="shared" si="56"/>
        <v>#REF!</v>
      </c>
      <c r="M66" s="116" t="e">
        <f t="shared" si="57"/>
        <v>#REF!</v>
      </c>
      <c r="N66" s="116">
        <f t="shared" si="58"/>
        <v>0</v>
      </c>
      <c r="Q66" s="116" t="e">
        <f>SUMIF(#REF!,$A66,#REF!)</f>
        <v>#REF!</v>
      </c>
      <c r="R66" s="116">
        <f>SUMIF(ALIF_Y2014!$A:$A,$A66,ALIF_Y2014!$F:$F)</f>
        <v>673548.34199999995</v>
      </c>
      <c r="S66" s="116">
        <f>SUMIF(ALIF_Y2015!$A:$A,$A66,ALIF_Y2015!$F:$F)</f>
        <v>1294747.0009999999</v>
      </c>
      <c r="T66" s="116">
        <f>SUMIF(ALIF_Y2016!$A:$A,$A66,ALIF_Y2016!$F:$F)</f>
        <v>1169678.9839999999</v>
      </c>
      <c r="U66" s="116">
        <f>SUMIF(ALIF_Y2017!$A:$A,$A66,ALIF_Y2017!$F:$F)</f>
        <v>425239.42300000001</v>
      </c>
      <c r="V66" s="116">
        <f>SUMIF(ALIF_Y2018!$A:$A,$A66,ALIF_Y2018!$F:$F)</f>
        <v>3405824.1009999998</v>
      </c>
      <c r="W66" s="116">
        <f>SUMIF(ALIF_Y2019!$A:$A,$A66,ALIF_Y2019!$F:$F)</f>
        <v>1669803.713</v>
      </c>
      <c r="X66" s="116">
        <f>SUMIF(ALIF_Y2020!$A:$A,$A66,ALIF_Y2020!$F:$F)</f>
        <v>378972.29800000001</v>
      </c>
      <c r="Y66" s="116">
        <f>SUMIF(ALIF_Y2021!$A:$A,$A66,ALIF_Y2021!$F:$F)</f>
        <v>606028.99699999997</v>
      </c>
      <c r="Z66" s="116">
        <f>SUMIF(ALIF_Y2022!$A:$A,$A66,ALIF_Y2022!$F:$F)</f>
        <v>1300362.7749999999</v>
      </c>
      <c r="AA66" s="116">
        <f>SUMIF(ALIF_Y2023!$A:$A,$A66,ALIF_Y2023!$F:$F)</f>
        <v>485139.35100000002</v>
      </c>
      <c r="AE66" s="116" t="e">
        <f>SUMIF(#REF!,$A66,#REF!)</f>
        <v>#REF!</v>
      </c>
      <c r="AF66" s="116" t="e">
        <f>SUMIF(#REF!,$A66,#REF!)</f>
        <v>#REF!</v>
      </c>
      <c r="AG66" s="116" t="e">
        <f>SUMIF(#REF!,$A66,#REF!)</f>
        <v>#REF!</v>
      </c>
      <c r="AH66" s="116" t="e">
        <f>SUMIF(#REF!,$A66,#REF!)</f>
        <v>#REF!</v>
      </c>
      <c r="AI66" s="116" t="e">
        <f>SUMIF(#REF!,$A66,#REF!)</f>
        <v>#REF!</v>
      </c>
      <c r="AJ66" s="116" t="e">
        <f>SUMIF(#REF!,$A66,#REF!)</f>
        <v>#REF!</v>
      </c>
      <c r="AK66" s="116" t="e">
        <f>SUMIF(#REF!,$A66,#REF!)</f>
        <v>#REF!</v>
      </c>
      <c r="AL66" s="116" t="e">
        <f>SUMIF(#REF!,$A66,#REF!)</f>
        <v>#REF!</v>
      </c>
      <c r="AM66" s="116" t="e">
        <f>SUMIF(#REF!,$A66,#REF!)</f>
        <v>#REF!</v>
      </c>
      <c r="AN66" s="116" t="e">
        <f>SUMIF(#REF!,$A66,#REF!)</f>
        <v>#REF!</v>
      </c>
      <c r="AO66" s="116" t="e">
        <f>SUMIF(#REF!,$A66,#REF!)</f>
        <v>#REF!</v>
      </c>
    </row>
    <row r="67" spans="1:42" x14ac:dyDescent="0.25">
      <c r="A67" s="101">
        <v>180007</v>
      </c>
      <c r="B67" t="s">
        <v>66</v>
      </c>
      <c r="C67" s="116" t="e">
        <f t="shared" si="47"/>
        <v>#REF!</v>
      </c>
      <c r="D67" s="116" t="e">
        <f t="shared" si="48"/>
        <v>#REF!</v>
      </c>
      <c r="E67" s="116" t="e">
        <f t="shared" si="49"/>
        <v>#REF!</v>
      </c>
      <c r="F67" s="116" t="e">
        <f t="shared" si="50"/>
        <v>#REF!</v>
      </c>
      <c r="G67" s="116" t="e">
        <f t="shared" si="51"/>
        <v>#REF!</v>
      </c>
      <c r="H67" s="116" t="e">
        <f t="shared" si="52"/>
        <v>#REF!</v>
      </c>
      <c r="I67" s="116" t="e">
        <f t="shared" si="53"/>
        <v>#REF!</v>
      </c>
      <c r="J67" s="116" t="e">
        <f t="shared" si="54"/>
        <v>#REF!</v>
      </c>
      <c r="K67" s="116" t="e">
        <f t="shared" si="55"/>
        <v>#REF!</v>
      </c>
      <c r="L67" s="116" t="e">
        <f t="shared" si="56"/>
        <v>#REF!</v>
      </c>
      <c r="M67" s="116" t="e">
        <f t="shared" si="57"/>
        <v>#REF!</v>
      </c>
      <c r="N67" s="116">
        <f t="shared" si="58"/>
        <v>0</v>
      </c>
      <c r="Q67" s="116" t="e">
        <f>SUMIF(#REF!,$A67,#REF!)</f>
        <v>#REF!</v>
      </c>
      <c r="R67" s="116">
        <f>SUMIF(ALIF_Y2014!$A:$A,$A67,ALIF_Y2014!$F:$F)</f>
        <v>2013760.004</v>
      </c>
      <c r="S67" s="116">
        <f>SUMIF(ALIF_Y2015!$A:$A,$A67,ALIF_Y2015!$F:$F)</f>
        <v>1532382.561</v>
      </c>
      <c r="T67" s="116">
        <f>SUMIF(ALIF_Y2016!$A:$A,$A67,ALIF_Y2016!$F:$F)</f>
        <v>2977379.26</v>
      </c>
      <c r="U67" s="116">
        <f>SUMIF(ALIF_Y2017!$A:$A,$A67,ALIF_Y2017!$F:$F)</f>
        <v>1090998.24</v>
      </c>
      <c r="V67" s="116">
        <f>SUMIF(ALIF_Y2018!$A:$A,$A67,ALIF_Y2018!$F:$F)</f>
        <v>1973924.3</v>
      </c>
      <c r="W67" s="116">
        <f>SUMIF(ALIF_Y2019!$A:$A,$A67,ALIF_Y2019!$F:$F)</f>
        <v>4219396.8190000001</v>
      </c>
      <c r="X67" s="116">
        <f>SUMIF(ALIF_Y2020!$A:$A,$A67,ALIF_Y2020!$F:$F)</f>
        <v>1119777.0859999999</v>
      </c>
      <c r="Y67" s="116">
        <f>SUMIF(ALIF_Y2021!$A:$A,$A67,ALIF_Y2021!$F:$F)</f>
        <v>2466116.929</v>
      </c>
      <c r="Z67" s="116">
        <f>SUMIF(ALIF_Y2022!$A:$A,$A67,ALIF_Y2022!$F:$F)</f>
        <v>6583839.9369999999</v>
      </c>
      <c r="AA67" s="116">
        <f>SUMIF(ALIF_Y2023!$A:$A,$A67,ALIF_Y2023!$F:$F)</f>
        <v>144366.50099999999</v>
      </c>
      <c r="AE67" s="116" t="e">
        <f>SUMIF(#REF!,$A67,#REF!)</f>
        <v>#REF!</v>
      </c>
      <c r="AF67" s="116" t="e">
        <f>SUMIF(#REF!,$A67,#REF!)</f>
        <v>#REF!</v>
      </c>
      <c r="AG67" s="116" t="e">
        <f>SUMIF(#REF!,$A67,#REF!)</f>
        <v>#REF!</v>
      </c>
      <c r="AH67" s="116" t="e">
        <f>SUMIF(#REF!,$A67,#REF!)</f>
        <v>#REF!</v>
      </c>
      <c r="AI67" s="116" t="e">
        <f>SUMIF(#REF!,$A67,#REF!)</f>
        <v>#REF!</v>
      </c>
      <c r="AJ67" s="116" t="e">
        <f>SUMIF(#REF!,$A67,#REF!)</f>
        <v>#REF!</v>
      </c>
      <c r="AK67" s="116" t="e">
        <f>SUMIF(#REF!,$A67,#REF!)</f>
        <v>#REF!</v>
      </c>
      <c r="AL67" s="116" t="e">
        <f>SUMIF(#REF!,$A67,#REF!)</f>
        <v>#REF!</v>
      </c>
      <c r="AM67" s="116" t="e">
        <f>SUMIF(#REF!,$A67,#REF!)</f>
        <v>#REF!</v>
      </c>
      <c r="AN67" s="116" t="e">
        <f>SUMIF(#REF!,$A67,#REF!)</f>
        <v>#REF!</v>
      </c>
      <c r="AO67" s="116" t="e">
        <f>SUMIF(#REF!,$A67,#REF!)</f>
        <v>#REF!</v>
      </c>
    </row>
    <row r="68" spans="1:42" x14ac:dyDescent="0.25">
      <c r="A68" s="101">
        <v>180008</v>
      </c>
      <c r="B68" t="s">
        <v>67</v>
      </c>
      <c r="C68" s="116" t="e">
        <f t="shared" si="47"/>
        <v>#REF!</v>
      </c>
      <c r="D68" s="116" t="e">
        <f t="shared" si="48"/>
        <v>#REF!</v>
      </c>
      <c r="E68" s="116" t="e">
        <f t="shared" si="49"/>
        <v>#REF!</v>
      </c>
      <c r="F68" s="116" t="e">
        <f t="shared" si="50"/>
        <v>#REF!</v>
      </c>
      <c r="G68" s="116" t="e">
        <f t="shared" si="51"/>
        <v>#REF!</v>
      </c>
      <c r="H68" s="116" t="e">
        <f t="shared" si="52"/>
        <v>#REF!</v>
      </c>
      <c r="I68" s="116" t="e">
        <f t="shared" si="53"/>
        <v>#REF!</v>
      </c>
      <c r="J68" s="116" t="e">
        <f t="shared" si="54"/>
        <v>#REF!</v>
      </c>
      <c r="K68" s="116" t="e">
        <f t="shared" si="55"/>
        <v>#REF!</v>
      </c>
      <c r="L68" s="116" t="e">
        <f t="shared" si="56"/>
        <v>#REF!</v>
      </c>
      <c r="M68" s="116" t="e">
        <f t="shared" si="57"/>
        <v>#REF!</v>
      </c>
      <c r="N68" s="116">
        <f t="shared" si="58"/>
        <v>0</v>
      </c>
      <c r="Q68" s="116" t="e">
        <f>SUMIF(#REF!,$A68,#REF!)</f>
        <v>#REF!</v>
      </c>
      <c r="R68" s="116">
        <f>SUMIF(ALIF_Y2014!$A:$A,$A68,ALIF_Y2014!$F:$F)</f>
        <v>1442056.1510000001</v>
      </c>
      <c r="S68" s="116">
        <f>SUMIF(ALIF_Y2015!$A:$A,$A68,ALIF_Y2015!$F:$F)</f>
        <v>1499877.777</v>
      </c>
      <c r="T68" s="116">
        <f>SUMIF(ALIF_Y2016!$A:$A,$A68,ALIF_Y2016!$F:$F)</f>
        <v>1400127.8160000001</v>
      </c>
      <c r="U68" s="116">
        <f>SUMIF(ALIF_Y2017!$A:$A,$A68,ALIF_Y2017!$F:$F)</f>
        <v>1568037.8160000001</v>
      </c>
      <c r="V68" s="116">
        <f>SUMIF(ALIF_Y2018!$A:$A,$A68,ALIF_Y2018!$F:$F)</f>
        <v>1868994.2479999999</v>
      </c>
      <c r="W68" s="116">
        <f>SUMIF(ALIF_Y2019!$A:$A,$A68,ALIF_Y2019!$F:$F)</f>
        <v>1599925.6640000001</v>
      </c>
      <c r="X68" s="116">
        <f>SUMIF(ALIF_Y2020!$A:$A,$A68,ALIF_Y2020!$F:$F)</f>
        <v>0</v>
      </c>
      <c r="Y68" s="116">
        <f>SUMIF(ALIF_Y2021!$A:$A,$A68,ALIF_Y2021!$F:$F)</f>
        <v>0</v>
      </c>
      <c r="Z68" s="116">
        <f>SUMIF(ALIF_Y2022!$A:$A,$A68,ALIF_Y2022!$F:$F)</f>
        <v>0</v>
      </c>
      <c r="AA68" s="116">
        <f>SUMIF(ALIF_Y2023!$A:$A,$A68,ALIF_Y2023!$F:$F)</f>
        <v>0</v>
      </c>
      <c r="AE68" s="116" t="e">
        <f>SUMIF(#REF!,$A68,#REF!)</f>
        <v>#REF!</v>
      </c>
      <c r="AF68" s="116" t="e">
        <f>SUMIF(#REF!,$A68,#REF!)</f>
        <v>#REF!</v>
      </c>
      <c r="AG68" s="116" t="e">
        <f>SUMIF(#REF!,$A68,#REF!)</f>
        <v>#REF!</v>
      </c>
      <c r="AH68" s="116" t="e">
        <f>SUMIF(#REF!,$A68,#REF!)</f>
        <v>#REF!</v>
      </c>
      <c r="AI68" s="116" t="e">
        <f>SUMIF(#REF!,$A68,#REF!)</f>
        <v>#REF!</v>
      </c>
      <c r="AJ68" s="116" t="e">
        <f>SUMIF(#REF!,$A68,#REF!)</f>
        <v>#REF!</v>
      </c>
      <c r="AK68" s="116" t="e">
        <f>SUMIF(#REF!,$A68,#REF!)</f>
        <v>#REF!</v>
      </c>
      <c r="AL68" s="116" t="e">
        <f>SUMIF(#REF!,$A68,#REF!)</f>
        <v>#REF!</v>
      </c>
      <c r="AM68" s="116" t="e">
        <f>SUMIF(#REF!,$A68,#REF!)</f>
        <v>#REF!</v>
      </c>
      <c r="AN68" s="116" t="e">
        <f>SUMIF(#REF!,$A68,#REF!)</f>
        <v>#REF!</v>
      </c>
      <c r="AO68" s="116" t="e">
        <f>SUMIF(#REF!,$A68,#REF!)</f>
        <v>#REF!</v>
      </c>
    </row>
    <row r="69" spans="1:42" x14ac:dyDescent="0.25">
      <c r="A69" s="101">
        <v>180009</v>
      </c>
      <c r="B69" t="s">
        <v>68</v>
      </c>
      <c r="C69" s="116" t="e">
        <f t="shared" si="47"/>
        <v>#REF!</v>
      </c>
      <c r="D69" s="116" t="e">
        <f t="shared" si="48"/>
        <v>#REF!</v>
      </c>
      <c r="E69" s="116" t="e">
        <f t="shared" si="49"/>
        <v>#REF!</v>
      </c>
      <c r="F69" s="116" t="e">
        <f t="shared" si="50"/>
        <v>#REF!</v>
      </c>
      <c r="G69" s="116" t="e">
        <f t="shared" si="51"/>
        <v>#REF!</v>
      </c>
      <c r="H69" s="116" t="e">
        <f t="shared" si="52"/>
        <v>#REF!</v>
      </c>
      <c r="I69" s="116" t="e">
        <f t="shared" si="53"/>
        <v>#REF!</v>
      </c>
      <c r="J69" s="116" t="e">
        <f t="shared" si="54"/>
        <v>#REF!</v>
      </c>
      <c r="K69" s="116" t="e">
        <f t="shared" si="55"/>
        <v>#REF!</v>
      </c>
      <c r="L69" s="116" t="e">
        <f t="shared" si="56"/>
        <v>#REF!</v>
      </c>
      <c r="M69" s="116" t="e">
        <f t="shared" si="57"/>
        <v>#REF!</v>
      </c>
      <c r="N69" s="116">
        <f t="shared" si="58"/>
        <v>0</v>
      </c>
      <c r="Q69" s="116" t="e">
        <f>SUMIF(#REF!,$A69,#REF!)</f>
        <v>#REF!</v>
      </c>
      <c r="R69" s="116">
        <f>SUMIF(ALIF_Y2014!$A:$A,$A69,ALIF_Y2014!$F:$F)</f>
        <v>1</v>
      </c>
      <c r="S69" s="116">
        <f>SUMIF(ALIF_Y2015!$A:$A,$A69,ALIF_Y2015!$F:$F)</f>
        <v>0</v>
      </c>
      <c r="T69" s="116">
        <f>SUMIF(ALIF_Y2016!$A:$A,$A69,ALIF_Y2016!$F:$F)</f>
        <v>6916688.2850000001</v>
      </c>
      <c r="U69" s="116">
        <f>SUMIF(ALIF_Y2017!$A:$A,$A69,ALIF_Y2017!$F:$F)</f>
        <v>-0.02</v>
      </c>
      <c r="V69" s="116">
        <f>SUMIF(ALIF_Y2018!$A:$A,$A69,ALIF_Y2018!$F:$F)</f>
        <v>-4.0000000000000001E-3</v>
      </c>
      <c r="W69" s="116">
        <f>SUMIF(ALIF_Y2019!$A:$A,$A69,ALIF_Y2019!$F:$F)</f>
        <v>0</v>
      </c>
      <c r="X69" s="116">
        <f>SUMIF(ALIF_Y2020!$A:$A,$A69,ALIF_Y2020!$F:$F)</f>
        <v>0</v>
      </c>
      <c r="Y69" s="116">
        <f>SUMIF(ALIF_Y2021!$A:$A,$A69,ALIF_Y2021!$F:$F)</f>
        <v>0</v>
      </c>
      <c r="Z69" s="116">
        <f>SUMIF(ALIF_Y2022!$A:$A,$A69,ALIF_Y2022!$F:$F)</f>
        <v>0</v>
      </c>
      <c r="AA69" s="116">
        <f>SUMIF(ALIF_Y2023!$A:$A,$A69,ALIF_Y2023!$F:$F)</f>
        <v>0</v>
      </c>
      <c r="AE69" s="116" t="e">
        <f>SUMIF(#REF!,$A69,#REF!)</f>
        <v>#REF!</v>
      </c>
      <c r="AF69" s="116" t="e">
        <f>SUMIF(#REF!,$A69,#REF!)</f>
        <v>#REF!</v>
      </c>
      <c r="AG69" s="116" t="e">
        <f>SUMIF(#REF!,$A69,#REF!)</f>
        <v>#REF!</v>
      </c>
      <c r="AH69" s="116" t="e">
        <f>SUMIF(#REF!,$A69,#REF!)</f>
        <v>#REF!</v>
      </c>
      <c r="AI69" s="116" t="e">
        <f>SUMIF(#REF!,$A69,#REF!)</f>
        <v>#REF!</v>
      </c>
      <c r="AJ69" s="116" t="e">
        <f>SUMIF(#REF!,$A69,#REF!)</f>
        <v>#REF!</v>
      </c>
      <c r="AK69" s="116" t="e">
        <f>SUMIF(#REF!,$A69,#REF!)</f>
        <v>#REF!</v>
      </c>
      <c r="AL69" s="116" t="e">
        <f>SUMIF(#REF!,$A69,#REF!)</f>
        <v>#REF!</v>
      </c>
      <c r="AM69" s="116" t="e">
        <f>SUMIF(#REF!,$A69,#REF!)</f>
        <v>#REF!</v>
      </c>
      <c r="AN69" s="116" t="e">
        <f>SUMIF(#REF!,$A69,#REF!)</f>
        <v>#REF!</v>
      </c>
      <c r="AO69" s="116" t="e">
        <f>SUMIF(#REF!,$A69,#REF!)</f>
        <v>#REF!</v>
      </c>
    </row>
    <row r="70" spans="1:42" x14ac:dyDescent="0.25">
      <c r="A70" s="101">
        <v>180010</v>
      </c>
      <c r="B70" t="s">
        <v>69</v>
      </c>
      <c r="C70" s="116" t="e">
        <f t="shared" si="47"/>
        <v>#REF!</v>
      </c>
      <c r="D70" s="116" t="e">
        <f t="shared" si="48"/>
        <v>#REF!</v>
      </c>
      <c r="E70" s="116" t="e">
        <f t="shared" si="49"/>
        <v>#REF!</v>
      </c>
      <c r="F70" s="116" t="e">
        <f t="shared" si="50"/>
        <v>#REF!</v>
      </c>
      <c r="G70" s="116" t="e">
        <f t="shared" si="51"/>
        <v>#REF!</v>
      </c>
      <c r="H70" s="116" t="e">
        <f t="shared" si="52"/>
        <v>#REF!</v>
      </c>
      <c r="I70" s="116" t="e">
        <f t="shared" si="53"/>
        <v>#REF!</v>
      </c>
      <c r="J70" s="116" t="e">
        <f t="shared" si="54"/>
        <v>#REF!</v>
      </c>
      <c r="K70" s="116" t="e">
        <f t="shared" si="55"/>
        <v>#REF!</v>
      </c>
      <c r="L70" s="116" t="e">
        <f t="shared" si="56"/>
        <v>#REF!</v>
      </c>
      <c r="M70" s="116" t="e">
        <f t="shared" si="57"/>
        <v>#REF!</v>
      </c>
      <c r="N70" s="116">
        <f t="shared" si="58"/>
        <v>0</v>
      </c>
      <c r="Q70" s="116" t="e">
        <f>SUMIF(#REF!,$A70,#REF!)</f>
        <v>#REF!</v>
      </c>
      <c r="R70" s="116">
        <f>SUMIF(ALIF_Y2014!$A:$A,$A70,ALIF_Y2014!$F:$F)</f>
        <v>1212335.835</v>
      </c>
      <c r="S70" s="116">
        <f>SUMIF(ALIF_Y2015!$A:$A,$A70,ALIF_Y2015!$F:$F)</f>
        <v>1327453.811</v>
      </c>
      <c r="T70" s="116">
        <f>SUMIF(ALIF_Y2016!$A:$A,$A70,ALIF_Y2016!$F:$F)</f>
        <v>1398956.7789999999</v>
      </c>
      <c r="U70" s="116">
        <f>SUMIF(ALIF_Y2017!$A:$A,$A70,ALIF_Y2017!$F:$F)</f>
        <v>1731640.504</v>
      </c>
      <c r="V70" s="116">
        <f>SUMIF(ALIF_Y2018!$A:$A,$A70,ALIF_Y2018!$F:$F)</f>
        <v>3284487.0350000001</v>
      </c>
      <c r="W70" s="116">
        <f>SUMIF(ALIF_Y2019!$A:$A,$A70,ALIF_Y2019!$F:$F)</f>
        <v>4243921.3739999998</v>
      </c>
      <c r="X70" s="116">
        <f>SUMIF(ALIF_Y2020!$A:$A,$A70,ALIF_Y2020!$F:$F)</f>
        <v>2923428.2549999999</v>
      </c>
      <c r="Y70" s="116">
        <f>SUMIF(ALIF_Y2021!$A:$A,$A70,ALIF_Y2021!$F:$F)</f>
        <v>3671446.071</v>
      </c>
      <c r="Z70" s="116">
        <f>SUMIF(ALIF_Y2022!$A:$A,$A70,ALIF_Y2022!$F:$F)</f>
        <v>3804138.2889999999</v>
      </c>
      <c r="AA70" s="116">
        <f>SUMIF(ALIF_Y2023!$A:$A,$A70,ALIF_Y2023!$F:$F)</f>
        <v>2205127.1439999999</v>
      </c>
      <c r="AE70" s="116" t="e">
        <f>SUMIF(#REF!,$A70,#REF!)</f>
        <v>#REF!</v>
      </c>
      <c r="AF70" s="116" t="e">
        <f>SUMIF(#REF!,$A70,#REF!)</f>
        <v>#REF!</v>
      </c>
      <c r="AG70" s="116" t="e">
        <f>SUMIF(#REF!,$A70,#REF!)</f>
        <v>#REF!</v>
      </c>
      <c r="AH70" s="116" t="e">
        <f>SUMIF(#REF!,$A70,#REF!)</f>
        <v>#REF!</v>
      </c>
      <c r="AI70" s="116" t="e">
        <f>SUMIF(#REF!,$A70,#REF!)</f>
        <v>#REF!</v>
      </c>
      <c r="AJ70" s="116" t="e">
        <f>SUMIF(#REF!,$A70,#REF!)</f>
        <v>#REF!</v>
      </c>
      <c r="AK70" s="116" t="e">
        <f>SUMIF(#REF!,$A70,#REF!)</f>
        <v>#REF!</v>
      </c>
      <c r="AL70" s="116" t="e">
        <f>SUMIF(#REF!,$A70,#REF!)</f>
        <v>#REF!</v>
      </c>
      <c r="AM70" s="116" t="e">
        <f>SUMIF(#REF!,$A70,#REF!)</f>
        <v>#REF!</v>
      </c>
      <c r="AN70" s="116" t="e">
        <f>SUMIF(#REF!,$A70,#REF!)</f>
        <v>#REF!</v>
      </c>
      <c r="AO70" s="116" t="e">
        <f>SUMIF(#REF!,$A70,#REF!)</f>
        <v>#REF!</v>
      </c>
    </row>
    <row r="71" spans="1:42" x14ac:dyDescent="0.25">
      <c r="A71" s="101">
        <v>180011</v>
      </c>
      <c r="B71" t="s">
        <v>70</v>
      </c>
      <c r="C71" s="116" t="e">
        <f t="shared" si="47"/>
        <v>#REF!</v>
      </c>
      <c r="D71" s="116" t="e">
        <f t="shared" si="48"/>
        <v>#REF!</v>
      </c>
      <c r="E71" s="116" t="e">
        <f t="shared" si="49"/>
        <v>#REF!</v>
      </c>
      <c r="F71" s="116" t="e">
        <f t="shared" si="50"/>
        <v>#REF!</v>
      </c>
      <c r="G71" s="116" t="e">
        <f t="shared" si="51"/>
        <v>#REF!</v>
      </c>
      <c r="H71" s="116" t="e">
        <f t="shared" si="52"/>
        <v>#REF!</v>
      </c>
      <c r="I71" s="116" t="e">
        <f t="shared" si="53"/>
        <v>#REF!</v>
      </c>
      <c r="J71" s="116" t="e">
        <f t="shared" si="54"/>
        <v>#REF!</v>
      </c>
      <c r="K71" s="116" t="e">
        <f t="shared" si="55"/>
        <v>#REF!</v>
      </c>
      <c r="L71" s="116" t="e">
        <f t="shared" si="56"/>
        <v>#REF!</v>
      </c>
      <c r="M71" s="116" t="e">
        <f t="shared" si="57"/>
        <v>#REF!</v>
      </c>
      <c r="N71" s="116">
        <f t="shared" si="58"/>
        <v>0</v>
      </c>
      <c r="Q71" s="116" t="e">
        <f>SUMIF(#REF!,$A71,#REF!)</f>
        <v>#REF!</v>
      </c>
      <c r="R71" s="116">
        <f>SUMIF(ALIF_Y2014!$A:$A,$A71,ALIF_Y2014!$F:$F)</f>
        <v>5822773.6179999998</v>
      </c>
      <c r="S71" s="116">
        <f>SUMIF(ALIF_Y2015!$A:$A,$A71,ALIF_Y2015!$F:$F)</f>
        <v>3798456.87</v>
      </c>
      <c r="T71" s="116">
        <f>SUMIF(ALIF_Y2016!$A:$A,$A71,ALIF_Y2016!$F:$F)</f>
        <v>3693398.7229999998</v>
      </c>
      <c r="U71" s="116">
        <f>SUMIF(ALIF_Y2017!$A:$A,$A71,ALIF_Y2017!$F:$F)</f>
        <v>3759293.67</v>
      </c>
      <c r="V71" s="116">
        <f>SUMIF(ALIF_Y2018!$A:$A,$A71,ALIF_Y2018!$F:$F)</f>
        <v>5990529.9390000002</v>
      </c>
      <c r="W71" s="116">
        <f>SUMIF(ALIF_Y2019!$A:$A,$A71,ALIF_Y2019!$F:$F)</f>
        <v>4916871.9639999997</v>
      </c>
      <c r="X71" s="116">
        <f>SUMIF(ALIF_Y2020!$A:$A,$A71,ALIF_Y2020!$F:$F)</f>
        <v>2860145.8280000002</v>
      </c>
      <c r="Y71" s="116">
        <f>SUMIF(ALIF_Y2021!$A:$A,$A71,ALIF_Y2021!$F:$F)</f>
        <v>4353614.0590000004</v>
      </c>
      <c r="Z71" s="116">
        <f>SUMIF(ALIF_Y2022!$A:$A,$A71,ALIF_Y2022!$F:$F)</f>
        <v>15057738.582</v>
      </c>
      <c r="AA71" s="116">
        <f>SUMIF(ALIF_Y2023!$A:$A,$A71,ALIF_Y2023!$F:$F)</f>
        <v>9655616.7899999991</v>
      </c>
      <c r="AE71" s="116" t="e">
        <f>SUMIF(#REF!,$A71,#REF!)</f>
        <v>#REF!</v>
      </c>
      <c r="AF71" s="116" t="e">
        <f>SUMIF(#REF!,$A71,#REF!)</f>
        <v>#REF!</v>
      </c>
      <c r="AG71" s="116" t="e">
        <f>SUMIF(#REF!,$A71,#REF!)</f>
        <v>#REF!</v>
      </c>
      <c r="AH71" s="116" t="e">
        <f>SUMIF(#REF!,$A71,#REF!)</f>
        <v>#REF!</v>
      </c>
      <c r="AI71" s="116" t="e">
        <f>SUMIF(#REF!,$A71,#REF!)</f>
        <v>#REF!</v>
      </c>
      <c r="AJ71" s="116" t="e">
        <f>SUMIF(#REF!,$A71,#REF!)</f>
        <v>#REF!</v>
      </c>
      <c r="AK71" s="116" t="e">
        <f>SUMIF(#REF!,$A71,#REF!)</f>
        <v>#REF!</v>
      </c>
      <c r="AL71" s="116" t="e">
        <f>SUMIF(#REF!,$A71,#REF!)</f>
        <v>#REF!</v>
      </c>
      <c r="AM71" s="116" t="e">
        <f>SUMIF(#REF!,$A71,#REF!)</f>
        <v>#REF!</v>
      </c>
      <c r="AN71" s="116" t="e">
        <f>SUMIF(#REF!,$A71,#REF!)</f>
        <v>#REF!</v>
      </c>
      <c r="AO71" s="116" t="e">
        <f>SUMIF(#REF!,$A71,#REF!)</f>
        <v>#REF!</v>
      </c>
    </row>
    <row r="72" spans="1:42" x14ac:dyDescent="0.25">
      <c r="A72" s="101">
        <v>180012</v>
      </c>
      <c r="B72" t="s">
        <v>71</v>
      </c>
      <c r="C72" s="116" t="e">
        <f t="shared" si="47"/>
        <v>#REF!</v>
      </c>
      <c r="D72" s="116" t="e">
        <f t="shared" si="48"/>
        <v>#REF!</v>
      </c>
      <c r="E72" s="116" t="e">
        <f t="shared" si="49"/>
        <v>#REF!</v>
      </c>
      <c r="F72" s="116" t="e">
        <f t="shared" si="50"/>
        <v>#REF!</v>
      </c>
      <c r="G72" s="116" t="e">
        <f t="shared" si="51"/>
        <v>#REF!</v>
      </c>
      <c r="H72" s="116" t="e">
        <f t="shared" si="52"/>
        <v>#REF!</v>
      </c>
      <c r="I72" s="116" t="e">
        <f t="shared" si="53"/>
        <v>#REF!</v>
      </c>
      <c r="J72" s="116" t="e">
        <f t="shared" si="54"/>
        <v>#REF!</v>
      </c>
      <c r="K72" s="116" t="e">
        <f t="shared" si="55"/>
        <v>#REF!</v>
      </c>
      <c r="L72" s="116" t="e">
        <f t="shared" si="56"/>
        <v>#REF!</v>
      </c>
      <c r="M72" s="116" t="e">
        <f t="shared" si="57"/>
        <v>#REF!</v>
      </c>
      <c r="N72" s="116">
        <f t="shared" si="58"/>
        <v>0</v>
      </c>
      <c r="Q72" s="116" t="e">
        <f>SUMIF(#REF!,$A72,#REF!)</f>
        <v>#REF!</v>
      </c>
      <c r="R72" s="116">
        <f>SUMIF(ALIF_Y2014!$A:$A,$A72,ALIF_Y2014!$F:$F)</f>
        <v>3491023.5520000001</v>
      </c>
      <c r="S72" s="116">
        <f>SUMIF(ALIF_Y2015!$A:$A,$A72,ALIF_Y2015!$F:$F)</f>
        <v>2714441.9569999999</v>
      </c>
      <c r="T72" s="116">
        <f>SUMIF(ALIF_Y2016!$A:$A,$A72,ALIF_Y2016!$F:$F)</f>
        <v>2233950.0639999998</v>
      </c>
      <c r="U72" s="116">
        <f>SUMIF(ALIF_Y2017!$A:$A,$A72,ALIF_Y2017!$F:$F)</f>
        <v>1969194.7039999999</v>
      </c>
      <c r="V72" s="116">
        <f>SUMIF(ALIF_Y2018!$A:$A,$A72,ALIF_Y2018!$F:$F)</f>
        <v>4155373.4410000001</v>
      </c>
      <c r="W72" s="116">
        <f>SUMIF(ALIF_Y2019!$A:$A,$A72,ALIF_Y2019!$F:$F)</f>
        <v>6324009.8049999997</v>
      </c>
      <c r="X72" s="116">
        <f>SUMIF(ALIF_Y2020!$A:$A,$A72,ALIF_Y2020!$F:$F)</f>
        <v>3169104.6669999999</v>
      </c>
      <c r="Y72" s="116">
        <f>SUMIF(ALIF_Y2021!$A:$A,$A72,ALIF_Y2021!$F:$F)</f>
        <v>3568332.1370000001</v>
      </c>
      <c r="Z72" s="116">
        <f>SUMIF(ALIF_Y2022!$A:$A,$A72,ALIF_Y2022!$F:$F)</f>
        <v>5027391.8600000003</v>
      </c>
      <c r="AA72" s="116">
        <f>SUMIF(ALIF_Y2023!$A:$A,$A72,ALIF_Y2023!$F:$F)</f>
        <v>1499189.071</v>
      </c>
      <c r="AE72" s="116" t="e">
        <f>SUMIF(#REF!,$A72,#REF!)</f>
        <v>#REF!</v>
      </c>
      <c r="AF72" s="116" t="e">
        <f>SUMIF(#REF!,$A72,#REF!)</f>
        <v>#REF!</v>
      </c>
      <c r="AG72" s="116" t="e">
        <f>SUMIF(#REF!,$A72,#REF!)</f>
        <v>#REF!</v>
      </c>
      <c r="AH72" s="116" t="e">
        <f>SUMIF(#REF!,$A72,#REF!)</f>
        <v>#REF!</v>
      </c>
      <c r="AI72" s="116" t="e">
        <f>SUMIF(#REF!,$A72,#REF!)</f>
        <v>#REF!</v>
      </c>
      <c r="AJ72" s="116" t="e">
        <f>SUMIF(#REF!,$A72,#REF!)</f>
        <v>#REF!</v>
      </c>
      <c r="AK72" s="116" t="e">
        <f>SUMIF(#REF!,$A72,#REF!)</f>
        <v>#REF!</v>
      </c>
      <c r="AL72" s="116" t="e">
        <f>SUMIF(#REF!,$A72,#REF!)</f>
        <v>#REF!</v>
      </c>
      <c r="AM72" s="116" t="e">
        <f>SUMIF(#REF!,$A72,#REF!)</f>
        <v>#REF!</v>
      </c>
      <c r="AN72" s="116" t="e">
        <f>SUMIF(#REF!,$A72,#REF!)</f>
        <v>#REF!</v>
      </c>
      <c r="AO72" s="116" t="e">
        <f>SUMIF(#REF!,$A72,#REF!)</f>
        <v>#REF!</v>
      </c>
    </row>
    <row r="73" spans="1:42" x14ac:dyDescent="0.25">
      <c r="A73" s="101">
        <v>180013</v>
      </c>
      <c r="B73" t="s">
        <v>72</v>
      </c>
      <c r="C73" s="116" t="e">
        <f t="shared" si="47"/>
        <v>#REF!</v>
      </c>
      <c r="D73" s="116" t="e">
        <f t="shared" si="48"/>
        <v>#REF!</v>
      </c>
      <c r="E73" s="116" t="e">
        <f t="shared" si="49"/>
        <v>#REF!</v>
      </c>
      <c r="F73" s="116" t="e">
        <f t="shared" si="50"/>
        <v>#REF!</v>
      </c>
      <c r="G73" s="116" t="e">
        <f t="shared" si="51"/>
        <v>#REF!</v>
      </c>
      <c r="H73" s="116" t="e">
        <f t="shared" si="52"/>
        <v>#REF!</v>
      </c>
      <c r="I73" s="116" t="e">
        <f t="shared" si="53"/>
        <v>#REF!</v>
      </c>
      <c r="J73" s="116" t="e">
        <f t="shared" si="54"/>
        <v>#REF!</v>
      </c>
      <c r="K73" s="116" t="e">
        <f t="shared" si="55"/>
        <v>#REF!</v>
      </c>
      <c r="L73" s="116" t="e">
        <f t="shared" si="56"/>
        <v>#REF!</v>
      </c>
      <c r="M73" s="116" t="e">
        <f t="shared" si="57"/>
        <v>#REF!</v>
      </c>
      <c r="N73" s="116">
        <f t="shared" si="58"/>
        <v>0</v>
      </c>
      <c r="Q73" s="116" t="e">
        <f>SUMIF(#REF!,$A73,#REF!)</f>
        <v>#REF!</v>
      </c>
      <c r="R73" s="116">
        <f>SUMIF(ALIF_Y2014!$A:$A,$A73,ALIF_Y2014!$F:$F)</f>
        <v>5752152.5599999996</v>
      </c>
      <c r="S73" s="116">
        <f>SUMIF(ALIF_Y2015!$A:$A,$A73,ALIF_Y2015!$F:$F)</f>
        <v>5304869.8890000004</v>
      </c>
      <c r="T73" s="116">
        <f>SUMIF(ALIF_Y2016!$A:$A,$A73,ALIF_Y2016!$F:$F)</f>
        <v>6125291.1440000003</v>
      </c>
      <c r="U73" s="116">
        <f>SUMIF(ALIF_Y2017!$A:$A,$A73,ALIF_Y2017!$F:$F)</f>
        <v>4435009.0870000003</v>
      </c>
      <c r="V73" s="116">
        <f>SUMIF(ALIF_Y2018!$A:$A,$A73,ALIF_Y2018!$F:$F)</f>
        <v>8323970.4850000003</v>
      </c>
      <c r="W73" s="116">
        <f>SUMIF(ALIF_Y2019!$A:$A,$A73,ALIF_Y2019!$F:$F)</f>
        <v>6599030.142</v>
      </c>
      <c r="X73" s="116">
        <f>SUMIF(ALIF_Y2020!$A:$A,$A73,ALIF_Y2020!$F:$F)</f>
        <v>6716635.6349999998</v>
      </c>
      <c r="Y73" s="116">
        <f>SUMIF(ALIF_Y2021!$A:$A,$A73,ALIF_Y2021!$F:$F)</f>
        <v>5032954.7170000002</v>
      </c>
      <c r="Z73" s="116">
        <f>SUMIF(ALIF_Y2022!$A:$A,$A73,ALIF_Y2022!$F:$F)</f>
        <v>5656636.4230000004</v>
      </c>
      <c r="AA73" s="116">
        <f>SUMIF(ALIF_Y2023!$A:$A,$A73,ALIF_Y2023!$F:$F)</f>
        <v>4851116.2259999998</v>
      </c>
      <c r="AE73" s="116" t="e">
        <f>SUMIF(#REF!,$A73,#REF!)</f>
        <v>#REF!</v>
      </c>
      <c r="AF73" s="116" t="e">
        <f>SUMIF(#REF!,$A73,#REF!)</f>
        <v>#REF!</v>
      </c>
      <c r="AG73" s="116" t="e">
        <f>SUMIF(#REF!,$A73,#REF!)</f>
        <v>#REF!</v>
      </c>
      <c r="AH73" s="116" t="e">
        <f>SUMIF(#REF!,$A73,#REF!)</f>
        <v>#REF!</v>
      </c>
      <c r="AI73" s="116" t="e">
        <f>SUMIF(#REF!,$A73,#REF!)</f>
        <v>#REF!</v>
      </c>
      <c r="AJ73" s="116" t="e">
        <f>SUMIF(#REF!,$A73,#REF!)</f>
        <v>#REF!</v>
      </c>
      <c r="AK73" s="116" t="e">
        <f>SUMIF(#REF!,$A73,#REF!)</f>
        <v>#REF!</v>
      </c>
      <c r="AL73" s="116" t="e">
        <f>SUMIF(#REF!,$A73,#REF!)</f>
        <v>#REF!</v>
      </c>
      <c r="AM73" s="116" t="e">
        <f>SUMIF(#REF!,$A73,#REF!)</f>
        <v>#REF!</v>
      </c>
      <c r="AN73" s="116" t="e">
        <f>SUMIF(#REF!,$A73,#REF!)</f>
        <v>#REF!</v>
      </c>
      <c r="AO73" s="116" t="e">
        <f>SUMIF(#REF!,$A73,#REF!)</f>
        <v>#REF!</v>
      </c>
    </row>
    <row r="74" spans="1:42" x14ac:dyDescent="0.25">
      <c r="A74" s="101">
        <v>180014</v>
      </c>
      <c r="B74" t="s">
        <v>73</v>
      </c>
      <c r="C74" s="116" t="e">
        <f t="shared" si="47"/>
        <v>#REF!</v>
      </c>
      <c r="D74" s="116" t="e">
        <f t="shared" si="48"/>
        <v>#REF!</v>
      </c>
      <c r="E74" s="116" t="e">
        <f t="shared" si="49"/>
        <v>#REF!</v>
      </c>
      <c r="F74" s="116" t="e">
        <f t="shared" si="50"/>
        <v>#REF!</v>
      </c>
      <c r="G74" s="116" t="e">
        <f t="shared" si="51"/>
        <v>#REF!</v>
      </c>
      <c r="H74" s="116" t="e">
        <f t="shared" si="52"/>
        <v>#REF!</v>
      </c>
      <c r="I74" s="116" t="e">
        <f t="shared" si="53"/>
        <v>#REF!</v>
      </c>
      <c r="J74" s="116" t="e">
        <f t="shared" si="54"/>
        <v>#REF!</v>
      </c>
      <c r="K74" s="116" t="e">
        <f t="shared" si="55"/>
        <v>#REF!</v>
      </c>
      <c r="L74" s="116" t="e">
        <f t="shared" si="56"/>
        <v>#REF!</v>
      </c>
      <c r="M74" s="116" t="e">
        <f t="shared" si="57"/>
        <v>#REF!</v>
      </c>
      <c r="N74" s="116">
        <f t="shared" si="58"/>
        <v>0</v>
      </c>
      <c r="Q74" s="116" t="e">
        <f>SUMIF(#REF!,$A74,#REF!)</f>
        <v>#REF!</v>
      </c>
      <c r="R74" s="116">
        <f>SUMIF(ALIF_Y2014!$A:$A,$A74,ALIF_Y2014!$F:$F)</f>
        <v>0</v>
      </c>
      <c r="S74" s="116">
        <f>SUMIF(ALIF_Y2015!$A:$A,$A74,ALIF_Y2015!$F:$F)</f>
        <v>0</v>
      </c>
      <c r="T74" s="116">
        <f>SUMIF(ALIF_Y2016!$A:$A,$A74,ALIF_Y2016!$F:$F)</f>
        <v>-79231.839999999997</v>
      </c>
      <c r="U74" s="116">
        <f>SUMIF(ALIF_Y2017!$A:$A,$A74,ALIF_Y2017!$F:$F)</f>
        <v>759475.83</v>
      </c>
      <c r="V74" s="116">
        <f>SUMIF(ALIF_Y2018!$A:$A,$A74,ALIF_Y2018!$F:$F)</f>
        <v>0</v>
      </c>
      <c r="W74" s="116">
        <f>SUMIF(ALIF_Y2019!$A:$A,$A74,ALIF_Y2019!$F:$F)</f>
        <v>0</v>
      </c>
      <c r="X74" s="116">
        <f>SUMIF(ALIF_Y2020!$A:$A,$A74,ALIF_Y2020!$F:$F)</f>
        <v>0</v>
      </c>
      <c r="Y74" s="116">
        <f>SUMIF(ALIF_Y2021!$A:$A,$A74,ALIF_Y2021!$F:$F)</f>
        <v>0</v>
      </c>
      <c r="Z74" s="116">
        <f>SUMIF(ALIF_Y2022!$A:$A,$A74,ALIF_Y2022!$F:$F)</f>
        <v>-0.01</v>
      </c>
      <c r="AA74" s="116">
        <f>SUMIF(ALIF_Y2023!$A:$A,$A74,ALIF_Y2023!$F:$F)</f>
        <v>0</v>
      </c>
      <c r="AE74" s="116" t="e">
        <f>SUMIF(#REF!,$A74,#REF!)</f>
        <v>#REF!</v>
      </c>
      <c r="AF74" s="116" t="e">
        <f>SUMIF(#REF!,$A74,#REF!)</f>
        <v>#REF!</v>
      </c>
      <c r="AG74" s="116" t="e">
        <f>SUMIF(#REF!,$A74,#REF!)</f>
        <v>#REF!</v>
      </c>
      <c r="AH74" s="116" t="e">
        <f>SUMIF(#REF!,$A74,#REF!)</f>
        <v>#REF!</v>
      </c>
      <c r="AI74" s="116" t="e">
        <f>SUMIF(#REF!,$A74,#REF!)</f>
        <v>#REF!</v>
      </c>
      <c r="AJ74" s="116" t="e">
        <f>SUMIF(#REF!,$A74,#REF!)</f>
        <v>#REF!</v>
      </c>
      <c r="AK74" s="116" t="e">
        <f>SUMIF(#REF!,$A74,#REF!)</f>
        <v>#REF!</v>
      </c>
      <c r="AL74" s="116" t="e">
        <f>SUMIF(#REF!,$A74,#REF!)</f>
        <v>#REF!</v>
      </c>
      <c r="AM74" s="116" t="e">
        <f>SUMIF(#REF!,$A74,#REF!)</f>
        <v>#REF!</v>
      </c>
      <c r="AN74" s="116" t="e">
        <f>SUMIF(#REF!,$A74,#REF!)</f>
        <v>#REF!</v>
      </c>
      <c r="AO74" s="116" t="e">
        <f>SUMIF(#REF!,$A74,#REF!)</f>
        <v>#REF!</v>
      </c>
    </row>
    <row r="75" spans="1:42" x14ac:dyDescent="0.25">
      <c r="A75" s="101">
        <v>180096</v>
      </c>
      <c r="B75" t="s">
        <v>74</v>
      </c>
      <c r="C75" s="116" t="e">
        <f t="shared" si="47"/>
        <v>#REF!</v>
      </c>
      <c r="D75" s="116" t="e">
        <f t="shared" si="48"/>
        <v>#REF!</v>
      </c>
      <c r="E75" s="116" t="e">
        <f t="shared" si="49"/>
        <v>#REF!</v>
      </c>
      <c r="F75" s="116" t="e">
        <f t="shared" si="50"/>
        <v>#REF!</v>
      </c>
      <c r="G75" s="116" t="e">
        <f t="shared" si="51"/>
        <v>#REF!</v>
      </c>
      <c r="H75" s="116" t="e">
        <f t="shared" si="52"/>
        <v>#REF!</v>
      </c>
      <c r="I75" s="116" t="e">
        <f t="shared" si="53"/>
        <v>#REF!</v>
      </c>
      <c r="J75" s="116" t="e">
        <f t="shared" si="54"/>
        <v>#REF!</v>
      </c>
      <c r="K75" s="116" t="e">
        <f t="shared" si="55"/>
        <v>#REF!</v>
      </c>
      <c r="L75" s="116" t="e">
        <f t="shared" si="56"/>
        <v>#REF!</v>
      </c>
      <c r="M75" s="116" t="e">
        <f t="shared" si="57"/>
        <v>#REF!</v>
      </c>
      <c r="N75" s="116">
        <f t="shared" si="58"/>
        <v>0</v>
      </c>
      <c r="Q75" s="116" t="e">
        <f>SUMIF(#REF!,$A75,#REF!)</f>
        <v>#REF!</v>
      </c>
      <c r="R75" s="116">
        <f>SUMIF(ALIF_Y2014!$A:$A,$A75,ALIF_Y2014!$F:$F)</f>
        <v>0</v>
      </c>
      <c r="S75" s="116">
        <f>SUMIF(ALIF_Y2015!$A:$A,$A75,ALIF_Y2015!$F:$F)</f>
        <v>0</v>
      </c>
      <c r="T75" s="116">
        <f>SUMIF(ALIF_Y2016!$A:$A,$A75,ALIF_Y2016!$F:$F)</f>
        <v>166734.068</v>
      </c>
      <c r="U75" s="116">
        <f>SUMIF(ALIF_Y2017!$A:$A,$A75,ALIF_Y2017!$F:$F)</f>
        <v>177283.36499999999</v>
      </c>
      <c r="V75" s="116">
        <f>SUMIF(ALIF_Y2018!$A:$A,$A75,ALIF_Y2018!$F:$F)</f>
        <v>-2E-3</v>
      </c>
      <c r="W75" s="116">
        <f>SUMIF(ALIF_Y2019!$A:$A,$A75,ALIF_Y2019!$F:$F)</f>
        <v>0</v>
      </c>
      <c r="X75" s="116">
        <f>SUMIF(ALIF_Y2020!$A:$A,$A75,ALIF_Y2020!$F:$F)</f>
        <v>0</v>
      </c>
      <c r="Y75" s="116">
        <f>SUMIF(ALIF_Y2021!$A:$A,$A75,ALIF_Y2021!$F:$F)</f>
        <v>0</v>
      </c>
      <c r="Z75" s="116">
        <f>SUMIF(ALIF_Y2022!$A:$A,$A75,ALIF_Y2022!$F:$F)</f>
        <v>0</v>
      </c>
      <c r="AA75" s="116">
        <f>SUMIF(ALIF_Y2023!$A:$A,$A75,ALIF_Y2023!$F:$F)</f>
        <v>0</v>
      </c>
      <c r="AE75" s="116" t="e">
        <f>SUMIF(#REF!,$A75,#REF!)</f>
        <v>#REF!</v>
      </c>
      <c r="AF75" s="116" t="e">
        <f>SUMIF(#REF!,$A75,#REF!)</f>
        <v>#REF!</v>
      </c>
      <c r="AG75" s="116" t="e">
        <f>SUMIF(#REF!,$A75,#REF!)</f>
        <v>#REF!</v>
      </c>
      <c r="AH75" s="116" t="e">
        <f>SUMIF(#REF!,$A75,#REF!)</f>
        <v>#REF!</v>
      </c>
      <c r="AI75" s="116" t="e">
        <f>SUMIF(#REF!,$A75,#REF!)</f>
        <v>#REF!</v>
      </c>
      <c r="AJ75" s="116" t="e">
        <f>SUMIF(#REF!,$A75,#REF!)</f>
        <v>#REF!</v>
      </c>
      <c r="AK75" s="116" t="e">
        <f>SUMIF(#REF!,$A75,#REF!)</f>
        <v>#REF!</v>
      </c>
      <c r="AL75" s="116" t="e">
        <f>SUMIF(#REF!,$A75,#REF!)</f>
        <v>#REF!</v>
      </c>
      <c r="AM75" s="116" t="e">
        <f>SUMIF(#REF!,$A75,#REF!)</f>
        <v>#REF!</v>
      </c>
      <c r="AN75" s="116" t="e">
        <f>SUMIF(#REF!,$A75,#REF!)</f>
        <v>#REF!</v>
      </c>
      <c r="AO75" s="116" t="e">
        <f>SUMIF(#REF!,$A75,#REF!)</f>
        <v>#REF!</v>
      </c>
    </row>
    <row r="76" spans="1:42" x14ac:dyDescent="0.25">
      <c r="A76" s="101">
        <v>180097</v>
      </c>
      <c r="B76" t="s">
        <v>75</v>
      </c>
      <c r="C76" s="116" t="e">
        <f t="shared" si="47"/>
        <v>#REF!</v>
      </c>
      <c r="D76" s="116" t="e">
        <f t="shared" si="48"/>
        <v>#REF!</v>
      </c>
      <c r="E76" s="116" t="e">
        <f t="shared" si="49"/>
        <v>#REF!</v>
      </c>
      <c r="F76" s="116" t="e">
        <f t="shared" si="50"/>
        <v>#REF!</v>
      </c>
      <c r="G76" s="116" t="e">
        <f t="shared" si="51"/>
        <v>#REF!</v>
      </c>
      <c r="H76" s="116" t="e">
        <f t="shared" si="52"/>
        <v>#REF!</v>
      </c>
      <c r="I76" s="116" t="e">
        <f t="shared" si="53"/>
        <v>#REF!</v>
      </c>
      <c r="J76" s="116" t="e">
        <f t="shared" si="54"/>
        <v>#REF!</v>
      </c>
      <c r="K76" s="116" t="e">
        <f t="shared" si="55"/>
        <v>#REF!</v>
      </c>
      <c r="L76" s="116" t="e">
        <f t="shared" si="56"/>
        <v>#REF!</v>
      </c>
      <c r="M76" s="116" t="e">
        <f t="shared" si="57"/>
        <v>#REF!</v>
      </c>
      <c r="N76" s="116">
        <f t="shared" si="58"/>
        <v>0</v>
      </c>
      <c r="Q76" s="116" t="e">
        <f>SUMIF(#REF!,$A76,#REF!)</f>
        <v>#REF!</v>
      </c>
      <c r="R76" s="116">
        <f>SUMIF(ALIF_Y2014!$A:$A,$A76,ALIF_Y2014!$F:$F)</f>
        <v>0</v>
      </c>
      <c r="S76" s="116">
        <f>SUMIF(ALIF_Y2015!$A:$A,$A76,ALIF_Y2015!$F:$F)</f>
        <v>0</v>
      </c>
      <c r="T76" s="116">
        <f>SUMIF(ALIF_Y2016!$A:$A,$A76,ALIF_Y2016!$F:$F)</f>
        <v>0</v>
      </c>
      <c r="U76" s="116">
        <f>SUMIF(ALIF_Y2017!$A:$A,$A76,ALIF_Y2017!$F:$F)</f>
        <v>0</v>
      </c>
      <c r="V76" s="116">
        <f>SUMIF(ALIF_Y2018!$A:$A,$A76,ALIF_Y2018!$F:$F)</f>
        <v>0</v>
      </c>
      <c r="W76" s="116">
        <f>SUMIF(ALIF_Y2019!$A:$A,$A76,ALIF_Y2019!$F:$F)</f>
        <v>0</v>
      </c>
      <c r="X76" s="116">
        <f>SUMIF(ALIF_Y2020!$A:$A,$A76,ALIF_Y2020!$F:$F)</f>
        <v>0</v>
      </c>
      <c r="Y76" s="116">
        <f>SUMIF(ALIF_Y2021!$A:$A,$A76,ALIF_Y2021!$F:$F)</f>
        <v>0</v>
      </c>
      <c r="Z76" s="116">
        <f>SUMIF(ALIF_Y2022!$A:$A,$A76,ALIF_Y2022!$F:$F)</f>
        <v>0</v>
      </c>
      <c r="AA76" s="116">
        <f>SUMIF(ALIF_Y2023!$A:$A,$A76,ALIF_Y2023!$F:$F)</f>
        <v>0</v>
      </c>
      <c r="AE76" s="116" t="e">
        <f>SUMIF(#REF!,$A76,#REF!)</f>
        <v>#REF!</v>
      </c>
      <c r="AF76" s="116" t="e">
        <f>SUMIF(#REF!,$A76,#REF!)</f>
        <v>#REF!</v>
      </c>
      <c r="AG76" s="116" t="e">
        <f>SUMIF(#REF!,$A76,#REF!)</f>
        <v>#REF!</v>
      </c>
      <c r="AH76" s="116" t="e">
        <f>SUMIF(#REF!,$A76,#REF!)</f>
        <v>#REF!</v>
      </c>
      <c r="AI76" s="116" t="e">
        <f>SUMIF(#REF!,$A76,#REF!)</f>
        <v>#REF!</v>
      </c>
      <c r="AJ76" s="116" t="e">
        <f>SUMIF(#REF!,$A76,#REF!)</f>
        <v>#REF!</v>
      </c>
      <c r="AK76" s="116" t="e">
        <f>SUMIF(#REF!,$A76,#REF!)</f>
        <v>#REF!</v>
      </c>
      <c r="AL76" s="116" t="e">
        <f>SUMIF(#REF!,$A76,#REF!)</f>
        <v>#REF!</v>
      </c>
      <c r="AM76" s="116" t="e">
        <f>SUMIF(#REF!,$A76,#REF!)</f>
        <v>#REF!</v>
      </c>
      <c r="AN76" s="116" t="e">
        <f>SUMIF(#REF!,$A76,#REF!)</f>
        <v>#REF!</v>
      </c>
      <c r="AO76" s="116" t="e">
        <f>SUMIF(#REF!,$A76,#REF!)</f>
        <v>#REF!</v>
      </c>
    </row>
    <row r="77" spans="1:42" x14ac:dyDescent="0.25">
      <c r="A77" s="101">
        <v>180098</v>
      </c>
      <c r="B77" t="s">
        <v>76</v>
      </c>
      <c r="C77" s="116" t="e">
        <f t="shared" si="47"/>
        <v>#REF!</v>
      </c>
      <c r="D77" s="116" t="e">
        <f t="shared" si="48"/>
        <v>#REF!</v>
      </c>
      <c r="E77" s="116" t="e">
        <f t="shared" si="49"/>
        <v>#REF!</v>
      </c>
      <c r="F77" s="116" t="e">
        <f t="shared" si="50"/>
        <v>#REF!</v>
      </c>
      <c r="G77" s="116" t="e">
        <f t="shared" si="51"/>
        <v>#REF!</v>
      </c>
      <c r="H77" s="116" t="e">
        <f t="shared" si="52"/>
        <v>#REF!</v>
      </c>
      <c r="I77" s="116" t="e">
        <f t="shared" si="53"/>
        <v>#REF!</v>
      </c>
      <c r="J77" s="116" t="e">
        <f t="shared" si="54"/>
        <v>#REF!</v>
      </c>
      <c r="K77" s="116" t="e">
        <f t="shared" si="55"/>
        <v>#REF!</v>
      </c>
      <c r="L77" s="116" t="e">
        <f t="shared" si="56"/>
        <v>#REF!</v>
      </c>
      <c r="M77" s="116" t="e">
        <f t="shared" si="57"/>
        <v>#REF!</v>
      </c>
      <c r="N77" s="116">
        <f t="shared" si="58"/>
        <v>0</v>
      </c>
      <c r="Q77" s="116" t="e">
        <f>SUMIF(#REF!,$A77,#REF!)</f>
        <v>#REF!</v>
      </c>
      <c r="R77" s="116">
        <f>SUMIF(ALIF_Y2014!$A:$A,$A77,ALIF_Y2014!$F:$F)</f>
        <v>0</v>
      </c>
      <c r="S77" s="116">
        <f>SUMIF(ALIF_Y2015!$A:$A,$A77,ALIF_Y2015!$F:$F)</f>
        <v>0</v>
      </c>
      <c r="T77" s="116">
        <f>SUMIF(ALIF_Y2016!$A:$A,$A77,ALIF_Y2016!$F:$F)</f>
        <v>0</v>
      </c>
      <c r="U77" s="116">
        <f>SUMIF(ALIF_Y2017!$A:$A,$A77,ALIF_Y2017!$F:$F)</f>
        <v>0</v>
      </c>
      <c r="V77" s="116">
        <f>SUMIF(ALIF_Y2018!$A:$A,$A77,ALIF_Y2018!$F:$F)</f>
        <v>0</v>
      </c>
      <c r="W77" s="116">
        <f>SUMIF(ALIF_Y2019!$A:$A,$A77,ALIF_Y2019!$F:$F)</f>
        <v>-5.0000000000000001E-3</v>
      </c>
      <c r="X77" s="116">
        <f>SUMIF(ALIF_Y2020!$A:$A,$A77,ALIF_Y2020!$F:$F)</f>
        <v>0</v>
      </c>
      <c r="Y77" s="116">
        <f>SUMIF(ALIF_Y2021!$A:$A,$A77,ALIF_Y2021!$F:$F)</f>
        <v>0</v>
      </c>
      <c r="Z77" s="116">
        <f>SUMIF(ALIF_Y2022!$A:$A,$A77,ALIF_Y2022!$F:$F)</f>
        <v>1E-3</v>
      </c>
      <c r="AA77" s="116">
        <f>SUMIF(ALIF_Y2023!$A:$A,$A77,ALIF_Y2023!$F:$F)</f>
        <v>1E-3</v>
      </c>
      <c r="AE77" s="116" t="e">
        <f>SUMIF(#REF!,$A77,#REF!)</f>
        <v>#REF!</v>
      </c>
      <c r="AF77" s="116" t="e">
        <f>SUMIF(#REF!,$A77,#REF!)</f>
        <v>#REF!</v>
      </c>
      <c r="AG77" s="116" t="e">
        <f>SUMIF(#REF!,$A77,#REF!)</f>
        <v>#REF!</v>
      </c>
      <c r="AH77" s="116" t="e">
        <f>SUMIF(#REF!,$A77,#REF!)</f>
        <v>#REF!</v>
      </c>
      <c r="AI77" s="116" t="e">
        <f>SUMIF(#REF!,$A77,#REF!)</f>
        <v>#REF!</v>
      </c>
      <c r="AJ77" s="116" t="e">
        <f>SUMIF(#REF!,$A77,#REF!)</f>
        <v>#REF!</v>
      </c>
      <c r="AK77" s="116" t="e">
        <f>SUMIF(#REF!,$A77,#REF!)</f>
        <v>#REF!</v>
      </c>
      <c r="AL77" s="116" t="e">
        <f>SUMIF(#REF!,$A77,#REF!)</f>
        <v>#REF!</v>
      </c>
      <c r="AM77" s="116" t="e">
        <f>SUMIF(#REF!,$A77,#REF!)</f>
        <v>#REF!</v>
      </c>
      <c r="AN77" s="116" t="e">
        <f>SUMIF(#REF!,$A77,#REF!)</f>
        <v>#REF!</v>
      </c>
      <c r="AO77" s="116" t="e">
        <f>SUMIF(#REF!,$A77,#REF!)</f>
        <v>#REF!</v>
      </c>
    </row>
    <row r="78" spans="1:42" x14ac:dyDescent="0.25">
      <c r="A78" s="101">
        <v>180099</v>
      </c>
      <c r="B78" t="s">
        <v>77</v>
      </c>
      <c r="C78" s="116" t="e">
        <f t="shared" si="47"/>
        <v>#REF!</v>
      </c>
      <c r="D78" s="116" t="e">
        <f t="shared" si="48"/>
        <v>#REF!</v>
      </c>
      <c r="E78" s="116" t="e">
        <f t="shared" si="49"/>
        <v>#REF!</v>
      </c>
      <c r="F78" s="116" t="e">
        <f t="shared" si="50"/>
        <v>#REF!</v>
      </c>
      <c r="G78" s="116" t="e">
        <f t="shared" si="51"/>
        <v>#REF!</v>
      </c>
      <c r="H78" s="116" t="e">
        <f t="shared" si="52"/>
        <v>#REF!</v>
      </c>
      <c r="I78" s="116" t="e">
        <f t="shared" si="53"/>
        <v>#REF!</v>
      </c>
      <c r="J78" s="116" t="e">
        <f t="shared" si="54"/>
        <v>#REF!</v>
      </c>
      <c r="K78" s="116" t="e">
        <f t="shared" si="55"/>
        <v>#REF!</v>
      </c>
      <c r="L78" s="116" t="e">
        <f t="shared" si="56"/>
        <v>#REF!</v>
      </c>
      <c r="M78" s="116" t="e">
        <f t="shared" si="57"/>
        <v>#REF!</v>
      </c>
      <c r="N78" s="116">
        <f t="shared" si="58"/>
        <v>0</v>
      </c>
      <c r="Q78" s="116" t="e">
        <f>SUMIF(#REF!,$A78,#REF!)</f>
        <v>#REF!</v>
      </c>
      <c r="R78" s="116">
        <f>SUMIF(ALIF_Y2014!$A:$A,$A78,ALIF_Y2014!$F:$F)</f>
        <v>0</v>
      </c>
      <c r="S78" s="116">
        <f>SUMIF(ALIF_Y2015!$A:$A,$A78,ALIF_Y2015!$F:$F)</f>
        <v>0</v>
      </c>
      <c r="T78" s="116">
        <f>SUMIF(ALIF_Y2016!$A:$A,$A78,ALIF_Y2016!$F:$F)</f>
        <v>0</v>
      </c>
      <c r="U78" s="116">
        <f>SUMIF(ALIF_Y2017!$A:$A,$A78,ALIF_Y2017!$F:$F)</f>
        <v>0</v>
      </c>
      <c r="V78" s="116">
        <f>SUMIF(ALIF_Y2018!$A:$A,$A78,ALIF_Y2018!$F:$F)</f>
        <v>0</v>
      </c>
      <c r="W78" s="116">
        <f>SUMIF(ALIF_Y2019!$A:$A,$A78,ALIF_Y2019!$F:$F)</f>
        <v>5.0000000000000001E-3</v>
      </c>
      <c r="X78" s="116">
        <f>SUMIF(ALIF_Y2020!$A:$A,$A78,ALIF_Y2020!$F:$F)</f>
        <v>0</v>
      </c>
      <c r="Y78" s="116">
        <f>SUMIF(ALIF_Y2021!$A:$A,$A78,ALIF_Y2021!$F:$F)</f>
        <v>0</v>
      </c>
      <c r="Z78" s="116">
        <f>SUMIF(ALIF_Y2022!$A:$A,$A78,ALIF_Y2022!$F:$F)</f>
        <v>0</v>
      </c>
      <c r="AA78" s="116">
        <f>SUMIF(ALIF_Y2023!$A:$A,$A78,ALIF_Y2023!$F:$F)</f>
        <v>0</v>
      </c>
      <c r="AE78" s="116" t="e">
        <f>SUMIF(#REF!,$A78,#REF!)</f>
        <v>#REF!</v>
      </c>
      <c r="AF78" s="116" t="e">
        <f>SUMIF(#REF!,$A78,#REF!)</f>
        <v>#REF!</v>
      </c>
      <c r="AG78" s="116" t="e">
        <f>SUMIF(#REF!,$A78,#REF!)</f>
        <v>#REF!</v>
      </c>
      <c r="AH78" s="116" t="e">
        <f>SUMIF(#REF!,$A78,#REF!)</f>
        <v>#REF!</v>
      </c>
      <c r="AI78" s="116" t="e">
        <f>SUMIF(#REF!,$A78,#REF!)</f>
        <v>#REF!</v>
      </c>
      <c r="AJ78" s="116" t="e">
        <f>SUMIF(#REF!,$A78,#REF!)</f>
        <v>#REF!</v>
      </c>
      <c r="AK78" s="116" t="e">
        <f>SUMIF(#REF!,$A78,#REF!)</f>
        <v>#REF!</v>
      </c>
      <c r="AL78" s="116" t="e">
        <f>SUMIF(#REF!,$A78,#REF!)</f>
        <v>#REF!</v>
      </c>
      <c r="AM78" s="116" t="e">
        <f>SUMIF(#REF!,$A78,#REF!)</f>
        <v>#REF!</v>
      </c>
      <c r="AN78" s="116" t="e">
        <f>SUMIF(#REF!,$A78,#REF!)</f>
        <v>#REF!</v>
      </c>
      <c r="AO78" s="116" t="e">
        <f>SUMIF(#REF!,$A78,#REF!)</f>
        <v>#REF!</v>
      </c>
    </row>
    <row r="79" spans="1:42" x14ac:dyDescent="0.25">
      <c r="A79" s="101">
        <v>260004</v>
      </c>
      <c r="B79" t="s">
        <v>99</v>
      </c>
      <c r="C79" s="116" t="e">
        <f t="shared" si="47"/>
        <v>#REF!</v>
      </c>
      <c r="D79" s="116" t="e">
        <f t="shared" si="48"/>
        <v>#REF!</v>
      </c>
      <c r="E79" s="116" t="e">
        <f t="shared" si="49"/>
        <v>#REF!</v>
      </c>
      <c r="F79" s="116" t="e">
        <f t="shared" si="50"/>
        <v>#REF!</v>
      </c>
      <c r="G79" s="116" t="e">
        <f t="shared" si="51"/>
        <v>#REF!</v>
      </c>
      <c r="H79" s="116" t="e">
        <f t="shared" si="52"/>
        <v>#REF!</v>
      </c>
      <c r="I79" s="116" t="e">
        <f t="shared" si="53"/>
        <v>#REF!</v>
      </c>
      <c r="J79" s="116" t="e">
        <f t="shared" si="54"/>
        <v>#REF!</v>
      </c>
      <c r="K79" s="116" t="e">
        <f t="shared" si="55"/>
        <v>#REF!</v>
      </c>
      <c r="L79" s="116" t="e">
        <f t="shared" si="56"/>
        <v>#REF!</v>
      </c>
      <c r="M79" s="116" t="e">
        <f t="shared" si="57"/>
        <v>#REF!</v>
      </c>
      <c r="N79" s="116">
        <f t="shared" si="58"/>
        <v>0</v>
      </c>
      <c r="Q79" s="116" t="e">
        <f>SUMIF(#REF!,$A79,#REF!)</f>
        <v>#REF!</v>
      </c>
      <c r="R79" s="116">
        <f>SUMIF(ALIF_Y2014!$A:$A,$A79,ALIF_Y2014!$F:$F)</f>
        <v>0</v>
      </c>
      <c r="S79" s="116">
        <f>SUMIF(ALIF_Y2015!$A:$A,$A79,ALIF_Y2015!$F:$F)</f>
        <v>0</v>
      </c>
      <c r="T79" s="116">
        <f>SUMIF(ALIF_Y2016!$A:$A,$A79,ALIF_Y2016!$F:$F)</f>
        <v>-1121501.433</v>
      </c>
      <c r="U79" s="116">
        <f>SUMIF(ALIF_Y2017!$A:$A,$A79,ALIF_Y2017!$F:$F)</f>
        <v>-1121501.433</v>
      </c>
      <c r="V79" s="116">
        <f>SUMIF(ALIF_Y2018!$A:$A,$A79,ALIF_Y2018!$F:$F)</f>
        <v>-1121501.433</v>
      </c>
      <c r="W79" s="116">
        <f>SUMIF(ALIF_Y2019!$A:$A,$A79,ALIF_Y2019!$F:$F)</f>
        <v>-849296.43299999996</v>
      </c>
      <c r="X79" s="116">
        <f>SUMIF(ALIF_Y2020!$A:$A,$A79,ALIF_Y2020!$F:$F)</f>
        <v>-2000000</v>
      </c>
      <c r="Y79" s="116">
        <f>SUMIF(ALIF_Y2021!$A:$A,$A79,ALIF_Y2021!$F:$F)</f>
        <v>0</v>
      </c>
      <c r="Z79" s="116">
        <f>SUMIF(ALIF_Y2022!$A:$A,$A79,ALIF_Y2022!$F:$F)</f>
        <v>0</v>
      </c>
      <c r="AA79" s="116">
        <f>SUMIF(ALIF_Y2023!$A:$A,$A79,ALIF_Y2023!$F:$F)</f>
        <v>0</v>
      </c>
      <c r="AE79" s="116" t="e">
        <f>SUMIF(#REF!,$A79,#REF!)</f>
        <v>#REF!</v>
      </c>
      <c r="AF79" s="116" t="e">
        <f>SUMIF(#REF!,$A79,#REF!)</f>
        <v>#REF!</v>
      </c>
      <c r="AG79" s="116" t="e">
        <f>SUMIF(#REF!,$A79,#REF!)</f>
        <v>#REF!</v>
      </c>
      <c r="AH79" s="116" t="e">
        <f>SUMIF(#REF!,$A79,#REF!)</f>
        <v>#REF!</v>
      </c>
      <c r="AI79" s="116" t="e">
        <f>SUMIF(#REF!,$A79,#REF!)</f>
        <v>#REF!</v>
      </c>
      <c r="AJ79" s="116" t="e">
        <f>SUMIF(#REF!,$A79,#REF!)</f>
        <v>#REF!</v>
      </c>
      <c r="AK79" s="116" t="e">
        <f>SUMIF(#REF!,$A79,#REF!)</f>
        <v>#REF!</v>
      </c>
      <c r="AL79" s="116" t="e">
        <f>SUMIF(#REF!,$A79,#REF!)</f>
        <v>#REF!</v>
      </c>
      <c r="AM79" s="116" t="e">
        <f>SUMIF(#REF!,$A79,#REF!)</f>
        <v>#REF!</v>
      </c>
      <c r="AN79" s="116" t="e">
        <f>SUMIF(#REF!,$A79,#REF!)</f>
        <v>#REF!</v>
      </c>
      <c r="AO79" s="116" t="e">
        <f>SUMIF(#REF!,$A79,#REF!)</f>
        <v>#REF!</v>
      </c>
    </row>
    <row r="80" spans="1:42" ht="7.9" customHeight="1" x14ac:dyDescent="0.25"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</row>
    <row r="81" spans="1:42" x14ac:dyDescent="0.25">
      <c r="A81" s="99"/>
      <c r="C81" s="118" t="e">
        <f t="shared" ref="C81:N81" si="59">SUM(C61:C80)</f>
        <v>#REF!</v>
      </c>
      <c r="D81" s="118" t="e">
        <f t="shared" si="59"/>
        <v>#REF!</v>
      </c>
      <c r="E81" s="118" t="e">
        <f t="shared" si="59"/>
        <v>#REF!</v>
      </c>
      <c r="F81" s="118" t="e">
        <f t="shared" si="59"/>
        <v>#REF!</v>
      </c>
      <c r="G81" s="118" t="e">
        <f t="shared" si="59"/>
        <v>#REF!</v>
      </c>
      <c r="H81" s="118" t="e">
        <f t="shared" si="59"/>
        <v>#REF!</v>
      </c>
      <c r="I81" s="118" t="e">
        <f t="shared" si="59"/>
        <v>#REF!</v>
      </c>
      <c r="J81" s="118" t="e">
        <f t="shared" si="59"/>
        <v>#REF!</v>
      </c>
      <c r="K81" s="118" t="e">
        <f t="shared" si="59"/>
        <v>#REF!</v>
      </c>
      <c r="L81" s="118" t="e">
        <f t="shared" si="59"/>
        <v>#REF!</v>
      </c>
      <c r="M81" s="118" t="e">
        <f t="shared" si="59"/>
        <v>#REF!</v>
      </c>
      <c r="N81" s="118">
        <f t="shared" si="59"/>
        <v>0</v>
      </c>
      <c r="Q81" s="118" t="e">
        <f>SUM(Q61:Q80)</f>
        <v>#REF!</v>
      </c>
      <c r="R81" s="118">
        <f t="shared" ref="R81:AB81" si="60">SUM(R61:R80)</f>
        <v>34065376.359000005</v>
      </c>
      <c r="S81" s="118">
        <f t="shared" si="60"/>
        <v>28412734</v>
      </c>
      <c r="T81" s="118">
        <f t="shared" si="60"/>
        <v>31557770.992000002</v>
      </c>
      <c r="U81" s="118">
        <f t="shared" si="60"/>
        <v>25847130.508000001</v>
      </c>
      <c r="V81" s="118">
        <f t="shared" si="60"/>
        <v>65632733.660999998</v>
      </c>
      <c r="W81" s="118">
        <f t="shared" si="60"/>
        <v>63336467.600999996</v>
      </c>
      <c r="X81" s="118">
        <f t="shared" si="60"/>
        <v>45810720.601000004</v>
      </c>
      <c r="Y81" s="118">
        <f t="shared" si="60"/>
        <v>60639675.158</v>
      </c>
      <c r="Z81" s="118">
        <f t="shared" si="60"/>
        <v>93415465.147000015</v>
      </c>
      <c r="AA81" s="118">
        <f t="shared" si="60"/>
        <v>45411604.563999996</v>
      </c>
      <c r="AB81" s="118">
        <f t="shared" si="60"/>
        <v>0</v>
      </c>
      <c r="AE81" s="118" t="e">
        <f>SUM(AE61:AE80)</f>
        <v>#REF!</v>
      </c>
      <c r="AF81" s="118" t="e">
        <f t="shared" ref="AF81:AO81" si="61">SUM(AF61:AF80)</f>
        <v>#REF!</v>
      </c>
      <c r="AG81" s="118" t="e">
        <f t="shared" si="61"/>
        <v>#REF!</v>
      </c>
      <c r="AH81" s="118" t="e">
        <f t="shared" si="61"/>
        <v>#REF!</v>
      </c>
      <c r="AI81" s="118" t="e">
        <f t="shared" si="61"/>
        <v>#REF!</v>
      </c>
      <c r="AJ81" s="118" t="e">
        <f t="shared" si="61"/>
        <v>#REF!</v>
      </c>
      <c r="AK81" s="118" t="e">
        <f t="shared" si="61"/>
        <v>#REF!</v>
      </c>
      <c r="AL81" s="118" t="e">
        <f t="shared" si="61"/>
        <v>#REF!</v>
      </c>
      <c r="AM81" s="118" t="e">
        <f t="shared" si="61"/>
        <v>#REF!</v>
      </c>
      <c r="AN81" s="118" t="e">
        <f t="shared" si="61"/>
        <v>#REF!</v>
      </c>
      <c r="AO81" s="118" t="e">
        <f t="shared" si="61"/>
        <v>#REF!</v>
      </c>
    </row>
    <row r="82" spans="1:42" x14ac:dyDescent="0.25">
      <c r="A82" s="99"/>
    </row>
    <row r="83" spans="1:42" x14ac:dyDescent="0.25">
      <c r="A83" s="99" t="s">
        <v>570</v>
      </c>
    </row>
    <row r="84" spans="1:42" x14ac:dyDescent="0.25">
      <c r="A84" s="99"/>
    </row>
    <row r="85" spans="1:42" x14ac:dyDescent="0.25">
      <c r="A85" s="99"/>
    </row>
    <row r="86" spans="1:42" x14ac:dyDescent="0.25">
      <c r="A86" s="99" t="s">
        <v>571</v>
      </c>
    </row>
    <row r="87" spans="1:42" x14ac:dyDescent="0.25">
      <c r="A87" s="101">
        <v>110001</v>
      </c>
      <c r="B87" t="s">
        <v>0</v>
      </c>
      <c r="C87" s="116" t="e">
        <f t="shared" ref="C87:C102" si="62">Q87+AE87</f>
        <v>#REF!</v>
      </c>
      <c r="D87" s="116" t="e">
        <f t="shared" ref="D87:D102" si="63">R87+AF87</f>
        <v>#REF!</v>
      </c>
      <c r="E87" s="116" t="e">
        <f t="shared" ref="E87:E102" si="64">S87+AG87</f>
        <v>#REF!</v>
      </c>
      <c r="F87" s="116" t="e">
        <f t="shared" ref="F87:F102" si="65">T87+AH87</f>
        <v>#REF!</v>
      </c>
      <c r="G87" s="116" t="e">
        <f t="shared" ref="G87:G102" si="66">U87+AI87</f>
        <v>#REF!</v>
      </c>
      <c r="H87" s="116" t="e">
        <f t="shared" ref="H87:H102" si="67">V87+AJ87</f>
        <v>#REF!</v>
      </c>
      <c r="I87" s="116" t="e">
        <f t="shared" ref="I87:I102" si="68">W87+AK87</f>
        <v>#REF!</v>
      </c>
      <c r="J87" s="116" t="e">
        <f t="shared" ref="J87:J102" si="69">X87+AL87</f>
        <v>#REF!</v>
      </c>
      <c r="K87" s="116" t="e">
        <f t="shared" ref="K87:K102" si="70">Y87+AM87</f>
        <v>#REF!</v>
      </c>
      <c r="L87" s="116" t="e">
        <f t="shared" ref="L87:L102" si="71">Z87+AN87</f>
        <v>#REF!</v>
      </c>
      <c r="M87" s="116" t="e">
        <f t="shared" ref="M87:M102" si="72">AA87+AO87</f>
        <v>#REF!</v>
      </c>
      <c r="N87" s="116">
        <f t="shared" ref="N87:N102" si="73">AB87+AP87</f>
        <v>0</v>
      </c>
      <c r="Q87" s="116" t="e">
        <f>SUMIF(#REF!,$A87,#REF!)</f>
        <v>#REF!</v>
      </c>
      <c r="R87" s="116">
        <f>SUMIF(ALIF_Y2014!$A:$A,$A87,ALIF_Y2014!$F:$F)</f>
        <v>0</v>
      </c>
      <c r="S87" s="116">
        <f>SUMIF(ALIF_Y2015!$A:$A,$A87,ALIF_Y2015!$F:$F)</f>
        <v>0</v>
      </c>
      <c r="T87" s="116">
        <f>SUMIF(ALIF_Y2016!$A:$A,$A87,ALIF_Y2016!$F:$F)</f>
        <v>0</v>
      </c>
      <c r="U87" s="116">
        <f>SUMIF(ALIF_Y2017!$A:$A,$A87,ALIF_Y2017!$F:$F)</f>
        <v>0</v>
      </c>
      <c r="V87" s="116">
        <f>SUMIF(ALIF_Y2018!$A:$A,$A87,ALIF_Y2018!$F:$F)</f>
        <v>0</v>
      </c>
      <c r="W87" s="116">
        <f>SUMIF(ALIF_Y2019!$A:$A,$A87,ALIF_Y2019!$F:$F)</f>
        <v>0</v>
      </c>
      <c r="X87" s="116">
        <f>SUMIF(ALIF_Y2020!$A:$A,$A87,ALIF_Y2020!$F:$F)</f>
        <v>0</v>
      </c>
      <c r="Y87" s="116">
        <f>SUMIF(ALIF_Y2021!$A:$A,$A87,ALIF_Y2021!$F:$F)</f>
        <v>0</v>
      </c>
      <c r="Z87" s="116">
        <f>SUMIF(ALIF_Y2022!$A:$A,$A87,ALIF_Y2022!$F:$F)</f>
        <v>0</v>
      </c>
      <c r="AA87" s="116">
        <f>SUMIF(ALIF_Y2023!$A:$A,$A87,ALIF_Y2023!$F:$F)</f>
        <v>0</v>
      </c>
      <c r="AE87" s="116" t="e">
        <f>SUMIF(#REF!,$A87,#REF!)</f>
        <v>#REF!</v>
      </c>
      <c r="AF87" s="116" t="e">
        <f>SUMIF(#REF!,$A87,#REF!)</f>
        <v>#REF!</v>
      </c>
      <c r="AG87" s="116" t="e">
        <f>SUMIF(#REF!,$A87,#REF!)</f>
        <v>#REF!</v>
      </c>
      <c r="AH87" s="116" t="e">
        <f>SUMIF(#REF!,$A87,#REF!)</f>
        <v>#REF!</v>
      </c>
      <c r="AI87" s="116" t="e">
        <f>SUMIF(#REF!,$A87,#REF!)</f>
        <v>#REF!</v>
      </c>
      <c r="AJ87" s="116" t="e">
        <f>SUMIF(#REF!,$A87,#REF!)</f>
        <v>#REF!</v>
      </c>
      <c r="AK87" s="116" t="e">
        <f>SUMIF(#REF!,$A87,#REF!)</f>
        <v>#REF!</v>
      </c>
      <c r="AL87" s="116" t="e">
        <f>SUMIF(#REF!,$A87,#REF!)</f>
        <v>#REF!</v>
      </c>
      <c r="AM87" s="116" t="e">
        <f>SUMIF(#REF!,$A87,#REF!)</f>
        <v>#REF!</v>
      </c>
      <c r="AN87" s="116" t="e">
        <f>SUMIF(#REF!,$A87,#REF!)</f>
        <v>#REF!</v>
      </c>
      <c r="AO87" s="116" t="e">
        <f>SUMIF(#REF!,$A87,#REF!)</f>
        <v>#REF!</v>
      </c>
    </row>
    <row r="88" spans="1:42" x14ac:dyDescent="0.25">
      <c r="A88" s="101">
        <v>110002</v>
      </c>
      <c r="B88" t="s">
        <v>1</v>
      </c>
      <c r="C88" s="116" t="e">
        <f t="shared" si="62"/>
        <v>#REF!</v>
      </c>
      <c r="D88" s="116" t="e">
        <f t="shared" si="63"/>
        <v>#REF!</v>
      </c>
      <c r="E88" s="116" t="e">
        <f t="shared" si="64"/>
        <v>#REF!</v>
      </c>
      <c r="F88" s="116" t="e">
        <f t="shared" si="65"/>
        <v>#REF!</v>
      </c>
      <c r="G88" s="116" t="e">
        <f t="shared" si="66"/>
        <v>#REF!</v>
      </c>
      <c r="H88" s="116" t="e">
        <f t="shared" si="67"/>
        <v>#REF!</v>
      </c>
      <c r="I88" s="116" t="e">
        <f t="shared" si="68"/>
        <v>#REF!</v>
      </c>
      <c r="J88" s="116" t="e">
        <f t="shared" si="69"/>
        <v>#REF!</v>
      </c>
      <c r="K88" s="116" t="e">
        <f t="shared" si="70"/>
        <v>#REF!</v>
      </c>
      <c r="L88" s="116" t="e">
        <f t="shared" si="71"/>
        <v>#REF!</v>
      </c>
      <c r="M88" s="116" t="e">
        <f t="shared" si="72"/>
        <v>#REF!</v>
      </c>
      <c r="N88" s="116">
        <f t="shared" si="73"/>
        <v>0</v>
      </c>
      <c r="Q88" s="116" t="e">
        <f>SUMIF(#REF!,$A88,#REF!)</f>
        <v>#REF!</v>
      </c>
      <c r="R88" s="116">
        <f>SUMIF(ALIF_Y2014!$A:$A,$A88,ALIF_Y2014!$F:$F)</f>
        <v>249682</v>
      </c>
      <c r="S88" s="116">
        <f>SUMIF(ALIF_Y2015!$A:$A,$A88,ALIF_Y2015!$F:$F)</f>
        <v>249682</v>
      </c>
      <c r="T88" s="116">
        <f>SUMIF(ALIF_Y2016!$A:$A,$A88,ALIF_Y2016!$F:$F)</f>
        <v>249682</v>
      </c>
      <c r="U88" s="116">
        <f>SUMIF(ALIF_Y2017!$A:$A,$A88,ALIF_Y2017!$F:$F)</f>
        <v>249682</v>
      </c>
      <c r="V88" s="116">
        <f>SUMIF(ALIF_Y2018!$A:$A,$A88,ALIF_Y2018!$F:$F)</f>
        <v>106504996.56999999</v>
      </c>
      <c r="W88" s="116">
        <f>SUMIF(ALIF_Y2019!$A:$A,$A88,ALIF_Y2019!$F:$F)</f>
        <v>106504996.56999999</v>
      </c>
      <c r="X88" s="116">
        <f>SUMIF(ALIF_Y2020!$A:$A,$A88,ALIF_Y2020!$F:$F)</f>
        <v>106504996.56999999</v>
      </c>
      <c r="Y88" s="116">
        <f>SUMIF(ALIF_Y2021!$A:$A,$A88,ALIF_Y2021!$F:$F)</f>
        <v>106504996.56999999</v>
      </c>
      <c r="Z88" s="116">
        <f>SUMIF(ALIF_Y2022!$A:$A,$A88,ALIF_Y2022!$F:$F)</f>
        <v>106504996.56999999</v>
      </c>
      <c r="AA88" s="116">
        <f>SUMIF(ALIF_Y2023!$A:$A,$A88,ALIF_Y2023!$F:$F)</f>
        <v>106504996.56999999</v>
      </c>
      <c r="AE88" s="116" t="e">
        <f>SUMIF(#REF!,$A88,#REF!)</f>
        <v>#REF!</v>
      </c>
      <c r="AF88" s="116" t="e">
        <f>SUMIF(#REF!,$A88,#REF!)</f>
        <v>#REF!</v>
      </c>
      <c r="AG88" s="116" t="e">
        <f>SUMIF(#REF!,$A88,#REF!)</f>
        <v>#REF!</v>
      </c>
      <c r="AH88" s="116" t="e">
        <f>SUMIF(#REF!,$A88,#REF!)</f>
        <v>#REF!</v>
      </c>
      <c r="AI88" s="116" t="e">
        <f>SUMIF(#REF!,$A88,#REF!)</f>
        <v>#REF!</v>
      </c>
      <c r="AJ88" s="116" t="e">
        <f>SUMIF(#REF!,$A88,#REF!)</f>
        <v>#REF!</v>
      </c>
      <c r="AK88" s="116" t="e">
        <f>SUMIF(#REF!,$A88,#REF!)</f>
        <v>#REF!</v>
      </c>
      <c r="AL88" s="116" t="e">
        <f>SUMIF(#REF!,$A88,#REF!)</f>
        <v>#REF!</v>
      </c>
      <c r="AM88" s="116" t="e">
        <f>SUMIF(#REF!,$A88,#REF!)</f>
        <v>#REF!</v>
      </c>
      <c r="AN88" s="116" t="e">
        <f>SUMIF(#REF!,$A88,#REF!)</f>
        <v>#REF!</v>
      </c>
      <c r="AO88" s="116" t="e">
        <f>SUMIF(#REF!,$A88,#REF!)</f>
        <v>#REF!</v>
      </c>
    </row>
    <row r="89" spans="1:42" x14ac:dyDescent="0.25">
      <c r="A89" s="101">
        <v>110003</v>
      </c>
      <c r="B89" t="s">
        <v>2</v>
      </c>
      <c r="C89" s="116" t="e">
        <f t="shared" si="62"/>
        <v>#REF!</v>
      </c>
      <c r="D89" s="116" t="e">
        <f t="shared" si="63"/>
        <v>#REF!</v>
      </c>
      <c r="E89" s="116" t="e">
        <f t="shared" si="64"/>
        <v>#REF!</v>
      </c>
      <c r="F89" s="116" t="e">
        <f t="shared" si="65"/>
        <v>#REF!</v>
      </c>
      <c r="G89" s="116" t="e">
        <f t="shared" si="66"/>
        <v>#REF!</v>
      </c>
      <c r="H89" s="116" t="e">
        <f t="shared" si="67"/>
        <v>#REF!</v>
      </c>
      <c r="I89" s="116" t="e">
        <f t="shared" si="68"/>
        <v>#REF!</v>
      </c>
      <c r="J89" s="116" t="e">
        <f t="shared" si="69"/>
        <v>#REF!</v>
      </c>
      <c r="K89" s="116" t="e">
        <f t="shared" si="70"/>
        <v>#REF!</v>
      </c>
      <c r="L89" s="116" t="e">
        <f t="shared" si="71"/>
        <v>#REF!</v>
      </c>
      <c r="M89" s="116" t="e">
        <f t="shared" si="72"/>
        <v>#REF!</v>
      </c>
      <c r="N89" s="116">
        <f t="shared" si="73"/>
        <v>0</v>
      </c>
      <c r="Q89" s="116" t="e">
        <f>SUMIF(#REF!,$A89,#REF!)</f>
        <v>#REF!</v>
      </c>
      <c r="R89" s="116">
        <f>SUMIF(ALIF_Y2014!$A:$A,$A89,ALIF_Y2014!$F:$F)</f>
        <v>1765393.75</v>
      </c>
      <c r="S89" s="116">
        <f>SUMIF(ALIF_Y2015!$A:$A,$A89,ALIF_Y2015!$F:$F)</f>
        <v>1773233.75</v>
      </c>
      <c r="T89" s="116">
        <f>SUMIF(ALIF_Y2016!$A:$A,$A89,ALIF_Y2016!$F:$F)</f>
        <v>1773233.75</v>
      </c>
      <c r="U89" s="116">
        <f>SUMIF(ALIF_Y2017!$A:$A,$A89,ALIF_Y2017!$F:$F)</f>
        <v>1773233.75</v>
      </c>
      <c r="V89" s="116">
        <f>SUMIF(ALIF_Y2018!$A:$A,$A89,ALIF_Y2018!$F:$F)</f>
        <v>1824603.75</v>
      </c>
      <c r="W89" s="116">
        <f>SUMIF(ALIF_Y2019!$A:$A,$A89,ALIF_Y2019!$F:$F)</f>
        <v>1920201.75</v>
      </c>
      <c r="X89" s="116">
        <f>SUMIF(ALIF_Y2020!$A:$A,$A89,ALIF_Y2020!$F:$F)</f>
        <v>1765393.75</v>
      </c>
      <c r="Y89" s="116">
        <f>SUMIF(ALIF_Y2021!$A:$A,$A89,ALIF_Y2021!$F:$F)</f>
        <v>1765393.75</v>
      </c>
      <c r="Z89" s="116">
        <f>SUMIF(ALIF_Y2022!$A:$A,$A89,ALIF_Y2022!$F:$F)</f>
        <v>1765393.75</v>
      </c>
      <c r="AA89" s="116">
        <f>SUMIF(ALIF_Y2023!$A:$A,$A89,ALIF_Y2023!$F:$F)</f>
        <v>1765393.75</v>
      </c>
      <c r="AE89" s="116" t="e">
        <f>SUMIF(#REF!,$A89,#REF!)</f>
        <v>#REF!</v>
      </c>
      <c r="AF89" s="116" t="e">
        <f>SUMIF(#REF!,$A89,#REF!)</f>
        <v>#REF!</v>
      </c>
      <c r="AG89" s="116" t="e">
        <f>SUMIF(#REF!,$A89,#REF!)</f>
        <v>#REF!</v>
      </c>
      <c r="AH89" s="116" t="e">
        <f>SUMIF(#REF!,$A89,#REF!)</f>
        <v>#REF!</v>
      </c>
      <c r="AI89" s="116" t="e">
        <f>SUMIF(#REF!,$A89,#REF!)</f>
        <v>#REF!</v>
      </c>
      <c r="AJ89" s="116" t="e">
        <f>SUMIF(#REF!,$A89,#REF!)</f>
        <v>#REF!</v>
      </c>
      <c r="AK89" s="116" t="e">
        <f>SUMIF(#REF!,$A89,#REF!)</f>
        <v>#REF!</v>
      </c>
      <c r="AL89" s="116" t="e">
        <f>SUMIF(#REF!,$A89,#REF!)</f>
        <v>#REF!</v>
      </c>
      <c r="AM89" s="116" t="e">
        <f>SUMIF(#REF!,$A89,#REF!)</f>
        <v>#REF!</v>
      </c>
      <c r="AN89" s="116" t="e">
        <f>SUMIF(#REF!,$A89,#REF!)</f>
        <v>#REF!</v>
      </c>
      <c r="AO89" s="116" t="e">
        <f>SUMIF(#REF!,$A89,#REF!)</f>
        <v>#REF!</v>
      </c>
    </row>
    <row r="90" spans="1:42" x14ac:dyDescent="0.25">
      <c r="A90" s="101">
        <v>110004</v>
      </c>
      <c r="B90" t="s">
        <v>3</v>
      </c>
      <c r="C90" s="116" t="e">
        <f t="shared" si="62"/>
        <v>#REF!</v>
      </c>
      <c r="D90" s="116" t="e">
        <f t="shared" si="63"/>
        <v>#REF!</v>
      </c>
      <c r="E90" s="116" t="e">
        <f t="shared" si="64"/>
        <v>#REF!</v>
      </c>
      <c r="F90" s="116" t="e">
        <f t="shared" si="65"/>
        <v>#REF!</v>
      </c>
      <c r="G90" s="116" t="e">
        <f t="shared" si="66"/>
        <v>#REF!</v>
      </c>
      <c r="H90" s="116" t="e">
        <f t="shared" si="67"/>
        <v>#REF!</v>
      </c>
      <c r="I90" s="116" t="e">
        <f t="shared" si="68"/>
        <v>#REF!</v>
      </c>
      <c r="J90" s="116" t="e">
        <f t="shared" si="69"/>
        <v>#REF!</v>
      </c>
      <c r="K90" s="116" t="e">
        <f t="shared" si="70"/>
        <v>#REF!</v>
      </c>
      <c r="L90" s="116" t="e">
        <f t="shared" si="71"/>
        <v>#REF!</v>
      </c>
      <c r="M90" s="116" t="e">
        <f t="shared" si="72"/>
        <v>#REF!</v>
      </c>
      <c r="N90" s="116">
        <f t="shared" si="73"/>
        <v>0</v>
      </c>
      <c r="Q90" s="116" t="e">
        <f>SUMIF(#REF!,$A90,#REF!)</f>
        <v>#REF!</v>
      </c>
      <c r="R90" s="116">
        <f>SUMIF(ALIF_Y2014!$A:$A,$A90,ALIF_Y2014!$F:$F)</f>
        <v>38561940.795000002</v>
      </c>
      <c r="S90" s="116">
        <f>SUMIF(ALIF_Y2015!$A:$A,$A90,ALIF_Y2015!$F:$F)</f>
        <v>39518810.888999999</v>
      </c>
      <c r="T90" s="116">
        <f>SUMIF(ALIF_Y2016!$A:$A,$A90,ALIF_Y2016!$F:$F)</f>
        <v>39914308.471000001</v>
      </c>
      <c r="U90" s="116">
        <f>SUMIF(ALIF_Y2017!$A:$A,$A90,ALIF_Y2017!$F:$F)</f>
        <v>43898751.101000004</v>
      </c>
      <c r="V90" s="116">
        <f>SUMIF(ALIF_Y2018!$A:$A,$A90,ALIF_Y2018!$F:$F)</f>
        <v>62879992.733999997</v>
      </c>
      <c r="W90" s="116">
        <f>SUMIF(ALIF_Y2019!$A:$A,$A90,ALIF_Y2019!$F:$F)</f>
        <v>66375893.005999997</v>
      </c>
      <c r="X90" s="116">
        <f>SUMIF(ALIF_Y2020!$A:$A,$A90,ALIF_Y2020!$F:$F)</f>
        <v>71133085.783000007</v>
      </c>
      <c r="Y90" s="116">
        <f>SUMIF(ALIF_Y2021!$A:$A,$A90,ALIF_Y2021!$F:$F)</f>
        <v>72216302.398000002</v>
      </c>
      <c r="Z90" s="116">
        <f>SUMIF(ALIF_Y2022!$A:$A,$A90,ALIF_Y2022!$F:$F)</f>
        <v>80282872.049999997</v>
      </c>
      <c r="AA90" s="116">
        <f>SUMIF(ALIF_Y2023!$A:$A,$A90,ALIF_Y2023!$F:$F)</f>
        <v>72478281.030000001</v>
      </c>
      <c r="AE90" s="116" t="e">
        <f>SUMIF(#REF!,$A90,#REF!)</f>
        <v>#REF!</v>
      </c>
      <c r="AF90" s="116" t="e">
        <f>SUMIF(#REF!,$A90,#REF!)</f>
        <v>#REF!</v>
      </c>
      <c r="AG90" s="116" t="e">
        <f>SUMIF(#REF!,$A90,#REF!)</f>
        <v>#REF!</v>
      </c>
      <c r="AH90" s="116" t="e">
        <f>SUMIF(#REF!,$A90,#REF!)</f>
        <v>#REF!</v>
      </c>
      <c r="AI90" s="116" t="e">
        <f>SUMIF(#REF!,$A90,#REF!)</f>
        <v>#REF!</v>
      </c>
      <c r="AJ90" s="116" t="e">
        <f>SUMIF(#REF!,$A90,#REF!)</f>
        <v>#REF!</v>
      </c>
      <c r="AK90" s="116" t="e">
        <f>SUMIF(#REF!,$A90,#REF!)</f>
        <v>#REF!</v>
      </c>
      <c r="AL90" s="116" t="e">
        <f>SUMIF(#REF!,$A90,#REF!)</f>
        <v>#REF!</v>
      </c>
      <c r="AM90" s="116" t="e">
        <f>SUMIF(#REF!,$A90,#REF!)</f>
        <v>#REF!</v>
      </c>
      <c r="AN90" s="116" t="e">
        <f>SUMIF(#REF!,$A90,#REF!)</f>
        <v>#REF!</v>
      </c>
      <c r="AO90" s="116" t="e">
        <f>SUMIF(#REF!,$A90,#REF!)</f>
        <v>#REF!</v>
      </c>
    </row>
    <row r="91" spans="1:42" x14ac:dyDescent="0.25">
      <c r="A91" s="101">
        <v>110006</v>
      </c>
      <c r="B91" t="s">
        <v>4</v>
      </c>
      <c r="C91" s="116" t="e">
        <f t="shared" si="62"/>
        <v>#REF!</v>
      </c>
      <c r="D91" s="116" t="e">
        <f t="shared" si="63"/>
        <v>#REF!</v>
      </c>
      <c r="E91" s="116" t="e">
        <f t="shared" si="64"/>
        <v>#REF!</v>
      </c>
      <c r="F91" s="116" t="e">
        <f t="shared" si="65"/>
        <v>#REF!</v>
      </c>
      <c r="G91" s="116" t="e">
        <f t="shared" si="66"/>
        <v>#REF!</v>
      </c>
      <c r="H91" s="116" t="e">
        <f t="shared" si="67"/>
        <v>#REF!</v>
      </c>
      <c r="I91" s="116" t="e">
        <f t="shared" si="68"/>
        <v>#REF!</v>
      </c>
      <c r="J91" s="116" t="e">
        <f t="shared" si="69"/>
        <v>#REF!</v>
      </c>
      <c r="K91" s="116" t="e">
        <f t="shared" si="70"/>
        <v>#REF!</v>
      </c>
      <c r="L91" s="116" t="e">
        <f t="shared" si="71"/>
        <v>#REF!</v>
      </c>
      <c r="M91" s="116" t="e">
        <f t="shared" si="72"/>
        <v>#REF!</v>
      </c>
      <c r="N91" s="116">
        <f t="shared" si="73"/>
        <v>0</v>
      </c>
      <c r="Q91" s="116" t="e">
        <f>SUMIF(#REF!,$A91,#REF!)</f>
        <v>#REF!</v>
      </c>
      <c r="R91" s="116">
        <f>SUMIF(ALIF_Y2014!$A:$A,$A91,ALIF_Y2014!$F:$F)</f>
        <v>1446052.15</v>
      </c>
      <c r="S91" s="116">
        <f>SUMIF(ALIF_Y2015!$A:$A,$A91,ALIF_Y2015!$F:$F)</f>
        <v>1446052.15</v>
      </c>
      <c r="T91" s="116">
        <f>SUMIF(ALIF_Y2016!$A:$A,$A91,ALIF_Y2016!$F:$F)</f>
        <v>1548852.15</v>
      </c>
      <c r="U91" s="116">
        <f>SUMIF(ALIF_Y2017!$A:$A,$A91,ALIF_Y2017!$F:$F)</f>
        <v>1891752.15</v>
      </c>
      <c r="V91" s="116">
        <f>SUMIF(ALIF_Y2018!$A:$A,$A91,ALIF_Y2018!$F:$F)</f>
        <v>2495208.4550000001</v>
      </c>
      <c r="W91" s="116">
        <f>SUMIF(ALIF_Y2019!$A:$A,$A91,ALIF_Y2019!$F:$F)</f>
        <v>2791352.0630000001</v>
      </c>
      <c r="X91" s="116">
        <f>SUMIF(ALIF_Y2020!$A:$A,$A91,ALIF_Y2020!$F:$F)</f>
        <v>2602761.003</v>
      </c>
      <c r="Y91" s="116">
        <f>SUMIF(ALIF_Y2021!$A:$A,$A91,ALIF_Y2021!$F:$F)</f>
        <v>2675451.003</v>
      </c>
      <c r="Z91" s="116">
        <f>SUMIF(ALIF_Y2022!$A:$A,$A91,ALIF_Y2022!$F:$F)</f>
        <v>3033459.699</v>
      </c>
      <c r="AA91" s="116">
        <f>SUMIF(ALIF_Y2023!$A:$A,$A91,ALIF_Y2023!$F:$F)</f>
        <v>3090755.699</v>
      </c>
      <c r="AE91" s="116" t="e">
        <f>SUMIF(#REF!,$A91,#REF!)</f>
        <v>#REF!</v>
      </c>
      <c r="AF91" s="116" t="e">
        <f>SUMIF(#REF!,$A91,#REF!)</f>
        <v>#REF!</v>
      </c>
      <c r="AG91" s="116" t="e">
        <f>SUMIF(#REF!,$A91,#REF!)</f>
        <v>#REF!</v>
      </c>
      <c r="AH91" s="116" t="e">
        <f>SUMIF(#REF!,$A91,#REF!)</f>
        <v>#REF!</v>
      </c>
      <c r="AI91" s="116" t="e">
        <f>SUMIF(#REF!,$A91,#REF!)</f>
        <v>#REF!</v>
      </c>
      <c r="AJ91" s="116" t="e">
        <f>SUMIF(#REF!,$A91,#REF!)</f>
        <v>#REF!</v>
      </c>
      <c r="AK91" s="116" t="e">
        <f>SUMIF(#REF!,$A91,#REF!)</f>
        <v>#REF!</v>
      </c>
      <c r="AL91" s="116" t="e">
        <f>SUMIF(#REF!,$A91,#REF!)</f>
        <v>#REF!</v>
      </c>
      <c r="AM91" s="116" t="e">
        <f>SUMIF(#REF!,$A91,#REF!)</f>
        <v>#REF!</v>
      </c>
      <c r="AN91" s="116" t="e">
        <f>SUMIF(#REF!,$A91,#REF!)</f>
        <v>#REF!</v>
      </c>
      <c r="AO91" s="116" t="e">
        <f>SUMIF(#REF!,$A91,#REF!)</f>
        <v>#REF!</v>
      </c>
    </row>
    <row r="92" spans="1:42" x14ac:dyDescent="0.25">
      <c r="A92" s="101">
        <v>110007</v>
      </c>
      <c r="B92" t="s">
        <v>5</v>
      </c>
      <c r="C92" s="116" t="e">
        <f t="shared" si="62"/>
        <v>#REF!</v>
      </c>
      <c r="D92" s="116" t="e">
        <f t="shared" si="63"/>
        <v>#REF!</v>
      </c>
      <c r="E92" s="116" t="e">
        <f t="shared" si="64"/>
        <v>#REF!</v>
      </c>
      <c r="F92" s="116" t="e">
        <f t="shared" si="65"/>
        <v>#REF!</v>
      </c>
      <c r="G92" s="116" t="e">
        <f t="shared" si="66"/>
        <v>#REF!</v>
      </c>
      <c r="H92" s="116" t="e">
        <f t="shared" si="67"/>
        <v>#REF!</v>
      </c>
      <c r="I92" s="116" t="e">
        <f t="shared" si="68"/>
        <v>#REF!</v>
      </c>
      <c r="J92" s="116" t="e">
        <f t="shared" si="69"/>
        <v>#REF!</v>
      </c>
      <c r="K92" s="116" t="e">
        <f t="shared" si="70"/>
        <v>#REF!</v>
      </c>
      <c r="L92" s="116" t="e">
        <f t="shared" si="71"/>
        <v>#REF!</v>
      </c>
      <c r="M92" s="116" t="e">
        <f t="shared" si="72"/>
        <v>#REF!</v>
      </c>
      <c r="N92" s="116">
        <f t="shared" si="73"/>
        <v>0</v>
      </c>
      <c r="Q92" s="116" t="e">
        <f>SUMIF(#REF!,$A92,#REF!)</f>
        <v>#REF!</v>
      </c>
      <c r="R92" s="116">
        <f>SUMIF(ALIF_Y2014!$A:$A,$A92,ALIF_Y2014!$F:$F)</f>
        <v>798523.45</v>
      </c>
      <c r="S92" s="116">
        <f>SUMIF(ALIF_Y2015!$A:$A,$A92,ALIF_Y2015!$F:$F)</f>
        <v>798523.45</v>
      </c>
      <c r="T92" s="116">
        <f>SUMIF(ALIF_Y2016!$A:$A,$A92,ALIF_Y2016!$F:$F)</f>
        <v>798523.45</v>
      </c>
      <c r="U92" s="116">
        <f>SUMIF(ALIF_Y2017!$A:$A,$A92,ALIF_Y2017!$F:$F)</f>
        <v>798523.45</v>
      </c>
      <c r="V92" s="116">
        <f>SUMIF(ALIF_Y2018!$A:$A,$A92,ALIF_Y2018!$F:$F)</f>
        <v>876515.95</v>
      </c>
      <c r="W92" s="116">
        <f>SUMIF(ALIF_Y2019!$A:$A,$A92,ALIF_Y2019!$F:$F)</f>
        <v>876515.95</v>
      </c>
      <c r="X92" s="116">
        <f>SUMIF(ALIF_Y2020!$A:$A,$A92,ALIF_Y2020!$F:$F)</f>
        <v>1191638.95</v>
      </c>
      <c r="Y92" s="116">
        <f>SUMIF(ALIF_Y2021!$A:$A,$A92,ALIF_Y2021!$F:$F)</f>
        <v>2056841.15</v>
      </c>
      <c r="Z92" s="116">
        <f>SUMIF(ALIF_Y2022!$A:$A,$A92,ALIF_Y2022!$F:$F)</f>
        <v>2100287.898</v>
      </c>
      <c r="AA92" s="116">
        <f>SUMIF(ALIF_Y2023!$A:$A,$A92,ALIF_Y2023!$F:$F)</f>
        <v>2100287.898</v>
      </c>
      <c r="AE92" s="116" t="e">
        <f>SUMIF(#REF!,$A92,#REF!)</f>
        <v>#REF!</v>
      </c>
      <c r="AF92" s="116" t="e">
        <f>SUMIF(#REF!,$A92,#REF!)</f>
        <v>#REF!</v>
      </c>
      <c r="AG92" s="116" t="e">
        <f>SUMIF(#REF!,$A92,#REF!)</f>
        <v>#REF!</v>
      </c>
      <c r="AH92" s="116" t="e">
        <f>SUMIF(#REF!,$A92,#REF!)</f>
        <v>#REF!</v>
      </c>
      <c r="AI92" s="116" t="e">
        <f>SUMIF(#REF!,$A92,#REF!)</f>
        <v>#REF!</v>
      </c>
      <c r="AJ92" s="116" t="e">
        <f>SUMIF(#REF!,$A92,#REF!)</f>
        <v>#REF!</v>
      </c>
      <c r="AK92" s="116" t="e">
        <f>SUMIF(#REF!,$A92,#REF!)</f>
        <v>#REF!</v>
      </c>
      <c r="AL92" s="116" t="e">
        <f>SUMIF(#REF!,$A92,#REF!)</f>
        <v>#REF!</v>
      </c>
      <c r="AM92" s="116" t="e">
        <f>SUMIF(#REF!,$A92,#REF!)</f>
        <v>#REF!</v>
      </c>
      <c r="AN92" s="116" t="e">
        <f>SUMIF(#REF!,$A92,#REF!)</f>
        <v>#REF!</v>
      </c>
      <c r="AO92" s="116" t="e">
        <f>SUMIF(#REF!,$A92,#REF!)</f>
        <v>#REF!</v>
      </c>
    </row>
    <row r="93" spans="1:42" x14ac:dyDescent="0.25">
      <c r="A93" s="101">
        <v>110008</v>
      </c>
      <c r="B93" t="s">
        <v>6</v>
      </c>
      <c r="C93" s="116" t="e">
        <f t="shared" si="62"/>
        <v>#REF!</v>
      </c>
      <c r="D93" s="116" t="e">
        <f t="shared" si="63"/>
        <v>#REF!</v>
      </c>
      <c r="E93" s="116" t="e">
        <f t="shared" si="64"/>
        <v>#REF!</v>
      </c>
      <c r="F93" s="116" t="e">
        <f t="shared" si="65"/>
        <v>#REF!</v>
      </c>
      <c r="G93" s="116" t="e">
        <f t="shared" si="66"/>
        <v>#REF!</v>
      </c>
      <c r="H93" s="116" t="e">
        <f t="shared" si="67"/>
        <v>#REF!</v>
      </c>
      <c r="I93" s="116" t="e">
        <f t="shared" si="68"/>
        <v>#REF!</v>
      </c>
      <c r="J93" s="116" t="e">
        <f t="shared" si="69"/>
        <v>#REF!</v>
      </c>
      <c r="K93" s="116" t="e">
        <f t="shared" si="70"/>
        <v>#REF!</v>
      </c>
      <c r="L93" s="116" t="e">
        <f t="shared" si="71"/>
        <v>#REF!</v>
      </c>
      <c r="M93" s="116" t="e">
        <f t="shared" si="72"/>
        <v>#REF!</v>
      </c>
      <c r="N93" s="116">
        <f t="shared" si="73"/>
        <v>0</v>
      </c>
      <c r="Q93" s="116" t="e">
        <f>SUMIF(#REF!,$A93,#REF!)</f>
        <v>#REF!</v>
      </c>
      <c r="R93" s="116">
        <f>SUMIF(ALIF_Y2014!$A:$A,$A93,ALIF_Y2014!$F:$F)</f>
        <v>191765.4</v>
      </c>
      <c r="S93" s="116">
        <f>SUMIF(ALIF_Y2015!$A:$A,$A93,ALIF_Y2015!$F:$F)</f>
        <v>191765.4</v>
      </c>
      <c r="T93" s="116">
        <f>SUMIF(ALIF_Y2016!$A:$A,$A93,ALIF_Y2016!$F:$F)</f>
        <v>191765.4</v>
      </c>
      <c r="U93" s="116">
        <f>SUMIF(ALIF_Y2017!$A:$A,$A93,ALIF_Y2017!$F:$F)</f>
        <v>191765.4</v>
      </c>
      <c r="V93" s="116">
        <f>SUMIF(ALIF_Y2018!$A:$A,$A93,ALIF_Y2018!$F:$F)</f>
        <v>533547.4</v>
      </c>
      <c r="W93" s="116">
        <f>SUMIF(ALIF_Y2019!$A:$A,$A93,ALIF_Y2019!$F:$F)</f>
        <v>616788.348</v>
      </c>
      <c r="X93" s="116">
        <f>SUMIF(ALIF_Y2020!$A:$A,$A93,ALIF_Y2020!$F:$F)</f>
        <v>961301.67799999996</v>
      </c>
      <c r="Y93" s="116">
        <f>SUMIF(ALIF_Y2021!$A:$A,$A93,ALIF_Y2021!$F:$F)</f>
        <v>1015678.496</v>
      </c>
      <c r="Z93" s="116">
        <f>SUMIF(ALIF_Y2022!$A:$A,$A93,ALIF_Y2022!$F:$F)</f>
        <v>1101801</v>
      </c>
      <c r="AA93" s="116">
        <f>SUMIF(ALIF_Y2023!$A:$A,$A93,ALIF_Y2023!$F:$F)</f>
        <v>1101801</v>
      </c>
      <c r="AE93" s="116" t="e">
        <f>SUMIF(#REF!,$A93,#REF!)</f>
        <v>#REF!</v>
      </c>
      <c r="AF93" s="116" t="e">
        <f>SUMIF(#REF!,$A93,#REF!)</f>
        <v>#REF!</v>
      </c>
      <c r="AG93" s="116" t="e">
        <f>SUMIF(#REF!,$A93,#REF!)</f>
        <v>#REF!</v>
      </c>
      <c r="AH93" s="116" t="e">
        <f>SUMIF(#REF!,$A93,#REF!)</f>
        <v>#REF!</v>
      </c>
      <c r="AI93" s="116" t="e">
        <f>SUMIF(#REF!,$A93,#REF!)</f>
        <v>#REF!</v>
      </c>
      <c r="AJ93" s="116" t="e">
        <f>SUMIF(#REF!,$A93,#REF!)</f>
        <v>#REF!</v>
      </c>
      <c r="AK93" s="116" t="e">
        <f>SUMIF(#REF!,$A93,#REF!)</f>
        <v>#REF!</v>
      </c>
      <c r="AL93" s="116" t="e">
        <f>SUMIF(#REF!,$A93,#REF!)</f>
        <v>#REF!</v>
      </c>
      <c r="AM93" s="116" t="e">
        <f>SUMIF(#REF!,$A93,#REF!)</f>
        <v>#REF!</v>
      </c>
      <c r="AN93" s="116" t="e">
        <f>SUMIF(#REF!,$A93,#REF!)</f>
        <v>#REF!</v>
      </c>
      <c r="AO93" s="116" t="e">
        <f>SUMIF(#REF!,$A93,#REF!)</f>
        <v>#REF!</v>
      </c>
    </row>
    <row r="94" spans="1:42" ht="7.9" customHeight="1" x14ac:dyDescent="0.25"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</row>
    <row r="95" spans="1:42" x14ac:dyDescent="0.25">
      <c r="A95" s="101"/>
      <c r="C95" s="118" t="e">
        <f t="shared" ref="C95:N95" si="74">SUM(C87:C94)</f>
        <v>#REF!</v>
      </c>
      <c r="D95" s="118" t="e">
        <f t="shared" si="74"/>
        <v>#REF!</v>
      </c>
      <c r="E95" s="118" t="e">
        <f t="shared" si="74"/>
        <v>#REF!</v>
      </c>
      <c r="F95" s="118" t="e">
        <f t="shared" si="74"/>
        <v>#REF!</v>
      </c>
      <c r="G95" s="118" t="e">
        <f t="shared" si="74"/>
        <v>#REF!</v>
      </c>
      <c r="H95" s="118" t="e">
        <f t="shared" si="74"/>
        <v>#REF!</v>
      </c>
      <c r="I95" s="118" t="e">
        <f t="shared" si="74"/>
        <v>#REF!</v>
      </c>
      <c r="J95" s="118" t="e">
        <f t="shared" si="74"/>
        <v>#REF!</v>
      </c>
      <c r="K95" s="118" t="e">
        <f t="shared" si="74"/>
        <v>#REF!</v>
      </c>
      <c r="L95" s="118" t="e">
        <f t="shared" si="74"/>
        <v>#REF!</v>
      </c>
      <c r="M95" s="118" t="e">
        <f t="shared" si="74"/>
        <v>#REF!</v>
      </c>
      <c r="N95" s="118">
        <f t="shared" si="74"/>
        <v>0</v>
      </c>
      <c r="Q95" s="118" t="e">
        <f t="shared" ref="Q95:AB95" si="75">SUM(Q87:Q94)</f>
        <v>#REF!</v>
      </c>
      <c r="R95" s="118">
        <f t="shared" si="75"/>
        <v>43013357.545000002</v>
      </c>
      <c r="S95" s="118">
        <f t="shared" si="75"/>
        <v>43978067.638999999</v>
      </c>
      <c r="T95" s="118">
        <f t="shared" si="75"/>
        <v>44476365.221000001</v>
      </c>
      <c r="U95" s="118">
        <f t="shared" si="75"/>
        <v>48803707.851000004</v>
      </c>
      <c r="V95" s="118">
        <f t="shared" si="75"/>
        <v>175114864.859</v>
      </c>
      <c r="W95" s="118">
        <f t="shared" si="75"/>
        <v>179085747.68699995</v>
      </c>
      <c r="X95" s="118">
        <f t="shared" si="75"/>
        <v>184159177.73399997</v>
      </c>
      <c r="Y95" s="118">
        <f t="shared" si="75"/>
        <v>186234663.36699998</v>
      </c>
      <c r="Z95" s="118">
        <f t="shared" si="75"/>
        <v>194788810.96700001</v>
      </c>
      <c r="AA95" s="118">
        <f t="shared" si="75"/>
        <v>187041515.947</v>
      </c>
      <c r="AB95" s="118">
        <f t="shared" si="75"/>
        <v>0</v>
      </c>
      <c r="AE95" s="118" t="e">
        <f t="shared" ref="AE95:AP95" si="76">SUM(AE87:AE94)</f>
        <v>#REF!</v>
      </c>
      <c r="AF95" s="118" t="e">
        <f t="shared" si="76"/>
        <v>#REF!</v>
      </c>
      <c r="AG95" s="118" t="e">
        <f t="shared" si="76"/>
        <v>#REF!</v>
      </c>
      <c r="AH95" s="118" t="e">
        <f t="shared" si="76"/>
        <v>#REF!</v>
      </c>
      <c r="AI95" s="118" t="e">
        <f t="shared" si="76"/>
        <v>#REF!</v>
      </c>
      <c r="AJ95" s="118" t="e">
        <f t="shared" si="76"/>
        <v>#REF!</v>
      </c>
      <c r="AK95" s="118" t="e">
        <f t="shared" si="76"/>
        <v>#REF!</v>
      </c>
      <c r="AL95" s="118" t="e">
        <f t="shared" si="76"/>
        <v>#REF!</v>
      </c>
      <c r="AM95" s="118" t="e">
        <f t="shared" si="76"/>
        <v>#REF!</v>
      </c>
      <c r="AN95" s="118" t="e">
        <f t="shared" si="76"/>
        <v>#REF!</v>
      </c>
      <c r="AO95" s="118" t="e">
        <f t="shared" si="76"/>
        <v>#REF!</v>
      </c>
      <c r="AP95" s="118">
        <f t="shared" si="76"/>
        <v>0</v>
      </c>
    </row>
    <row r="96" spans="1:42" x14ac:dyDescent="0.25">
      <c r="A96" s="101"/>
    </row>
    <row r="97" spans="1:42" x14ac:dyDescent="0.25">
      <c r="A97" s="101">
        <v>120001</v>
      </c>
      <c r="B97" t="s">
        <v>11</v>
      </c>
      <c r="C97" s="116" t="e">
        <f t="shared" si="62"/>
        <v>#REF!</v>
      </c>
      <c r="D97" s="116" t="e">
        <f t="shared" si="63"/>
        <v>#REF!</v>
      </c>
      <c r="E97" s="116" t="e">
        <f t="shared" si="64"/>
        <v>#REF!</v>
      </c>
      <c r="F97" s="116" t="e">
        <f t="shared" si="65"/>
        <v>#REF!</v>
      </c>
      <c r="G97" s="116" t="e">
        <f t="shared" si="66"/>
        <v>#REF!</v>
      </c>
      <c r="H97" s="116" t="e">
        <f t="shared" si="67"/>
        <v>#REF!</v>
      </c>
      <c r="I97" s="116" t="e">
        <f t="shared" si="68"/>
        <v>#REF!</v>
      </c>
      <c r="J97" s="116" t="e">
        <f t="shared" si="69"/>
        <v>#REF!</v>
      </c>
      <c r="K97" s="116" t="e">
        <f t="shared" si="70"/>
        <v>#REF!</v>
      </c>
      <c r="L97" s="116" t="e">
        <f t="shared" si="71"/>
        <v>#REF!</v>
      </c>
      <c r="M97" s="116" t="e">
        <f t="shared" si="72"/>
        <v>#REF!</v>
      </c>
      <c r="N97" s="116">
        <f t="shared" si="73"/>
        <v>0</v>
      </c>
      <c r="Q97" s="116" t="e">
        <f>SUMIF(#REF!,$A97,#REF!)</f>
        <v>#REF!</v>
      </c>
      <c r="R97" s="116">
        <f>SUMIF(ALIF_Y2014!$A:$A,$A97,ALIF_Y2014!$F:$F)</f>
        <v>-227682.83</v>
      </c>
      <c r="S97" s="116">
        <f>SUMIF(ALIF_Y2015!$A:$A,$A97,ALIF_Y2015!$F:$F)</f>
        <v>-242695.31099999999</v>
      </c>
      <c r="T97" s="116">
        <f>SUMIF(ALIF_Y2016!$A:$A,$A97,ALIF_Y2016!$F:$F)</f>
        <v>-249150.337</v>
      </c>
      <c r="U97" s="116">
        <f>SUMIF(ALIF_Y2017!$A:$A,$A97,ALIF_Y2017!$F:$F)</f>
        <v>-249682.00700000001</v>
      </c>
      <c r="V97" s="116">
        <f>SUMIF(ALIF_Y2018!$A:$A,$A97,ALIF_Y2018!$F:$F)</f>
        <v>-694867.68700000003</v>
      </c>
      <c r="W97" s="116">
        <f>SUMIF(ALIF_Y2019!$A:$A,$A97,ALIF_Y2019!$F:$F)</f>
        <v>-2186446.301</v>
      </c>
      <c r="X97" s="116">
        <f>SUMIF(ALIF_Y2020!$A:$A,$A97,ALIF_Y2020!$F:$F)</f>
        <v>-3753290.4920000001</v>
      </c>
      <c r="Y97" s="116">
        <f>SUMIF(ALIF_Y2021!$A:$A,$A97,ALIF_Y2021!$F:$F)</f>
        <v>-5320134.68</v>
      </c>
      <c r="Z97" s="116">
        <f>SUMIF(ALIF_Y2022!$A:$A,$A97,ALIF_Y2022!$F:$F)</f>
        <v>-6886978.8799999999</v>
      </c>
      <c r="AA97" s="116">
        <f>SUMIF(ALIF_Y2023!$A:$A,$A97,ALIF_Y2023!$F:$F)</f>
        <v>-8453823.0800000001</v>
      </c>
      <c r="AE97" s="116" t="e">
        <f>SUMIF(#REF!,$A97,#REF!)</f>
        <v>#REF!</v>
      </c>
      <c r="AF97" s="116" t="e">
        <f>SUMIF(#REF!,$A97,#REF!)</f>
        <v>#REF!</v>
      </c>
      <c r="AG97" s="116" t="e">
        <f>SUMIF(#REF!,$A97,#REF!)</f>
        <v>#REF!</v>
      </c>
      <c r="AH97" s="116" t="e">
        <f>SUMIF(#REF!,$A97,#REF!)</f>
        <v>#REF!</v>
      </c>
      <c r="AI97" s="116" t="e">
        <f>SUMIF(#REF!,$A97,#REF!)</f>
        <v>#REF!</v>
      </c>
      <c r="AJ97" s="116" t="e">
        <f>SUMIF(#REF!,$A97,#REF!)</f>
        <v>#REF!</v>
      </c>
      <c r="AK97" s="116" t="e">
        <f>SUMIF(#REF!,$A97,#REF!)</f>
        <v>#REF!</v>
      </c>
      <c r="AL97" s="116" t="e">
        <f>SUMIF(#REF!,$A97,#REF!)</f>
        <v>#REF!</v>
      </c>
      <c r="AM97" s="116" t="e">
        <f>SUMIF(#REF!,$A97,#REF!)</f>
        <v>#REF!</v>
      </c>
      <c r="AN97" s="116" t="e">
        <f>SUMIF(#REF!,$A97,#REF!)</f>
        <v>#REF!</v>
      </c>
      <c r="AO97" s="116" t="e">
        <f>SUMIF(#REF!,$A97,#REF!)</f>
        <v>#REF!</v>
      </c>
    </row>
    <row r="98" spans="1:42" x14ac:dyDescent="0.25">
      <c r="A98" s="101">
        <v>120002</v>
      </c>
      <c r="B98" t="s">
        <v>12</v>
      </c>
      <c r="C98" s="116" t="e">
        <f t="shared" si="62"/>
        <v>#REF!</v>
      </c>
      <c r="D98" s="116" t="e">
        <f t="shared" si="63"/>
        <v>#REF!</v>
      </c>
      <c r="E98" s="116" t="e">
        <f t="shared" si="64"/>
        <v>#REF!</v>
      </c>
      <c r="F98" s="116" t="e">
        <f t="shared" si="65"/>
        <v>#REF!</v>
      </c>
      <c r="G98" s="116" t="e">
        <f t="shared" si="66"/>
        <v>#REF!</v>
      </c>
      <c r="H98" s="116" t="e">
        <f t="shared" si="67"/>
        <v>#REF!</v>
      </c>
      <c r="I98" s="116" t="e">
        <f t="shared" si="68"/>
        <v>#REF!</v>
      </c>
      <c r="J98" s="116" t="e">
        <f t="shared" si="69"/>
        <v>#REF!</v>
      </c>
      <c r="K98" s="116" t="e">
        <f t="shared" si="70"/>
        <v>#REF!</v>
      </c>
      <c r="L98" s="116" t="e">
        <f t="shared" si="71"/>
        <v>#REF!</v>
      </c>
      <c r="M98" s="116" t="e">
        <f t="shared" si="72"/>
        <v>#REF!</v>
      </c>
      <c r="N98" s="116">
        <f t="shared" si="73"/>
        <v>0</v>
      </c>
      <c r="Q98" s="116" t="e">
        <f>SUMIF(#REF!,$A98,#REF!)</f>
        <v>#REF!</v>
      </c>
      <c r="R98" s="116">
        <f>SUMIF(ALIF_Y2014!$A:$A,$A98,ALIF_Y2014!$F:$F)</f>
        <v>-1715968.22</v>
      </c>
      <c r="S98" s="116">
        <f>SUMIF(ALIF_Y2015!$A:$A,$A98,ALIF_Y2015!$F:$F)</f>
        <v>-1760033.9739999999</v>
      </c>
      <c r="T98" s="116">
        <f>SUMIF(ALIF_Y2016!$A:$A,$A98,ALIF_Y2016!$F:$F)</f>
        <v>-1767393.959</v>
      </c>
      <c r="U98" s="116">
        <f>SUMIF(ALIF_Y2017!$A:$A,$A98,ALIF_Y2017!$F:$F)</f>
        <v>-1769803.922</v>
      </c>
      <c r="V98" s="116">
        <f>SUMIF(ALIF_Y2018!$A:$A,$A98,ALIF_Y2018!$F:$F)</f>
        <v>-1782181.44</v>
      </c>
      <c r="W98" s="116">
        <f>SUMIF(ALIF_Y2019!$A:$A,$A98,ALIF_Y2019!$F:$F)</f>
        <v>-1796679.77</v>
      </c>
      <c r="X98" s="116">
        <f>SUMIF(ALIF_Y2020!$A:$A,$A98,ALIF_Y2020!$F:$F)</f>
        <v>-1765393.774</v>
      </c>
      <c r="Y98" s="116">
        <f>SUMIF(ALIF_Y2021!$A:$A,$A98,ALIF_Y2021!$F:$F)</f>
        <v>-1765393.774</v>
      </c>
      <c r="Z98" s="116">
        <f>SUMIF(ALIF_Y2022!$A:$A,$A98,ALIF_Y2022!$F:$F)</f>
        <v>-1765393.774</v>
      </c>
      <c r="AA98" s="116">
        <f>SUMIF(ALIF_Y2023!$A:$A,$A98,ALIF_Y2023!$F:$F)</f>
        <v>-1765393.774</v>
      </c>
      <c r="AE98" s="116" t="e">
        <f>SUMIF(#REF!,$A98,#REF!)</f>
        <v>#REF!</v>
      </c>
      <c r="AF98" s="116" t="e">
        <f>SUMIF(#REF!,$A98,#REF!)</f>
        <v>#REF!</v>
      </c>
      <c r="AG98" s="116" t="e">
        <f>SUMIF(#REF!,$A98,#REF!)</f>
        <v>#REF!</v>
      </c>
      <c r="AH98" s="116" t="e">
        <f>SUMIF(#REF!,$A98,#REF!)</f>
        <v>#REF!</v>
      </c>
      <c r="AI98" s="116" t="e">
        <f>SUMIF(#REF!,$A98,#REF!)</f>
        <v>#REF!</v>
      </c>
      <c r="AJ98" s="116" t="e">
        <f>SUMIF(#REF!,$A98,#REF!)</f>
        <v>#REF!</v>
      </c>
      <c r="AK98" s="116" t="e">
        <f>SUMIF(#REF!,$A98,#REF!)</f>
        <v>#REF!</v>
      </c>
      <c r="AL98" s="116" t="e">
        <f>SUMIF(#REF!,$A98,#REF!)</f>
        <v>#REF!</v>
      </c>
      <c r="AM98" s="116" t="e">
        <f>SUMIF(#REF!,$A98,#REF!)</f>
        <v>#REF!</v>
      </c>
      <c r="AN98" s="116" t="e">
        <f>SUMIF(#REF!,$A98,#REF!)</f>
        <v>#REF!</v>
      </c>
      <c r="AO98" s="116" t="e">
        <f>SUMIF(#REF!,$A98,#REF!)</f>
        <v>#REF!</v>
      </c>
    </row>
    <row r="99" spans="1:42" x14ac:dyDescent="0.25">
      <c r="A99" s="101">
        <v>120003</v>
      </c>
      <c r="B99" t="s">
        <v>13</v>
      </c>
      <c r="C99" s="116" t="e">
        <f t="shared" si="62"/>
        <v>#REF!</v>
      </c>
      <c r="D99" s="116" t="e">
        <f t="shared" si="63"/>
        <v>#REF!</v>
      </c>
      <c r="E99" s="116" t="e">
        <f t="shared" si="64"/>
        <v>#REF!</v>
      </c>
      <c r="F99" s="116" t="e">
        <f t="shared" si="65"/>
        <v>#REF!</v>
      </c>
      <c r="G99" s="116" t="e">
        <f t="shared" si="66"/>
        <v>#REF!</v>
      </c>
      <c r="H99" s="116" t="e">
        <f t="shared" si="67"/>
        <v>#REF!</v>
      </c>
      <c r="I99" s="116" t="e">
        <f t="shared" si="68"/>
        <v>#REF!</v>
      </c>
      <c r="J99" s="116" t="e">
        <f t="shared" si="69"/>
        <v>#REF!</v>
      </c>
      <c r="K99" s="116" t="e">
        <f t="shared" si="70"/>
        <v>#REF!</v>
      </c>
      <c r="L99" s="116" t="e">
        <f t="shared" si="71"/>
        <v>#REF!</v>
      </c>
      <c r="M99" s="116" t="e">
        <f t="shared" si="72"/>
        <v>#REF!</v>
      </c>
      <c r="N99" s="116">
        <f t="shared" si="73"/>
        <v>0</v>
      </c>
      <c r="Q99" s="116" t="e">
        <f>SUMIF(#REF!,$A99,#REF!)</f>
        <v>#REF!</v>
      </c>
      <c r="R99" s="116">
        <f>SUMIF(ALIF_Y2014!$A:$A,$A99,ALIF_Y2014!$F:$F)</f>
        <v>-20403680.359999999</v>
      </c>
      <c r="S99" s="116">
        <f>SUMIF(ALIF_Y2015!$A:$A,$A99,ALIF_Y2015!$F:$F)</f>
        <v>-23854970.600000001</v>
      </c>
      <c r="T99" s="116">
        <f>SUMIF(ALIF_Y2016!$A:$A,$A99,ALIF_Y2016!$F:$F)</f>
        <v>-27289886.682999998</v>
      </c>
      <c r="U99" s="116">
        <f>SUMIF(ALIF_Y2017!$A:$A,$A99,ALIF_Y2017!$F:$F)</f>
        <v>-30823321.811999999</v>
      </c>
      <c r="V99" s="116">
        <f>SUMIF(ALIF_Y2018!$A:$A,$A99,ALIF_Y2018!$F:$F)</f>
        <v>-34787312.380000003</v>
      </c>
      <c r="W99" s="116">
        <f>SUMIF(ALIF_Y2019!$A:$A,$A99,ALIF_Y2019!$F:$F)</f>
        <v>-38426515.730999999</v>
      </c>
      <c r="X99" s="116">
        <f>SUMIF(ALIF_Y2020!$A:$A,$A99,ALIF_Y2020!$F:$F)</f>
        <v>-36593196.344999999</v>
      </c>
      <c r="Y99" s="116">
        <f>SUMIF(ALIF_Y2021!$A:$A,$A99,ALIF_Y2021!$F:$F)</f>
        <v>-40039866.482000001</v>
      </c>
      <c r="Z99" s="116">
        <f>SUMIF(ALIF_Y2022!$A:$A,$A99,ALIF_Y2022!$F:$F)</f>
        <v>-43870447.883000001</v>
      </c>
      <c r="AA99" s="116">
        <f>SUMIF(ALIF_Y2023!$A:$A,$A99,ALIF_Y2023!$F:$F)</f>
        <v>-41530054.737999998</v>
      </c>
      <c r="AE99" s="116" t="e">
        <f>SUMIF(#REF!,$A99,#REF!)</f>
        <v>#REF!</v>
      </c>
      <c r="AF99" s="116" t="e">
        <f>SUMIF(#REF!,$A99,#REF!)</f>
        <v>#REF!</v>
      </c>
      <c r="AG99" s="116" t="e">
        <f>SUMIF(#REF!,$A99,#REF!)</f>
        <v>#REF!</v>
      </c>
      <c r="AH99" s="116" t="e">
        <f>SUMIF(#REF!,$A99,#REF!)</f>
        <v>#REF!</v>
      </c>
      <c r="AI99" s="116" t="e">
        <f>SUMIF(#REF!,$A99,#REF!)</f>
        <v>#REF!</v>
      </c>
      <c r="AJ99" s="116" t="e">
        <f>SUMIF(#REF!,$A99,#REF!)</f>
        <v>#REF!</v>
      </c>
      <c r="AK99" s="116" t="e">
        <f>SUMIF(#REF!,$A99,#REF!)</f>
        <v>#REF!</v>
      </c>
      <c r="AL99" s="116" t="e">
        <f>SUMIF(#REF!,$A99,#REF!)</f>
        <v>#REF!</v>
      </c>
      <c r="AM99" s="116" t="e">
        <f>SUMIF(#REF!,$A99,#REF!)</f>
        <v>#REF!</v>
      </c>
      <c r="AN99" s="116" t="e">
        <f>SUMIF(#REF!,$A99,#REF!)</f>
        <v>#REF!</v>
      </c>
      <c r="AO99" s="116" t="e">
        <f>SUMIF(#REF!,$A99,#REF!)</f>
        <v>#REF!</v>
      </c>
    </row>
    <row r="100" spans="1:42" x14ac:dyDescent="0.25">
      <c r="A100" s="101">
        <v>120005</v>
      </c>
      <c r="B100" t="s">
        <v>14</v>
      </c>
      <c r="C100" s="116" t="e">
        <f t="shared" si="62"/>
        <v>#REF!</v>
      </c>
      <c r="D100" s="116" t="e">
        <f t="shared" si="63"/>
        <v>#REF!</v>
      </c>
      <c r="E100" s="116" t="e">
        <f t="shared" si="64"/>
        <v>#REF!</v>
      </c>
      <c r="F100" s="116" t="e">
        <f t="shared" si="65"/>
        <v>#REF!</v>
      </c>
      <c r="G100" s="116" t="e">
        <f t="shared" si="66"/>
        <v>#REF!</v>
      </c>
      <c r="H100" s="116" t="e">
        <f t="shared" si="67"/>
        <v>#REF!</v>
      </c>
      <c r="I100" s="116" t="e">
        <f t="shared" si="68"/>
        <v>#REF!</v>
      </c>
      <c r="J100" s="116" t="e">
        <f t="shared" si="69"/>
        <v>#REF!</v>
      </c>
      <c r="K100" s="116" t="e">
        <f t="shared" si="70"/>
        <v>#REF!</v>
      </c>
      <c r="L100" s="116" t="e">
        <f t="shared" si="71"/>
        <v>#REF!</v>
      </c>
      <c r="M100" s="116" t="e">
        <f t="shared" si="72"/>
        <v>#REF!</v>
      </c>
      <c r="N100" s="116">
        <f t="shared" si="73"/>
        <v>0</v>
      </c>
      <c r="Q100" s="116" t="e">
        <f>SUMIF(#REF!,$A100,#REF!)</f>
        <v>#REF!</v>
      </c>
      <c r="R100" s="116">
        <f>SUMIF(ALIF_Y2014!$A:$A,$A100,ALIF_Y2014!$F:$F)</f>
        <v>-1053780.57</v>
      </c>
      <c r="S100" s="116">
        <f>SUMIF(ALIF_Y2015!$A:$A,$A100,ALIF_Y2015!$F:$F)</f>
        <v>-1243715.98</v>
      </c>
      <c r="T100" s="116">
        <f>SUMIF(ALIF_Y2016!$A:$A,$A100,ALIF_Y2016!$F:$F)</f>
        <v>-1332799.317</v>
      </c>
      <c r="U100" s="116">
        <f>SUMIF(ALIF_Y2017!$A:$A,$A100,ALIF_Y2017!$F:$F)</f>
        <v>-1421470.1470000001</v>
      </c>
      <c r="V100" s="116">
        <f>SUMIF(ALIF_Y2018!$A:$A,$A100,ALIF_Y2018!$F:$F)</f>
        <v>-1571590.63</v>
      </c>
      <c r="W100" s="116">
        <f>SUMIF(ALIF_Y2019!$A:$A,$A100,ALIF_Y2019!$F:$F)</f>
        <v>-1767725.9750000001</v>
      </c>
      <c r="X100" s="116">
        <f>SUMIF(ALIF_Y2020!$A:$A,$A100,ALIF_Y2020!$F:$F)</f>
        <v>-1917847.0859999999</v>
      </c>
      <c r="Y100" s="116">
        <f>SUMIF(ALIF_Y2021!$A:$A,$A100,ALIF_Y2021!$F:$F)</f>
        <v>-2024836.368</v>
      </c>
      <c r="Z100" s="116">
        <f>SUMIF(ALIF_Y2022!$A:$A,$A100,ALIF_Y2022!$F:$F)</f>
        <v>-2184859.4500000002</v>
      </c>
      <c r="AA100" s="116">
        <f>SUMIF(ALIF_Y2023!$A:$A,$A100,ALIF_Y2023!$F:$F)</f>
        <v>-2378006.81</v>
      </c>
      <c r="AE100" s="116" t="e">
        <f>SUMIF(#REF!,$A100,#REF!)</f>
        <v>#REF!</v>
      </c>
      <c r="AF100" s="116" t="e">
        <f>SUMIF(#REF!,$A100,#REF!)</f>
        <v>#REF!</v>
      </c>
      <c r="AG100" s="116" t="e">
        <f>SUMIF(#REF!,$A100,#REF!)</f>
        <v>#REF!</v>
      </c>
      <c r="AH100" s="116" t="e">
        <f>SUMIF(#REF!,$A100,#REF!)</f>
        <v>#REF!</v>
      </c>
      <c r="AI100" s="116" t="e">
        <f>SUMIF(#REF!,$A100,#REF!)</f>
        <v>#REF!</v>
      </c>
      <c r="AJ100" s="116" t="e">
        <f>SUMIF(#REF!,$A100,#REF!)</f>
        <v>#REF!</v>
      </c>
      <c r="AK100" s="116" t="e">
        <f>SUMIF(#REF!,$A100,#REF!)</f>
        <v>#REF!</v>
      </c>
      <c r="AL100" s="116" t="e">
        <f>SUMIF(#REF!,$A100,#REF!)</f>
        <v>#REF!</v>
      </c>
      <c r="AM100" s="116" t="e">
        <f>SUMIF(#REF!,$A100,#REF!)</f>
        <v>#REF!</v>
      </c>
      <c r="AN100" s="116" t="e">
        <f>SUMIF(#REF!,$A100,#REF!)</f>
        <v>#REF!</v>
      </c>
      <c r="AO100" s="116" t="e">
        <f>SUMIF(#REF!,$A100,#REF!)</f>
        <v>#REF!</v>
      </c>
    </row>
    <row r="101" spans="1:42" x14ac:dyDescent="0.25">
      <c r="A101" s="101">
        <v>120006</v>
      </c>
      <c r="B101" t="s">
        <v>15</v>
      </c>
      <c r="C101" s="116" t="e">
        <f t="shared" si="62"/>
        <v>#REF!</v>
      </c>
      <c r="D101" s="116" t="e">
        <f t="shared" si="63"/>
        <v>#REF!</v>
      </c>
      <c r="E101" s="116" t="e">
        <f t="shared" si="64"/>
        <v>#REF!</v>
      </c>
      <c r="F101" s="116" t="e">
        <f t="shared" si="65"/>
        <v>#REF!</v>
      </c>
      <c r="G101" s="116" t="e">
        <f t="shared" si="66"/>
        <v>#REF!</v>
      </c>
      <c r="H101" s="116" t="e">
        <f t="shared" si="67"/>
        <v>#REF!</v>
      </c>
      <c r="I101" s="116" t="e">
        <f t="shared" si="68"/>
        <v>#REF!</v>
      </c>
      <c r="J101" s="116" t="e">
        <f t="shared" si="69"/>
        <v>#REF!</v>
      </c>
      <c r="K101" s="116" t="e">
        <f t="shared" si="70"/>
        <v>#REF!</v>
      </c>
      <c r="L101" s="116" t="e">
        <f t="shared" si="71"/>
        <v>#REF!</v>
      </c>
      <c r="M101" s="116" t="e">
        <f t="shared" si="72"/>
        <v>#REF!</v>
      </c>
      <c r="N101" s="116">
        <f t="shared" si="73"/>
        <v>0</v>
      </c>
      <c r="Q101" s="116" t="e">
        <f>SUMIF(#REF!,$A101,#REF!)</f>
        <v>#REF!</v>
      </c>
      <c r="R101" s="116">
        <f>SUMIF(ALIF_Y2014!$A:$A,$A101,ALIF_Y2014!$F:$F)</f>
        <v>-69116.08</v>
      </c>
      <c r="S101" s="116">
        <f>SUMIF(ALIF_Y2015!$A:$A,$A101,ALIF_Y2015!$F:$F)</f>
        <v>-255844.21</v>
      </c>
      <c r="T101" s="116">
        <f>SUMIF(ALIF_Y2016!$A:$A,$A101,ALIF_Y2016!$F:$F)</f>
        <v>-439911.33799999999</v>
      </c>
      <c r="U101" s="116">
        <f>SUMIF(ALIF_Y2017!$A:$A,$A101,ALIF_Y2017!$F:$F)</f>
        <v>-619613.80299999996</v>
      </c>
      <c r="V101" s="116">
        <f>SUMIF(ALIF_Y2018!$A:$A,$A101,ALIF_Y2018!$F:$F)</f>
        <v>-812734.49100000004</v>
      </c>
      <c r="W101" s="116">
        <f>SUMIF(ALIF_Y2019!$A:$A,$A101,ALIF_Y2019!$F:$F)</f>
        <v>-832232.89099999995</v>
      </c>
      <c r="X101" s="116">
        <f>SUMIF(ALIF_Y2020!$A:$A,$A101,ALIF_Y2020!$F:$F)</f>
        <v>-928574.01399999997</v>
      </c>
      <c r="Y101" s="116">
        <f>SUMIF(ALIF_Y2021!$A:$A,$A101,ALIF_Y2021!$F:$F)</f>
        <v>-1048090.056</v>
      </c>
      <c r="Z101" s="116">
        <f>SUMIF(ALIF_Y2022!$A:$A,$A101,ALIF_Y2022!$F:$F)</f>
        <v>-1338351.8049999999</v>
      </c>
      <c r="AA101" s="116">
        <f>SUMIF(ALIF_Y2023!$A:$A,$A101,ALIF_Y2023!$F:$F)</f>
        <v>-1629306.473</v>
      </c>
      <c r="AE101" s="116" t="e">
        <f>SUMIF(#REF!,$A101,#REF!)</f>
        <v>#REF!</v>
      </c>
      <c r="AF101" s="116" t="e">
        <f>SUMIF(#REF!,$A101,#REF!)</f>
        <v>#REF!</v>
      </c>
      <c r="AG101" s="116" t="e">
        <f>SUMIF(#REF!,$A101,#REF!)</f>
        <v>#REF!</v>
      </c>
      <c r="AH101" s="116" t="e">
        <f>SUMIF(#REF!,$A101,#REF!)</f>
        <v>#REF!</v>
      </c>
      <c r="AI101" s="116" t="e">
        <f>SUMIF(#REF!,$A101,#REF!)</f>
        <v>#REF!</v>
      </c>
      <c r="AJ101" s="116" t="e">
        <f>SUMIF(#REF!,$A101,#REF!)</f>
        <v>#REF!</v>
      </c>
      <c r="AK101" s="116" t="e">
        <f>SUMIF(#REF!,$A101,#REF!)</f>
        <v>#REF!</v>
      </c>
      <c r="AL101" s="116" t="e">
        <f>SUMIF(#REF!,$A101,#REF!)</f>
        <v>#REF!</v>
      </c>
      <c r="AM101" s="116" t="e">
        <f>SUMIF(#REF!,$A101,#REF!)</f>
        <v>#REF!</v>
      </c>
      <c r="AN101" s="116" t="e">
        <f>SUMIF(#REF!,$A101,#REF!)</f>
        <v>#REF!</v>
      </c>
      <c r="AO101" s="116" t="e">
        <f>SUMIF(#REF!,$A101,#REF!)</f>
        <v>#REF!</v>
      </c>
    </row>
    <row r="102" spans="1:42" x14ac:dyDescent="0.25">
      <c r="A102" s="101">
        <v>120007</v>
      </c>
      <c r="B102" t="s">
        <v>16</v>
      </c>
      <c r="C102" s="116" t="e">
        <f t="shared" si="62"/>
        <v>#REF!</v>
      </c>
      <c r="D102" s="116" t="e">
        <f t="shared" si="63"/>
        <v>#REF!</v>
      </c>
      <c r="E102" s="116" t="e">
        <f t="shared" si="64"/>
        <v>#REF!</v>
      </c>
      <c r="F102" s="116" t="e">
        <f t="shared" si="65"/>
        <v>#REF!</v>
      </c>
      <c r="G102" s="116" t="e">
        <f t="shared" si="66"/>
        <v>#REF!</v>
      </c>
      <c r="H102" s="116" t="e">
        <f t="shared" si="67"/>
        <v>#REF!</v>
      </c>
      <c r="I102" s="116" t="e">
        <f t="shared" si="68"/>
        <v>#REF!</v>
      </c>
      <c r="J102" s="116" t="e">
        <f t="shared" si="69"/>
        <v>#REF!</v>
      </c>
      <c r="K102" s="116" t="e">
        <f t="shared" si="70"/>
        <v>#REF!</v>
      </c>
      <c r="L102" s="116" t="e">
        <f t="shared" si="71"/>
        <v>#REF!</v>
      </c>
      <c r="M102" s="116" t="e">
        <f t="shared" si="72"/>
        <v>#REF!</v>
      </c>
      <c r="N102" s="116">
        <f t="shared" si="73"/>
        <v>0</v>
      </c>
      <c r="Q102" s="116" t="e">
        <f>SUMIF(#REF!,$A102,#REF!)</f>
        <v>#REF!</v>
      </c>
      <c r="R102" s="116">
        <f>SUMIF(ALIF_Y2014!$A:$A,$A102,ALIF_Y2014!$F:$F)</f>
        <v>-154323.31899999999</v>
      </c>
      <c r="S102" s="116">
        <f>SUMIF(ALIF_Y2015!$A:$A,$A102,ALIF_Y2015!$F:$F)</f>
        <v>-167396.32199999999</v>
      </c>
      <c r="T102" s="116">
        <f>SUMIF(ALIF_Y2016!$A:$A,$A102,ALIF_Y2016!$F:$F)</f>
        <v>-176382.90299999999</v>
      </c>
      <c r="U102" s="116">
        <f>SUMIF(ALIF_Y2017!$A:$A,$A102,ALIF_Y2017!$F:$F)</f>
        <v>-182314.43299999999</v>
      </c>
      <c r="V102" s="116">
        <f>SUMIF(ALIF_Y2018!$A:$A,$A102,ALIF_Y2018!$F:$F)</f>
        <v>-221019.97700000001</v>
      </c>
      <c r="W102" s="116">
        <f>SUMIF(ALIF_Y2019!$A:$A,$A102,ALIF_Y2019!$F:$F)</f>
        <v>-264210.005</v>
      </c>
      <c r="X102" s="116">
        <f>SUMIF(ALIF_Y2020!$A:$A,$A102,ALIF_Y2020!$F:$F)</f>
        <v>-320357.62</v>
      </c>
      <c r="Y102" s="116">
        <f>SUMIF(ALIF_Y2021!$A:$A,$A102,ALIF_Y2021!$F:$F)</f>
        <v>-396808.4</v>
      </c>
      <c r="Z102" s="116">
        <f>SUMIF(ALIF_Y2022!$A:$A,$A102,ALIF_Y2022!$F:$F)</f>
        <v>-479538.73200000002</v>
      </c>
      <c r="AA102" s="116">
        <f>SUMIF(ALIF_Y2023!$A:$A,$A102,ALIF_Y2023!$F:$F)</f>
        <v>-567470.49600000004</v>
      </c>
      <c r="AE102" s="116" t="e">
        <f>SUMIF(#REF!,$A102,#REF!)</f>
        <v>#REF!</v>
      </c>
      <c r="AF102" s="116" t="e">
        <f>SUMIF(#REF!,$A102,#REF!)</f>
        <v>#REF!</v>
      </c>
      <c r="AG102" s="116" t="e">
        <f>SUMIF(#REF!,$A102,#REF!)</f>
        <v>#REF!</v>
      </c>
      <c r="AH102" s="116" t="e">
        <f>SUMIF(#REF!,$A102,#REF!)</f>
        <v>#REF!</v>
      </c>
      <c r="AI102" s="116" t="e">
        <f>SUMIF(#REF!,$A102,#REF!)</f>
        <v>#REF!</v>
      </c>
      <c r="AJ102" s="116" t="e">
        <f>SUMIF(#REF!,$A102,#REF!)</f>
        <v>#REF!</v>
      </c>
      <c r="AK102" s="116" t="e">
        <f>SUMIF(#REF!,$A102,#REF!)</f>
        <v>#REF!</v>
      </c>
      <c r="AL102" s="116" t="e">
        <f>SUMIF(#REF!,$A102,#REF!)</f>
        <v>#REF!</v>
      </c>
      <c r="AM102" s="116" t="e">
        <f>SUMIF(#REF!,$A102,#REF!)</f>
        <v>#REF!</v>
      </c>
      <c r="AN102" s="116" t="e">
        <f>SUMIF(#REF!,$A102,#REF!)</f>
        <v>#REF!</v>
      </c>
      <c r="AO102" s="116" t="e">
        <f>SUMIF(#REF!,$A102,#REF!)</f>
        <v>#REF!</v>
      </c>
    </row>
    <row r="103" spans="1:42" ht="7.9" customHeight="1" x14ac:dyDescent="0.25"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</row>
    <row r="104" spans="1:42" x14ac:dyDescent="0.25">
      <c r="A104" s="101"/>
      <c r="C104" s="118" t="e">
        <f t="shared" ref="C104:N104" si="77">SUM(C97:C103)</f>
        <v>#REF!</v>
      </c>
      <c r="D104" s="118" t="e">
        <f t="shared" si="77"/>
        <v>#REF!</v>
      </c>
      <c r="E104" s="118" t="e">
        <f t="shared" si="77"/>
        <v>#REF!</v>
      </c>
      <c r="F104" s="118" t="e">
        <f t="shared" si="77"/>
        <v>#REF!</v>
      </c>
      <c r="G104" s="118" t="e">
        <f t="shared" si="77"/>
        <v>#REF!</v>
      </c>
      <c r="H104" s="118" t="e">
        <f t="shared" si="77"/>
        <v>#REF!</v>
      </c>
      <c r="I104" s="118" t="e">
        <f t="shared" si="77"/>
        <v>#REF!</v>
      </c>
      <c r="J104" s="118" t="e">
        <f t="shared" si="77"/>
        <v>#REF!</v>
      </c>
      <c r="K104" s="118" t="e">
        <f t="shared" si="77"/>
        <v>#REF!</v>
      </c>
      <c r="L104" s="118" t="e">
        <f t="shared" si="77"/>
        <v>#REF!</v>
      </c>
      <c r="M104" s="118" t="e">
        <f t="shared" si="77"/>
        <v>#REF!</v>
      </c>
      <c r="N104" s="118">
        <f t="shared" si="77"/>
        <v>0</v>
      </c>
      <c r="Q104" s="118" t="e">
        <f t="shared" ref="Q104:AB104" si="78">SUM(Q97:Q103)</f>
        <v>#REF!</v>
      </c>
      <c r="R104" s="118">
        <f t="shared" si="78"/>
        <v>-23624551.378999997</v>
      </c>
      <c r="S104" s="118">
        <f t="shared" si="78"/>
        <v>-27524656.397000004</v>
      </c>
      <c r="T104" s="118">
        <f t="shared" si="78"/>
        <v>-31255524.537</v>
      </c>
      <c r="U104" s="118">
        <f t="shared" si="78"/>
        <v>-35066206.124000005</v>
      </c>
      <c r="V104" s="118">
        <f t="shared" si="78"/>
        <v>-39869706.604999997</v>
      </c>
      <c r="W104" s="118">
        <f t="shared" si="78"/>
        <v>-45273810.673000008</v>
      </c>
      <c r="X104" s="118">
        <f t="shared" si="78"/>
        <v>-45278659.331</v>
      </c>
      <c r="Y104" s="118">
        <f t="shared" si="78"/>
        <v>-50595129.760000005</v>
      </c>
      <c r="Z104" s="118">
        <f t="shared" si="78"/>
        <v>-56525570.524000004</v>
      </c>
      <c r="AA104" s="118">
        <f t="shared" si="78"/>
        <v>-56324055.370999999</v>
      </c>
      <c r="AB104" s="118">
        <f t="shared" si="78"/>
        <v>0</v>
      </c>
      <c r="AE104" s="118" t="e">
        <f t="shared" ref="AE104:AP104" si="79">SUM(AE97:AE103)</f>
        <v>#REF!</v>
      </c>
      <c r="AF104" s="118" t="e">
        <f t="shared" si="79"/>
        <v>#REF!</v>
      </c>
      <c r="AG104" s="118" t="e">
        <f t="shared" si="79"/>
        <v>#REF!</v>
      </c>
      <c r="AH104" s="118" t="e">
        <f t="shared" si="79"/>
        <v>#REF!</v>
      </c>
      <c r="AI104" s="118" t="e">
        <f t="shared" si="79"/>
        <v>#REF!</v>
      </c>
      <c r="AJ104" s="118" t="e">
        <f t="shared" si="79"/>
        <v>#REF!</v>
      </c>
      <c r="AK104" s="118" t="e">
        <f t="shared" si="79"/>
        <v>#REF!</v>
      </c>
      <c r="AL104" s="118" t="e">
        <f t="shared" si="79"/>
        <v>#REF!</v>
      </c>
      <c r="AM104" s="118" t="e">
        <f t="shared" si="79"/>
        <v>#REF!</v>
      </c>
      <c r="AN104" s="118" t="e">
        <f t="shared" si="79"/>
        <v>#REF!</v>
      </c>
      <c r="AO104" s="118" t="e">
        <f t="shared" si="79"/>
        <v>#REF!</v>
      </c>
      <c r="AP104" s="118">
        <f t="shared" si="79"/>
        <v>0</v>
      </c>
    </row>
    <row r="105" spans="1:42" x14ac:dyDescent="0.25">
      <c r="A105" s="101"/>
    </row>
    <row r="106" spans="1:42" x14ac:dyDescent="0.25">
      <c r="A106" s="101">
        <v>111010</v>
      </c>
      <c r="B106" t="s">
        <v>8</v>
      </c>
      <c r="C106" s="116" t="e">
        <f t="shared" ref="C106:N108" si="80">Q106+AE106</f>
        <v>#REF!</v>
      </c>
      <c r="D106" s="116" t="e">
        <f t="shared" si="80"/>
        <v>#REF!</v>
      </c>
      <c r="E106" s="116" t="e">
        <f t="shared" si="80"/>
        <v>#REF!</v>
      </c>
      <c r="F106" s="116" t="e">
        <f t="shared" si="80"/>
        <v>#REF!</v>
      </c>
      <c r="G106" s="116" t="e">
        <f t="shared" si="80"/>
        <v>#REF!</v>
      </c>
      <c r="H106" s="116" t="e">
        <f t="shared" si="80"/>
        <v>#REF!</v>
      </c>
      <c r="I106" s="116" t="e">
        <f t="shared" si="80"/>
        <v>#REF!</v>
      </c>
      <c r="J106" s="116" t="e">
        <f t="shared" si="80"/>
        <v>#REF!</v>
      </c>
      <c r="K106" s="116" t="e">
        <f t="shared" si="80"/>
        <v>#REF!</v>
      </c>
      <c r="L106" s="116" t="e">
        <f t="shared" si="80"/>
        <v>#REF!</v>
      </c>
      <c r="M106" s="116" t="e">
        <f t="shared" si="80"/>
        <v>#REF!</v>
      </c>
      <c r="N106" s="116">
        <f t="shared" si="80"/>
        <v>0</v>
      </c>
      <c r="Q106" s="116" t="e">
        <f>SUMIF(#REF!,$A106,#REF!)</f>
        <v>#REF!</v>
      </c>
      <c r="R106" s="116">
        <f>SUMIF(ALIF_Y2014!$A:$A,$A106,ALIF_Y2014!$F:$F)</f>
        <v>0</v>
      </c>
      <c r="S106" s="116">
        <f>SUMIF(ALIF_Y2015!$A:$A,$A106,ALIF_Y2015!$F:$F)</f>
        <v>0</v>
      </c>
      <c r="T106" s="116">
        <f>SUMIF(ALIF_Y2016!$A:$A,$A106,ALIF_Y2016!$F:$F)</f>
        <v>0</v>
      </c>
      <c r="U106" s="116">
        <f>SUMIF(ALIF_Y2017!$A:$A,$A106,ALIF_Y2017!$F:$F)</f>
        <v>0</v>
      </c>
      <c r="V106" s="116">
        <f>SUMIF(ALIF_Y2018!$A:$A,$A106,ALIF_Y2018!$F:$F)</f>
        <v>0</v>
      </c>
      <c r="W106" s="116">
        <f>SUMIF(ALIF_Y2019!$A:$A,$A106,ALIF_Y2019!$F:$F)</f>
        <v>0</v>
      </c>
      <c r="X106" s="116">
        <f>SUMIF(ALIF_Y2020!$A:$A,$A106,ALIF_Y2020!$F:$F)</f>
        <v>0</v>
      </c>
      <c r="Y106" s="116">
        <f>SUMIF(ALIF_Y2021!$A:$A,$A106,ALIF_Y2021!$F:$F)</f>
        <v>0</v>
      </c>
      <c r="Z106" s="116">
        <f>SUMIF(ALIF_Y2022!$A:$A,$A106,ALIF_Y2022!$F:$F)</f>
        <v>0</v>
      </c>
      <c r="AA106" s="116">
        <f>SUMIF(ALIF_Y2023!$A:$A,$A106,ALIF_Y2023!$F:$F)</f>
        <v>0</v>
      </c>
      <c r="AE106" s="116" t="e">
        <f>SUMIF(#REF!,$A106,#REF!)</f>
        <v>#REF!</v>
      </c>
      <c r="AF106" s="116" t="e">
        <f>SUMIF(#REF!,$A106,#REF!)</f>
        <v>#REF!</v>
      </c>
      <c r="AG106" s="116" t="e">
        <f>SUMIF(#REF!,$A106,#REF!)</f>
        <v>#REF!</v>
      </c>
      <c r="AH106" s="116" t="e">
        <f>SUMIF(#REF!,$A106,#REF!)</f>
        <v>#REF!</v>
      </c>
      <c r="AI106" s="116" t="e">
        <f>SUMIF(#REF!,$A106,#REF!)</f>
        <v>#REF!</v>
      </c>
      <c r="AJ106" s="116" t="e">
        <f>SUMIF(#REF!,$A106,#REF!)</f>
        <v>#REF!</v>
      </c>
      <c r="AK106" s="116" t="e">
        <f>SUMIF(#REF!,$A106,#REF!)</f>
        <v>#REF!</v>
      </c>
      <c r="AL106" s="116" t="e">
        <f>SUMIF(#REF!,$A106,#REF!)</f>
        <v>#REF!</v>
      </c>
      <c r="AM106" s="116" t="e">
        <f>SUMIF(#REF!,$A106,#REF!)</f>
        <v>#REF!</v>
      </c>
      <c r="AN106" s="116" t="e">
        <f>SUMIF(#REF!,$A106,#REF!)</f>
        <v>#REF!</v>
      </c>
      <c r="AO106" s="116" t="e">
        <f>SUMIF(#REF!,$A106,#REF!)</f>
        <v>#REF!</v>
      </c>
    </row>
    <row r="107" spans="1:42" x14ac:dyDescent="0.25">
      <c r="A107" s="101">
        <v>111013</v>
      </c>
      <c r="B107" t="s">
        <v>9</v>
      </c>
      <c r="C107" s="116" t="e">
        <f t="shared" si="80"/>
        <v>#REF!</v>
      </c>
      <c r="D107" s="116" t="e">
        <f t="shared" si="80"/>
        <v>#REF!</v>
      </c>
      <c r="E107" s="116" t="e">
        <f t="shared" si="80"/>
        <v>#REF!</v>
      </c>
      <c r="F107" s="116" t="e">
        <f t="shared" si="80"/>
        <v>#REF!</v>
      </c>
      <c r="G107" s="116" t="e">
        <f t="shared" si="80"/>
        <v>#REF!</v>
      </c>
      <c r="H107" s="116" t="e">
        <f t="shared" si="80"/>
        <v>#REF!</v>
      </c>
      <c r="I107" s="116" t="e">
        <f t="shared" si="80"/>
        <v>#REF!</v>
      </c>
      <c r="J107" s="116" t="e">
        <f t="shared" si="80"/>
        <v>#REF!</v>
      </c>
      <c r="K107" s="116" t="e">
        <f t="shared" si="80"/>
        <v>#REF!</v>
      </c>
      <c r="L107" s="116" t="e">
        <f t="shared" si="80"/>
        <v>#REF!</v>
      </c>
      <c r="M107" s="116" t="e">
        <f t="shared" si="80"/>
        <v>#REF!</v>
      </c>
      <c r="N107" s="116">
        <f t="shared" si="80"/>
        <v>0</v>
      </c>
      <c r="Q107" s="116" t="e">
        <f>SUMIF(#REF!,$A107,#REF!)</f>
        <v>#REF!</v>
      </c>
      <c r="R107" s="116">
        <f>SUMIF(ALIF_Y2014!$A:$A,$A107,ALIF_Y2014!$F:$F)</f>
        <v>0</v>
      </c>
      <c r="S107" s="116">
        <f>SUMIF(ALIF_Y2015!$A:$A,$A107,ALIF_Y2015!$F:$F)</f>
        <v>10769234.605</v>
      </c>
      <c r="T107" s="116">
        <f>SUMIF(ALIF_Y2016!$A:$A,$A107,ALIF_Y2016!$F:$F)</f>
        <v>99946347.437000006</v>
      </c>
      <c r="U107" s="116">
        <f>SUMIF(ALIF_Y2017!$A:$A,$A107,ALIF_Y2017!$F:$F)</f>
        <v>102265401.13600001</v>
      </c>
      <c r="V107" s="116">
        <f>SUMIF(ALIF_Y2018!$A:$A,$A107,ALIF_Y2018!$F:$F)</f>
        <v>5140198.9610000001</v>
      </c>
      <c r="W107" s="116">
        <f>SUMIF(ALIF_Y2019!$A:$A,$A107,ALIF_Y2019!$F:$F)</f>
        <v>8976734.1539999992</v>
      </c>
      <c r="X107" s="116">
        <f>SUMIF(ALIF_Y2020!$A:$A,$A107,ALIF_Y2020!$F:$F)</f>
        <v>0</v>
      </c>
      <c r="Y107" s="116">
        <f>SUMIF(ALIF_Y2021!$A:$A,$A107,ALIF_Y2021!$F:$F)</f>
        <v>0</v>
      </c>
      <c r="Z107" s="116">
        <f>SUMIF(ALIF_Y2022!$A:$A,$A107,ALIF_Y2022!$F:$F)</f>
        <v>0</v>
      </c>
      <c r="AA107" s="116">
        <f>SUMIF(ALIF_Y2023!$A:$A,$A107,ALIF_Y2023!$F:$F)</f>
        <v>569470.01699999999</v>
      </c>
      <c r="AE107" s="116" t="e">
        <f>SUMIF(#REF!,$A107,#REF!)</f>
        <v>#REF!</v>
      </c>
      <c r="AF107" s="116" t="e">
        <f>SUMIF(#REF!,$A107,#REF!)</f>
        <v>#REF!</v>
      </c>
      <c r="AG107" s="116" t="e">
        <f>SUMIF(#REF!,$A107,#REF!)</f>
        <v>#REF!</v>
      </c>
      <c r="AH107" s="116" t="e">
        <f>SUMIF(#REF!,$A107,#REF!)</f>
        <v>#REF!</v>
      </c>
      <c r="AI107" s="116" t="e">
        <f>SUMIF(#REF!,$A107,#REF!)</f>
        <v>#REF!</v>
      </c>
      <c r="AJ107" s="116" t="e">
        <f>SUMIF(#REF!,$A107,#REF!)</f>
        <v>#REF!</v>
      </c>
      <c r="AK107" s="116" t="e">
        <f>SUMIF(#REF!,$A107,#REF!)</f>
        <v>#REF!</v>
      </c>
      <c r="AL107" s="116" t="e">
        <f>SUMIF(#REF!,$A107,#REF!)</f>
        <v>#REF!</v>
      </c>
      <c r="AM107" s="116" t="e">
        <f>SUMIF(#REF!,$A107,#REF!)</f>
        <v>#REF!</v>
      </c>
      <c r="AN107" s="116" t="e">
        <f>SUMIF(#REF!,$A107,#REF!)</f>
        <v>#REF!</v>
      </c>
      <c r="AO107" s="116" t="e">
        <f>SUMIF(#REF!,$A107,#REF!)</f>
        <v>#REF!</v>
      </c>
    </row>
    <row r="108" spans="1:42" x14ac:dyDescent="0.25">
      <c r="A108" s="101">
        <v>111099</v>
      </c>
      <c r="B108" t="s">
        <v>10</v>
      </c>
      <c r="C108" s="116" t="e">
        <f t="shared" si="80"/>
        <v>#REF!</v>
      </c>
      <c r="D108" s="116" t="e">
        <f t="shared" si="80"/>
        <v>#REF!</v>
      </c>
      <c r="E108" s="116" t="e">
        <f t="shared" si="80"/>
        <v>#REF!</v>
      </c>
      <c r="F108" s="116" t="e">
        <f t="shared" si="80"/>
        <v>#REF!</v>
      </c>
      <c r="G108" s="116" t="e">
        <f t="shared" si="80"/>
        <v>#REF!</v>
      </c>
      <c r="H108" s="116" t="e">
        <f t="shared" si="80"/>
        <v>#REF!</v>
      </c>
      <c r="I108" s="116" t="e">
        <f t="shared" si="80"/>
        <v>#REF!</v>
      </c>
      <c r="J108" s="116" t="e">
        <f t="shared" si="80"/>
        <v>#REF!</v>
      </c>
      <c r="K108" s="116" t="e">
        <f t="shared" si="80"/>
        <v>#REF!</v>
      </c>
      <c r="L108" s="116" t="e">
        <f t="shared" si="80"/>
        <v>#REF!</v>
      </c>
      <c r="M108" s="116" t="e">
        <f t="shared" si="80"/>
        <v>#REF!</v>
      </c>
      <c r="N108" s="116">
        <f t="shared" si="80"/>
        <v>0</v>
      </c>
      <c r="Q108" s="116" t="e">
        <f>SUMIF(#REF!,$A108,#REF!)</f>
        <v>#REF!</v>
      </c>
      <c r="R108" s="116">
        <f>SUMIF(ALIF_Y2014!$A:$A,$A108,ALIF_Y2014!$F:$F)</f>
        <v>0</v>
      </c>
      <c r="S108" s="116">
        <f>SUMIF(ALIF_Y2015!$A:$A,$A108,ALIF_Y2015!$F:$F)</f>
        <v>0</v>
      </c>
      <c r="T108" s="116">
        <f>SUMIF(ALIF_Y2016!$A:$A,$A108,ALIF_Y2016!$F:$F)</f>
        <v>0</v>
      </c>
      <c r="U108" s="116">
        <f>SUMIF(ALIF_Y2017!$A:$A,$A108,ALIF_Y2017!$F:$F)</f>
        <v>0</v>
      </c>
      <c r="V108" s="116">
        <f>SUMIF(ALIF_Y2018!$A:$A,$A108,ALIF_Y2018!$F:$F)</f>
        <v>0</v>
      </c>
      <c r="W108" s="116">
        <f>SUMIF(ALIF_Y2019!$A:$A,$A108,ALIF_Y2019!$F:$F)</f>
        <v>0</v>
      </c>
      <c r="X108" s="116">
        <f>SUMIF(ALIF_Y2020!$A:$A,$A108,ALIF_Y2020!$F:$F)</f>
        <v>0</v>
      </c>
      <c r="Y108" s="116">
        <f>SUMIF(ALIF_Y2021!$A:$A,$A108,ALIF_Y2021!$F:$F)</f>
        <v>0</v>
      </c>
      <c r="Z108" s="116">
        <f>SUMIF(ALIF_Y2022!$A:$A,$A108,ALIF_Y2022!$F:$F)</f>
        <v>0</v>
      </c>
      <c r="AA108" s="116">
        <f>SUMIF(ALIF_Y2023!$A:$A,$A108,ALIF_Y2023!$F:$F)</f>
        <v>0</v>
      </c>
      <c r="AE108" s="116" t="e">
        <f>SUMIF(#REF!,$A108,#REF!)</f>
        <v>#REF!</v>
      </c>
      <c r="AF108" s="116" t="e">
        <f>SUMIF(#REF!,$A108,#REF!)</f>
        <v>#REF!</v>
      </c>
      <c r="AG108" s="116" t="e">
        <f>SUMIF(#REF!,$A108,#REF!)</f>
        <v>#REF!</v>
      </c>
      <c r="AH108" s="116" t="e">
        <f>SUMIF(#REF!,$A108,#REF!)</f>
        <v>#REF!</v>
      </c>
      <c r="AI108" s="116" t="e">
        <f>SUMIF(#REF!,$A108,#REF!)</f>
        <v>#REF!</v>
      </c>
      <c r="AJ108" s="116" t="e">
        <f>SUMIF(#REF!,$A108,#REF!)</f>
        <v>#REF!</v>
      </c>
      <c r="AK108" s="116" t="e">
        <f>SUMIF(#REF!,$A108,#REF!)</f>
        <v>#REF!</v>
      </c>
      <c r="AL108" s="116" t="e">
        <f>SUMIF(#REF!,$A108,#REF!)</f>
        <v>#REF!</v>
      </c>
      <c r="AM108" s="116" t="e">
        <f>SUMIF(#REF!,$A108,#REF!)</f>
        <v>#REF!</v>
      </c>
      <c r="AN108" s="116" t="e">
        <f>SUMIF(#REF!,$A108,#REF!)</f>
        <v>#REF!</v>
      </c>
      <c r="AO108" s="116" t="e">
        <f>SUMIF(#REF!,$A108,#REF!)</f>
        <v>#REF!</v>
      </c>
    </row>
    <row r="109" spans="1:42" ht="7.9" customHeight="1" x14ac:dyDescent="0.25"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</row>
    <row r="110" spans="1:42" x14ac:dyDescent="0.25">
      <c r="A110" s="101"/>
      <c r="C110" s="118" t="e">
        <f t="shared" ref="C110:N110" si="81">SUM(C106:C109)</f>
        <v>#REF!</v>
      </c>
      <c r="D110" s="118" t="e">
        <f t="shared" si="81"/>
        <v>#REF!</v>
      </c>
      <c r="E110" s="118" t="e">
        <f t="shared" si="81"/>
        <v>#REF!</v>
      </c>
      <c r="F110" s="118" t="e">
        <f t="shared" si="81"/>
        <v>#REF!</v>
      </c>
      <c r="G110" s="118" t="e">
        <f t="shared" si="81"/>
        <v>#REF!</v>
      </c>
      <c r="H110" s="118" t="e">
        <f t="shared" si="81"/>
        <v>#REF!</v>
      </c>
      <c r="I110" s="118" t="e">
        <f t="shared" si="81"/>
        <v>#REF!</v>
      </c>
      <c r="J110" s="118" t="e">
        <f t="shared" si="81"/>
        <v>#REF!</v>
      </c>
      <c r="K110" s="118" t="e">
        <f t="shared" si="81"/>
        <v>#REF!</v>
      </c>
      <c r="L110" s="118" t="e">
        <f t="shared" si="81"/>
        <v>#REF!</v>
      </c>
      <c r="M110" s="118" t="e">
        <f t="shared" si="81"/>
        <v>#REF!</v>
      </c>
      <c r="N110" s="118">
        <f t="shared" si="81"/>
        <v>0</v>
      </c>
      <c r="Q110" s="118" t="e">
        <f t="shared" ref="Q110:AB110" si="82">SUM(Q106:Q109)</f>
        <v>#REF!</v>
      </c>
      <c r="R110" s="118">
        <f t="shared" si="82"/>
        <v>0</v>
      </c>
      <c r="S110" s="118">
        <f t="shared" si="82"/>
        <v>10769234.605</v>
      </c>
      <c r="T110" s="118">
        <f t="shared" si="82"/>
        <v>99946347.437000006</v>
      </c>
      <c r="U110" s="118">
        <f t="shared" si="82"/>
        <v>102265401.13600001</v>
      </c>
      <c r="V110" s="118">
        <f t="shared" si="82"/>
        <v>5140198.9610000001</v>
      </c>
      <c r="W110" s="118">
        <f t="shared" si="82"/>
        <v>8976734.1539999992</v>
      </c>
      <c r="X110" s="118">
        <f t="shared" si="82"/>
        <v>0</v>
      </c>
      <c r="Y110" s="118">
        <f t="shared" si="82"/>
        <v>0</v>
      </c>
      <c r="Z110" s="118">
        <f t="shared" si="82"/>
        <v>0</v>
      </c>
      <c r="AA110" s="118">
        <f t="shared" si="82"/>
        <v>569470.01699999999</v>
      </c>
      <c r="AB110" s="118">
        <f t="shared" si="82"/>
        <v>0</v>
      </c>
      <c r="AE110" s="118" t="e">
        <f t="shared" ref="AE110:AP110" si="83">SUM(AE106:AE109)</f>
        <v>#REF!</v>
      </c>
      <c r="AF110" s="118" t="e">
        <f t="shared" si="83"/>
        <v>#REF!</v>
      </c>
      <c r="AG110" s="118" t="e">
        <f t="shared" si="83"/>
        <v>#REF!</v>
      </c>
      <c r="AH110" s="118" t="e">
        <f t="shared" si="83"/>
        <v>#REF!</v>
      </c>
      <c r="AI110" s="118" t="e">
        <f t="shared" si="83"/>
        <v>#REF!</v>
      </c>
      <c r="AJ110" s="118" t="e">
        <f t="shared" si="83"/>
        <v>#REF!</v>
      </c>
      <c r="AK110" s="118" t="e">
        <f t="shared" si="83"/>
        <v>#REF!</v>
      </c>
      <c r="AL110" s="118" t="e">
        <f t="shared" si="83"/>
        <v>#REF!</v>
      </c>
      <c r="AM110" s="118" t="e">
        <f t="shared" si="83"/>
        <v>#REF!</v>
      </c>
      <c r="AN110" s="118" t="e">
        <f t="shared" si="83"/>
        <v>#REF!</v>
      </c>
      <c r="AO110" s="118" t="e">
        <f t="shared" si="83"/>
        <v>#REF!</v>
      </c>
      <c r="AP110" s="118">
        <f t="shared" si="83"/>
        <v>0</v>
      </c>
    </row>
    <row r="111" spans="1:42" x14ac:dyDescent="0.25">
      <c r="A111" s="99"/>
    </row>
    <row r="112" spans="1:42" x14ac:dyDescent="0.25">
      <c r="A112" s="99"/>
      <c r="B112" s="99" t="s">
        <v>579</v>
      </c>
      <c r="C112" s="118" t="e">
        <f>C95+C104+C110</f>
        <v>#REF!</v>
      </c>
      <c r="D112" s="118" t="e">
        <f t="shared" ref="D112:N112" si="84">D95+D104+D110</f>
        <v>#REF!</v>
      </c>
      <c r="E112" s="118" t="e">
        <f t="shared" si="84"/>
        <v>#REF!</v>
      </c>
      <c r="F112" s="118" t="e">
        <f t="shared" si="84"/>
        <v>#REF!</v>
      </c>
      <c r="G112" s="118" t="e">
        <f t="shared" si="84"/>
        <v>#REF!</v>
      </c>
      <c r="H112" s="118" t="e">
        <f t="shared" si="84"/>
        <v>#REF!</v>
      </c>
      <c r="I112" s="118" t="e">
        <f t="shared" si="84"/>
        <v>#REF!</v>
      </c>
      <c r="J112" s="118" t="e">
        <f t="shared" si="84"/>
        <v>#REF!</v>
      </c>
      <c r="K112" s="118" t="e">
        <f t="shared" si="84"/>
        <v>#REF!</v>
      </c>
      <c r="L112" s="118" t="e">
        <f t="shared" si="84"/>
        <v>#REF!</v>
      </c>
      <c r="M112" s="118" t="e">
        <f t="shared" si="84"/>
        <v>#REF!</v>
      </c>
      <c r="N112" s="118">
        <f t="shared" si="84"/>
        <v>0</v>
      </c>
      <c r="Q112" s="118" t="e">
        <f t="shared" ref="Q112:AB112" si="85">SUM(Q87:Q111)</f>
        <v>#REF!</v>
      </c>
      <c r="R112" s="118">
        <f t="shared" si="85"/>
        <v>38777612.332000017</v>
      </c>
      <c r="S112" s="118">
        <f t="shared" si="85"/>
        <v>54445291.693999991</v>
      </c>
      <c r="T112" s="118">
        <f t="shared" si="85"/>
        <v>226334376.24200001</v>
      </c>
      <c r="U112" s="118">
        <f t="shared" si="85"/>
        <v>232005805.72600001</v>
      </c>
      <c r="V112" s="118">
        <f t="shared" si="85"/>
        <v>280770714.43000007</v>
      </c>
      <c r="W112" s="118">
        <f t="shared" si="85"/>
        <v>285577342.33599991</v>
      </c>
      <c r="X112" s="118">
        <f t="shared" si="85"/>
        <v>277761036.80599999</v>
      </c>
      <c r="Y112" s="118">
        <f t="shared" si="85"/>
        <v>271279067.21400005</v>
      </c>
      <c r="Z112" s="118">
        <f t="shared" si="85"/>
        <v>276526480.88600004</v>
      </c>
      <c r="AA112" s="118">
        <f t="shared" si="85"/>
        <v>262573861.18600005</v>
      </c>
      <c r="AB112" s="118">
        <f t="shared" si="85"/>
        <v>0</v>
      </c>
      <c r="AE112" s="118" t="e">
        <f t="shared" ref="AE112:AP112" si="86">SUM(AE87:AE111)</f>
        <v>#REF!</v>
      </c>
      <c r="AF112" s="118" t="e">
        <f t="shared" si="86"/>
        <v>#REF!</v>
      </c>
      <c r="AG112" s="118" t="e">
        <f t="shared" si="86"/>
        <v>#REF!</v>
      </c>
      <c r="AH112" s="118" t="e">
        <f t="shared" si="86"/>
        <v>#REF!</v>
      </c>
      <c r="AI112" s="118" t="e">
        <f t="shared" si="86"/>
        <v>#REF!</v>
      </c>
      <c r="AJ112" s="118" t="e">
        <f t="shared" si="86"/>
        <v>#REF!</v>
      </c>
      <c r="AK112" s="118" t="e">
        <f t="shared" si="86"/>
        <v>#REF!</v>
      </c>
      <c r="AL112" s="118" t="e">
        <f t="shared" si="86"/>
        <v>#REF!</v>
      </c>
      <c r="AM112" s="118" t="e">
        <f t="shared" si="86"/>
        <v>#REF!</v>
      </c>
      <c r="AN112" s="118" t="e">
        <f t="shared" si="86"/>
        <v>#REF!</v>
      </c>
      <c r="AO112" s="118" t="e">
        <f t="shared" si="86"/>
        <v>#REF!</v>
      </c>
      <c r="AP112" s="118">
        <f t="shared" si="86"/>
        <v>0</v>
      </c>
    </row>
    <row r="113" spans="1:42" x14ac:dyDescent="0.25">
      <c r="A113" s="99"/>
    </row>
    <row r="115" spans="1:42" x14ac:dyDescent="0.25">
      <c r="A115" s="99" t="s">
        <v>572</v>
      </c>
    </row>
    <row r="116" spans="1:42" x14ac:dyDescent="0.25">
      <c r="A116" s="101">
        <v>111009</v>
      </c>
      <c r="B116" t="s">
        <v>7</v>
      </c>
      <c r="C116" s="116" t="e">
        <f t="shared" ref="C116:C117" si="87">Q116+AE116</f>
        <v>#REF!</v>
      </c>
      <c r="D116" s="116" t="e">
        <f t="shared" ref="D116:D117" si="88">R116+AF116</f>
        <v>#REF!</v>
      </c>
      <c r="E116" s="116" t="e">
        <f t="shared" ref="E116:E117" si="89">S116+AG116</f>
        <v>#REF!</v>
      </c>
      <c r="F116" s="116" t="e">
        <f t="shared" ref="F116:F117" si="90">T116+AH116</f>
        <v>#REF!</v>
      </c>
      <c r="G116" s="116" t="e">
        <f t="shared" ref="G116:G117" si="91">U116+AI116</f>
        <v>#REF!</v>
      </c>
      <c r="H116" s="116" t="e">
        <f t="shared" ref="H116:H117" si="92">V116+AJ116</f>
        <v>#REF!</v>
      </c>
      <c r="I116" s="116" t="e">
        <f t="shared" ref="I116:I117" si="93">W116+AK116</f>
        <v>#REF!</v>
      </c>
      <c r="J116" s="116" t="e">
        <f t="shared" ref="J116:J117" si="94">X116+AL116</f>
        <v>#REF!</v>
      </c>
      <c r="K116" s="116" t="e">
        <f t="shared" ref="K116:K117" si="95">Y116+AM116</f>
        <v>#REF!</v>
      </c>
      <c r="L116" s="116" t="e">
        <f t="shared" ref="L116:L117" si="96">Z116+AN116</f>
        <v>#REF!</v>
      </c>
      <c r="M116" s="116" t="e">
        <f t="shared" ref="M116:M117" si="97">AA116+AO116</f>
        <v>#REF!</v>
      </c>
      <c r="N116" s="116">
        <f t="shared" ref="N116:N117" si="98">AB116+AP116</f>
        <v>0</v>
      </c>
      <c r="Q116" s="116" t="e">
        <f>SUMIF(#REF!,$A116,#REF!)</f>
        <v>#REF!</v>
      </c>
      <c r="R116" s="116">
        <f>SUMIF(ALIF_Y2014!$A:$A,$A116,ALIF_Y2014!$F:$F)</f>
        <v>0</v>
      </c>
      <c r="S116" s="116">
        <f>SUMIF(ALIF_Y2015!$A:$A,$A116,ALIF_Y2015!$F:$F)</f>
        <v>0</v>
      </c>
      <c r="T116" s="116">
        <f>SUMIF(ALIF_Y2016!$A:$A,$A116,ALIF_Y2016!$F:$F)</f>
        <v>0</v>
      </c>
      <c r="U116" s="116">
        <f>SUMIF(ALIF_Y2017!$A:$A,$A116,ALIF_Y2017!$F:$F)</f>
        <v>0</v>
      </c>
      <c r="V116" s="116">
        <f>SUMIF(ALIF_Y2018!$A:$A,$A116,ALIF_Y2018!$F:$F)</f>
        <v>0</v>
      </c>
      <c r="W116" s="116">
        <f>SUMIF(ALIF_Y2019!$A:$A,$A116,ALIF_Y2019!$F:$F)</f>
        <v>2020135</v>
      </c>
      <c r="X116" s="116">
        <f>SUMIF(ALIF_Y2020!$A:$A,$A116,ALIF_Y2020!$F:$F)</f>
        <v>2020135</v>
      </c>
      <c r="Y116" s="116">
        <f>SUMIF(ALIF_Y2021!$A:$A,$A116,ALIF_Y2021!$F:$F)</f>
        <v>2020135</v>
      </c>
      <c r="Z116" s="116">
        <f>SUMIF(ALIF_Y2022!$A:$A,$A116,ALIF_Y2022!$F:$F)</f>
        <v>2020135</v>
      </c>
      <c r="AA116" s="116">
        <f>SUMIF(ALIF_Y2023!$A:$A,$A116,ALIF_Y2023!$F:$F)</f>
        <v>2020135</v>
      </c>
      <c r="AE116" s="116" t="e">
        <f>SUMIF(#REF!,$A116,#REF!)</f>
        <v>#REF!</v>
      </c>
      <c r="AF116" s="116" t="e">
        <f>SUMIF(#REF!,$A116,#REF!)</f>
        <v>#REF!</v>
      </c>
      <c r="AG116" s="116" t="e">
        <f>SUMIF(#REF!,$A116,#REF!)</f>
        <v>#REF!</v>
      </c>
      <c r="AH116" s="116" t="e">
        <f>SUMIF(#REF!,$A116,#REF!)</f>
        <v>#REF!</v>
      </c>
      <c r="AI116" s="116" t="e">
        <f>SUMIF(#REF!,$A116,#REF!)</f>
        <v>#REF!</v>
      </c>
      <c r="AJ116" s="116" t="e">
        <f>SUMIF(#REF!,$A116,#REF!)</f>
        <v>#REF!</v>
      </c>
      <c r="AK116" s="116" t="e">
        <f>SUMIF(#REF!,$A116,#REF!)</f>
        <v>#REF!</v>
      </c>
      <c r="AL116" s="116" t="e">
        <f>SUMIF(#REF!,$A116,#REF!)</f>
        <v>#REF!</v>
      </c>
      <c r="AM116" s="116" t="e">
        <f>SUMIF(#REF!,$A116,#REF!)</f>
        <v>#REF!</v>
      </c>
      <c r="AN116" s="116" t="e">
        <f>SUMIF(#REF!,$A116,#REF!)</f>
        <v>#REF!</v>
      </c>
      <c r="AO116" s="116" t="e">
        <f>SUMIF(#REF!,$A116,#REF!)</f>
        <v>#REF!</v>
      </c>
    </row>
    <row r="117" spans="1:42" x14ac:dyDescent="0.25">
      <c r="A117" s="101">
        <v>120008</v>
      </c>
      <c r="B117" t="s">
        <v>17</v>
      </c>
      <c r="C117" s="116" t="e">
        <f t="shared" si="87"/>
        <v>#REF!</v>
      </c>
      <c r="D117" s="116" t="e">
        <f t="shared" si="88"/>
        <v>#REF!</v>
      </c>
      <c r="E117" s="116" t="e">
        <f t="shared" si="89"/>
        <v>#REF!</v>
      </c>
      <c r="F117" s="116" t="e">
        <f t="shared" si="90"/>
        <v>#REF!</v>
      </c>
      <c r="G117" s="116" t="e">
        <f t="shared" si="91"/>
        <v>#REF!</v>
      </c>
      <c r="H117" s="116" t="e">
        <f t="shared" si="92"/>
        <v>#REF!</v>
      </c>
      <c r="I117" s="116" t="e">
        <f t="shared" si="93"/>
        <v>#REF!</v>
      </c>
      <c r="J117" s="116" t="e">
        <f t="shared" si="94"/>
        <v>#REF!</v>
      </c>
      <c r="K117" s="116" t="e">
        <f t="shared" si="95"/>
        <v>#REF!</v>
      </c>
      <c r="L117" s="116" t="e">
        <f t="shared" si="96"/>
        <v>#REF!</v>
      </c>
      <c r="M117" s="116" t="e">
        <f t="shared" si="97"/>
        <v>#REF!</v>
      </c>
      <c r="N117" s="116">
        <f t="shared" si="98"/>
        <v>0</v>
      </c>
      <c r="Q117" s="116" t="e">
        <f>SUMIF(#REF!,$A117,#REF!)</f>
        <v>#REF!</v>
      </c>
      <c r="R117" s="116">
        <f>SUMIF(ALIF_Y2014!$A:$A,$A117,ALIF_Y2014!$F:$F)</f>
        <v>0</v>
      </c>
      <c r="S117" s="116">
        <f>SUMIF(ALIF_Y2015!$A:$A,$A117,ALIF_Y2015!$F:$F)</f>
        <v>0</v>
      </c>
      <c r="T117" s="116">
        <f>SUMIF(ALIF_Y2016!$A:$A,$A117,ALIF_Y2016!$F:$F)</f>
        <v>0</v>
      </c>
      <c r="U117" s="116">
        <f>SUMIF(ALIF_Y2017!$A:$A,$A117,ALIF_Y2017!$F:$F)</f>
        <v>0</v>
      </c>
      <c r="V117" s="116">
        <f>SUMIF(ALIF_Y2018!$A:$A,$A117,ALIF_Y2018!$F:$F)</f>
        <v>0</v>
      </c>
      <c r="W117" s="116">
        <f>SUMIF(ALIF_Y2019!$A:$A,$A117,ALIF_Y2019!$F:$F)</f>
        <v>-24787</v>
      </c>
      <c r="X117" s="116">
        <f>SUMIF(ALIF_Y2020!$A:$A,$A117,ALIF_Y2020!$F:$F)</f>
        <v>-173509.508</v>
      </c>
      <c r="Y117" s="116">
        <f>SUMIF(ALIF_Y2021!$A:$A,$A117,ALIF_Y2021!$F:$F)</f>
        <v>-333622.50799999997</v>
      </c>
      <c r="Z117" s="116">
        <f>SUMIF(ALIF_Y2022!$A:$A,$A117,ALIF_Y2022!$F:$F)</f>
        <v>-482953.92099999997</v>
      </c>
      <c r="AA117" s="116">
        <f>SUMIF(ALIF_Y2023!$A:$A,$A117,ALIF_Y2023!$F:$F)</f>
        <v>-645860.91700000002</v>
      </c>
      <c r="AE117" s="116" t="e">
        <f>SUMIF(#REF!,$A117,#REF!)</f>
        <v>#REF!</v>
      </c>
      <c r="AF117" s="116" t="e">
        <f>SUMIF(#REF!,$A117,#REF!)</f>
        <v>#REF!</v>
      </c>
      <c r="AG117" s="116" t="e">
        <f>SUMIF(#REF!,$A117,#REF!)</f>
        <v>#REF!</v>
      </c>
      <c r="AH117" s="116" t="e">
        <f>SUMIF(#REF!,$A117,#REF!)</f>
        <v>#REF!</v>
      </c>
      <c r="AI117" s="116" t="e">
        <f>SUMIF(#REF!,$A117,#REF!)</f>
        <v>#REF!</v>
      </c>
      <c r="AJ117" s="116" t="e">
        <f>SUMIF(#REF!,$A117,#REF!)</f>
        <v>#REF!</v>
      </c>
      <c r="AK117" s="116" t="e">
        <f>SUMIF(#REF!,$A117,#REF!)</f>
        <v>#REF!</v>
      </c>
      <c r="AL117" s="116" t="e">
        <f>SUMIF(#REF!,$A117,#REF!)</f>
        <v>#REF!</v>
      </c>
      <c r="AM117" s="116" t="e">
        <f>SUMIF(#REF!,$A117,#REF!)</f>
        <v>#REF!</v>
      </c>
      <c r="AN117" s="116" t="e">
        <f>SUMIF(#REF!,$A117,#REF!)</f>
        <v>#REF!</v>
      </c>
      <c r="AO117" s="116" t="e">
        <f>SUMIF(#REF!,$A117,#REF!)</f>
        <v>#REF!</v>
      </c>
    </row>
    <row r="118" spans="1:42" ht="7.9" customHeight="1" x14ac:dyDescent="0.25"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</row>
    <row r="119" spans="1:42" x14ac:dyDescent="0.25">
      <c r="A119" s="99"/>
      <c r="C119" s="118" t="e">
        <f t="shared" ref="C119:N119" si="99">SUM(C116:C118)</f>
        <v>#REF!</v>
      </c>
      <c r="D119" s="118" t="e">
        <f t="shared" si="99"/>
        <v>#REF!</v>
      </c>
      <c r="E119" s="118" t="e">
        <f t="shared" si="99"/>
        <v>#REF!</v>
      </c>
      <c r="F119" s="118" t="e">
        <f t="shared" si="99"/>
        <v>#REF!</v>
      </c>
      <c r="G119" s="118" t="e">
        <f t="shared" si="99"/>
        <v>#REF!</v>
      </c>
      <c r="H119" s="118" t="e">
        <f t="shared" si="99"/>
        <v>#REF!</v>
      </c>
      <c r="I119" s="118" t="e">
        <f t="shared" si="99"/>
        <v>#REF!</v>
      </c>
      <c r="J119" s="118" t="e">
        <f t="shared" si="99"/>
        <v>#REF!</v>
      </c>
      <c r="K119" s="118" t="e">
        <f t="shared" si="99"/>
        <v>#REF!</v>
      </c>
      <c r="L119" s="118" t="e">
        <f t="shared" si="99"/>
        <v>#REF!</v>
      </c>
      <c r="M119" s="118" t="e">
        <f t="shared" si="99"/>
        <v>#REF!</v>
      </c>
      <c r="N119" s="118">
        <f t="shared" si="99"/>
        <v>0</v>
      </c>
      <c r="Q119" s="118" t="e">
        <f>SUM(Q116:Q118)</f>
        <v>#REF!</v>
      </c>
      <c r="R119" s="118">
        <f t="shared" ref="R119:AB119" si="100">SUM(R116:R118)</f>
        <v>0</v>
      </c>
      <c r="S119" s="118">
        <f t="shared" si="100"/>
        <v>0</v>
      </c>
      <c r="T119" s="118">
        <f t="shared" si="100"/>
        <v>0</v>
      </c>
      <c r="U119" s="118">
        <f t="shared" si="100"/>
        <v>0</v>
      </c>
      <c r="V119" s="118">
        <f t="shared" si="100"/>
        <v>0</v>
      </c>
      <c r="W119" s="118">
        <f t="shared" si="100"/>
        <v>1995348</v>
      </c>
      <c r="X119" s="118">
        <f t="shared" si="100"/>
        <v>1846625.4920000001</v>
      </c>
      <c r="Y119" s="118">
        <f t="shared" si="100"/>
        <v>1686512.4920000001</v>
      </c>
      <c r="Z119" s="118">
        <f t="shared" si="100"/>
        <v>1537181.0789999999</v>
      </c>
      <c r="AA119" s="118">
        <f t="shared" si="100"/>
        <v>1374274.0830000001</v>
      </c>
      <c r="AB119" s="118">
        <f t="shared" si="100"/>
        <v>0</v>
      </c>
      <c r="AE119" s="118" t="e">
        <f>SUM(AE116:AE118)</f>
        <v>#REF!</v>
      </c>
      <c r="AF119" s="118" t="e">
        <f t="shared" ref="AF119:AO119" si="101">SUM(AF116:AF118)</f>
        <v>#REF!</v>
      </c>
      <c r="AG119" s="118" t="e">
        <f t="shared" si="101"/>
        <v>#REF!</v>
      </c>
      <c r="AH119" s="118" t="e">
        <f t="shared" si="101"/>
        <v>#REF!</v>
      </c>
      <c r="AI119" s="118" t="e">
        <f t="shared" si="101"/>
        <v>#REF!</v>
      </c>
      <c r="AJ119" s="118" t="e">
        <f t="shared" si="101"/>
        <v>#REF!</v>
      </c>
      <c r="AK119" s="118" t="e">
        <f t="shared" si="101"/>
        <v>#REF!</v>
      </c>
      <c r="AL119" s="118" t="e">
        <f t="shared" si="101"/>
        <v>#REF!</v>
      </c>
      <c r="AM119" s="118" t="e">
        <f t="shared" si="101"/>
        <v>#REF!</v>
      </c>
      <c r="AN119" s="118" t="e">
        <f t="shared" si="101"/>
        <v>#REF!</v>
      </c>
      <c r="AO119" s="118" t="e">
        <f t="shared" si="101"/>
        <v>#REF!</v>
      </c>
    </row>
    <row r="120" spans="1:42" x14ac:dyDescent="0.25">
      <c r="A120" s="99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</row>
    <row r="121" spans="1:42" x14ac:dyDescent="0.25">
      <c r="A121" s="99" t="s">
        <v>573</v>
      </c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</row>
    <row r="122" spans="1:42" x14ac:dyDescent="0.25">
      <c r="A122" s="101">
        <v>170000</v>
      </c>
      <c r="B122" t="s">
        <v>40</v>
      </c>
      <c r="C122" s="116" t="e">
        <f t="shared" ref="C122:C133" si="102">Q122+AE122</f>
        <v>#REF!</v>
      </c>
      <c r="D122" s="116" t="e">
        <f t="shared" ref="D122:D133" si="103">R122+AF122</f>
        <v>#REF!</v>
      </c>
      <c r="E122" s="116" t="e">
        <f t="shared" ref="E122:E133" si="104">S122+AG122</f>
        <v>#REF!</v>
      </c>
      <c r="F122" s="116" t="e">
        <f t="shared" ref="F122:F133" si="105">T122+AH122</f>
        <v>#REF!</v>
      </c>
      <c r="G122" s="116" t="e">
        <f t="shared" ref="G122:G133" si="106">U122+AI122</f>
        <v>#REF!</v>
      </c>
      <c r="H122" s="116" t="e">
        <f t="shared" ref="H122:H133" si="107">V122+AJ122</f>
        <v>#REF!</v>
      </c>
      <c r="I122" s="116" t="e">
        <f t="shared" ref="I122:I133" si="108">W122+AK122</f>
        <v>#REF!</v>
      </c>
      <c r="J122" s="116" t="e">
        <f t="shared" ref="J122:J133" si="109">X122+AL122</f>
        <v>#REF!</v>
      </c>
      <c r="K122" s="116" t="e">
        <f t="shared" ref="K122:K133" si="110">Y122+AM122</f>
        <v>#REF!</v>
      </c>
      <c r="L122" s="116" t="e">
        <f t="shared" ref="L122:L133" si="111">Z122+AN122</f>
        <v>#REF!</v>
      </c>
      <c r="M122" s="116" t="e">
        <f t="shared" ref="M122:M133" si="112">AA122+AO122</f>
        <v>#REF!</v>
      </c>
      <c r="N122" s="116">
        <f t="shared" ref="N122:N133" si="113">AB122+AP122</f>
        <v>0</v>
      </c>
      <c r="Q122" s="116" t="e">
        <f>-SUMIF(#REF!,$A122,#REF!)</f>
        <v>#REF!</v>
      </c>
      <c r="R122" s="116">
        <f>-SUMIF(ALIF_Y2014!$A:$A,$A122,ALIF_Y2014!$F:$F)</f>
        <v>-88433.574999999997</v>
      </c>
      <c r="S122" s="116">
        <f>-SUMIF(ALIF_Y2015!$A:$A,$A122,ALIF_Y2015!$F:$F)</f>
        <v>-122637.079</v>
      </c>
      <c r="T122" s="116">
        <f>-SUMIF(ALIF_Y2016!$A:$A,$A122,ALIF_Y2016!$F:$F)</f>
        <v>-366799.283</v>
      </c>
      <c r="U122" s="116">
        <f>-SUMIF(ALIF_Y2017!$A:$A,$A122,ALIF_Y2017!$F:$F)</f>
        <v>-3.0000000000000001E-3</v>
      </c>
      <c r="V122" s="116">
        <f>-SUMIF(ALIF_Y2018!$A:$A,$A122,ALIF_Y2018!$F:$F)</f>
        <v>-821440.45499999996</v>
      </c>
      <c r="W122" s="116">
        <f>-SUMIF(ALIF_Y2019!$A:$A,$A122,ALIF_Y2019!$F:$F)</f>
        <v>-54888.516000000003</v>
      </c>
      <c r="X122" s="116">
        <f>-SUMIF(ALIF_Y2020!$A:$A,$A122,ALIF_Y2020!$F:$F)</f>
        <v>0</v>
      </c>
      <c r="Y122" s="116">
        <f>-SUMIF(ALIF_Y2021!$A:$A,$A122,ALIF_Y2021!$F:$F)</f>
        <v>0</v>
      </c>
      <c r="Z122" s="116">
        <f>-SUMIF(ALIF_Y2022!$A:$A,$A122,ALIF_Y2022!$F:$F)</f>
        <v>-717348.08100000001</v>
      </c>
      <c r="AA122" s="116">
        <f>-SUMIF(ALIF_Y2023!$A:$A,$A122,ALIF_Y2023!$F:$F)</f>
        <v>-828992.36600000004</v>
      </c>
      <c r="AE122" s="116" t="e">
        <f>-SUMIF(#REF!,$A122,#REF!)</f>
        <v>#REF!</v>
      </c>
      <c r="AF122" s="116" t="e">
        <f>-SUMIF(#REF!,$A122,#REF!)</f>
        <v>#REF!</v>
      </c>
      <c r="AG122" s="116" t="e">
        <f>-SUMIF(#REF!,$A122,#REF!)</f>
        <v>#REF!</v>
      </c>
      <c r="AH122" s="116" t="e">
        <f>-SUMIF(#REF!,$A122,#REF!)</f>
        <v>#REF!</v>
      </c>
      <c r="AI122" s="116" t="e">
        <f>-SUMIF(#REF!,$A122,#REF!)</f>
        <v>#REF!</v>
      </c>
      <c r="AJ122" s="116" t="e">
        <f>-SUMIF(#REF!,$A122,#REF!)</f>
        <v>#REF!</v>
      </c>
      <c r="AK122" s="116" t="e">
        <f>-SUMIF(#REF!,$A122,#REF!)</f>
        <v>#REF!</v>
      </c>
      <c r="AL122" s="116" t="e">
        <f>-SUMIF(#REF!,$A122,#REF!)</f>
        <v>#REF!</v>
      </c>
      <c r="AM122" s="116" t="e">
        <f>-SUMIF(#REF!,$A122,#REF!)</f>
        <v>#REF!</v>
      </c>
      <c r="AN122" s="116" t="e">
        <f>-SUMIF(#REF!,$A122,#REF!)</f>
        <v>#REF!</v>
      </c>
      <c r="AO122" s="116" t="e">
        <f>-SUMIF(#REF!,$A122,#REF!)</f>
        <v>#REF!</v>
      </c>
    </row>
    <row r="123" spans="1:42" x14ac:dyDescent="0.25">
      <c r="A123" s="101">
        <v>170001</v>
      </c>
      <c r="B123" t="s">
        <v>41</v>
      </c>
      <c r="C123" s="116" t="e">
        <f t="shared" si="102"/>
        <v>#REF!</v>
      </c>
      <c r="D123" s="116" t="e">
        <f t="shared" si="103"/>
        <v>#REF!</v>
      </c>
      <c r="E123" s="116" t="e">
        <f t="shared" si="104"/>
        <v>#REF!</v>
      </c>
      <c r="F123" s="116" t="e">
        <f t="shared" si="105"/>
        <v>#REF!</v>
      </c>
      <c r="G123" s="116" t="e">
        <f t="shared" si="106"/>
        <v>#REF!</v>
      </c>
      <c r="H123" s="116" t="e">
        <f t="shared" si="107"/>
        <v>#REF!</v>
      </c>
      <c r="I123" s="116" t="e">
        <f t="shared" si="108"/>
        <v>#REF!</v>
      </c>
      <c r="J123" s="116" t="e">
        <f t="shared" si="109"/>
        <v>#REF!</v>
      </c>
      <c r="K123" s="116" t="e">
        <f t="shared" si="110"/>
        <v>#REF!</v>
      </c>
      <c r="L123" s="116" t="e">
        <f t="shared" si="111"/>
        <v>#REF!</v>
      </c>
      <c r="M123" s="116" t="e">
        <f t="shared" si="112"/>
        <v>#REF!</v>
      </c>
      <c r="N123" s="116">
        <f t="shared" si="113"/>
        <v>0</v>
      </c>
      <c r="Q123" s="116" t="e">
        <f>-SUMIF(#REF!,$A123,#REF!)</f>
        <v>#REF!</v>
      </c>
      <c r="R123" s="116">
        <f>-SUMIF(ALIF_Y2014!$A:$A,$A123,ALIF_Y2014!$F:$F)</f>
        <v>0</v>
      </c>
      <c r="S123" s="116">
        <f>-SUMIF(ALIF_Y2015!$A:$A,$A123,ALIF_Y2015!$F:$F)</f>
        <v>0</v>
      </c>
      <c r="T123" s="116">
        <f>-SUMIF(ALIF_Y2016!$A:$A,$A123,ALIF_Y2016!$F:$F)</f>
        <v>0</v>
      </c>
      <c r="U123" s="116">
        <f>-SUMIF(ALIF_Y2017!$A:$A,$A123,ALIF_Y2017!$F:$F)</f>
        <v>0</v>
      </c>
      <c r="V123" s="116">
        <f>-SUMIF(ALIF_Y2018!$A:$A,$A123,ALIF_Y2018!$F:$F)</f>
        <v>0</v>
      </c>
      <c r="W123" s="116">
        <f>-SUMIF(ALIF_Y2019!$A:$A,$A123,ALIF_Y2019!$F:$F)</f>
        <v>-871721.21</v>
      </c>
      <c r="X123" s="116">
        <f>-SUMIF(ALIF_Y2020!$A:$A,$A123,ALIF_Y2020!$F:$F)</f>
        <v>-667490.804</v>
      </c>
      <c r="Y123" s="116">
        <f>-SUMIF(ALIF_Y2021!$A:$A,$A123,ALIF_Y2021!$F:$F)</f>
        <v>0</v>
      </c>
      <c r="Z123" s="116">
        <f>-SUMIF(ALIF_Y2022!$A:$A,$A123,ALIF_Y2022!$F:$F)</f>
        <v>-1188833.976</v>
      </c>
      <c r="AA123" s="116">
        <f>-SUMIF(ALIF_Y2023!$A:$A,$A123,ALIF_Y2023!$F:$F)</f>
        <v>-845009.73199999996</v>
      </c>
      <c r="AE123" s="116" t="e">
        <f>-SUMIF(#REF!,$A123,#REF!)</f>
        <v>#REF!</v>
      </c>
      <c r="AF123" s="116" t="e">
        <f>-SUMIF(#REF!,$A123,#REF!)</f>
        <v>#REF!</v>
      </c>
      <c r="AG123" s="116" t="e">
        <f>-SUMIF(#REF!,$A123,#REF!)</f>
        <v>#REF!</v>
      </c>
      <c r="AH123" s="116" t="e">
        <f>-SUMIF(#REF!,$A123,#REF!)</f>
        <v>#REF!</v>
      </c>
      <c r="AI123" s="116" t="e">
        <f>-SUMIF(#REF!,$A123,#REF!)</f>
        <v>#REF!</v>
      </c>
      <c r="AJ123" s="116" t="e">
        <f>-SUMIF(#REF!,$A123,#REF!)</f>
        <v>#REF!</v>
      </c>
      <c r="AK123" s="116" t="e">
        <f>-SUMIF(#REF!,$A123,#REF!)</f>
        <v>#REF!</v>
      </c>
      <c r="AL123" s="116" t="e">
        <f>-SUMIF(#REF!,$A123,#REF!)</f>
        <v>#REF!</v>
      </c>
      <c r="AM123" s="116" t="e">
        <f>-SUMIF(#REF!,$A123,#REF!)</f>
        <v>#REF!</v>
      </c>
      <c r="AN123" s="116" t="e">
        <f>-SUMIF(#REF!,$A123,#REF!)</f>
        <v>#REF!</v>
      </c>
      <c r="AO123" s="116" t="e">
        <f>-SUMIF(#REF!,$A123,#REF!)</f>
        <v>#REF!</v>
      </c>
    </row>
    <row r="124" spans="1:42" x14ac:dyDescent="0.25">
      <c r="A124" s="101">
        <v>170002</v>
      </c>
      <c r="B124" t="s">
        <v>42</v>
      </c>
      <c r="C124" s="116" t="e">
        <f t="shared" si="102"/>
        <v>#REF!</v>
      </c>
      <c r="D124" s="116" t="e">
        <f t="shared" si="103"/>
        <v>#REF!</v>
      </c>
      <c r="E124" s="116" t="e">
        <f t="shared" si="104"/>
        <v>#REF!</v>
      </c>
      <c r="F124" s="116" t="e">
        <f t="shared" si="105"/>
        <v>#REF!</v>
      </c>
      <c r="G124" s="116" t="e">
        <f t="shared" si="106"/>
        <v>#REF!</v>
      </c>
      <c r="H124" s="116" t="e">
        <f t="shared" si="107"/>
        <v>#REF!</v>
      </c>
      <c r="I124" s="116" t="e">
        <f t="shared" si="108"/>
        <v>#REF!</v>
      </c>
      <c r="J124" s="116" t="e">
        <f t="shared" si="109"/>
        <v>#REF!</v>
      </c>
      <c r="K124" s="116" t="e">
        <f t="shared" si="110"/>
        <v>#REF!</v>
      </c>
      <c r="L124" s="116" t="e">
        <f t="shared" si="111"/>
        <v>#REF!</v>
      </c>
      <c r="M124" s="116" t="e">
        <f t="shared" si="112"/>
        <v>#REF!</v>
      </c>
      <c r="N124" s="116">
        <f t="shared" si="113"/>
        <v>0</v>
      </c>
      <c r="Q124" s="116" t="e">
        <f>-SUMIF(#REF!,$A124,#REF!)</f>
        <v>#REF!</v>
      </c>
      <c r="R124" s="116">
        <f>-SUMIF(ALIF_Y2014!$A:$A,$A124,ALIF_Y2014!$F:$F)</f>
        <v>0</v>
      </c>
      <c r="S124" s="116">
        <f>-SUMIF(ALIF_Y2015!$A:$A,$A124,ALIF_Y2015!$F:$F)</f>
        <v>0</v>
      </c>
      <c r="T124" s="116">
        <f>-SUMIF(ALIF_Y2016!$A:$A,$A124,ALIF_Y2016!$F:$F)</f>
        <v>0</v>
      </c>
      <c r="U124" s="116">
        <f>-SUMIF(ALIF_Y2017!$A:$A,$A124,ALIF_Y2017!$F:$F)</f>
        <v>0</v>
      </c>
      <c r="V124" s="116">
        <f>-SUMIF(ALIF_Y2018!$A:$A,$A124,ALIF_Y2018!$F:$F)</f>
        <v>-899145</v>
      </c>
      <c r="W124" s="116">
        <f>-SUMIF(ALIF_Y2019!$A:$A,$A124,ALIF_Y2019!$F:$F)</f>
        <v>-221469.87</v>
      </c>
      <c r="X124" s="116">
        <f>-SUMIF(ALIF_Y2020!$A:$A,$A124,ALIF_Y2020!$F:$F)</f>
        <v>-336418.50099999999</v>
      </c>
      <c r="Y124" s="116">
        <f>-SUMIF(ALIF_Y2021!$A:$A,$A124,ALIF_Y2021!$F:$F)</f>
        <v>0</v>
      </c>
      <c r="Z124" s="116">
        <f>-SUMIF(ALIF_Y2022!$A:$A,$A124,ALIF_Y2022!$F:$F)</f>
        <v>-682659.36300000001</v>
      </c>
      <c r="AA124" s="116">
        <f>-SUMIF(ALIF_Y2023!$A:$A,$A124,ALIF_Y2023!$F:$F)</f>
        <v>-692621.20400000003</v>
      </c>
      <c r="AE124" s="116" t="e">
        <f>-SUMIF(#REF!,$A124,#REF!)</f>
        <v>#REF!</v>
      </c>
      <c r="AF124" s="116" t="e">
        <f>-SUMIF(#REF!,$A124,#REF!)</f>
        <v>#REF!</v>
      </c>
      <c r="AG124" s="116" t="e">
        <f>-SUMIF(#REF!,$A124,#REF!)</f>
        <v>#REF!</v>
      </c>
      <c r="AH124" s="116" t="e">
        <f>-SUMIF(#REF!,$A124,#REF!)</f>
        <v>#REF!</v>
      </c>
      <c r="AI124" s="116" t="e">
        <f>-SUMIF(#REF!,$A124,#REF!)</f>
        <v>#REF!</v>
      </c>
      <c r="AJ124" s="116" t="e">
        <f>-SUMIF(#REF!,$A124,#REF!)</f>
        <v>#REF!</v>
      </c>
      <c r="AK124" s="116" t="e">
        <f>-SUMIF(#REF!,$A124,#REF!)</f>
        <v>#REF!</v>
      </c>
      <c r="AL124" s="116" t="e">
        <f>-SUMIF(#REF!,$A124,#REF!)</f>
        <v>#REF!</v>
      </c>
      <c r="AM124" s="116" t="e">
        <f>-SUMIF(#REF!,$A124,#REF!)</f>
        <v>#REF!</v>
      </c>
      <c r="AN124" s="116" t="e">
        <f>-SUMIF(#REF!,$A124,#REF!)</f>
        <v>#REF!</v>
      </c>
      <c r="AO124" s="116" t="e">
        <f>-SUMIF(#REF!,$A124,#REF!)</f>
        <v>#REF!</v>
      </c>
    </row>
    <row r="125" spans="1:42" x14ac:dyDescent="0.25">
      <c r="A125" s="101">
        <v>170003</v>
      </c>
      <c r="B125" t="s">
        <v>43</v>
      </c>
      <c r="C125" s="116" t="e">
        <f t="shared" si="102"/>
        <v>#REF!</v>
      </c>
      <c r="D125" s="116" t="e">
        <f t="shared" si="103"/>
        <v>#REF!</v>
      </c>
      <c r="E125" s="116" t="e">
        <f t="shared" si="104"/>
        <v>#REF!</v>
      </c>
      <c r="F125" s="116" t="e">
        <f t="shared" si="105"/>
        <v>#REF!</v>
      </c>
      <c r="G125" s="116" t="e">
        <f t="shared" si="106"/>
        <v>#REF!</v>
      </c>
      <c r="H125" s="116" t="e">
        <f t="shared" si="107"/>
        <v>#REF!</v>
      </c>
      <c r="I125" s="116" t="e">
        <f t="shared" si="108"/>
        <v>#REF!</v>
      </c>
      <c r="J125" s="116" t="e">
        <f t="shared" si="109"/>
        <v>#REF!</v>
      </c>
      <c r="K125" s="116" t="e">
        <f t="shared" si="110"/>
        <v>#REF!</v>
      </c>
      <c r="L125" s="116" t="e">
        <f t="shared" si="111"/>
        <v>#REF!</v>
      </c>
      <c r="M125" s="116" t="e">
        <f t="shared" si="112"/>
        <v>#REF!</v>
      </c>
      <c r="N125" s="116">
        <f t="shared" si="113"/>
        <v>0</v>
      </c>
      <c r="Q125" s="116" t="e">
        <f>-SUMIF(#REF!,$A125,#REF!)</f>
        <v>#REF!</v>
      </c>
      <c r="R125" s="116">
        <f>-SUMIF(ALIF_Y2014!$A:$A,$A125,ALIF_Y2014!$F:$F)</f>
        <v>-209891.57</v>
      </c>
      <c r="S125" s="116">
        <f>-SUMIF(ALIF_Y2015!$A:$A,$A125,ALIF_Y2015!$F:$F)</f>
        <v>-58936.4</v>
      </c>
      <c r="T125" s="116">
        <f>-SUMIF(ALIF_Y2016!$A:$A,$A125,ALIF_Y2016!$F:$F)</f>
        <v>-29088.487000000001</v>
      </c>
      <c r="U125" s="116">
        <f>-SUMIF(ALIF_Y2017!$A:$A,$A125,ALIF_Y2017!$F:$F)</f>
        <v>3.0000000000000001E-3</v>
      </c>
      <c r="V125" s="116">
        <f>-SUMIF(ALIF_Y2018!$A:$A,$A125,ALIF_Y2018!$F:$F)</f>
        <v>0</v>
      </c>
      <c r="W125" s="116">
        <f>-SUMIF(ALIF_Y2019!$A:$A,$A125,ALIF_Y2019!$F:$F)</f>
        <v>0</v>
      </c>
      <c r="X125" s="116">
        <f>-SUMIF(ALIF_Y2020!$A:$A,$A125,ALIF_Y2020!$F:$F)</f>
        <v>0</v>
      </c>
      <c r="Y125" s="116">
        <f>-SUMIF(ALIF_Y2021!$A:$A,$A125,ALIF_Y2021!$F:$F)</f>
        <v>0</v>
      </c>
      <c r="Z125" s="116">
        <f>-SUMIF(ALIF_Y2022!$A:$A,$A125,ALIF_Y2022!$F:$F)</f>
        <v>0</v>
      </c>
      <c r="AA125" s="116">
        <f>-SUMIF(ALIF_Y2023!$A:$A,$A125,ALIF_Y2023!$F:$F)</f>
        <v>0</v>
      </c>
      <c r="AE125" s="116" t="e">
        <f>-SUMIF(#REF!,$A125,#REF!)</f>
        <v>#REF!</v>
      </c>
      <c r="AF125" s="116" t="e">
        <f>-SUMIF(#REF!,$A125,#REF!)</f>
        <v>#REF!</v>
      </c>
      <c r="AG125" s="116" t="e">
        <f>-SUMIF(#REF!,$A125,#REF!)</f>
        <v>#REF!</v>
      </c>
      <c r="AH125" s="116" t="e">
        <f>-SUMIF(#REF!,$A125,#REF!)</f>
        <v>#REF!</v>
      </c>
      <c r="AI125" s="116" t="e">
        <f>-SUMIF(#REF!,$A125,#REF!)</f>
        <v>#REF!</v>
      </c>
      <c r="AJ125" s="116" t="e">
        <f>-SUMIF(#REF!,$A125,#REF!)</f>
        <v>#REF!</v>
      </c>
      <c r="AK125" s="116" t="e">
        <f>-SUMIF(#REF!,$A125,#REF!)</f>
        <v>#REF!</v>
      </c>
      <c r="AL125" s="116" t="e">
        <f>-SUMIF(#REF!,$A125,#REF!)</f>
        <v>#REF!</v>
      </c>
      <c r="AM125" s="116" t="e">
        <f>-SUMIF(#REF!,$A125,#REF!)</f>
        <v>#REF!</v>
      </c>
      <c r="AN125" s="116" t="e">
        <f>-SUMIF(#REF!,$A125,#REF!)</f>
        <v>#REF!</v>
      </c>
      <c r="AO125" s="116" t="e">
        <f>-SUMIF(#REF!,$A125,#REF!)</f>
        <v>#REF!</v>
      </c>
    </row>
    <row r="126" spans="1:42" x14ac:dyDescent="0.25">
      <c r="A126" s="101">
        <v>170004</v>
      </c>
      <c r="B126" t="s">
        <v>244</v>
      </c>
      <c r="C126" s="116" t="e">
        <f t="shared" si="102"/>
        <v>#REF!</v>
      </c>
      <c r="D126" s="116" t="e">
        <f t="shared" si="103"/>
        <v>#REF!</v>
      </c>
      <c r="E126" s="116" t="e">
        <f t="shared" si="104"/>
        <v>#REF!</v>
      </c>
      <c r="F126" s="116" t="e">
        <f t="shared" si="105"/>
        <v>#REF!</v>
      </c>
      <c r="G126" s="116" t="e">
        <f t="shared" si="106"/>
        <v>#REF!</v>
      </c>
      <c r="H126" s="116" t="e">
        <f t="shared" si="107"/>
        <v>#REF!</v>
      </c>
      <c r="I126" s="116" t="e">
        <f t="shared" si="108"/>
        <v>#REF!</v>
      </c>
      <c r="J126" s="116" t="e">
        <f t="shared" si="109"/>
        <v>#REF!</v>
      </c>
      <c r="K126" s="116" t="e">
        <f t="shared" si="110"/>
        <v>#REF!</v>
      </c>
      <c r="L126" s="116" t="e">
        <f t="shared" si="111"/>
        <v>#REF!</v>
      </c>
      <c r="M126" s="116" t="e">
        <f t="shared" si="112"/>
        <v>#REF!</v>
      </c>
      <c r="N126" s="116">
        <f t="shared" si="113"/>
        <v>0</v>
      </c>
      <c r="Q126" s="116" t="e">
        <f>-SUMIF(#REF!,$A126,#REF!)</f>
        <v>#REF!</v>
      </c>
      <c r="R126" s="116">
        <f>-SUMIF(ALIF_Y2014!$A:$A,$A126,ALIF_Y2014!$F:$F)</f>
        <v>0</v>
      </c>
      <c r="S126" s="116">
        <f>-SUMIF(ALIF_Y2015!$A:$A,$A126,ALIF_Y2015!$F:$F)</f>
        <v>-13828.647999999999</v>
      </c>
      <c r="T126" s="116">
        <f>-SUMIF(ALIF_Y2016!$A:$A,$A126,ALIF_Y2016!$F:$F)</f>
        <v>0</v>
      </c>
      <c r="U126" s="116">
        <f>-SUMIF(ALIF_Y2017!$A:$A,$A126,ALIF_Y2017!$F:$F)</f>
        <v>0</v>
      </c>
      <c r="V126" s="116">
        <f>-SUMIF(ALIF_Y2018!$A:$A,$A126,ALIF_Y2018!$F:$F)</f>
        <v>0</v>
      </c>
      <c r="W126" s="116">
        <f>-SUMIF(ALIF_Y2019!$A:$A,$A126,ALIF_Y2019!$F:$F)</f>
        <v>0</v>
      </c>
      <c r="X126" s="116">
        <f>-SUMIF(ALIF_Y2020!$A:$A,$A126,ALIF_Y2020!$F:$F)</f>
        <v>0</v>
      </c>
      <c r="Y126" s="116">
        <f>-SUMIF(ALIF_Y2021!$A:$A,$A126,ALIF_Y2021!$F:$F)</f>
        <v>0</v>
      </c>
      <c r="Z126" s="116">
        <f>-SUMIF(ALIF_Y2022!$A:$A,$A126,ALIF_Y2022!$F:$F)</f>
        <v>0</v>
      </c>
      <c r="AA126" s="116">
        <f>-SUMIF(ALIF_Y2023!$A:$A,$A126,ALIF_Y2023!$F:$F)</f>
        <v>0</v>
      </c>
      <c r="AE126" s="116" t="e">
        <f>-SUMIF(#REF!,$A126,#REF!)</f>
        <v>#REF!</v>
      </c>
      <c r="AF126" s="116" t="e">
        <f>-SUMIF(#REF!,$A126,#REF!)</f>
        <v>#REF!</v>
      </c>
      <c r="AG126" s="116" t="e">
        <f>-SUMIF(#REF!,$A126,#REF!)</f>
        <v>#REF!</v>
      </c>
      <c r="AH126" s="116" t="e">
        <f>-SUMIF(#REF!,$A126,#REF!)</f>
        <v>#REF!</v>
      </c>
      <c r="AI126" s="116" t="e">
        <f>-SUMIF(#REF!,$A126,#REF!)</f>
        <v>#REF!</v>
      </c>
      <c r="AJ126" s="116" t="e">
        <f>-SUMIF(#REF!,$A126,#REF!)</f>
        <v>#REF!</v>
      </c>
      <c r="AK126" s="116" t="e">
        <f>-SUMIF(#REF!,$A126,#REF!)</f>
        <v>#REF!</v>
      </c>
      <c r="AL126" s="116" t="e">
        <f>-SUMIF(#REF!,$A126,#REF!)</f>
        <v>#REF!</v>
      </c>
      <c r="AM126" s="116" t="e">
        <f>-SUMIF(#REF!,$A126,#REF!)</f>
        <v>#REF!</v>
      </c>
      <c r="AN126" s="116" t="e">
        <f>-SUMIF(#REF!,$A126,#REF!)</f>
        <v>#REF!</v>
      </c>
      <c r="AO126" s="116" t="e">
        <f>-SUMIF(#REF!,$A126,#REF!)</f>
        <v>#REF!</v>
      </c>
    </row>
    <row r="127" spans="1:42" x14ac:dyDescent="0.25">
      <c r="A127" s="101">
        <v>220001</v>
      </c>
      <c r="B127" t="s">
        <v>80</v>
      </c>
      <c r="C127" s="116" t="e">
        <f t="shared" si="102"/>
        <v>#REF!</v>
      </c>
      <c r="D127" s="116" t="e">
        <f t="shared" si="103"/>
        <v>#REF!</v>
      </c>
      <c r="E127" s="116" t="e">
        <f t="shared" si="104"/>
        <v>#REF!</v>
      </c>
      <c r="F127" s="116" t="e">
        <f t="shared" si="105"/>
        <v>#REF!</v>
      </c>
      <c r="G127" s="116" t="e">
        <f t="shared" si="106"/>
        <v>#REF!</v>
      </c>
      <c r="H127" s="116" t="e">
        <f t="shared" si="107"/>
        <v>#REF!</v>
      </c>
      <c r="I127" s="116" t="e">
        <f t="shared" si="108"/>
        <v>#REF!</v>
      </c>
      <c r="J127" s="116" t="e">
        <f t="shared" si="109"/>
        <v>#REF!</v>
      </c>
      <c r="K127" s="116" t="e">
        <f t="shared" si="110"/>
        <v>#REF!</v>
      </c>
      <c r="L127" s="116" t="e">
        <f t="shared" si="111"/>
        <v>#REF!</v>
      </c>
      <c r="M127" s="116" t="e">
        <f t="shared" si="112"/>
        <v>#REF!</v>
      </c>
      <c r="N127" s="116">
        <f t="shared" si="113"/>
        <v>0</v>
      </c>
      <c r="Q127" s="116" t="e">
        <f>-SUMIF(#REF!,$A127,#REF!)</f>
        <v>#REF!</v>
      </c>
      <c r="R127" s="116">
        <f>-SUMIF(ALIF_Y2014!$A:$A,$A127,ALIF_Y2014!$F:$F)</f>
        <v>0</v>
      </c>
      <c r="S127" s="116">
        <f>-SUMIF(ALIF_Y2015!$A:$A,$A127,ALIF_Y2015!$F:$F)</f>
        <v>0</v>
      </c>
      <c r="T127" s="116">
        <f>-SUMIF(ALIF_Y2016!$A:$A,$A127,ALIF_Y2016!$F:$F)</f>
        <v>0</v>
      </c>
      <c r="U127" s="116">
        <f>-SUMIF(ALIF_Y2017!$A:$A,$A127,ALIF_Y2017!$F:$F)</f>
        <v>0</v>
      </c>
      <c r="V127" s="116">
        <f>-SUMIF(ALIF_Y2018!$A:$A,$A127,ALIF_Y2018!$F:$F)</f>
        <v>0</v>
      </c>
      <c r="W127" s="116">
        <f>-SUMIF(ALIF_Y2019!$A:$A,$A127,ALIF_Y2019!$F:$F)</f>
        <v>0</v>
      </c>
      <c r="X127" s="116">
        <f>-SUMIF(ALIF_Y2020!$A:$A,$A127,ALIF_Y2020!$F:$F)</f>
        <v>0</v>
      </c>
      <c r="Y127" s="116">
        <f>-SUMIF(ALIF_Y2021!$A:$A,$A127,ALIF_Y2021!$F:$F)</f>
        <v>0</v>
      </c>
      <c r="Z127" s="116">
        <f>-SUMIF(ALIF_Y2022!$A:$A,$A127,ALIF_Y2022!$F:$F)</f>
        <v>0</v>
      </c>
      <c r="AA127" s="116">
        <f>-SUMIF(ALIF_Y2023!$A:$A,$A127,ALIF_Y2023!$F:$F)</f>
        <v>0</v>
      </c>
      <c r="AE127" s="116" t="e">
        <f>-SUMIF(#REF!,$A127,#REF!)</f>
        <v>#REF!</v>
      </c>
      <c r="AF127" s="116" t="e">
        <f>-SUMIF(#REF!,$A127,#REF!)</f>
        <v>#REF!</v>
      </c>
      <c r="AG127" s="116" t="e">
        <f>-SUMIF(#REF!,$A127,#REF!)</f>
        <v>#REF!</v>
      </c>
      <c r="AH127" s="116" t="e">
        <f>-SUMIF(#REF!,$A127,#REF!)</f>
        <v>#REF!</v>
      </c>
      <c r="AI127" s="116" t="e">
        <f>-SUMIF(#REF!,$A127,#REF!)</f>
        <v>#REF!</v>
      </c>
      <c r="AJ127" s="116" t="e">
        <f>-SUMIF(#REF!,$A127,#REF!)</f>
        <v>#REF!</v>
      </c>
      <c r="AK127" s="116" t="e">
        <f>-SUMIF(#REF!,$A127,#REF!)</f>
        <v>#REF!</v>
      </c>
      <c r="AL127" s="116" t="e">
        <f>-SUMIF(#REF!,$A127,#REF!)</f>
        <v>#REF!</v>
      </c>
      <c r="AM127" s="116" t="e">
        <f>-SUMIF(#REF!,$A127,#REF!)</f>
        <v>#REF!</v>
      </c>
      <c r="AN127" s="116" t="e">
        <f>-SUMIF(#REF!,$A127,#REF!)</f>
        <v>#REF!</v>
      </c>
      <c r="AO127" s="116" t="e">
        <f>-SUMIF(#REF!,$A127,#REF!)</f>
        <v>#REF!</v>
      </c>
    </row>
    <row r="128" spans="1:42" x14ac:dyDescent="0.25">
      <c r="A128" s="101">
        <v>220002</v>
      </c>
      <c r="B128" t="s">
        <v>81</v>
      </c>
      <c r="C128" s="116" t="e">
        <f t="shared" si="102"/>
        <v>#REF!</v>
      </c>
      <c r="D128" s="116" t="e">
        <f t="shared" si="103"/>
        <v>#REF!</v>
      </c>
      <c r="E128" s="116" t="e">
        <f t="shared" si="104"/>
        <v>#REF!</v>
      </c>
      <c r="F128" s="116" t="e">
        <f t="shared" si="105"/>
        <v>#REF!</v>
      </c>
      <c r="G128" s="116" t="e">
        <f t="shared" si="106"/>
        <v>#REF!</v>
      </c>
      <c r="H128" s="116" t="e">
        <f t="shared" si="107"/>
        <v>#REF!</v>
      </c>
      <c r="I128" s="116" t="e">
        <f t="shared" si="108"/>
        <v>#REF!</v>
      </c>
      <c r="J128" s="116" t="e">
        <f t="shared" si="109"/>
        <v>#REF!</v>
      </c>
      <c r="K128" s="116" t="e">
        <f t="shared" si="110"/>
        <v>#REF!</v>
      </c>
      <c r="L128" s="116" t="e">
        <f t="shared" si="111"/>
        <v>#REF!</v>
      </c>
      <c r="M128" s="116" t="e">
        <f t="shared" si="112"/>
        <v>#REF!</v>
      </c>
      <c r="N128" s="116">
        <f t="shared" si="113"/>
        <v>0</v>
      </c>
      <c r="Q128" s="116" t="e">
        <f>-SUMIF(#REF!,$A128,#REF!)</f>
        <v>#REF!</v>
      </c>
      <c r="R128" s="116">
        <f>-SUMIF(ALIF_Y2014!$A:$A,$A128,ALIF_Y2014!$F:$F)</f>
        <v>15001098.75</v>
      </c>
      <c r="S128" s="116">
        <f>-SUMIF(ALIF_Y2015!$A:$A,$A128,ALIF_Y2015!$F:$F)</f>
        <v>3542909.64</v>
      </c>
      <c r="T128" s="116">
        <f>-SUMIF(ALIF_Y2016!$A:$A,$A128,ALIF_Y2016!$F:$F)</f>
        <v>4564727.9000000004</v>
      </c>
      <c r="U128" s="116">
        <f>-SUMIF(ALIF_Y2017!$A:$A,$A128,ALIF_Y2017!$F:$F)</f>
        <v>0</v>
      </c>
      <c r="V128" s="116">
        <f>-SUMIF(ALIF_Y2018!$A:$A,$A128,ALIF_Y2018!$F:$F)</f>
        <v>0</v>
      </c>
      <c r="W128" s="116">
        <f>-SUMIF(ALIF_Y2019!$A:$A,$A128,ALIF_Y2019!$F:$F)</f>
        <v>0</v>
      </c>
      <c r="X128" s="116">
        <f>-SUMIF(ALIF_Y2020!$A:$A,$A128,ALIF_Y2020!$F:$F)</f>
        <v>0</v>
      </c>
      <c r="Y128" s="116">
        <f>-SUMIF(ALIF_Y2021!$A:$A,$A128,ALIF_Y2021!$F:$F)</f>
        <v>0</v>
      </c>
      <c r="Z128" s="116">
        <f>-SUMIF(ALIF_Y2022!$A:$A,$A128,ALIF_Y2022!$F:$F)</f>
        <v>0</v>
      </c>
      <c r="AA128" s="116">
        <f>-SUMIF(ALIF_Y2023!$A:$A,$A128,ALIF_Y2023!$F:$F)</f>
        <v>0</v>
      </c>
      <c r="AE128" s="116" t="e">
        <f>-SUMIF(#REF!,$A128,#REF!)</f>
        <v>#REF!</v>
      </c>
      <c r="AF128" s="116" t="e">
        <f>-SUMIF(#REF!,$A128,#REF!)</f>
        <v>#REF!</v>
      </c>
      <c r="AG128" s="116" t="e">
        <f>-SUMIF(#REF!,$A128,#REF!)</f>
        <v>#REF!</v>
      </c>
      <c r="AH128" s="116" t="e">
        <f>-SUMIF(#REF!,$A128,#REF!)</f>
        <v>#REF!</v>
      </c>
      <c r="AI128" s="116" t="e">
        <f>-SUMIF(#REF!,$A128,#REF!)</f>
        <v>#REF!</v>
      </c>
      <c r="AJ128" s="116" t="e">
        <f>-SUMIF(#REF!,$A128,#REF!)</f>
        <v>#REF!</v>
      </c>
      <c r="AK128" s="116" t="e">
        <f>-SUMIF(#REF!,$A128,#REF!)</f>
        <v>#REF!</v>
      </c>
      <c r="AL128" s="116" t="e">
        <f>-SUMIF(#REF!,$A128,#REF!)</f>
        <v>#REF!</v>
      </c>
      <c r="AM128" s="116" t="e">
        <f>-SUMIF(#REF!,$A128,#REF!)</f>
        <v>#REF!</v>
      </c>
      <c r="AN128" s="116" t="e">
        <f>-SUMIF(#REF!,$A128,#REF!)</f>
        <v>#REF!</v>
      </c>
      <c r="AO128" s="116" t="e">
        <f>-SUMIF(#REF!,$A128,#REF!)</f>
        <v>#REF!</v>
      </c>
    </row>
    <row r="129" spans="1:42" x14ac:dyDescent="0.25">
      <c r="A129" s="101">
        <v>220003</v>
      </c>
      <c r="B129" t="s">
        <v>82</v>
      </c>
      <c r="C129" s="116" t="e">
        <f t="shared" si="102"/>
        <v>#REF!</v>
      </c>
      <c r="D129" s="116" t="e">
        <f t="shared" si="103"/>
        <v>#REF!</v>
      </c>
      <c r="E129" s="116" t="e">
        <f t="shared" si="104"/>
        <v>#REF!</v>
      </c>
      <c r="F129" s="116" t="e">
        <f t="shared" si="105"/>
        <v>#REF!</v>
      </c>
      <c r="G129" s="116" t="e">
        <f t="shared" si="106"/>
        <v>#REF!</v>
      </c>
      <c r="H129" s="116" t="e">
        <f t="shared" si="107"/>
        <v>#REF!</v>
      </c>
      <c r="I129" s="116" t="e">
        <f t="shared" si="108"/>
        <v>#REF!</v>
      </c>
      <c r="J129" s="116" t="e">
        <f t="shared" si="109"/>
        <v>#REF!</v>
      </c>
      <c r="K129" s="116" t="e">
        <f t="shared" si="110"/>
        <v>#REF!</v>
      </c>
      <c r="L129" s="116" t="e">
        <f t="shared" si="111"/>
        <v>#REF!</v>
      </c>
      <c r="M129" s="116" t="e">
        <f t="shared" si="112"/>
        <v>#REF!</v>
      </c>
      <c r="N129" s="116">
        <f t="shared" si="113"/>
        <v>0</v>
      </c>
      <c r="Q129" s="116" t="e">
        <f>-SUMIF(#REF!,$A129,#REF!)</f>
        <v>#REF!</v>
      </c>
      <c r="R129" s="116">
        <f>-SUMIF(ALIF_Y2014!$A:$A,$A129,ALIF_Y2014!$F:$F)</f>
        <v>0</v>
      </c>
      <c r="S129" s="116">
        <f>-SUMIF(ALIF_Y2015!$A:$A,$A129,ALIF_Y2015!$F:$F)</f>
        <v>0</v>
      </c>
      <c r="T129" s="116">
        <f>-SUMIF(ALIF_Y2016!$A:$A,$A129,ALIF_Y2016!$F:$F)</f>
        <v>0</v>
      </c>
      <c r="U129" s="116">
        <f>-SUMIF(ALIF_Y2017!$A:$A,$A129,ALIF_Y2017!$F:$F)</f>
        <v>0</v>
      </c>
      <c r="V129" s="116">
        <f>-SUMIF(ALIF_Y2018!$A:$A,$A129,ALIF_Y2018!$F:$F)</f>
        <v>0</v>
      </c>
      <c r="W129" s="116">
        <f>-SUMIF(ALIF_Y2019!$A:$A,$A129,ALIF_Y2019!$F:$F)</f>
        <v>0</v>
      </c>
      <c r="X129" s="116">
        <f>-SUMIF(ALIF_Y2020!$A:$A,$A129,ALIF_Y2020!$F:$F)</f>
        <v>0</v>
      </c>
      <c r="Y129" s="116">
        <f>-SUMIF(ALIF_Y2021!$A:$A,$A129,ALIF_Y2021!$F:$F)</f>
        <v>0</v>
      </c>
      <c r="Z129" s="116">
        <f>-SUMIF(ALIF_Y2022!$A:$A,$A129,ALIF_Y2022!$F:$F)</f>
        <v>0</v>
      </c>
      <c r="AA129" s="116">
        <f>-SUMIF(ALIF_Y2023!$A:$A,$A129,ALIF_Y2023!$F:$F)</f>
        <v>0</v>
      </c>
      <c r="AE129" s="116" t="e">
        <f>-SUMIF(#REF!,$A129,#REF!)</f>
        <v>#REF!</v>
      </c>
      <c r="AF129" s="116" t="e">
        <f>-SUMIF(#REF!,$A129,#REF!)</f>
        <v>#REF!</v>
      </c>
      <c r="AG129" s="116" t="e">
        <f>-SUMIF(#REF!,$A129,#REF!)</f>
        <v>#REF!</v>
      </c>
      <c r="AH129" s="116" t="e">
        <f>-SUMIF(#REF!,$A129,#REF!)</f>
        <v>#REF!</v>
      </c>
      <c r="AI129" s="116" t="e">
        <f>-SUMIF(#REF!,$A129,#REF!)</f>
        <v>#REF!</v>
      </c>
      <c r="AJ129" s="116" t="e">
        <f>-SUMIF(#REF!,$A129,#REF!)</f>
        <v>#REF!</v>
      </c>
      <c r="AK129" s="116" t="e">
        <f>-SUMIF(#REF!,$A129,#REF!)</f>
        <v>#REF!</v>
      </c>
      <c r="AL129" s="116" t="e">
        <f>-SUMIF(#REF!,$A129,#REF!)</f>
        <v>#REF!</v>
      </c>
      <c r="AM129" s="116" t="e">
        <f>-SUMIF(#REF!,$A129,#REF!)</f>
        <v>#REF!</v>
      </c>
      <c r="AN129" s="116" t="e">
        <f>-SUMIF(#REF!,$A129,#REF!)</f>
        <v>#REF!</v>
      </c>
      <c r="AO129" s="116" t="e">
        <f>-SUMIF(#REF!,$A129,#REF!)</f>
        <v>#REF!</v>
      </c>
    </row>
    <row r="130" spans="1:42" x14ac:dyDescent="0.25">
      <c r="A130" s="101">
        <v>220004</v>
      </c>
      <c r="B130" t="s">
        <v>83</v>
      </c>
      <c r="C130" s="116" t="e">
        <f t="shared" si="102"/>
        <v>#REF!</v>
      </c>
      <c r="D130" s="116" t="e">
        <f t="shared" si="103"/>
        <v>#REF!</v>
      </c>
      <c r="E130" s="116" t="e">
        <f t="shared" si="104"/>
        <v>#REF!</v>
      </c>
      <c r="F130" s="116" t="e">
        <f t="shared" si="105"/>
        <v>#REF!</v>
      </c>
      <c r="G130" s="116" t="e">
        <f t="shared" si="106"/>
        <v>#REF!</v>
      </c>
      <c r="H130" s="116" t="e">
        <f t="shared" si="107"/>
        <v>#REF!</v>
      </c>
      <c r="I130" s="116" t="e">
        <f t="shared" si="108"/>
        <v>#REF!</v>
      </c>
      <c r="J130" s="116" t="e">
        <f t="shared" si="109"/>
        <v>#REF!</v>
      </c>
      <c r="K130" s="116" t="e">
        <f t="shared" si="110"/>
        <v>#REF!</v>
      </c>
      <c r="L130" s="116" t="e">
        <f t="shared" si="111"/>
        <v>#REF!</v>
      </c>
      <c r="M130" s="116" t="e">
        <f t="shared" si="112"/>
        <v>#REF!</v>
      </c>
      <c r="N130" s="116">
        <f t="shared" si="113"/>
        <v>0</v>
      </c>
      <c r="Q130" s="116" t="e">
        <f>-SUMIF(#REF!,$A130,#REF!)</f>
        <v>#REF!</v>
      </c>
      <c r="R130" s="116">
        <f>-SUMIF(ALIF_Y2014!$A:$A,$A130,ALIF_Y2014!$F:$F)</f>
        <v>10194888.789999999</v>
      </c>
      <c r="S130" s="116">
        <f>-SUMIF(ALIF_Y2015!$A:$A,$A130,ALIF_Y2015!$F:$F)</f>
        <v>8628490.9989999998</v>
      </c>
      <c r="T130" s="116">
        <f>-SUMIF(ALIF_Y2016!$A:$A,$A130,ALIF_Y2016!$F:$F)</f>
        <v>21983731.100000001</v>
      </c>
      <c r="U130" s="116">
        <f>-SUMIF(ALIF_Y2017!$A:$A,$A130,ALIF_Y2017!$F:$F)</f>
        <v>0</v>
      </c>
      <c r="V130" s="116">
        <f>-SUMIF(ALIF_Y2018!$A:$A,$A130,ALIF_Y2018!$F:$F)</f>
        <v>42806538.75</v>
      </c>
      <c r="W130" s="116">
        <f>-SUMIF(ALIF_Y2019!$A:$A,$A130,ALIF_Y2019!$F:$F)</f>
        <v>8323255.0099999998</v>
      </c>
      <c r="X130" s="116">
        <f>-SUMIF(ALIF_Y2020!$A:$A,$A130,ALIF_Y2020!$F:$F)</f>
        <v>0</v>
      </c>
      <c r="Y130" s="116">
        <f>-SUMIF(ALIF_Y2021!$A:$A,$A130,ALIF_Y2021!$F:$F)</f>
        <v>34821818.277000003</v>
      </c>
      <c r="Z130" s="116">
        <f>-SUMIF(ALIF_Y2022!$A:$A,$A130,ALIF_Y2022!$F:$F)</f>
        <v>36611517.880999997</v>
      </c>
      <c r="AA130" s="116">
        <f>-SUMIF(ALIF_Y2023!$A:$A,$A130,ALIF_Y2023!$F:$F)</f>
        <v>25134408.640000001</v>
      </c>
      <c r="AE130" s="116" t="e">
        <f>-SUMIF(#REF!,$A130,#REF!)</f>
        <v>#REF!</v>
      </c>
      <c r="AF130" s="116" t="e">
        <f>-SUMIF(#REF!,$A130,#REF!)</f>
        <v>#REF!</v>
      </c>
      <c r="AG130" s="116" t="e">
        <f>-SUMIF(#REF!,$A130,#REF!)</f>
        <v>#REF!</v>
      </c>
      <c r="AH130" s="116" t="e">
        <f>-SUMIF(#REF!,$A130,#REF!)</f>
        <v>#REF!</v>
      </c>
      <c r="AI130" s="116" t="e">
        <f>-SUMIF(#REF!,$A130,#REF!)</f>
        <v>#REF!</v>
      </c>
      <c r="AJ130" s="116" t="e">
        <f>-SUMIF(#REF!,$A130,#REF!)</f>
        <v>#REF!</v>
      </c>
      <c r="AK130" s="116" t="e">
        <f>-SUMIF(#REF!,$A130,#REF!)</f>
        <v>#REF!</v>
      </c>
      <c r="AL130" s="116" t="e">
        <f>-SUMIF(#REF!,$A130,#REF!)</f>
        <v>#REF!</v>
      </c>
      <c r="AM130" s="116" t="e">
        <f>-SUMIF(#REF!,$A130,#REF!)</f>
        <v>#REF!</v>
      </c>
      <c r="AN130" s="116" t="e">
        <f>-SUMIF(#REF!,$A130,#REF!)</f>
        <v>#REF!</v>
      </c>
      <c r="AO130" s="116" t="e">
        <f>-SUMIF(#REF!,$A130,#REF!)</f>
        <v>#REF!</v>
      </c>
    </row>
    <row r="131" spans="1:42" x14ac:dyDescent="0.25">
      <c r="A131" s="101">
        <v>220005</v>
      </c>
      <c r="B131" t="s">
        <v>84</v>
      </c>
      <c r="C131" s="116" t="e">
        <f t="shared" si="102"/>
        <v>#REF!</v>
      </c>
      <c r="D131" s="116" t="e">
        <f t="shared" si="103"/>
        <v>#REF!</v>
      </c>
      <c r="E131" s="116" t="e">
        <f t="shared" si="104"/>
        <v>#REF!</v>
      </c>
      <c r="F131" s="116" t="e">
        <f t="shared" si="105"/>
        <v>#REF!</v>
      </c>
      <c r="G131" s="116" t="e">
        <f t="shared" si="106"/>
        <v>#REF!</v>
      </c>
      <c r="H131" s="116" t="e">
        <f t="shared" si="107"/>
        <v>#REF!</v>
      </c>
      <c r="I131" s="116" t="e">
        <f t="shared" si="108"/>
        <v>#REF!</v>
      </c>
      <c r="J131" s="116" t="e">
        <f t="shared" si="109"/>
        <v>#REF!</v>
      </c>
      <c r="K131" s="116" t="e">
        <f t="shared" si="110"/>
        <v>#REF!</v>
      </c>
      <c r="L131" s="116" t="e">
        <f t="shared" si="111"/>
        <v>#REF!</v>
      </c>
      <c r="M131" s="116" t="e">
        <f t="shared" si="112"/>
        <v>#REF!</v>
      </c>
      <c r="N131" s="116">
        <f t="shared" si="113"/>
        <v>0</v>
      </c>
      <c r="Q131" s="116" t="e">
        <f>-SUMIF(#REF!,$A131,#REF!)</f>
        <v>#REF!</v>
      </c>
      <c r="R131" s="116">
        <f>-SUMIF(ALIF_Y2014!$A:$A,$A131,ALIF_Y2014!$F:$F)</f>
        <v>0</v>
      </c>
      <c r="S131" s="116">
        <f>-SUMIF(ALIF_Y2015!$A:$A,$A131,ALIF_Y2015!$F:$F)</f>
        <v>0</v>
      </c>
      <c r="T131" s="116">
        <f>-SUMIF(ALIF_Y2016!$A:$A,$A131,ALIF_Y2016!$F:$F)</f>
        <v>0</v>
      </c>
      <c r="U131" s="116">
        <f>-SUMIF(ALIF_Y2017!$A:$A,$A131,ALIF_Y2017!$F:$F)</f>
        <v>0</v>
      </c>
      <c r="V131" s="116">
        <f>-SUMIF(ALIF_Y2018!$A:$A,$A131,ALIF_Y2018!$F:$F)</f>
        <v>19749145</v>
      </c>
      <c r="W131" s="116">
        <f>-SUMIF(ALIF_Y2019!$A:$A,$A131,ALIF_Y2019!$F:$F)</f>
        <v>24159339.420000002</v>
      </c>
      <c r="X131" s="116">
        <f>-SUMIF(ALIF_Y2020!$A:$A,$A131,ALIF_Y2020!$F:$F)</f>
        <v>23573959.894000001</v>
      </c>
      <c r="Y131" s="116">
        <f>-SUMIF(ALIF_Y2021!$A:$A,$A131,ALIF_Y2021!$F:$F)</f>
        <v>26738909.774</v>
      </c>
      <c r="Z131" s="116">
        <f>-SUMIF(ALIF_Y2022!$A:$A,$A131,ALIF_Y2022!$F:$F)</f>
        <v>59089378.502999999</v>
      </c>
      <c r="AA131" s="116">
        <f>-SUMIF(ALIF_Y2023!$A:$A,$A131,ALIF_Y2023!$F:$F)</f>
        <v>5385922.5</v>
      </c>
      <c r="AE131" s="116" t="e">
        <f>-SUMIF(#REF!,$A131,#REF!)</f>
        <v>#REF!</v>
      </c>
      <c r="AF131" s="116" t="e">
        <f>-SUMIF(#REF!,$A131,#REF!)</f>
        <v>#REF!</v>
      </c>
      <c r="AG131" s="116" t="e">
        <f>-SUMIF(#REF!,$A131,#REF!)</f>
        <v>#REF!</v>
      </c>
      <c r="AH131" s="116" t="e">
        <f>-SUMIF(#REF!,$A131,#REF!)</f>
        <v>#REF!</v>
      </c>
      <c r="AI131" s="116" t="e">
        <f>-SUMIF(#REF!,$A131,#REF!)</f>
        <v>#REF!</v>
      </c>
      <c r="AJ131" s="116" t="e">
        <f>-SUMIF(#REF!,$A131,#REF!)</f>
        <v>#REF!</v>
      </c>
      <c r="AK131" s="116" t="e">
        <f>-SUMIF(#REF!,$A131,#REF!)</f>
        <v>#REF!</v>
      </c>
      <c r="AL131" s="116" t="e">
        <f>-SUMIF(#REF!,$A131,#REF!)</f>
        <v>#REF!</v>
      </c>
      <c r="AM131" s="116" t="e">
        <f>-SUMIF(#REF!,$A131,#REF!)</f>
        <v>#REF!</v>
      </c>
      <c r="AN131" s="116" t="e">
        <f>-SUMIF(#REF!,$A131,#REF!)</f>
        <v>#REF!</v>
      </c>
      <c r="AO131" s="116" t="e">
        <f>-SUMIF(#REF!,$A131,#REF!)</f>
        <v>#REF!</v>
      </c>
    </row>
    <row r="132" spans="1:42" x14ac:dyDescent="0.25">
      <c r="A132" s="101">
        <v>220006</v>
      </c>
      <c r="B132" t="s">
        <v>85</v>
      </c>
      <c r="C132" s="116" t="e">
        <f t="shared" si="102"/>
        <v>#REF!</v>
      </c>
      <c r="D132" s="116" t="e">
        <f t="shared" si="103"/>
        <v>#REF!</v>
      </c>
      <c r="E132" s="116" t="e">
        <f t="shared" si="104"/>
        <v>#REF!</v>
      </c>
      <c r="F132" s="116" t="e">
        <f t="shared" si="105"/>
        <v>#REF!</v>
      </c>
      <c r="G132" s="116" t="e">
        <f t="shared" si="106"/>
        <v>#REF!</v>
      </c>
      <c r="H132" s="116" t="e">
        <f t="shared" si="107"/>
        <v>#REF!</v>
      </c>
      <c r="I132" s="116" t="e">
        <f t="shared" si="108"/>
        <v>#REF!</v>
      </c>
      <c r="J132" s="116" t="e">
        <f t="shared" si="109"/>
        <v>#REF!</v>
      </c>
      <c r="K132" s="116" t="e">
        <f t="shared" si="110"/>
        <v>#REF!</v>
      </c>
      <c r="L132" s="116" t="e">
        <f t="shared" si="111"/>
        <v>#REF!</v>
      </c>
      <c r="M132" s="116" t="e">
        <f t="shared" si="112"/>
        <v>#REF!</v>
      </c>
      <c r="N132" s="116">
        <f t="shared" si="113"/>
        <v>0</v>
      </c>
      <c r="Q132" s="116" t="e">
        <f>-SUMIF(#REF!,$A132,#REF!)</f>
        <v>#REF!</v>
      </c>
      <c r="R132" s="116">
        <f>-SUMIF(ALIF_Y2014!$A:$A,$A132,ALIF_Y2014!$F:$F)</f>
        <v>0</v>
      </c>
      <c r="S132" s="116">
        <f>-SUMIF(ALIF_Y2015!$A:$A,$A132,ALIF_Y2015!$F:$F)</f>
        <v>0</v>
      </c>
      <c r="T132" s="116">
        <f>-SUMIF(ALIF_Y2016!$A:$A,$A132,ALIF_Y2016!$F:$F)</f>
        <v>0</v>
      </c>
      <c r="U132" s="116">
        <f>-SUMIF(ALIF_Y2017!$A:$A,$A132,ALIF_Y2017!$F:$F)</f>
        <v>0</v>
      </c>
      <c r="V132" s="116">
        <f>-SUMIF(ALIF_Y2018!$A:$A,$A132,ALIF_Y2018!$F:$F)</f>
        <v>0</v>
      </c>
      <c r="W132" s="116">
        <f>-SUMIF(ALIF_Y2019!$A:$A,$A132,ALIF_Y2019!$F:$F)</f>
        <v>36223842.005999997</v>
      </c>
      <c r="X132" s="116">
        <f>-SUMIF(ALIF_Y2020!$A:$A,$A132,ALIF_Y2020!$F:$F)</f>
        <v>64499587.656000003</v>
      </c>
      <c r="Y132" s="116">
        <f>-SUMIF(ALIF_Y2021!$A:$A,$A132,ALIF_Y2021!$F:$F)</f>
        <v>31884129.958000001</v>
      </c>
      <c r="Z132" s="116">
        <f>-SUMIF(ALIF_Y2022!$A:$A,$A132,ALIF_Y2022!$F:$F)</f>
        <v>36069107.965999998</v>
      </c>
      <c r="AA132" s="116">
        <f>-SUMIF(ALIF_Y2023!$A:$A,$A132,ALIF_Y2023!$F:$F)</f>
        <v>55545535.424000002</v>
      </c>
      <c r="AE132" s="116" t="e">
        <f>-SUMIF(#REF!,$A132,#REF!)</f>
        <v>#REF!</v>
      </c>
      <c r="AF132" s="116" t="e">
        <f>-SUMIF(#REF!,$A132,#REF!)</f>
        <v>#REF!</v>
      </c>
      <c r="AG132" s="116" t="e">
        <f>-SUMIF(#REF!,$A132,#REF!)</f>
        <v>#REF!</v>
      </c>
      <c r="AH132" s="116" t="e">
        <f>-SUMIF(#REF!,$A132,#REF!)</f>
        <v>#REF!</v>
      </c>
      <c r="AI132" s="116" t="e">
        <f>-SUMIF(#REF!,$A132,#REF!)</f>
        <v>#REF!</v>
      </c>
      <c r="AJ132" s="116" t="e">
        <f>-SUMIF(#REF!,$A132,#REF!)</f>
        <v>#REF!</v>
      </c>
      <c r="AK132" s="116" t="e">
        <f>-SUMIF(#REF!,$A132,#REF!)</f>
        <v>#REF!</v>
      </c>
      <c r="AL132" s="116" t="e">
        <f>-SUMIF(#REF!,$A132,#REF!)</f>
        <v>#REF!</v>
      </c>
      <c r="AM132" s="116" t="e">
        <f>-SUMIF(#REF!,$A132,#REF!)</f>
        <v>#REF!</v>
      </c>
      <c r="AN132" s="116" t="e">
        <f>-SUMIF(#REF!,$A132,#REF!)</f>
        <v>#REF!</v>
      </c>
      <c r="AO132" s="116" t="e">
        <f>-SUMIF(#REF!,$A132,#REF!)</f>
        <v>#REF!</v>
      </c>
    </row>
    <row r="133" spans="1:42" x14ac:dyDescent="0.25">
      <c r="A133" s="101">
        <v>220007</v>
      </c>
      <c r="B133" t="s">
        <v>249</v>
      </c>
      <c r="C133" s="116" t="e">
        <f t="shared" si="102"/>
        <v>#REF!</v>
      </c>
      <c r="D133" s="116" t="e">
        <f t="shared" si="103"/>
        <v>#REF!</v>
      </c>
      <c r="E133" s="116" t="e">
        <f t="shared" si="104"/>
        <v>#REF!</v>
      </c>
      <c r="F133" s="116" t="e">
        <f t="shared" si="105"/>
        <v>#REF!</v>
      </c>
      <c r="G133" s="116" t="e">
        <f t="shared" si="106"/>
        <v>#REF!</v>
      </c>
      <c r="H133" s="116" t="e">
        <f t="shared" si="107"/>
        <v>#REF!</v>
      </c>
      <c r="I133" s="116" t="e">
        <f t="shared" si="108"/>
        <v>#REF!</v>
      </c>
      <c r="J133" s="116" t="e">
        <f t="shared" si="109"/>
        <v>#REF!</v>
      </c>
      <c r="K133" s="116" t="e">
        <f t="shared" si="110"/>
        <v>#REF!</v>
      </c>
      <c r="L133" s="116" t="e">
        <f t="shared" si="111"/>
        <v>#REF!</v>
      </c>
      <c r="M133" s="116" t="e">
        <f t="shared" si="112"/>
        <v>#REF!</v>
      </c>
      <c r="N133" s="116">
        <f t="shared" si="113"/>
        <v>0</v>
      </c>
      <c r="Q133" s="116" t="e">
        <f>-SUMIF(#REF!,$A133,#REF!)</f>
        <v>#REF!</v>
      </c>
      <c r="R133" s="116">
        <f>-SUMIF(ALIF_Y2014!$A:$A,$A133,ALIF_Y2014!$F:$F)</f>
        <v>0</v>
      </c>
      <c r="S133" s="116">
        <f>-SUMIF(ALIF_Y2015!$A:$A,$A133,ALIF_Y2015!$F:$F)</f>
        <v>0</v>
      </c>
      <c r="T133" s="116">
        <f>-SUMIF(ALIF_Y2016!$A:$A,$A133,ALIF_Y2016!$F:$F)</f>
        <v>0</v>
      </c>
      <c r="U133" s="116">
        <f>-SUMIF(ALIF_Y2017!$A:$A,$A133,ALIF_Y2017!$F:$F)</f>
        <v>0</v>
      </c>
      <c r="V133" s="116">
        <f>-SUMIF(ALIF_Y2018!$A:$A,$A133,ALIF_Y2018!$F:$F)</f>
        <v>0</v>
      </c>
      <c r="W133" s="116">
        <f>-SUMIF(ALIF_Y2019!$A:$A,$A133,ALIF_Y2019!$F:$F)</f>
        <v>0</v>
      </c>
      <c r="X133" s="116">
        <f>-SUMIF(ALIF_Y2020!$A:$A,$A133,ALIF_Y2020!$F:$F)</f>
        <v>0</v>
      </c>
      <c r="Y133" s="116">
        <f>-SUMIF(ALIF_Y2021!$A:$A,$A133,ALIF_Y2021!$F:$F)</f>
        <v>0</v>
      </c>
      <c r="Z133" s="116">
        <f>-SUMIF(ALIF_Y2022!$A:$A,$A133,ALIF_Y2022!$F:$F)</f>
        <v>0</v>
      </c>
      <c r="AA133" s="116">
        <f>-SUMIF(ALIF_Y2023!$A:$A,$A133,ALIF_Y2023!$F:$F)</f>
        <v>0</v>
      </c>
      <c r="AE133" s="116" t="e">
        <f>-SUMIF(#REF!,$A133,#REF!)</f>
        <v>#REF!</v>
      </c>
      <c r="AF133" s="116" t="e">
        <f>-SUMIF(#REF!,$A133,#REF!)</f>
        <v>#REF!</v>
      </c>
      <c r="AG133" s="116" t="e">
        <f>-SUMIF(#REF!,$A133,#REF!)</f>
        <v>#REF!</v>
      </c>
      <c r="AH133" s="116" t="e">
        <f>-SUMIF(#REF!,$A133,#REF!)</f>
        <v>#REF!</v>
      </c>
      <c r="AI133" s="116" t="e">
        <f>-SUMIF(#REF!,$A133,#REF!)</f>
        <v>#REF!</v>
      </c>
      <c r="AJ133" s="116" t="e">
        <f>-SUMIF(#REF!,$A133,#REF!)</f>
        <v>#REF!</v>
      </c>
      <c r="AK133" s="116" t="e">
        <f>-SUMIF(#REF!,$A133,#REF!)</f>
        <v>#REF!</v>
      </c>
      <c r="AL133" s="116" t="e">
        <f>-SUMIF(#REF!,$A133,#REF!)</f>
        <v>#REF!</v>
      </c>
      <c r="AM133" s="116" t="e">
        <f>-SUMIF(#REF!,$A133,#REF!)</f>
        <v>#REF!</v>
      </c>
      <c r="AN133" s="116" t="e">
        <f>-SUMIF(#REF!,$A133,#REF!)</f>
        <v>#REF!</v>
      </c>
      <c r="AO133" s="116" t="e">
        <f>-SUMIF(#REF!,$A133,#REF!)</f>
        <v>#REF!</v>
      </c>
    </row>
    <row r="134" spans="1:42" ht="7.9" customHeight="1" x14ac:dyDescent="0.25"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</row>
    <row r="135" spans="1:42" x14ac:dyDescent="0.25">
      <c r="A135" s="99"/>
      <c r="C135" s="118" t="e">
        <f t="shared" ref="C135:N135" si="114">SUM(C122:C134)</f>
        <v>#REF!</v>
      </c>
      <c r="D135" s="118" t="e">
        <f t="shared" si="114"/>
        <v>#REF!</v>
      </c>
      <c r="E135" s="118" t="e">
        <f t="shared" si="114"/>
        <v>#REF!</v>
      </c>
      <c r="F135" s="118" t="e">
        <f t="shared" si="114"/>
        <v>#REF!</v>
      </c>
      <c r="G135" s="118" t="e">
        <f t="shared" si="114"/>
        <v>#REF!</v>
      </c>
      <c r="H135" s="118" t="e">
        <f t="shared" si="114"/>
        <v>#REF!</v>
      </c>
      <c r="I135" s="118" t="e">
        <f t="shared" si="114"/>
        <v>#REF!</v>
      </c>
      <c r="J135" s="118" t="e">
        <f t="shared" si="114"/>
        <v>#REF!</v>
      </c>
      <c r="K135" s="118" t="e">
        <f t="shared" si="114"/>
        <v>#REF!</v>
      </c>
      <c r="L135" s="118" t="e">
        <f t="shared" si="114"/>
        <v>#REF!</v>
      </c>
      <c r="M135" s="118" t="e">
        <f t="shared" si="114"/>
        <v>#REF!</v>
      </c>
      <c r="N135" s="118">
        <f t="shared" si="114"/>
        <v>0</v>
      </c>
      <c r="Q135" s="118" t="e">
        <f>SUM(Q122:Q134)</f>
        <v>#REF!</v>
      </c>
      <c r="R135" s="118">
        <f t="shared" ref="R135:AB135" si="115">SUM(R122:R134)</f>
        <v>24897662.395</v>
      </c>
      <c r="S135" s="118">
        <f t="shared" si="115"/>
        <v>11975998.512</v>
      </c>
      <c r="T135" s="118">
        <f t="shared" si="115"/>
        <v>26152571.23</v>
      </c>
      <c r="U135" s="118">
        <f t="shared" si="115"/>
        <v>0</v>
      </c>
      <c r="V135" s="118">
        <f t="shared" si="115"/>
        <v>60835098.295000002</v>
      </c>
      <c r="W135" s="118">
        <f t="shared" si="115"/>
        <v>67558356.840000004</v>
      </c>
      <c r="X135" s="118">
        <f t="shared" si="115"/>
        <v>87069638.245000005</v>
      </c>
      <c r="Y135" s="118">
        <f t="shared" si="115"/>
        <v>93444858.009000003</v>
      </c>
      <c r="Z135" s="118">
        <f t="shared" si="115"/>
        <v>129181162.92999998</v>
      </c>
      <c r="AA135" s="118">
        <f t="shared" si="115"/>
        <v>83699243.261999995</v>
      </c>
      <c r="AB135" s="118">
        <f t="shared" si="115"/>
        <v>0</v>
      </c>
      <c r="AE135" s="118" t="e">
        <f>SUM(AE122:AE134)</f>
        <v>#REF!</v>
      </c>
      <c r="AF135" s="118" t="e">
        <f t="shared" ref="AF135:AO135" si="116">SUM(AF122:AF134)</f>
        <v>#REF!</v>
      </c>
      <c r="AG135" s="118" t="e">
        <f t="shared" si="116"/>
        <v>#REF!</v>
      </c>
      <c r="AH135" s="118" t="e">
        <f t="shared" si="116"/>
        <v>#REF!</v>
      </c>
      <c r="AI135" s="118" t="e">
        <f t="shared" si="116"/>
        <v>#REF!</v>
      </c>
      <c r="AJ135" s="118" t="e">
        <f t="shared" si="116"/>
        <v>#REF!</v>
      </c>
      <c r="AK135" s="118" t="e">
        <f t="shared" si="116"/>
        <v>#REF!</v>
      </c>
      <c r="AL135" s="118" t="e">
        <f t="shared" si="116"/>
        <v>#REF!</v>
      </c>
      <c r="AM135" s="118" t="e">
        <f t="shared" si="116"/>
        <v>#REF!</v>
      </c>
      <c r="AN135" s="118" t="e">
        <f t="shared" si="116"/>
        <v>#REF!</v>
      </c>
      <c r="AO135" s="118" t="e">
        <f t="shared" si="116"/>
        <v>#REF!</v>
      </c>
    </row>
    <row r="136" spans="1:42" x14ac:dyDescent="0.25">
      <c r="A136" s="99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</row>
    <row r="137" spans="1:42" x14ac:dyDescent="0.25">
      <c r="A137" s="99" t="s">
        <v>574</v>
      </c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</row>
    <row r="138" spans="1:42" x14ac:dyDescent="0.25">
      <c r="A138" s="101">
        <v>210001</v>
      </c>
      <c r="B138" t="s">
        <v>78</v>
      </c>
      <c r="C138" s="116" t="e">
        <f t="shared" ref="C138:C151" si="117">Q138+AE138</f>
        <v>#REF!</v>
      </c>
      <c r="D138" s="116" t="e">
        <f t="shared" ref="D138:D151" si="118">R138+AF138</f>
        <v>#REF!</v>
      </c>
      <c r="E138" s="116" t="e">
        <f t="shared" ref="E138:E151" si="119">S138+AG138</f>
        <v>#REF!</v>
      </c>
      <c r="F138" s="116" t="e">
        <f t="shared" ref="F138:F151" si="120">T138+AH138</f>
        <v>#REF!</v>
      </c>
      <c r="G138" s="116" t="e">
        <f t="shared" ref="G138:G151" si="121">U138+AI138</f>
        <v>#REF!</v>
      </c>
      <c r="H138" s="116" t="e">
        <f t="shared" ref="H138:H151" si="122">V138+AJ138</f>
        <v>#REF!</v>
      </c>
      <c r="I138" s="116" t="e">
        <f t="shared" ref="I138:I151" si="123">W138+AK138</f>
        <v>#REF!</v>
      </c>
      <c r="J138" s="116" t="e">
        <f t="shared" ref="J138:J151" si="124">X138+AL138</f>
        <v>#REF!</v>
      </c>
      <c r="K138" s="116" t="e">
        <f t="shared" ref="K138:K151" si="125">Y138+AM138</f>
        <v>#REF!</v>
      </c>
      <c r="L138" s="116" t="e">
        <f t="shared" ref="L138:L151" si="126">Z138+AN138</f>
        <v>#REF!</v>
      </c>
      <c r="M138" s="116" t="e">
        <f t="shared" ref="M138:M151" si="127">AA138+AO138</f>
        <v>#REF!</v>
      </c>
      <c r="N138" s="116">
        <f t="shared" ref="N138:N151" si="128">AB138+AP138</f>
        <v>0</v>
      </c>
      <c r="Q138" s="116" t="e">
        <f>-SUMIF(#REF!,$A138,#REF!)</f>
        <v>#REF!</v>
      </c>
      <c r="R138" s="116">
        <f>-SUMIF(ALIF_Y2014!$A:$A,$A138,ALIF_Y2014!$F:$F)</f>
        <v>3017763.09</v>
      </c>
      <c r="S138" s="116">
        <f>-SUMIF(ALIF_Y2015!$A:$A,$A138,ALIF_Y2015!$F:$F)</f>
        <v>2844799.6</v>
      </c>
      <c r="T138" s="116">
        <f>-SUMIF(ALIF_Y2016!$A:$A,$A138,ALIF_Y2016!$F:$F)</f>
        <v>3400740.0929999999</v>
      </c>
      <c r="U138" s="116">
        <f>-SUMIF(ALIF_Y2017!$A:$A,$A138,ALIF_Y2017!$F:$F)</f>
        <v>3405415.5739999991</v>
      </c>
      <c r="V138" s="116">
        <f>-SUMIF(ALIF_Y2018!$A:$A,$A138,ALIF_Y2018!$F:$F)</f>
        <v>7673560.5650000004</v>
      </c>
      <c r="W138" s="116">
        <f>-SUMIF(ALIF_Y2019!$A:$A,$A138,ALIF_Y2019!$F:$F)</f>
        <v>4083556.966</v>
      </c>
      <c r="X138" s="116">
        <f>-SUMIF(ALIF_Y2020!$A:$A,$A138,ALIF_Y2020!$F:$F)</f>
        <v>1587370.8970000001</v>
      </c>
      <c r="Y138" s="116">
        <f>-SUMIF(ALIF_Y2021!$A:$A,$A138,ALIF_Y2021!$F:$F)</f>
        <v>-1991955.5389999999</v>
      </c>
      <c r="Z138" s="116">
        <f>-SUMIF(ALIF_Y2022!$A:$A,$A138,ALIF_Y2022!$F:$F)</f>
        <v>-327947.576</v>
      </c>
      <c r="AA138" s="116">
        <f>-SUMIF(ALIF_Y2023!$A:$A,$A138,ALIF_Y2023!$F:$F)</f>
        <v>3341656.193</v>
      </c>
      <c r="AE138" s="116" t="e">
        <f>-SUMIF(#REF!,$A138,#REF!)</f>
        <v>#REF!</v>
      </c>
      <c r="AF138" s="116" t="e">
        <f>-SUMIF(#REF!,$A138,#REF!)</f>
        <v>#REF!</v>
      </c>
      <c r="AG138" s="116" t="e">
        <f>-SUMIF(#REF!,$A138,#REF!)</f>
        <v>#REF!</v>
      </c>
      <c r="AH138" s="116" t="e">
        <f>-SUMIF(#REF!,$A138,#REF!)</f>
        <v>#REF!</v>
      </c>
      <c r="AI138" s="116" t="e">
        <f>-SUMIF(#REF!,$A138,#REF!)</f>
        <v>#REF!</v>
      </c>
      <c r="AJ138" s="116" t="e">
        <f>-SUMIF(#REF!,$A138,#REF!)</f>
        <v>#REF!</v>
      </c>
      <c r="AK138" s="116" t="e">
        <f>-SUMIF(#REF!,$A138,#REF!)</f>
        <v>#REF!</v>
      </c>
      <c r="AL138" s="116" t="e">
        <f>-SUMIF(#REF!,$A138,#REF!)</f>
        <v>#REF!</v>
      </c>
      <c r="AM138" s="116" t="e">
        <f>-SUMIF(#REF!,$A138,#REF!)</f>
        <v>#REF!</v>
      </c>
      <c r="AN138" s="116" t="e">
        <f>-SUMIF(#REF!,$A138,#REF!)</f>
        <v>#REF!</v>
      </c>
      <c r="AO138" s="116" t="e">
        <f>-SUMIF(#REF!,$A138,#REF!)</f>
        <v>#REF!</v>
      </c>
    </row>
    <row r="139" spans="1:42" x14ac:dyDescent="0.25">
      <c r="A139" s="101">
        <v>210002</v>
      </c>
      <c r="B139" t="s">
        <v>79</v>
      </c>
      <c r="C139" s="116" t="e">
        <f t="shared" si="117"/>
        <v>#REF!</v>
      </c>
      <c r="D139" s="116" t="e">
        <f t="shared" si="118"/>
        <v>#REF!</v>
      </c>
      <c r="E139" s="116" t="e">
        <f t="shared" si="119"/>
        <v>#REF!</v>
      </c>
      <c r="F139" s="116" t="e">
        <f t="shared" si="120"/>
        <v>#REF!</v>
      </c>
      <c r="G139" s="116" t="e">
        <f t="shared" si="121"/>
        <v>#REF!</v>
      </c>
      <c r="H139" s="116" t="e">
        <f t="shared" si="122"/>
        <v>#REF!</v>
      </c>
      <c r="I139" s="116" t="e">
        <f t="shared" si="123"/>
        <v>#REF!</v>
      </c>
      <c r="J139" s="116" t="e">
        <f t="shared" si="124"/>
        <v>#REF!</v>
      </c>
      <c r="K139" s="116" t="e">
        <f t="shared" si="125"/>
        <v>#REF!</v>
      </c>
      <c r="L139" s="116" t="e">
        <f t="shared" si="126"/>
        <v>#REF!</v>
      </c>
      <c r="M139" s="116" t="e">
        <f t="shared" si="127"/>
        <v>#REF!</v>
      </c>
      <c r="N139" s="116">
        <f t="shared" si="128"/>
        <v>0</v>
      </c>
      <c r="Q139" s="116" t="e">
        <f>-SUMIF(#REF!,$A139,#REF!)</f>
        <v>#REF!</v>
      </c>
      <c r="R139" s="116">
        <f>-SUMIF(ALIF_Y2014!$A:$A,$A139,ALIF_Y2014!$F:$F)</f>
        <v>-1910502.09</v>
      </c>
      <c r="S139" s="116">
        <f>-SUMIF(ALIF_Y2015!$A:$A,$A139,ALIF_Y2015!$F:$F)</f>
        <v>3155366.4</v>
      </c>
      <c r="T139" s="116">
        <f>-SUMIF(ALIF_Y2016!$A:$A,$A139,ALIF_Y2016!$F:$F)</f>
        <v>1993720.899</v>
      </c>
      <c r="U139" s="116">
        <f>-SUMIF(ALIF_Y2017!$A:$A,$A139,ALIF_Y2017!$F:$F)</f>
        <v>3454413.4240000001</v>
      </c>
      <c r="V139" s="116">
        <f>-SUMIF(ALIF_Y2018!$A:$A,$A139,ALIF_Y2018!$F:$F)</f>
        <v>3502984.73</v>
      </c>
      <c r="W139" s="116">
        <f>-SUMIF(ALIF_Y2019!$A:$A,$A139,ALIF_Y2019!$F:$F)</f>
        <v>4136245.906</v>
      </c>
      <c r="X139" s="116">
        <f>-SUMIF(ALIF_Y2020!$A:$A,$A139,ALIF_Y2020!$F:$F)</f>
        <v>6187965.9749999996</v>
      </c>
      <c r="Y139" s="116">
        <f>-SUMIF(ALIF_Y2021!$A:$A,$A139,ALIF_Y2021!$F:$F)</f>
        <v>3053002.9160000002</v>
      </c>
      <c r="Z139" s="116">
        <f>-SUMIF(ALIF_Y2022!$A:$A,$A139,ALIF_Y2022!$F:$F)</f>
        <v>5604504.5329999998</v>
      </c>
      <c r="AA139" s="116">
        <f>-SUMIF(ALIF_Y2023!$A:$A,$A139,ALIF_Y2023!$F:$F)</f>
        <v>2233341.199</v>
      </c>
      <c r="AE139" s="116" t="e">
        <f>-SUMIF(#REF!,$A139,#REF!)</f>
        <v>#REF!</v>
      </c>
      <c r="AF139" s="116" t="e">
        <f>-SUMIF(#REF!,$A139,#REF!)</f>
        <v>#REF!</v>
      </c>
      <c r="AG139" s="116" t="e">
        <f>-SUMIF(#REF!,$A139,#REF!)</f>
        <v>#REF!</v>
      </c>
      <c r="AH139" s="116" t="e">
        <f>-SUMIF(#REF!,$A139,#REF!)</f>
        <v>#REF!</v>
      </c>
      <c r="AI139" s="116" t="e">
        <f>-SUMIF(#REF!,$A139,#REF!)</f>
        <v>#REF!</v>
      </c>
      <c r="AJ139" s="116" t="e">
        <f>-SUMIF(#REF!,$A139,#REF!)</f>
        <v>#REF!</v>
      </c>
      <c r="AK139" s="116" t="e">
        <f>-SUMIF(#REF!,$A139,#REF!)</f>
        <v>#REF!</v>
      </c>
      <c r="AL139" s="116" t="e">
        <f>-SUMIF(#REF!,$A139,#REF!)</f>
        <v>#REF!</v>
      </c>
      <c r="AM139" s="116" t="e">
        <f>-SUMIF(#REF!,$A139,#REF!)</f>
        <v>#REF!</v>
      </c>
      <c r="AN139" s="116" t="e">
        <f>-SUMIF(#REF!,$A139,#REF!)</f>
        <v>#REF!</v>
      </c>
      <c r="AO139" s="116" t="e">
        <f>-SUMIF(#REF!,$A139,#REF!)</f>
        <v>#REF!</v>
      </c>
    </row>
    <row r="140" spans="1:42" x14ac:dyDescent="0.25">
      <c r="A140" s="101">
        <v>230001</v>
      </c>
      <c r="B140" t="s">
        <v>86</v>
      </c>
      <c r="C140" s="116" t="e">
        <f t="shared" si="117"/>
        <v>#REF!</v>
      </c>
      <c r="D140" s="116" t="e">
        <f t="shared" si="118"/>
        <v>#REF!</v>
      </c>
      <c r="E140" s="116" t="e">
        <f t="shared" si="119"/>
        <v>#REF!</v>
      </c>
      <c r="F140" s="116" t="e">
        <f t="shared" si="120"/>
        <v>#REF!</v>
      </c>
      <c r="G140" s="116" t="e">
        <f t="shared" si="121"/>
        <v>#REF!</v>
      </c>
      <c r="H140" s="116" t="e">
        <f t="shared" si="122"/>
        <v>#REF!</v>
      </c>
      <c r="I140" s="116" t="e">
        <f t="shared" si="123"/>
        <v>#REF!</v>
      </c>
      <c r="J140" s="116" t="e">
        <f t="shared" si="124"/>
        <v>#REF!</v>
      </c>
      <c r="K140" s="116" t="e">
        <f t="shared" si="125"/>
        <v>#REF!</v>
      </c>
      <c r="L140" s="116" t="e">
        <f t="shared" si="126"/>
        <v>#REF!</v>
      </c>
      <c r="M140" s="116" t="e">
        <f t="shared" si="127"/>
        <v>#REF!</v>
      </c>
      <c r="N140" s="116">
        <f t="shared" si="128"/>
        <v>0</v>
      </c>
      <c r="Q140" s="116" t="e">
        <f>-SUMIF(#REF!,$A140,#REF!)</f>
        <v>#REF!</v>
      </c>
      <c r="R140" s="116">
        <f>-SUMIF(ALIF_Y2014!$A:$A,$A140,ALIF_Y2014!$F:$F)</f>
        <v>0</v>
      </c>
      <c r="S140" s="116">
        <f>-SUMIF(ALIF_Y2015!$A:$A,$A140,ALIF_Y2015!$F:$F)</f>
        <v>0</v>
      </c>
      <c r="T140" s="116">
        <f>-SUMIF(ALIF_Y2016!$A:$A,$A140,ALIF_Y2016!$F:$F)</f>
        <v>2E-3</v>
      </c>
      <c r="U140" s="116">
        <f>-SUMIF(ALIF_Y2017!$A:$A,$A140,ALIF_Y2017!$F:$F)</f>
        <v>0</v>
      </c>
      <c r="V140" s="116">
        <f>-SUMIF(ALIF_Y2018!$A:$A,$A140,ALIF_Y2018!$F:$F)</f>
        <v>0</v>
      </c>
      <c r="W140" s="116">
        <f>-SUMIF(ALIF_Y2019!$A:$A,$A140,ALIF_Y2019!$F:$F)</f>
        <v>-518372.10499999998</v>
      </c>
      <c r="X140" s="116">
        <f>-SUMIF(ALIF_Y2020!$A:$A,$A140,ALIF_Y2020!$F:$F)</f>
        <v>0</v>
      </c>
      <c r="Y140" s="116">
        <f>-SUMIF(ALIF_Y2021!$A:$A,$A140,ALIF_Y2021!$F:$F)</f>
        <v>0</v>
      </c>
      <c r="Z140" s="116">
        <f>-SUMIF(ALIF_Y2022!$A:$A,$A140,ALIF_Y2022!$F:$F)</f>
        <v>0</v>
      </c>
      <c r="AA140" s="116">
        <f>-SUMIF(ALIF_Y2023!$A:$A,$A140,ALIF_Y2023!$F:$F)</f>
        <v>0</v>
      </c>
      <c r="AE140" s="116" t="e">
        <f>-SUMIF(#REF!,$A140,#REF!)</f>
        <v>#REF!</v>
      </c>
      <c r="AF140" s="116" t="e">
        <f>-SUMIF(#REF!,$A140,#REF!)</f>
        <v>#REF!</v>
      </c>
      <c r="AG140" s="116" t="e">
        <f>-SUMIF(#REF!,$A140,#REF!)</f>
        <v>#REF!</v>
      </c>
      <c r="AH140" s="116" t="e">
        <f>-SUMIF(#REF!,$A140,#REF!)</f>
        <v>#REF!</v>
      </c>
      <c r="AI140" s="116" t="e">
        <f>-SUMIF(#REF!,$A140,#REF!)</f>
        <v>#REF!</v>
      </c>
      <c r="AJ140" s="116" t="e">
        <f>-SUMIF(#REF!,$A140,#REF!)</f>
        <v>#REF!</v>
      </c>
      <c r="AK140" s="116" t="e">
        <f>-SUMIF(#REF!,$A140,#REF!)</f>
        <v>#REF!</v>
      </c>
      <c r="AL140" s="116" t="e">
        <f>-SUMIF(#REF!,$A140,#REF!)</f>
        <v>#REF!</v>
      </c>
      <c r="AM140" s="116" t="e">
        <f>-SUMIF(#REF!,$A140,#REF!)</f>
        <v>#REF!</v>
      </c>
      <c r="AN140" s="116" t="e">
        <f>-SUMIF(#REF!,$A140,#REF!)</f>
        <v>#REF!</v>
      </c>
      <c r="AO140" s="116" t="e">
        <f>-SUMIF(#REF!,$A140,#REF!)</f>
        <v>#REF!</v>
      </c>
    </row>
    <row r="141" spans="1:42" x14ac:dyDescent="0.25">
      <c r="A141" s="101">
        <v>240001</v>
      </c>
      <c r="B141" t="s">
        <v>87</v>
      </c>
      <c r="C141" s="116" t="e">
        <f t="shared" si="117"/>
        <v>#REF!</v>
      </c>
      <c r="D141" s="116" t="e">
        <f t="shared" si="118"/>
        <v>#REF!</v>
      </c>
      <c r="E141" s="116" t="e">
        <f t="shared" si="119"/>
        <v>#REF!</v>
      </c>
      <c r="F141" s="116" t="e">
        <f t="shared" si="120"/>
        <v>#REF!</v>
      </c>
      <c r="G141" s="116" t="e">
        <f t="shared" si="121"/>
        <v>#REF!</v>
      </c>
      <c r="H141" s="116" t="e">
        <f t="shared" si="122"/>
        <v>#REF!</v>
      </c>
      <c r="I141" s="116" t="e">
        <f t="shared" si="123"/>
        <v>#REF!</v>
      </c>
      <c r="J141" s="116" t="e">
        <f t="shared" si="124"/>
        <v>#REF!</v>
      </c>
      <c r="K141" s="116" t="e">
        <f t="shared" si="125"/>
        <v>#REF!</v>
      </c>
      <c r="L141" s="116" t="e">
        <f t="shared" si="126"/>
        <v>#REF!</v>
      </c>
      <c r="M141" s="116" t="e">
        <f t="shared" si="127"/>
        <v>#REF!</v>
      </c>
      <c r="N141" s="116">
        <f t="shared" si="128"/>
        <v>0</v>
      </c>
      <c r="Q141" s="116" t="e">
        <f>-SUMIF(#REF!,$A141,#REF!)</f>
        <v>#REF!</v>
      </c>
      <c r="R141" s="116">
        <f>-SUMIF(ALIF_Y2014!$A:$A,$A141,ALIF_Y2014!$F:$F)</f>
        <v>-4.0000000000000001E-3</v>
      </c>
      <c r="S141" s="116">
        <f>-SUMIF(ALIF_Y2015!$A:$A,$A141,ALIF_Y2015!$F:$F)</f>
        <v>0</v>
      </c>
      <c r="T141" s="116">
        <f>-SUMIF(ALIF_Y2016!$A:$A,$A141,ALIF_Y2016!$F:$F)</f>
        <v>6.0000000000000001E-3</v>
      </c>
      <c r="U141" s="116">
        <f>-SUMIF(ALIF_Y2017!$A:$A,$A141,ALIF_Y2017!$F:$F)</f>
        <v>0</v>
      </c>
      <c r="V141" s="116">
        <f>-SUMIF(ALIF_Y2018!$A:$A,$A141,ALIF_Y2018!$F:$F)</f>
        <v>0</v>
      </c>
      <c r="W141" s="116">
        <f>-SUMIF(ALIF_Y2019!$A:$A,$A141,ALIF_Y2019!$F:$F)</f>
        <v>-3.0000000000000001E-3</v>
      </c>
      <c r="X141" s="116">
        <f>-SUMIF(ALIF_Y2020!$A:$A,$A141,ALIF_Y2020!$F:$F)</f>
        <v>0</v>
      </c>
      <c r="Y141" s="116">
        <f>-SUMIF(ALIF_Y2021!$A:$A,$A141,ALIF_Y2021!$F:$F)</f>
        <v>0</v>
      </c>
      <c r="Z141" s="116">
        <f>-SUMIF(ALIF_Y2022!$A:$A,$A141,ALIF_Y2022!$F:$F)</f>
        <v>0</v>
      </c>
      <c r="AA141" s="116">
        <f>-SUMIF(ALIF_Y2023!$A:$A,$A141,ALIF_Y2023!$F:$F)</f>
        <v>-67499.61</v>
      </c>
      <c r="AE141" s="116" t="e">
        <f>-SUMIF(#REF!,$A141,#REF!)</f>
        <v>#REF!</v>
      </c>
      <c r="AF141" s="116" t="e">
        <f>-SUMIF(#REF!,$A141,#REF!)</f>
        <v>#REF!</v>
      </c>
      <c r="AG141" s="116" t="e">
        <f>-SUMIF(#REF!,$A141,#REF!)</f>
        <v>#REF!</v>
      </c>
      <c r="AH141" s="116" t="e">
        <f>-SUMIF(#REF!,$A141,#REF!)</f>
        <v>#REF!</v>
      </c>
      <c r="AI141" s="116" t="e">
        <f>-SUMIF(#REF!,$A141,#REF!)</f>
        <v>#REF!</v>
      </c>
      <c r="AJ141" s="116" t="e">
        <f>-SUMIF(#REF!,$A141,#REF!)</f>
        <v>#REF!</v>
      </c>
      <c r="AK141" s="116" t="e">
        <f>-SUMIF(#REF!,$A141,#REF!)</f>
        <v>#REF!</v>
      </c>
      <c r="AL141" s="116" t="e">
        <f>-SUMIF(#REF!,$A141,#REF!)</f>
        <v>#REF!</v>
      </c>
      <c r="AM141" s="116" t="e">
        <f>-SUMIF(#REF!,$A141,#REF!)</f>
        <v>#REF!</v>
      </c>
      <c r="AN141" s="116" t="e">
        <f>-SUMIF(#REF!,$A141,#REF!)</f>
        <v>#REF!</v>
      </c>
      <c r="AO141" s="116" t="e">
        <f>-SUMIF(#REF!,$A141,#REF!)</f>
        <v>#REF!</v>
      </c>
    </row>
    <row r="142" spans="1:42" x14ac:dyDescent="0.25">
      <c r="A142" s="101">
        <v>240002</v>
      </c>
      <c r="B142" t="s">
        <v>88</v>
      </c>
      <c r="C142" s="116" t="e">
        <f t="shared" si="117"/>
        <v>#REF!</v>
      </c>
      <c r="D142" s="116" t="e">
        <f t="shared" si="118"/>
        <v>#REF!</v>
      </c>
      <c r="E142" s="116" t="e">
        <f t="shared" si="119"/>
        <v>#REF!</v>
      </c>
      <c r="F142" s="116" t="e">
        <f t="shared" si="120"/>
        <v>#REF!</v>
      </c>
      <c r="G142" s="116" t="e">
        <f t="shared" si="121"/>
        <v>#REF!</v>
      </c>
      <c r="H142" s="116" t="e">
        <f t="shared" si="122"/>
        <v>#REF!</v>
      </c>
      <c r="I142" s="116" t="e">
        <f t="shared" si="123"/>
        <v>#REF!</v>
      </c>
      <c r="J142" s="116" t="e">
        <f t="shared" si="124"/>
        <v>#REF!</v>
      </c>
      <c r="K142" s="116" t="e">
        <f t="shared" si="125"/>
        <v>#REF!</v>
      </c>
      <c r="L142" s="116" t="e">
        <f t="shared" si="126"/>
        <v>#REF!</v>
      </c>
      <c r="M142" s="116" t="e">
        <f t="shared" si="127"/>
        <v>#REF!</v>
      </c>
      <c r="N142" s="116">
        <f t="shared" si="128"/>
        <v>0</v>
      </c>
      <c r="Q142" s="116" t="e">
        <f>-SUMIF(#REF!,$A142,#REF!)</f>
        <v>#REF!</v>
      </c>
      <c r="R142" s="116">
        <f>-SUMIF(ALIF_Y2014!$A:$A,$A142,ALIF_Y2014!$F:$F)</f>
        <v>0</v>
      </c>
      <c r="S142" s="116">
        <f>-SUMIF(ALIF_Y2015!$A:$A,$A142,ALIF_Y2015!$F:$F)</f>
        <v>-648727</v>
      </c>
      <c r="T142" s="116">
        <f>-SUMIF(ALIF_Y2016!$A:$A,$A142,ALIF_Y2016!$F:$F)</f>
        <v>0</v>
      </c>
      <c r="U142" s="116">
        <f>-SUMIF(ALIF_Y2017!$A:$A,$A142,ALIF_Y2017!$F:$F)</f>
        <v>0</v>
      </c>
      <c r="V142" s="116">
        <f>-SUMIF(ALIF_Y2018!$A:$A,$A142,ALIF_Y2018!$F:$F)</f>
        <v>-845508</v>
      </c>
      <c r="W142" s="116">
        <f>-SUMIF(ALIF_Y2019!$A:$A,$A142,ALIF_Y2019!$F:$F)</f>
        <v>0</v>
      </c>
      <c r="X142" s="116">
        <f>-SUMIF(ALIF_Y2020!$A:$A,$A142,ALIF_Y2020!$F:$F)</f>
        <v>0</v>
      </c>
      <c r="Y142" s="116">
        <f>-SUMIF(ALIF_Y2021!$A:$A,$A142,ALIF_Y2021!$F:$F)</f>
        <v>0</v>
      </c>
      <c r="Z142" s="116">
        <f>-SUMIF(ALIF_Y2022!$A:$A,$A142,ALIF_Y2022!$F:$F)</f>
        <v>0</v>
      </c>
      <c r="AA142" s="116">
        <f>-SUMIF(ALIF_Y2023!$A:$A,$A142,ALIF_Y2023!$F:$F)</f>
        <v>0</v>
      </c>
      <c r="AE142" s="116" t="e">
        <f>-SUMIF(#REF!,$A142,#REF!)</f>
        <v>#REF!</v>
      </c>
      <c r="AF142" s="116" t="e">
        <f>-SUMIF(#REF!,$A142,#REF!)</f>
        <v>#REF!</v>
      </c>
      <c r="AG142" s="116" t="e">
        <f>-SUMIF(#REF!,$A142,#REF!)</f>
        <v>#REF!</v>
      </c>
      <c r="AH142" s="116" t="e">
        <f>-SUMIF(#REF!,$A142,#REF!)</f>
        <v>#REF!</v>
      </c>
      <c r="AI142" s="116" t="e">
        <f>-SUMIF(#REF!,$A142,#REF!)</f>
        <v>#REF!</v>
      </c>
      <c r="AJ142" s="116" t="e">
        <f>-SUMIF(#REF!,$A142,#REF!)</f>
        <v>#REF!</v>
      </c>
      <c r="AK142" s="116" t="e">
        <f>-SUMIF(#REF!,$A142,#REF!)</f>
        <v>#REF!</v>
      </c>
      <c r="AL142" s="116" t="e">
        <f>-SUMIF(#REF!,$A142,#REF!)</f>
        <v>#REF!</v>
      </c>
      <c r="AM142" s="116" t="e">
        <f>-SUMIF(#REF!,$A142,#REF!)</f>
        <v>#REF!</v>
      </c>
      <c r="AN142" s="116" t="e">
        <f>-SUMIF(#REF!,$A142,#REF!)</f>
        <v>#REF!</v>
      </c>
      <c r="AO142" s="116" t="e">
        <f>-SUMIF(#REF!,$A142,#REF!)</f>
        <v>#REF!</v>
      </c>
    </row>
    <row r="143" spans="1:42" x14ac:dyDescent="0.25">
      <c r="A143" s="101">
        <v>250001</v>
      </c>
      <c r="B143" t="s">
        <v>90</v>
      </c>
      <c r="C143" s="116" t="e">
        <f t="shared" si="117"/>
        <v>#REF!</v>
      </c>
      <c r="D143" s="116" t="e">
        <f t="shared" si="118"/>
        <v>#REF!</v>
      </c>
      <c r="E143" s="116" t="e">
        <f t="shared" si="119"/>
        <v>#REF!</v>
      </c>
      <c r="F143" s="116" t="e">
        <f t="shared" si="120"/>
        <v>#REF!</v>
      </c>
      <c r="G143" s="116" t="e">
        <f t="shared" si="121"/>
        <v>#REF!</v>
      </c>
      <c r="H143" s="116" t="e">
        <f t="shared" si="122"/>
        <v>#REF!</v>
      </c>
      <c r="I143" s="116" t="e">
        <f t="shared" si="123"/>
        <v>#REF!</v>
      </c>
      <c r="J143" s="116" t="e">
        <f t="shared" si="124"/>
        <v>#REF!</v>
      </c>
      <c r="K143" s="116" t="e">
        <f t="shared" si="125"/>
        <v>#REF!</v>
      </c>
      <c r="L143" s="116" t="e">
        <f t="shared" si="126"/>
        <v>#REF!</v>
      </c>
      <c r="M143" s="116" t="e">
        <f t="shared" si="127"/>
        <v>#REF!</v>
      </c>
      <c r="N143" s="116">
        <f t="shared" si="128"/>
        <v>0</v>
      </c>
      <c r="Q143" s="116" t="e">
        <f>-SUMIF(#REF!,$A143,#REF!)</f>
        <v>#REF!</v>
      </c>
      <c r="R143" s="116">
        <f>-SUMIF(ALIF_Y2014!$A:$A,$A143,ALIF_Y2014!$F:$F)</f>
        <v>0</v>
      </c>
      <c r="S143" s="116">
        <f>-SUMIF(ALIF_Y2015!$A:$A,$A143,ALIF_Y2015!$F:$F)</f>
        <v>0</v>
      </c>
      <c r="T143" s="116">
        <f>-SUMIF(ALIF_Y2016!$A:$A,$A143,ALIF_Y2016!$F:$F)</f>
        <v>0</v>
      </c>
      <c r="U143" s="116">
        <f>-SUMIF(ALIF_Y2017!$A:$A,$A143,ALIF_Y2017!$F:$F)</f>
        <v>0</v>
      </c>
      <c r="V143" s="116">
        <f>-SUMIF(ALIF_Y2018!$A:$A,$A143,ALIF_Y2018!$F:$F)</f>
        <v>0</v>
      </c>
      <c r="W143" s="116">
        <f>-SUMIF(ALIF_Y2019!$A:$A,$A143,ALIF_Y2019!$F:$F)</f>
        <v>0</v>
      </c>
      <c r="X143" s="116">
        <f>-SUMIF(ALIF_Y2020!$A:$A,$A143,ALIF_Y2020!$F:$F)</f>
        <v>0</v>
      </c>
      <c r="Y143" s="116">
        <f>-SUMIF(ALIF_Y2021!$A:$A,$A143,ALIF_Y2021!$F:$F)</f>
        <v>0</v>
      </c>
      <c r="Z143" s="116">
        <f>-SUMIF(ALIF_Y2022!$A:$A,$A143,ALIF_Y2022!$F:$F)</f>
        <v>0</v>
      </c>
      <c r="AA143" s="116">
        <f>-SUMIF(ALIF_Y2023!$A:$A,$A143,ALIF_Y2023!$F:$F)</f>
        <v>0</v>
      </c>
      <c r="AE143" s="116" t="e">
        <f>-SUMIF(#REF!,$A143,#REF!)</f>
        <v>#REF!</v>
      </c>
      <c r="AF143" s="116" t="e">
        <f>-SUMIF(#REF!,$A143,#REF!)</f>
        <v>#REF!</v>
      </c>
      <c r="AG143" s="116" t="e">
        <f>-SUMIF(#REF!,$A143,#REF!)</f>
        <v>#REF!</v>
      </c>
      <c r="AH143" s="116" t="e">
        <f>-SUMIF(#REF!,$A143,#REF!)</f>
        <v>#REF!</v>
      </c>
      <c r="AI143" s="116" t="e">
        <f>-SUMIF(#REF!,$A143,#REF!)</f>
        <v>#REF!</v>
      </c>
      <c r="AJ143" s="116" t="e">
        <f>-SUMIF(#REF!,$A143,#REF!)</f>
        <v>#REF!</v>
      </c>
      <c r="AK143" s="116" t="e">
        <f>-SUMIF(#REF!,$A143,#REF!)</f>
        <v>#REF!</v>
      </c>
      <c r="AL143" s="116" t="e">
        <f>-SUMIF(#REF!,$A143,#REF!)</f>
        <v>#REF!</v>
      </c>
      <c r="AM143" s="116" t="e">
        <f>-SUMIF(#REF!,$A143,#REF!)</f>
        <v>#REF!</v>
      </c>
      <c r="AN143" s="116" t="e">
        <f>-SUMIF(#REF!,$A143,#REF!)</f>
        <v>#REF!</v>
      </c>
      <c r="AO143" s="116" t="e">
        <f>-SUMIF(#REF!,$A143,#REF!)</f>
        <v>#REF!</v>
      </c>
    </row>
    <row r="144" spans="1:42" x14ac:dyDescent="0.25">
      <c r="A144" s="101">
        <v>250002</v>
      </c>
      <c r="B144" t="s">
        <v>91</v>
      </c>
      <c r="C144" s="116" t="e">
        <f t="shared" si="117"/>
        <v>#REF!</v>
      </c>
      <c r="D144" s="116" t="e">
        <f t="shared" si="118"/>
        <v>#REF!</v>
      </c>
      <c r="E144" s="116" t="e">
        <f t="shared" si="119"/>
        <v>#REF!</v>
      </c>
      <c r="F144" s="116" t="e">
        <f t="shared" si="120"/>
        <v>#REF!</v>
      </c>
      <c r="G144" s="116" t="e">
        <f t="shared" si="121"/>
        <v>#REF!</v>
      </c>
      <c r="H144" s="116" t="e">
        <f t="shared" si="122"/>
        <v>#REF!</v>
      </c>
      <c r="I144" s="116" t="e">
        <f t="shared" si="123"/>
        <v>#REF!</v>
      </c>
      <c r="J144" s="116" t="e">
        <f t="shared" si="124"/>
        <v>#REF!</v>
      </c>
      <c r="K144" s="116" t="e">
        <f t="shared" si="125"/>
        <v>#REF!</v>
      </c>
      <c r="L144" s="116" t="e">
        <f t="shared" si="126"/>
        <v>#REF!</v>
      </c>
      <c r="M144" s="116" t="e">
        <f t="shared" si="127"/>
        <v>#REF!</v>
      </c>
      <c r="N144" s="116">
        <f t="shared" si="128"/>
        <v>0</v>
      </c>
      <c r="Q144" s="116" t="e">
        <f>-SUMIF(#REF!,$A144,#REF!)</f>
        <v>#REF!</v>
      </c>
      <c r="R144" s="116">
        <f>-SUMIF(ALIF_Y2014!$A:$A,$A144,ALIF_Y2014!$F:$F)</f>
        <v>150000</v>
      </c>
      <c r="S144" s="116">
        <f>-SUMIF(ALIF_Y2015!$A:$A,$A144,ALIF_Y2015!$F:$F)</f>
        <v>150000</v>
      </c>
      <c r="T144" s="116">
        <f>-SUMIF(ALIF_Y2016!$A:$A,$A144,ALIF_Y2016!$F:$F)</f>
        <v>0</v>
      </c>
      <c r="U144" s="116">
        <f>-SUMIF(ALIF_Y2017!$A:$A,$A144,ALIF_Y2017!$F:$F)</f>
        <v>0</v>
      </c>
      <c r="V144" s="116">
        <f>-SUMIF(ALIF_Y2018!$A:$A,$A144,ALIF_Y2018!$F:$F)</f>
        <v>0</v>
      </c>
      <c r="W144" s="116">
        <f>-SUMIF(ALIF_Y2019!$A:$A,$A144,ALIF_Y2019!$F:$F)</f>
        <v>0</v>
      </c>
      <c r="X144" s="116">
        <f>-SUMIF(ALIF_Y2020!$A:$A,$A144,ALIF_Y2020!$F:$F)</f>
        <v>0</v>
      </c>
      <c r="Y144" s="116">
        <f>-SUMIF(ALIF_Y2021!$A:$A,$A144,ALIF_Y2021!$F:$F)</f>
        <v>0</v>
      </c>
      <c r="Z144" s="116">
        <f>-SUMIF(ALIF_Y2022!$A:$A,$A144,ALIF_Y2022!$F:$F)</f>
        <v>0</v>
      </c>
      <c r="AA144" s="116">
        <f>-SUMIF(ALIF_Y2023!$A:$A,$A144,ALIF_Y2023!$F:$F)</f>
        <v>0</v>
      </c>
      <c r="AE144" s="116" t="e">
        <f>-SUMIF(#REF!,$A144,#REF!)</f>
        <v>#REF!</v>
      </c>
      <c r="AF144" s="116" t="e">
        <f>-SUMIF(#REF!,$A144,#REF!)</f>
        <v>#REF!</v>
      </c>
      <c r="AG144" s="116" t="e">
        <f>-SUMIF(#REF!,$A144,#REF!)</f>
        <v>#REF!</v>
      </c>
      <c r="AH144" s="116" t="e">
        <f>-SUMIF(#REF!,$A144,#REF!)</f>
        <v>#REF!</v>
      </c>
      <c r="AI144" s="116" t="e">
        <f>-SUMIF(#REF!,$A144,#REF!)</f>
        <v>#REF!</v>
      </c>
      <c r="AJ144" s="116" t="e">
        <f>-SUMIF(#REF!,$A144,#REF!)</f>
        <v>#REF!</v>
      </c>
      <c r="AK144" s="116" t="e">
        <f>-SUMIF(#REF!,$A144,#REF!)</f>
        <v>#REF!</v>
      </c>
      <c r="AL144" s="116" t="e">
        <f>-SUMIF(#REF!,$A144,#REF!)</f>
        <v>#REF!</v>
      </c>
      <c r="AM144" s="116" t="e">
        <f>-SUMIF(#REF!,$A144,#REF!)</f>
        <v>#REF!</v>
      </c>
      <c r="AN144" s="116" t="e">
        <f>-SUMIF(#REF!,$A144,#REF!)</f>
        <v>#REF!</v>
      </c>
      <c r="AO144" s="116" t="e">
        <f>-SUMIF(#REF!,$A144,#REF!)</f>
        <v>#REF!</v>
      </c>
    </row>
    <row r="145" spans="1:42" x14ac:dyDescent="0.25">
      <c r="A145" s="101">
        <v>250004</v>
      </c>
      <c r="B145" t="s">
        <v>93</v>
      </c>
      <c r="C145" s="116" t="e">
        <f t="shared" si="117"/>
        <v>#REF!</v>
      </c>
      <c r="D145" s="116" t="e">
        <f t="shared" si="118"/>
        <v>#REF!</v>
      </c>
      <c r="E145" s="116" t="e">
        <f t="shared" si="119"/>
        <v>#REF!</v>
      </c>
      <c r="F145" s="116" t="e">
        <f t="shared" si="120"/>
        <v>#REF!</v>
      </c>
      <c r="G145" s="116" t="e">
        <f t="shared" si="121"/>
        <v>#REF!</v>
      </c>
      <c r="H145" s="116" t="e">
        <f t="shared" si="122"/>
        <v>#REF!</v>
      </c>
      <c r="I145" s="116" t="e">
        <f t="shared" si="123"/>
        <v>#REF!</v>
      </c>
      <c r="J145" s="116" t="e">
        <f t="shared" si="124"/>
        <v>#REF!</v>
      </c>
      <c r="K145" s="116" t="e">
        <f t="shared" si="125"/>
        <v>#REF!</v>
      </c>
      <c r="L145" s="116" t="e">
        <f t="shared" si="126"/>
        <v>#REF!</v>
      </c>
      <c r="M145" s="116" t="e">
        <f t="shared" si="127"/>
        <v>#REF!</v>
      </c>
      <c r="N145" s="116">
        <f t="shared" si="128"/>
        <v>0</v>
      </c>
      <c r="Q145" s="116" t="e">
        <f>-SUMIF(#REF!,$A145,#REF!)</f>
        <v>#REF!</v>
      </c>
      <c r="R145" s="116">
        <f>-SUMIF(ALIF_Y2014!$A:$A,$A145,ALIF_Y2014!$F:$F)</f>
        <v>1200000</v>
      </c>
      <c r="S145" s="116">
        <f>-SUMIF(ALIF_Y2015!$A:$A,$A145,ALIF_Y2015!$F:$F)</f>
        <v>720000</v>
      </c>
      <c r="T145" s="116">
        <f>-SUMIF(ALIF_Y2016!$A:$A,$A145,ALIF_Y2016!$F:$F)</f>
        <v>0</v>
      </c>
      <c r="U145" s="116">
        <f>-SUMIF(ALIF_Y2017!$A:$A,$A145,ALIF_Y2017!$F:$F)</f>
        <v>0</v>
      </c>
      <c r="V145" s="116">
        <f>-SUMIF(ALIF_Y2018!$A:$A,$A145,ALIF_Y2018!$F:$F)</f>
        <v>0</v>
      </c>
      <c r="W145" s="116">
        <f>-SUMIF(ALIF_Y2019!$A:$A,$A145,ALIF_Y2019!$F:$F)</f>
        <v>0</v>
      </c>
      <c r="X145" s="116">
        <f>-SUMIF(ALIF_Y2020!$A:$A,$A145,ALIF_Y2020!$F:$F)</f>
        <v>0</v>
      </c>
      <c r="Y145" s="116">
        <f>-SUMIF(ALIF_Y2021!$A:$A,$A145,ALIF_Y2021!$F:$F)</f>
        <v>1108800</v>
      </c>
      <c r="Z145" s="116">
        <f>-SUMIF(ALIF_Y2022!$A:$A,$A145,ALIF_Y2022!$F:$F)</f>
        <v>0</v>
      </c>
      <c r="AA145" s="116">
        <f>-SUMIF(ALIF_Y2023!$A:$A,$A145,ALIF_Y2023!$F:$F)</f>
        <v>0</v>
      </c>
      <c r="AE145" s="116" t="e">
        <f>-SUMIF(#REF!,$A145,#REF!)</f>
        <v>#REF!</v>
      </c>
      <c r="AF145" s="116" t="e">
        <f>-SUMIF(#REF!,$A145,#REF!)</f>
        <v>#REF!</v>
      </c>
      <c r="AG145" s="116" t="e">
        <f>-SUMIF(#REF!,$A145,#REF!)</f>
        <v>#REF!</v>
      </c>
      <c r="AH145" s="116" t="e">
        <f>-SUMIF(#REF!,$A145,#REF!)</f>
        <v>#REF!</v>
      </c>
      <c r="AI145" s="116" t="e">
        <f>-SUMIF(#REF!,$A145,#REF!)</f>
        <v>#REF!</v>
      </c>
      <c r="AJ145" s="116" t="e">
        <f>-SUMIF(#REF!,$A145,#REF!)</f>
        <v>#REF!</v>
      </c>
      <c r="AK145" s="116" t="e">
        <f>-SUMIF(#REF!,$A145,#REF!)</f>
        <v>#REF!</v>
      </c>
      <c r="AL145" s="116" t="e">
        <f>-SUMIF(#REF!,$A145,#REF!)</f>
        <v>#REF!</v>
      </c>
      <c r="AM145" s="116" t="e">
        <f>-SUMIF(#REF!,$A145,#REF!)</f>
        <v>#REF!</v>
      </c>
      <c r="AN145" s="116" t="e">
        <f>-SUMIF(#REF!,$A145,#REF!)</f>
        <v>#REF!</v>
      </c>
      <c r="AO145" s="116" t="e">
        <f>-SUMIF(#REF!,$A145,#REF!)</f>
        <v>#REF!</v>
      </c>
    </row>
    <row r="146" spans="1:42" x14ac:dyDescent="0.25">
      <c r="A146" s="101">
        <v>250005</v>
      </c>
      <c r="B146" t="s">
        <v>94</v>
      </c>
      <c r="C146" s="116" t="e">
        <f t="shared" si="117"/>
        <v>#REF!</v>
      </c>
      <c r="D146" s="116" t="e">
        <f t="shared" si="118"/>
        <v>#REF!</v>
      </c>
      <c r="E146" s="116" t="e">
        <f t="shared" si="119"/>
        <v>#REF!</v>
      </c>
      <c r="F146" s="116" t="e">
        <f t="shared" si="120"/>
        <v>#REF!</v>
      </c>
      <c r="G146" s="116" t="e">
        <f t="shared" si="121"/>
        <v>#REF!</v>
      </c>
      <c r="H146" s="116" t="e">
        <f t="shared" si="122"/>
        <v>#REF!</v>
      </c>
      <c r="I146" s="116" t="e">
        <f t="shared" si="123"/>
        <v>#REF!</v>
      </c>
      <c r="J146" s="116" t="e">
        <f t="shared" si="124"/>
        <v>#REF!</v>
      </c>
      <c r="K146" s="116" t="e">
        <f t="shared" si="125"/>
        <v>#REF!</v>
      </c>
      <c r="L146" s="116" t="e">
        <f t="shared" si="126"/>
        <v>#REF!</v>
      </c>
      <c r="M146" s="116" t="e">
        <f t="shared" si="127"/>
        <v>#REF!</v>
      </c>
      <c r="N146" s="116">
        <f t="shared" si="128"/>
        <v>0</v>
      </c>
      <c r="Q146" s="116" t="e">
        <f>-SUMIF(#REF!,$A146,#REF!)</f>
        <v>#REF!</v>
      </c>
      <c r="R146" s="116">
        <f>-SUMIF(ALIF_Y2014!$A:$A,$A146,ALIF_Y2014!$F:$F)</f>
        <v>50000</v>
      </c>
      <c r="S146" s="116">
        <f>-SUMIF(ALIF_Y2015!$A:$A,$A146,ALIF_Y2015!$F:$F)</f>
        <v>62000</v>
      </c>
      <c r="T146" s="116">
        <f>-SUMIF(ALIF_Y2016!$A:$A,$A146,ALIF_Y2016!$F:$F)</f>
        <v>50000</v>
      </c>
      <c r="U146" s="116">
        <f>-SUMIF(ALIF_Y2017!$A:$A,$A146,ALIF_Y2017!$F:$F)</f>
        <v>55000</v>
      </c>
      <c r="V146" s="116">
        <f>-SUMIF(ALIF_Y2018!$A:$A,$A146,ALIF_Y2018!$F:$F)</f>
        <v>118000</v>
      </c>
      <c r="W146" s="116">
        <f>-SUMIF(ALIF_Y2019!$A:$A,$A146,ALIF_Y2019!$F:$F)</f>
        <v>66150</v>
      </c>
      <c r="X146" s="116">
        <f>-SUMIF(ALIF_Y2020!$A:$A,$A146,ALIF_Y2020!$F:$F)</f>
        <v>28500</v>
      </c>
      <c r="Y146" s="116">
        <f>-SUMIF(ALIF_Y2021!$A:$A,$A146,ALIF_Y2021!$F:$F)</f>
        <v>2673047.75</v>
      </c>
      <c r="Z146" s="116">
        <f>-SUMIF(ALIF_Y2022!$A:$A,$A146,ALIF_Y2022!$F:$F)</f>
        <v>0</v>
      </c>
      <c r="AA146" s="116">
        <f>-SUMIF(ALIF_Y2023!$A:$A,$A146,ALIF_Y2023!$F:$F)</f>
        <v>0</v>
      </c>
      <c r="AE146" s="116" t="e">
        <f>-SUMIF(#REF!,$A146,#REF!)</f>
        <v>#REF!</v>
      </c>
      <c r="AF146" s="116" t="e">
        <f>-SUMIF(#REF!,$A146,#REF!)</f>
        <v>#REF!</v>
      </c>
      <c r="AG146" s="116" t="e">
        <f>-SUMIF(#REF!,$A146,#REF!)</f>
        <v>#REF!</v>
      </c>
      <c r="AH146" s="116" t="e">
        <f>-SUMIF(#REF!,$A146,#REF!)</f>
        <v>#REF!</v>
      </c>
      <c r="AI146" s="116" t="e">
        <f>-SUMIF(#REF!,$A146,#REF!)</f>
        <v>#REF!</v>
      </c>
      <c r="AJ146" s="116" t="e">
        <f>-SUMIF(#REF!,$A146,#REF!)</f>
        <v>#REF!</v>
      </c>
      <c r="AK146" s="116" t="e">
        <f>-SUMIF(#REF!,$A146,#REF!)</f>
        <v>#REF!</v>
      </c>
      <c r="AL146" s="116" t="e">
        <f>-SUMIF(#REF!,$A146,#REF!)</f>
        <v>#REF!</v>
      </c>
      <c r="AM146" s="116" t="e">
        <f>-SUMIF(#REF!,$A146,#REF!)</f>
        <v>#REF!</v>
      </c>
      <c r="AN146" s="116" t="e">
        <f>-SUMIF(#REF!,$A146,#REF!)</f>
        <v>#REF!</v>
      </c>
      <c r="AO146" s="116" t="e">
        <f>-SUMIF(#REF!,$A146,#REF!)</f>
        <v>#REF!</v>
      </c>
    </row>
    <row r="147" spans="1:42" x14ac:dyDescent="0.25">
      <c r="A147" s="101">
        <v>250006</v>
      </c>
      <c r="B147" t="s">
        <v>95</v>
      </c>
      <c r="C147" s="116" t="e">
        <f t="shared" si="117"/>
        <v>#REF!</v>
      </c>
      <c r="D147" s="116" t="e">
        <f t="shared" si="118"/>
        <v>#REF!</v>
      </c>
      <c r="E147" s="116" t="e">
        <f t="shared" si="119"/>
        <v>#REF!</v>
      </c>
      <c r="F147" s="116" t="e">
        <f t="shared" si="120"/>
        <v>#REF!</v>
      </c>
      <c r="G147" s="116" t="e">
        <f t="shared" si="121"/>
        <v>#REF!</v>
      </c>
      <c r="H147" s="116" t="e">
        <f t="shared" si="122"/>
        <v>#REF!</v>
      </c>
      <c r="I147" s="116" t="e">
        <f t="shared" si="123"/>
        <v>#REF!</v>
      </c>
      <c r="J147" s="116" t="e">
        <f t="shared" si="124"/>
        <v>#REF!</v>
      </c>
      <c r="K147" s="116" t="e">
        <f t="shared" si="125"/>
        <v>#REF!</v>
      </c>
      <c r="L147" s="116" t="e">
        <f t="shared" si="126"/>
        <v>#REF!</v>
      </c>
      <c r="M147" s="116" t="e">
        <f t="shared" si="127"/>
        <v>#REF!</v>
      </c>
      <c r="N147" s="116">
        <f t="shared" si="128"/>
        <v>0</v>
      </c>
      <c r="Q147" s="116" t="e">
        <f>-SUMIF(#REF!,$A147,#REF!)</f>
        <v>#REF!</v>
      </c>
      <c r="R147" s="116">
        <f>-SUMIF(ALIF_Y2014!$A:$A,$A147,ALIF_Y2014!$F:$F)</f>
        <v>0</v>
      </c>
      <c r="S147" s="116">
        <f>-SUMIF(ALIF_Y2015!$A:$A,$A147,ALIF_Y2015!$F:$F)</f>
        <v>0</v>
      </c>
      <c r="T147" s="116">
        <f>-SUMIF(ALIF_Y2016!$A:$A,$A147,ALIF_Y2016!$F:$F)</f>
        <v>0</v>
      </c>
      <c r="U147" s="116">
        <f>-SUMIF(ALIF_Y2017!$A:$A,$A147,ALIF_Y2017!$F:$F)</f>
        <v>0</v>
      </c>
      <c r="V147" s="116">
        <f>-SUMIF(ALIF_Y2018!$A:$A,$A147,ALIF_Y2018!$F:$F)</f>
        <v>0</v>
      </c>
      <c r="W147" s="116">
        <f>-SUMIF(ALIF_Y2019!$A:$A,$A147,ALIF_Y2019!$F:$F)</f>
        <v>0</v>
      </c>
      <c r="X147" s="116">
        <f>-SUMIF(ALIF_Y2020!$A:$A,$A147,ALIF_Y2020!$F:$F)</f>
        <v>388008.67</v>
      </c>
      <c r="Y147" s="116">
        <f>-SUMIF(ALIF_Y2021!$A:$A,$A147,ALIF_Y2021!$F:$F)</f>
        <v>449149.70500000002</v>
      </c>
      <c r="Z147" s="116">
        <f>-SUMIF(ALIF_Y2022!$A:$A,$A147,ALIF_Y2022!$F:$F)</f>
        <v>0</v>
      </c>
      <c r="AA147" s="116">
        <f>-SUMIF(ALIF_Y2023!$A:$A,$A147,ALIF_Y2023!$F:$F)</f>
        <v>0</v>
      </c>
      <c r="AE147" s="116" t="e">
        <f>-SUMIF(#REF!,$A147,#REF!)</f>
        <v>#REF!</v>
      </c>
      <c r="AF147" s="116" t="e">
        <f>-SUMIF(#REF!,$A147,#REF!)</f>
        <v>#REF!</v>
      </c>
      <c r="AG147" s="116" t="e">
        <f>-SUMIF(#REF!,$A147,#REF!)</f>
        <v>#REF!</v>
      </c>
      <c r="AH147" s="116" t="e">
        <f>-SUMIF(#REF!,$A147,#REF!)</f>
        <v>#REF!</v>
      </c>
      <c r="AI147" s="116" t="e">
        <f>-SUMIF(#REF!,$A147,#REF!)</f>
        <v>#REF!</v>
      </c>
      <c r="AJ147" s="116" t="e">
        <f>-SUMIF(#REF!,$A147,#REF!)</f>
        <v>#REF!</v>
      </c>
      <c r="AK147" s="116" t="e">
        <f>-SUMIF(#REF!,$A147,#REF!)</f>
        <v>#REF!</v>
      </c>
      <c r="AL147" s="116" t="e">
        <f>-SUMIF(#REF!,$A147,#REF!)</f>
        <v>#REF!</v>
      </c>
      <c r="AM147" s="116" t="e">
        <f>-SUMIF(#REF!,$A147,#REF!)</f>
        <v>#REF!</v>
      </c>
      <c r="AN147" s="116" t="e">
        <f>-SUMIF(#REF!,$A147,#REF!)</f>
        <v>#REF!</v>
      </c>
      <c r="AO147" s="116" t="e">
        <f>-SUMIF(#REF!,$A147,#REF!)</f>
        <v>#REF!</v>
      </c>
    </row>
    <row r="148" spans="1:42" x14ac:dyDescent="0.25">
      <c r="A148" s="101">
        <v>260006</v>
      </c>
      <c r="B148" t="s">
        <v>250</v>
      </c>
      <c r="C148" s="116" t="e">
        <f t="shared" si="117"/>
        <v>#REF!</v>
      </c>
      <c r="D148" s="116" t="e">
        <f t="shared" si="118"/>
        <v>#REF!</v>
      </c>
      <c r="E148" s="116" t="e">
        <f t="shared" si="119"/>
        <v>#REF!</v>
      </c>
      <c r="F148" s="116" t="e">
        <f t="shared" si="120"/>
        <v>#REF!</v>
      </c>
      <c r="G148" s="116" t="e">
        <f t="shared" si="121"/>
        <v>#REF!</v>
      </c>
      <c r="H148" s="116" t="e">
        <f t="shared" si="122"/>
        <v>#REF!</v>
      </c>
      <c r="I148" s="116" t="e">
        <f t="shared" si="123"/>
        <v>#REF!</v>
      </c>
      <c r="J148" s="116" t="e">
        <f t="shared" si="124"/>
        <v>#REF!</v>
      </c>
      <c r="K148" s="116" t="e">
        <f t="shared" si="125"/>
        <v>#REF!</v>
      </c>
      <c r="L148" s="116" t="e">
        <f t="shared" si="126"/>
        <v>#REF!</v>
      </c>
      <c r="M148" s="116" t="e">
        <f t="shared" si="127"/>
        <v>#REF!</v>
      </c>
      <c r="N148" s="116">
        <f t="shared" si="128"/>
        <v>0</v>
      </c>
      <c r="Q148" s="116" t="e">
        <f>-SUMIF(#REF!,$A148,#REF!)</f>
        <v>#REF!</v>
      </c>
      <c r="R148" s="116">
        <f>-SUMIF(ALIF_Y2014!$A:$A,$A148,ALIF_Y2014!$F:$F)</f>
        <v>0</v>
      </c>
      <c r="S148" s="116">
        <f>-SUMIF(ALIF_Y2015!$A:$A,$A148,ALIF_Y2015!$F:$F)</f>
        <v>0</v>
      </c>
      <c r="T148" s="116">
        <f>-SUMIF(ALIF_Y2016!$A:$A,$A148,ALIF_Y2016!$F:$F)</f>
        <v>0</v>
      </c>
      <c r="U148" s="116">
        <f>-SUMIF(ALIF_Y2017!$A:$A,$A148,ALIF_Y2017!$F:$F)</f>
        <v>0</v>
      </c>
      <c r="V148" s="116">
        <f>-SUMIF(ALIF_Y2018!$A:$A,$A148,ALIF_Y2018!$F:$F)</f>
        <v>0</v>
      </c>
      <c r="W148" s="116">
        <f>-SUMIF(ALIF_Y2019!$A:$A,$A148,ALIF_Y2019!$F:$F)</f>
        <v>0</v>
      </c>
      <c r="X148" s="116">
        <f>-SUMIF(ALIF_Y2020!$A:$A,$A148,ALIF_Y2020!$F:$F)</f>
        <v>0</v>
      </c>
      <c r="Y148" s="116">
        <f>-SUMIF(ALIF_Y2021!$A:$A,$A148,ALIF_Y2021!$F:$F)</f>
        <v>0</v>
      </c>
      <c r="Z148" s="116">
        <f>-SUMIF(ALIF_Y2022!$A:$A,$A148,ALIF_Y2022!$F:$F)</f>
        <v>0</v>
      </c>
      <c r="AA148" s="116">
        <f>-SUMIF(ALIF_Y2023!$A:$A,$A148,ALIF_Y2023!$F:$F)</f>
        <v>0</v>
      </c>
      <c r="AE148" s="116" t="e">
        <f>-SUMIF(#REF!,$A148,#REF!)</f>
        <v>#REF!</v>
      </c>
      <c r="AF148" s="116" t="e">
        <f>-SUMIF(#REF!,$A148,#REF!)</f>
        <v>#REF!</v>
      </c>
      <c r="AG148" s="116" t="e">
        <f>-SUMIF(#REF!,$A148,#REF!)</f>
        <v>#REF!</v>
      </c>
      <c r="AH148" s="116" t="e">
        <f>-SUMIF(#REF!,$A148,#REF!)</f>
        <v>#REF!</v>
      </c>
      <c r="AI148" s="116" t="e">
        <f>-SUMIF(#REF!,$A148,#REF!)</f>
        <v>#REF!</v>
      </c>
      <c r="AJ148" s="116" t="e">
        <f>-SUMIF(#REF!,$A148,#REF!)</f>
        <v>#REF!</v>
      </c>
      <c r="AK148" s="116" t="e">
        <f>-SUMIF(#REF!,$A148,#REF!)</f>
        <v>#REF!</v>
      </c>
      <c r="AL148" s="116" t="e">
        <f>-SUMIF(#REF!,$A148,#REF!)</f>
        <v>#REF!</v>
      </c>
      <c r="AM148" s="116" t="e">
        <f>-SUMIF(#REF!,$A148,#REF!)</f>
        <v>#REF!</v>
      </c>
      <c r="AN148" s="116" t="e">
        <f>-SUMIF(#REF!,$A148,#REF!)</f>
        <v>#REF!</v>
      </c>
      <c r="AO148" s="116" t="e">
        <f>-SUMIF(#REF!,$A148,#REF!)</f>
        <v>#REF!</v>
      </c>
    </row>
    <row r="149" spans="1:42" x14ac:dyDescent="0.25">
      <c r="A149" s="101">
        <v>270002</v>
      </c>
      <c r="B149" t="s">
        <v>102</v>
      </c>
      <c r="C149" s="116" t="e">
        <f t="shared" si="117"/>
        <v>#REF!</v>
      </c>
      <c r="D149" s="116" t="e">
        <f t="shared" si="118"/>
        <v>#REF!</v>
      </c>
      <c r="E149" s="116" t="e">
        <f t="shared" si="119"/>
        <v>#REF!</v>
      </c>
      <c r="F149" s="116" t="e">
        <f t="shared" si="120"/>
        <v>#REF!</v>
      </c>
      <c r="G149" s="116" t="e">
        <f t="shared" si="121"/>
        <v>#REF!</v>
      </c>
      <c r="H149" s="116" t="e">
        <f t="shared" si="122"/>
        <v>#REF!</v>
      </c>
      <c r="I149" s="116" t="e">
        <f t="shared" si="123"/>
        <v>#REF!</v>
      </c>
      <c r="J149" s="116" t="e">
        <f t="shared" si="124"/>
        <v>#REF!</v>
      </c>
      <c r="K149" s="116" t="e">
        <f t="shared" si="125"/>
        <v>#REF!</v>
      </c>
      <c r="L149" s="116" t="e">
        <f t="shared" si="126"/>
        <v>#REF!</v>
      </c>
      <c r="M149" s="116" t="e">
        <f t="shared" si="127"/>
        <v>#REF!</v>
      </c>
      <c r="N149" s="116">
        <f t="shared" si="128"/>
        <v>0</v>
      </c>
      <c r="Q149" s="116" t="e">
        <f>-SUMIF(#REF!,$A149,#REF!)</f>
        <v>#REF!</v>
      </c>
      <c r="R149" s="116">
        <f>-SUMIF(ALIF_Y2014!$A:$A,$A149,ALIF_Y2014!$F:$F)</f>
        <v>0</v>
      </c>
      <c r="S149" s="116">
        <f>-SUMIF(ALIF_Y2015!$A:$A,$A149,ALIF_Y2015!$F:$F)</f>
        <v>0</v>
      </c>
      <c r="T149" s="116">
        <f>-SUMIF(ALIF_Y2016!$A:$A,$A149,ALIF_Y2016!$F:$F)</f>
        <v>0</v>
      </c>
      <c r="U149" s="116">
        <f>-SUMIF(ALIF_Y2017!$A:$A,$A149,ALIF_Y2017!$F:$F)</f>
        <v>0</v>
      </c>
      <c r="V149" s="116">
        <f>-SUMIF(ALIF_Y2018!$A:$A,$A149,ALIF_Y2018!$F:$F)</f>
        <v>0</v>
      </c>
      <c r="W149" s="116">
        <f>-SUMIF(ALIF_Y2019!$A:$A,$A149,ALIF_Y2019!$F:$F)</f>
        <v>0</v>
      </c>
      <c r="X149" s="116">
        <f>-SUMIF(ALIF_Y2020!$A:$A,$A149,ALIF_Y2020!$F:$F)</f>
        <v>0</v>
      </c>
      <c r="Y149" s="116">
        <f>-SUMIF(ALIF_Y2021!$A:$A,$A149,ALIF_Y2021!$F:$F)</f>
        <v>0</v>
      </c>
      <c r="Z149" s="116">
        <f>-SUMIF(ALIF_Y2022!$A:$A,$A149,ALIF_Y2022!$F:$F)</f>
        <v>0</v>
      </c>
      <c r="AA149" s="116">
        <f>-SUMIF(ALIF_Y2023!$A:$A,$A149,ALIF_Y2023!$F:$F)</f>
        <v>0</v>
      </c>
      <c r="AE149" s="116" t="e">
        <f>-SUMIF(#REF!,$A149,#REF!)</f>
        <v>#REF!</v>
      </c>
      <c r="AF149" s="116" t="e">
        <f>-SUMIF(#REF!,$A149,#REF!)</f>
        <v>#REF!</v>
      </c>
      <c r="AG149" s="116" t="e">
        <f>-SUMIF(#REF!,$A149,#REF!)</f>
        <v>#REF!</v>
      </c>
      <c r="AH149" s="116" t="e">
        <f>-SUMIF(#REF!,$A149,#REF!)</f>
        <v>#REF!</v>
      </c>
      <c r="AI149" s="116" t="e">
        <f>-SUMIF(#REF!,$A149,#REF!)</f>
        <v>#REF!</v>
      </c>
      <c r="AJ149" s="116" t="e">
        <f>-SUMIF(#REF!,$A149,#REF!)</f>
        <v>#REF!</v>
      </c>
      <c r="AK149" s="116" t="e">
        <f>-SUMIF(#REF!,$A149,#REF!)</f>
        <v>#REF!</v>
      </c>
      <c r="AL149" s="116" t="e">
        <f>-SUMIF(#REF!,$A149,#REF!)</f>
        <v>#REF!</v>
      </c>
      <c r="AM149" s="116" t="e">
        <f>-SUMIF(#REF!,$A149,#REF!)</f>
        <v>#REF!</v>
      </c>
      <c r="AN149" s="116" t="e">
        <f>-SUMIF(#REF!,$A149,#REF!)</f>
        <v>#REF!</v>
      </c>
      <c r="AO149" s="116" t="e">
        <f>-SUMIF(#REF!,$A149,#REF!)</f>
        <v>#REF!</v>
      </c>
    </row>
    <row r="150" spans="1:42" x14ac:dyDescent="0.25">
      <c r="A150" s="101">
        <v>270003</v>
      </c>
      <c r="B150" t="s">
        <v>103</v>
      </c>
      <c r="C150" s="116" t="e">
        <f t="shared" si="117"/>
        <v>#REF!</v>
      </c>
      <c r="D150" s="116" t="e">
        <f t="shared" si="118"/>
        <v>#REF!</v>
      </c>
      <c r="E150" s="116" t="e">
        <f t="shared" si="119"/>
        <v>#REF!</v>
      </c>
      <c r="F150" s="116" t="e">
        <f t="shared" si="120"/>
        <v>#REF!</v>
      </c>
      <c r="G150" s="116" t="e">
        <f t="shared" si="121"/>
        <v>#REF!</v>
      </c>
      <c r="H150" s="116" t="e">
        <f t="shared" si="122"/>
        <v>#REF!</v>
      </c>
      <c r="I150" s="116" t="e">
        <f t="shared" si="123"/>
        <v>#REF!</v>
      </c>
      <c r="J150" s="116" t="e">
        <f t="shared" si="124"/>
        <v>#REF!</v>
      </c>
      <c r="K150" s="116" t="e">
        <f t="shared" si="125"/>
        <v>#REF!</v>
      </c>
      <c r="L150" s="116" t="e">
        <f t="shared" si="126"/>
        <v>#REF!</v>
      </c>
      <c r="M150" s="116" t="e">
        <f t="shared" si="127"/>
        <v>#REF!</v>
      </c>
      <c r="N150" s="116">
        <f t="shared" si="128"/>
        <v>0</v>
      </c>
      <c r="Q150" s="116" t="e">
        <f>-SUMIF(#REF!,$A150,#REF!)</f>
        <v>#REF!</v>
      </c>
      <c r="R150" s="116">
        <f>-SUMIF(ALIF_Y2014!$A:$A,$A150,ALIF_Y2014!$F:$F)</f>
        <v>0</v>
      </c>
      <c r="S150" s="116">
        <f>-SUMIF(ALIF_Y2015!$A:$A,$A150,ALIF_Y2015!$F:$F)</f>
        <v>0</v>
      </c>
      <c r="T150" s="116">
        <f>-SUMIF(ALIF_Y2016!$A:$A,$A150,ALIF_Y2016!$F:$F)</f>
        <v>0</v>
      </c>
      <c r="U150" s="116">
        <f>-SUMIF(ALIF_Y2017!$A:$A,$A150,ALIF_Y2017!$F:$F)</f>
        <v>0</v>
      </c>
      <c r="V150" s="116">
        <f>-SUMIF(ALIF_Y2018!$A:$A,$A150,ALIF_Y2018!$F:$F)</f>
        <v>0</v>
      </c>
      <c r="W150" s="116">
        <f>-SUMIF(ALIF_Y2019!$A:$A,$A150,ALIF_Y2019!$F:$F)</f>
        <v>-820338.76199999999</v>
      </c>
      <c r="X150" s="116">
        <f>-SUMIF(ALIF_Y2020!$A:$A,$A150,ALIF_Y2020!$F:$F)</f>
        <v>0</v>
      </c>
      <c r="Y150" s="116">
        <f>-SUMIF(ALIF_Y2021!$A:$A,$A150,ALIF_Y2021!$F:$F)</f>
        <v>0</v>
      </c>
      <c r="Z150" s="116">
        <f>-SUMIF(ALIF_Y2022!$A:$A,$A150,ALIF_Y2022!$F:$F)</f>
        <v>0</v>
      </c>
      <c r="AA150" s="116">
        <f>-SUMIF(ALIF_Y2023!$A:$A,$A150,ALIF_Y2023!$F:$F)</f>
        <v>0</v>
      </c>
      <c r="AE150" s="116" t="e">
        <f>-SUMIF(#REF!,$A150,#REF!)</f>
        <v>#REF!</v>
      </c>
      <c r="AF150" s="116" t="e">
        <f>-SUMIF(#REF!,$A150,#REF!)</f>
        <v>#REF!</v>
      </c>
      <c r="AG150" s="116" t="e">
        <f>-SUMIF(#REF!,$A150,#REF!)</f>
        <v>#REF!</v>
      </c>
      <c r="AH150" s="116" t="e">
        <f>-SUMIF(#REF!,$A150,#REF!)</f>
        <v>#REF!</v>
      </c>
      <c r="AI150" s="116" t="e">
        <f>-SUMIF(#REF!,$A150,#REF!)</f>
        <v>#REF!</v>
      </c>
      <c r="AJ150" s="116" t="e">
        <f>-SUMIF(#REF!,$A150,#REF!)</f>
        <v>#REF!</v>
      </c>
      <c r="AK150" s="116" t="e">
        <f>-SUMIF(#REF!,$A150,#REF!)</f>
        <v>#REF!</v>
      </c>
      <c r="AL150" s="116" t="e">
        <f>-SUMIF(#REF!,$A150,#REF!)</f>
        <v>#REF!</v>
      </c>
      <c r="AM150" s="116" t="e">
        <f>-SUMIF(#REF!,$A150,#REF!)</f>
        <v>#REF!</v>
      </c>
      <c r="AN150" s="116" t="e">
        <f>-SUMIF(#REF!,$A150,#REF!)</f>
        <v>#REF!</v>
      </c>
      <c r="AO150" s="116" t="e">
        <f>-SUMIF(#REF!,$A150,#REF!)</f>
        <v>#REF!</v>
      </c>
    </row>
    <row r="151" spans="1:42" x14ac:dyDescent="0.25">
      <c r="A151" s="101">
        <v>270004</v>
      </c>
      <c r="B151" t="s">
        <v>104</v>
      </c>
      <c r="C151" s="116" t="e">
        <f t="shared" si="117"/>
        <v>#REF!</v>
      </c>
      <c r="D151" s="116" t="e">
        <f t="shared" si="118"/>
        <v>#REF!</v>
      </c>
      <c r="E151" s="116" t="e">
        <f t="shared" si="119"/>
        <v>#REF!</v>
      </c>
      <c r="F151" s="116" t="e">
        <f t="shared" si="120"/>
        <v>#REF!</v>
      </c>
      <c r="G151" s="116" t="e">
        <f t="shared" si="121"/>
        <v>#REF!</v>
      </c>
      <c r="H151" s="116" t="e">
        <f t="shared" si="122"/>
        <v>#REF!</v>
      </c>
      <c r="I151" s="116" t="e">
        <f t="shared" si="123"/>
        <v>#REF!</v>
      </c>
      <c r="J151" s="116" t="e">
        <f t="shared" si="124"/>
        <v>#REF!</v>
      </c>
      <c r="K151" s="116" t="e">
        <f t="shared" si="125"/>
        <v>#REF!</v>
      </c>
      <c r="L151" s="116" t="e">
        <f t="shared" si="126"/>
        <v>#REF!</v>
      </c>
      <c r="M151" s="116" t="e">
        <f t="shared" si="127"/>
        <v>#REF!</v>
      </c>
      <c r="N151" s="116">
        <f t="shared" si="128"/>
        <v>0</v>
      </c>
      <c r="Q151" s="116" t="e">
        <f>-SUMIF(#REF!,$A151,#REF!)</f>
        <v>#REF!</v>
      </c>
      <c r="R151" s="116">
        <f>-SUMIF(ALIF_Y2014!$A:$A,$A151,ALIF_Y2014!$F:$F)</f>
        <v>0</v>
      </c>
      <c r="S151" s="116">
        <f>-SUMIF(ALIF_Y2015!$A:$A,$A151,ALIF_Y2015!$F:$F)</f>
        <v>0</v>
      </c>
      <c r="T151" s="116">
        <f>-SUMIF(ALIF_Y2016!$A:$A,$A151,ALIF_Y2016!$F:$F)</f>
        <v>0</v>
      </c>
      <c r="U151" s="116">
        <f>-SUMIF(ALIF_Y2017!$A:$A,$A151,ALIF_Y2017!$F:$F)</f>
        <v>0</v>
      </c>
      <c r="V151" s="116">
        <f>-SUMIF(ALIF_Y2018!$A:$A,$A151,ALIF_Y2018!$F:$F)</f>
        <v>-2109330.298</v>
      </c>
      <c r="W151" s="116">
        <f>-SUMIF(ALIF_Y2019!$A:$A,$A151,ALIF_Y2019!$F:$F)</f>
        <v>0</v>
      </c>
      <c r="X151" s="116">
        <f>-SUMIF(ALIF_Y2020!$A:$A,$A151,ALIF_Y2020!$F:$F)</f>
        <v>1563447.46</v>
      </c>
      <c r="Y151" s="116">
        <f>-SUMIF(ALIF_Y2021!$A:$A,$A151,ALIF_Y2021!$F:$F)</f>
        <v>1225557.3500000001</v>
      </c>
      <c r="Z151" s="116">
        <f>-SUMIF(ALIF_Y2022!$A:$A,$A151,ALIF_Y2022!$F:$F)</f>
        <v>1160277.96</v>
      </c>
      <c r="AA151" s="116">
        <f>-SUMIF(ALIF_Y2023!$A:$A,$A151,ALIF_Y2023!$F:$F)</f>
        <v>1065153.22</v>
      </c>
      <c r="AE151" s="116" t="e">
        <f>-SUMIF(#REF!,$A151,#REF!)</f>
        <v>#REF!</v>
      </c>
      <c r="AF151" s="116" t="e">
        <f>-SUMIF(#REF!,$A151,#REF!)</f>
        <v>#REF!</v>
      </c>
      <c r="AG151" s="116" t="e">
        <f>-SUMIF(#REF!,$A151,#REF!)</f>
        <v>#REF!</v>
      </c>
      <c r="AH151" s="116" t="e">
        <f>-SUMIF(#REF!,$A151,#REF!)</f>
        <v>#REF!</v>
      </c>
      <c r="AI151" s="116" t="e">
        <f>-SUMIF(#REF!,$A151,#REF!)</f>
        <v>#REF!</v>
      </c>
      <c r="AJ151" s="116" t="e">
        <f>-SUMIF(#REF!,$A151,#REF!)</f>
        <v>#REF!</v>
      </c>
      <c r="AK151" s="116" t="e">
        <f>-SUMIF(#REF!,$A151,#REF!)</f>
        <v>#REF!</v>
      </c>
      <c r="AL151" s="116" t="e">
        <f>-SUMIF(#REF!,$A151,#REF!)</f>
        <v>#REF!</v>
      </c>
      <c r="AM151" s="116" t="e">
        <f>-SUMIF(#REF!,$A151,#REF!)</f>
        <v>#REF!</v>
      </c>
      <c r="AN151" s="116" t="e">
        <f>-SUMIF(#REF!,$A151,#REF!)</f>
        <v>#REF!</v>
      </c>
      <c r="AO151" s="116" t="e">
        <f>-SUMIF(#REF!,$A151,#REF!)</f>
        <v>#REF!</v>
      </c>
    </row>
    <row r="152" spans="1:42" ht="7.9" customHeight="1" x14ac:dyDescent="0.25"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</row>
    <row r="153" spans="1:42" x14ac:dyDescent="0.25">
      <c r="A153" s="99"/>
      <c r="C153" s="118" t="e">
        <f t="shared" ref="C153:N153" si="129">SUM(C138:C152)</f>
        <v>#REF!</v>
      </c>
      <c r="D153" s="118" t="e">
        <f t="shared" si="129"/>
        <v>#REF!</v>
      </c>
      <c r="E153" s="118" t="e">
        <f t="shared" si="129"/>
        <v>#REF!</v>
      </c>
      <c r="F153" s="118" t="e">
        <f t="shared" si="129"/>
        <v>#REF!</v>
      </c>
      <c r="G153" s="118" t="e">
        <f t="shared" si="129"/>
        <v>#REF!</v>
      </c>
      <c r="H153" s="118" t="e">
        <f t="shared" si="129"/>
        <v>#REF!</v>
      </c>
      <c r="I153" s="118" t="e">
        <f t="shared" si="129"/>
        <v>#REF!</v>
      </c>
      <c r="J153" s="118" t="e">
        <f t="shared" si="129"/>
        <v>#REF!</v>
      </c>
      <c r="K153" s="118" t="e">
        <f t="shared" si="129"/>
        <v>#REF!</v>
      </c>
      <c r="L153" s="118" t="e">
        <f t="shared" si="129"/>
        <v>#REF!</v>
      </c>
      <c r="M153" s="118" t="e">
        <f t="shared" si="129"/>
        <v>#REF!</v>
      </c>
      <c r="N153" s="118">
        <f t="shared" si="129"/>
        <v>0</v>
      </c>
      <c r="Q153" s="118" t="e">
        <f>SUM(Q138:Q152)</f>
        <v>#REF!</v>
      </c>
      <c r="R153" s="118">
        <f t="shared" ref="R153:AB153" si="130">SUM(R138:R152)</f>
        <v>2507260.9959999998</v>
      </c>
      <c r="S153" s="118">
        <f t="shared" si="130"/>
        <v>6283439</v>
      </c>
      <c r="T153" s="118">
        <f t="shared" si="130"/>
        <v>5444461</v>
      </c>
      <c r="U153" s="118">
        <f t="shared" si="130"/>
        <v>6914828.9979999997</v>
      </c>
      <c r="V153" s="118">
        <f t="shared" si="130"/>
        <v>8339706.9969999995</v>
      </c>
      <c r="W153" s="118">
        <f t="shared" si="130"/>
        <v>6947242.0019999994</v>
      </c>
      <c r="X153" s="118">
        <f t="shared" si="130"/>
        <v>9755293.0020000003</v>
      </c>
      <c r="Y153" s="118">
        <f t="shared" si="130"/>
        <v>6517602.182</v>
      </c>
      <c r="Z153" s="118">
        <f t="shared" si="130"/>
        <v>6436834.9169999994</v>
      </c>
      <c r="AA153" s="118">
        <f t="shared" si="130"/>
        <v>6572651.0019999994</v>
      </c>
      <c r="AB153" s="118">
        <f t="shared" si="130"/>
        <v>0</v>
      </c>
      <c r="AE153" s="118" t="e">
        <f>SUM(AE138:AE152)</f>
        <v>#REF!</v>
      </c>
      <c r="AF153" s="118" t="e">
        <f t="shared" ref="AF153:AO153" si="131">SUM(AF138:AF152)</f>
        <v>#REF!</v>
      </c>
      <c r="AG153" s="118" t="e">
        <f t="shared" si="131"/>
        <v>#REF!</v>
      </c>
      <c r="AH153" s="118" t="e">
        <f t="shared" si="131"/>
        <v>#REF!</v>
      </c>
      <c r="AI153" s="118" t="e">
        <f t="shared" si="131"/>
        <v>#REF!</v>
      </c>
      <c r="AJ153" s="118" t="e">
        <f t="shared" si="131"/>
        <v>#REF!</v>
      </c>
      <c r="AK153" s="118" t="e">
        <f t="shared" si="131"/>
        <v>#REF!</v>
      </c>
      <c r="AL153" s="118" t="e">
        <f t="shared" si="131"/>
        <v>#REF!</v>
      </c>
      <c r="AM153" s="118" t="e">
        <f t="shared" si="131"/>
        <v>#REF!</v>
      </c>
      <c r="AN153" s="118" t="e">
        <f t="shared" si="131"/>
        <v>#REF!</v>
      </c>
      <c r="AO153" s="118" t="e">
        <f t="shared" si="131"/>
        <v>#REF!</v>
      </c>
    </row>
    <row r="154" spans="1:42" x14ac:dyDescent="0.25">
      <c r="A154" s="99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</row>
    <row r="155" spans="1:42" x14ac:dyDescent="0.25">
      <c r="A155" s="99" t="s">
        <v>575</v>
      </c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</row>
    <row r="156" spans="1:42" x14ac:dyDescent="0.25">
      <c r="A156" s="101">
        <v>240003</v>
      </c>
      <c r="B156" t="s">
        <v>89</v>
      </c>
      <c r="C156" s="116" t="e">
        <f>Q156+AE156</f>
        <v>#REF!</v>
      </c>
      <c r="D156" s="116" t="e">
        <f t="shared" ref="D156" si="132">R156+AF156</f>
        <v>#REF!</v>
      </c>
      <c r="E156" s="116" t="e">
        <f t="shared" ref="E156" si="133">S156+AG156</f>
        <v>#REF!</v>
      </c>
      <c r="F156" s="116" t="e">
        <f t="shared" ref="F156" si="134">T156+AH156</f>
        <v>#REF!</v>
      </c>
      <c r="G156" s="116" t="e">
        <f t="shared" ref="G156" si="135">U156+AI156</f>
        <v>#REF!</v>
      </c>
      <c r="H156" s="116" t="e">
        <f t="shared" ref="H156" si="136">V156+AJ156</f>
        <v>#REF!</v>
      </c>
      <c r="I156" s="116" t="e">
        <f t="shared" ref="I156" si="137">W156+AK156</f>
        <v>#REF!</v>
      </c>
      <c r="J156" s="116" t="e">
        <f t="shared" ref="J156" si="138">X156+AL156</f>
        <v>#REF!</v>
      </c>
      <c r="K156" s="116" t="e">
        <f t="shared" ref="K156" si="139">Y156+AM156</f>
        <v>#REF!</v>
      </c>
      <c r="L156" s="116" t="e">
        <f t="shared" ref="L156" si="140">Z156+AN156</f>
        <v>#REF!</v>
      </c>
      <c r="M156" s="116" t="e">
        <f t="shared" ref="M156" si="141">AA156+AO156</f>
        <v>#REF!</v>
      </c>
      <c r="N156" s="116">
        <f t="shared" ref="N156" si="142">AB156+AP156</f>
        <v>0</v>
      </c>
      <c r="Q156" s="116" t="e">
        <f>-SUMIF(#REF!,$A156,#REF!)</f>
        <v>#REF!</v>
      </c>
      <c r="R156" s="116">
        <f>-SUMIF(ALIF_Y2014!$A:$A,$A156,ALIF_Y2014!$F:$F)</f>
        <v>0</v>
      </c>
      <c r="S156" s="116">
        <f>-SUMIF(ALIF_Y2015!$A:$A,$A156,ALIF_Y2015!$F:$F)</f>
        <v>0</v>
      </c>
      <c r="T156" s="116">
        <f>-SUMIF(ALIF_Y2016!$A:$A,$A156,ALIF_Y2016!$F:$F)</f>
        <v>0</v>
      </c>
      <c r="U156" s="116">
        <f>-SUMIF(ALIF_Y2017!$A:$A,$A156,ALIF_Y2017!$F:$F)</f>
        <v>0</v>
      </c>
      <c r="V156" s="116">
        <f>-SUMIF(ALIF_Y2018!$A:$A,$A156,ALIF_Y2018!$F:$F)</f>
        <v>0</v>
      </c>
      <c r="W156" s="116">
        <f>-SUMIF(ALIF_Y2019!$A:$A,$A156,ALIF_Y2019!$F:$F)</f>
        <v>1874374</v>
      </c>
      <c r="X156" s="116">
        <f>-SUMIF(ALIF_Y2020!$A:$A,$A156,ALIF_Y2020!$F:$F)</f>
        <v>1823243.5660000001</v>
      </c>
      <c r="Y156" s="116">
        <f>-SUMIF(ALIF_Y2021!$A:$A,$A156,ALIF_Y2021!$F:$F)</f>
        <v>1711827.0260000001</v>
      </c>
      <c r="Z156" s="116">
        <f>-SUMIF(ALIF_Y2022!$A:$A,$A156,ALIF_Y2022!$F:$F)</f>
        <v>1596797.0260000001</v>
      </c>
      <c r="AA156" s="116">
        <f>-SUMIF(ALIF_Y2023!$A:$A,$A156,ALIF_Y2023!$F:$F)</f>
        <v>1505845.0689999999</v>
      </c>
      <c r="AE156" s="116" t="e">
        <f>-SUMIF(#REF!,$A156,#REF!)</f>
        <v>#REF!</v>
      </c>
      <c r="AF156" s="116" t="e">
        <f>-SUMIF(#REF!,$A156,#REF!)</f>
        <v>#REF!</v>
      </c>
      <c r="AG156" s="116" t="e">
        <f>-SUMIF(#REF!,$A156,#REF!)</f>
        <v>#REF!</v>
      </c>
      <c r="AH156" s="116" t="e">
        <f>-SUMIF(#REF!,$A156,#REF!)</f>
        <v>#REF!</v>
      </c>
      <c r="AI156" s="116" t="e">
        <f>-SUMIF(#REF!,$A156,#REF!)</f>
        <v>#REF!</v>
      </c>
      <c r="AJ156" s="116" t="e">
        <f>-SUMIF(#REF!,$A156,#REF!)</f>
        <v>#REF!</v>
      </c>
      <c r="AK156" s="116" t="e">
        <f>-SUMIF(#REF!,$A156,#REF!)</f>
        <v>#REF!</v>
      </c>
      <c r="AL156" s="116" t="e">
        <f>-SUMIF(#REF!,$A156,#REF!)</f>
        <v>#REF!</v>
      </c>
      <c r="AM156" s="116" t="e">
        <f>-SUMIF(#REF!,$A156,#REF!)</f>
        <v>#REF!</v>
      </c>
      <c r="AN156" s="116" t="e">
        <f>-SUMIF(#REF!,$A156,#REF!)</f>
        <v>#REF!</v>
      </c>
      <c r="AO156" s="116" t="e">
        <f>-SUMIF(#REF!,$A156,#REF!)</f>
        <v>#REF!</v>
      </c>
    </row>
    <row r="157" spans="1:42" ht="7.9" customHeight="1" x14ac:dyDescent="0.25"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</row>
    <row r="158" spans="1:42" x14ac:dyDescent="0.25">
      <c r="A158" s="99"/>
      <c r="C158" s="118" t="e">
        <f t="shared" ref="C158:N158" si="143">SUM(C156:C157)</f>
        <v>#REF!</v>
      </c>
      <c r="D158" s="118" t="e">
        <f t="shared" si="143"/>
        <v>#REF!</v>
      </c>
      <c r="E158" s="118" t="e">
        <f t="shared" si="143"/>
        <v>#REF!</v>
      </c>
      <c r="F158" s="118" t="e">
        <f t="shared" si="143"/>
        <v>#REF!</v>
      </c>
      <c r="G158" s="118" t="e">
        <f t="shared" si="143"/>
        <v>#REF!</v>
      </c>
      <c r="H158" s="118" t="e">
        <f t="shared" si="143"/>
        <v>#REF!</v>
      </c>
      <c r="I158" s="118" t="e">
        <f t="shared" si="143"/>
        <v>#REF!</v>
      </c>
      <c r="J158" s="118" t="e">
        <f t="shared" si="143"/>
        <v>#REF!</v>
      </c>
      <c r="K158" s="118" t="e">
        <f t="shared" si="143"/>
        <v>#REF!</v>
      </c>
      <c r="L158" s="118" t="e">
        <f t="shared" si="143"/>
        <v>#REF!</v>
      </c>
      <c r="M158" s="118" t="e">
        <f t="shared" si="143"/>
        <v>#REF!</v>
      </c>
      <c r="N158" s="118">
        <f t="shared" si="143"/>
        <v>0</v>
      </c>
      <c r="Q158" s="118" t="e">
        <f>SUM(Q156:Q157)</f>
        <v>#REF!</v>
      </c>
      <c r="R158" s="118">
        <f t="shared" ref="R158:AB158" si="144">SUM(R156:R157)</f>
        <v>0</v>
      </c>
      <c r="S158" s="118">
        <f t="shared" si="144"/>
        <v>0</v>
      </c>
      <c r="T158" s="118">
        <f t="shared" si="144"/>
        <v>0</v>
      </c>
      <c r="U158" s="118">
        <f t="shared" si="144"/>
        <v>0</v>
      </c>
      <c r="V158" s="118">
        <f t="shared" si="144"/>
        <v>0</v>
      </c>
      <c r="W158" s="118">
        <f t="shared" si="144"/>
        <v>1874374</v>
      </c>
      <c r="X158" s="118">
        <f t="shared" si="144"/>
        <v>1823243.5660000001</v>
      </c>
      <c r="Y158" s="118">
        <f t="shared" si="144"/>
        <v>1711827.0260000001</v>
      </c>
      <c r="Z158" s="118">
        <f t="shared" si="144"/>
        <v>1596797.0260000001</v>
      </c>
      <c r="AA158" s="118">
        <f t="shared" si="144"/>
        <v>1505845.0689999999</v>
      </c>
      <c r="AB158" s="118">
        <f t="shared" si="144"/>
        <v>0</v>
      </c>
      <c r="AE158" s="118" t="e">
        <f>SUM(AE156:AE157)</f>
        <v>#REF!</v>
      </c>
      <c r="AF158" s="118" t="e">
        <f t="shared" ref="AF158:AO158" si="145">SUM(AF156:AF157)</f>
        <v>#REF!</v>
      </c>
      <c r="AG158" s="118" t="e">
        <f t="shared" si="145"/>
        <v>#REF!</v>
      </c>
      <c r="AH158" s="118" t="e">
        <f t="shared" si="145"/>
        <v>#REF!</v>
      </c>
      <c r="AI158" s="118" t="e">
        <f t="shared" si="145"/>
        <v>#REF!</v>
      </c>
      <c r="AJ158" s="118" t="e">
        <f t="shared" si="145"/>
        <v>#REF!</v>
      </c>
      <c r="AK158" s="118" t="e">
        <f t="shared" si="145"/>
        <v>#REF!</v>
      </c>
      <c r="AL158" s="118" t="e">
        <f t="shared" si="145"/>
        <v>#REF!</v>
      </c>
      <c r="AM158" s="118" t="e">
        <f t="shared" si="145"/>
        <v>#REF!</v>
      </c>
      <c r="AN158" s="118" t="e">
        <f t="shared" si="145"/>
        <v>#REF!</v>
      </c>
      <c r="AO158" s="118" t="e">
        <f t="shared" si="145"/>
        <v>#REF!</v>
      </c>
    </row>
    <row r="159" spans="1:42" x14ac:dyDescent="0.25">
      <c r="A159" s="99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</row>
    <row r="160" spans="1:42" x14ac:dyDescent="0.25">
      <c r="A160" s="99" t="s">
        <v>576</v>
      </c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</row>
    <row r="161" spans="1:42" x14ac:dyDescent="0.25">
      <c r="A161" s="101">
        <v>270001</v>
      </c>
      <c r="B161" t="s">
        <v>101</v>
      </c>
      <c r="C161" s="116" t="e">
        <f t="shared" ref="C161:C164" si="146">Q161+AE161</f>
        <v>#REF!</v>
      </c>
      <c r="D161" s="116" t="e">
        <f t="shared" ref="D161:D164" si="147">R161+AF161</f>
        <v>#REF!</v>
      </c>
      <c r="E161" s="116" t="e">
        <f t="shared" ref="E161:E164" si="148">S161+AG161</f>
        <v>#REF!</v>
      </c>
      <c r="F161" s="116" t="e">
        <f t="shared" ref="F161:F164" si="149">T161+AH161</f>
        <v>#REF!</v>
      </c>
      <c r="G161" s="116" t="e">
        <f t="shared" ref="G161:G164" si="150">U161+AI161</f>
        <v>#REF!</v>
      </c>
      <c r="H161" s="116" t="e">
        <f t="shared" ref="H161:H164" si="151">V161+AJ161</f>
        <v>#REF!</v>
      </c>
      <c r="I161" s="116" t="e">
        <f t="shared" ref="I161:I164" si="152">W161+AK161</f>
        <v>#REF!</v>
      </c>
      <c r="J161" s="116" t="e">
        <f t="shared" ref="J161:J164" si="153">X161+AL161</f>
        <v>#REF!</v>
      </c>
      <c r="K161" s="116" t="e">
        <f t="shared" ref="K161:K164" si="154">Y161+AM161</f>
        <v>#REF!</v>
      </c>
      <c r="L161" s="116" t="e">
        <f t="shared" ref="L161:L164" si="155">Z161+AN161</f>
        <v>#REF!</v>
      </c>
      <c r="M161" s="116" t="e">
        <f t="shared" ref="M161:M164" si="156">AA161+AO161</f>
        <v>#REF!</v>
      </c>
      <c r="N161" s="116">
        <f t="shared" ref="N161:N164" si="157">AB161+AP161</f>
        <v>0</v>
      </c>
      <c r="Q161" s="116" t="e">
        <f>-SUMIF(#REF!,$A161,#REF!)</f>
        <v>#REF!</v>
      </c>
      <c r="R161" s="116">
        <f>-SUMIF(ALIF_Y2014!$A:$A,$A161,ALIF_Y2014!$F:$F)</f>
        <v>0</v>
      </c>
      <c r="S161" s="116">
        <f>-SUMIF(ALIF_Y2015!$A:$A,$A161,ALIF_Y2015!$F:$F)</f>
        <v>0</v>
      </c>
      <c r="T161" s="116">
        <f>-SUMIF(ALIF_Y2016!$A:$A,$A161,ALIF_Y2016!$F:$F)</f>
        <v>0</v>
      </c>
      <c r="U161" s="116">
        <f>-SUMIF(ALIF_Y2017!$A:$A,$A161,ALIF_Y2017!$F:$F)</f>
        <v>31714781.920000002</v>
      </c>
      <c r="V161" s="116">
        <f>-SUMIF(ALIF_Y2018!$A:$A,$A161,ALIF_Y2018!$F:$F)</f>
        <v>7696296.1699999999</v>
      </c>
      <c r="W161" s="116">
        <f>-SUMIF(ALIF_Y2019!$A:$A,$A161,ALIF_Y2019!$F:$F)</f>
        <v>502289.05</v>
      </c>
      <c r="X161" s="116">
        <f>-SUMIF(ALIF_Y2020!$A:$A,$A161,ALIF_Y2020!$F:$F)</f>
        <v>-166370.04999999999</v>
      </c>
      <c r="Y161" s="116">
        <f>-SUMIF(ALIF_Y2021!$A:$A,$A161,ALIF_Y2021!$F:$F)</f>
        <v>-146154.65599999999</v>
      </c>
      <c r="Z161" s="116">
        <f>-SUMIF(ALIF_Y2022!$A:$A,$A161,ALIF_Y2022!$F:$F)</f>
        <v>1098996.6040000001</v>
      </c>
      <c r="AA161" s="116">
        <f>-SUMIF(ALIF_Y2023!$A:$A,$A161,ALIF_Y2023!$F:$F)</f>
        <v>3776163</v>
      </c>
      <c r="AE161" s="116" t="e">
        <f>-SUMIF(#REF!,$A161,#REF!)</f>
        <v>#REF!</v>
      </c>
      <c r="AF161" s="116" t="e">
        <f>-SUMIF(#REF!,$A161,#REF!)</f>
        <v>#REF!</v>
      </c>
      <c r="AG161" s="116" t="e">
        <f>-SUMIF(#REF!,$A161,#REF!)</f>
        <v>#REF!</v>
      </c>
      <c r="AH161" s="116" t="e">
        <f>-SUMIF(#REF!,$A161,#REF!)</f>
        <v>#REF!</v>
      </c>
      <c r="AI161" s="116" t="e">
        <f>-SUMIF(#REF!,$A161,#REF!)</f>
        <v>#REF!</v>
      </c>
      <c r="AJ161" s="116" t="e">
        <f>-SUMIF(#REF!,$A161,#REF!)</f>
        <v>#REF!</v>
      </c>
      <c r="AK161" s="116" t="e">
        <f>-SUMIF(#REF!,$A161,#REF!)</f>
        <v>#REF!</v>
      </c>
      <c r="AL161" s="116" t="e">
        <f>-SUMIF(#REF!,$A161,#REF!)</f>
        <v>#REF!</v>
      </c>
      <c r="AM161" s="116" t="e">
        <f>-SUMIF(#REF!,$A161,#REF!)</f>
        <v>#REF!</v>
      </c>
      <c r="AN161" s="116" t="e">
        <f>-SUMIF(#REF!,$A161,#REF!)</f>
        <v>#REF!</v>
      </c>
      <c r="AO161" s="116" t="e">
        <f>-SUMIF(#REF!,$A161,#REF!)</f>
        <v>#REF!</v>
      </c>
    </row>
    <row r="162" spans="1:42" x14ac:dyDescent="0.25">
      <c r="A162" s="101">
        <v>270005</v>
      </c>
      <c r="B162" t="s">
        <v>105</v>
      </c>
      <c r="C162" s="116" t="e">
        <f t="shared" si="146"/>
        <v>#REF!</v>
      </c>
      <c r="D162" s="116" t="e">
        <f t="shared" si="147"/>
        <v>#REF!</v>
      </c>
      <c r="E162" s="116" t="e">
        <f t="shared" si="148"/>
        <v>#REF!</v>
      </c>
      <c r="F162" s="116" t="e">
        <f t="shared" si="149"/>
        <v>#REF!</v>
      </c>
      <c r="G162" s="116" t="e">
        <f t="shared" si="150"/>
        <v>#REF!</v>
      </c>
      <c r="H162" s="116" t="e">
        <f t="shared" si="151"/>
        <v>#REF!</v>
      </c>
      <c r="I162" s="116" t="e">
        <f t="shared" si="152"/>
        <v>#REF!</v>
      </c>
      <c r="J162" s="116" t="e">
        <f t="shared" si="153"/>
        <v>#REF!</v>
      </c>
      <c r="K162" s="116" t="e">
        <f t="shared" si="154"/>
        <v>#REF!</v>
      </c>
      <c r="L162" s="116" t="e">
        <f t="shared" si="155"/>
        <v>#REF!</v>
      </c>
      <c r="M162" s="116" t="e">
        <f t="shared" si="156"/>
        <v>#REF!</v>
      </c>
      <c r="N162" s="116">
        <f t="shared" si="157"/>
        <v>0</v>
      </c>
      <c r="Q162" s="116" t="e">
        <f>-SUMIF(#REF!,$A162,#REF!)</f>
        <v>#REF!</v>
      </c>
      <c r="R162" s="116">
        <f>-SUMIF(ALIF_Y2014!$A:$A,$A162,ALIF_Y2014!$F:$F)</f>
        <v>0</v>
      </c>
      <c r="S162" s="116">
        <f>-SUMIF(ALIF_Y2015!$A:$A,$A162,ALIF_Y2015!$F:$F)</f>
        <v>0</v>
      </c>
      <c r="T162" s="116">
        <f>-SUMIF(ALIF_Y2016!$A:$A,$A162,ALIF_Y2016!$F:$F)</f>
        <v>0</v>
      </c>
      <c r="U162" s="116">
        <f>-SUMIF(ALIF_Y2017!$A:$A,$A162,ALIF_Y2017!$F:$F)</f>
        <v>0</v>
      </c>
      <c r="V162" s="116">
        <f>-SUMIF(ALIF_Y2018!$A:$A,$A162,ALIF_Y2018!$F:$F)</f>
        <v>0</v>
      </c>
      <c r="W162" s="116">
        <f>-SUMIF(ALIF_Y2019!$A:$A,$A162,ALIF_Y2019!$F:$F)</f>
        <v>0</v>
      </c>
      <c r="X162" s="116">
        <f>-SUMIF(ALIF_Y2020!$A:$A,$A162,ALIF_Y2020!$F:$F)</f>
        <v>0</v>
      </c>
      <c r="Y162" s="116">
        <f>-SUMIF(ALIF_Y2021!$A:$A,$A162,ALIF_Y2021!$F:$F)</f>
        <v>0</v>
      </c>
      <c r="Z162" s="116">
        <f>-SUMIF(ALIF_Y2022!$A:$A,$A162,ALIF_Y2022!$F:$F)</f>
        <v>0</v>
      </c>
      <c r="AA162" s="116">
        <f>-SUMIF(ALIF_Y2023!$A:$A,$A162,ALIF_Y2023!$F:$F)</f>
        <v>-20699522.736000001</v>
      </c>
      <c r="AE162" s="116" t="e">
        <f>-SUMIF(#REF!,$A162,#REF!)</f>
        <v>#REF!</v>
      </c>
      <c r="AF162" s="116" t="e">
        <f>-SUMIF(#REF!,$A162,#REF!)</f>
        <v>#REF!</v>
      </c>
      <c r="AG162" s="116" t="e">
        <f>-SUMIF(#REF!,$A162,#REF!)</f>
        <v>#REF!</v>
      </c>
      <c r="AH162" s="116" t="e">
        <f>-SUMIF(#REF!,$A162,#REF!)</f>
        <v>#REF!</v>
      </c>
      <c r="AI162" s="116" t="e">
        <f>-SUMIF(#REF!,$A162,#REF!)</f>
        <v>#REF!</v>
      </c>
      <c r="AJ162" s="116" t="e">
        <f>-SUMIF(#REF!,$A162,#REF!)</f>
        <v>#REF!</v>
      </c>
      <c r="AK162" s="116" t="e">
        <f>-SUMIF(#REF!,$A162,#REF!)</f>
        <v>#REF!</v>
      </c>
      <c r="AL162" s="116" t="e">
        <f>-SUMIF(#REF!,$A162,#REF!)</f>
        <v>#REF!</v>
      </c>
      <c r="AM162" s="116" t="e">
        <f>-SUMIF(#REF!,$A162,#REF!)</f>
        <v>#REF!</v>
      </c>
      <c r="AN162" s="116" t="e">
        <f>-SUMIF(#REF!,$A162,#REF!)</f>
        <v>#REF!</v>
      </c>
      <c r="AO162" s="116" t="e">
        <f>-SUMIF(#REF!,$A162,#REF!)</f>
        <v>#REF!</v>
      </c>
    </row>
    <row r="163" spans="1:42" x14ac:dyDescent="0.25">
      <c r="A163" s="101">
        <v>800001</v>
      </c>
      <c r="B163" t="s">
        <v>235</v>
      </c>
      <c r="C163" s="116" t="e">
        <f t="shared" si="146"/>
        <v>#REF!</v>
      </c>
      <c r="D163" s="116" t="e">
        <f t="shared" si="147"/>
        <v>#REF!</v>
      </c>
      <c r="E163" s="116" t="e">
        <f t="shared" si="148"/>
        <v>#REF!</v>
      </c>
      <c r="F163" s="116" t="e">
        <f t="shared" si="149"/>
        <v>#REF!</v>
      </c>
      <c r="G163" s="116" t="e">
        <f t="shared" si="150"/>
        <v>#REF!</v>
      </c>
      <c r="H163" s="116" t="e">
        <f t="shared" si="151"/>
        <v>#REF!</v>
      </c>
      <c r="I163" s="116" t="e">
        <f t="shared" si="152"/>
        <v>#REF!</v>
      </c>
      <c r="J163" s="116" t="e">
        <f t="shared" si="153"/>
        <v>#REF!</v>
      </c>
      <c r="K163" s="116" t="e">
        <f t="shared" si="154"/>
        <v>#REF!</v>
      </c>
      <c r="L163" s="116" t="e">
        <f t="shared" si="155"/>
        <v>#REF!</v>
      </c>
      <c r="M163" s="116" t="e">
        <f t="shared" si="156"/>
        <v>#REF!</v>
      </c>
      <c r="N163" s="116">
        <f t="shared" si="157"/>
        <v>0</v>
      </c>
      <c r="Q163" s="116" t="e">
        <f>-SUMIF(#REF!,$A163,#REF!)</f>
        <v>#REF!</v>
      </c>
      <c r="R163" s="116">
        <f>-SUMIF(ALIF_Y2014!$A:$A,$A163,ALIF_Y2014!$F:$F)</f>
        <v>0</v>
      </c>
      <c r="S163" s="116">
        <f>-SUMIF(ALIF_Y2015!$A:$A,$A163,ALIF_Y2015!$F:$F)</f>
        <v>0</v>
      </c>
      <c r="T163" s="116">
        <f>-SUMIF(ALIF_Y2016!$A:$A,$A163,ALIF_Y2016!$F:$F)</f>
        <v>0</v>
      </c>
      <c r="U163" s="116">
        <f>-SUMIF(ALIF_Y2017!$A:$A,$A163,ALIF_Y2017!$F:$F)</f>
        <v>0</v>
      </c>
      <c r="V163" s="116">
        <f>-SUMIF(ALIF_Y2018!$A:$A,$A163,ALIF_Y2018!$F:$F)</f>
        <v>0</v>
      </c>
      <c r="W163" s="116">
        <f>-SUMIF(ALIF_Y2019!$A:$A,$A163,ALIF_Y2019!$F:$F)</f>
        <v>0</v>
      </c>
      <c r="X163" s="116">
        <f>-SUMIF(ALIF_Y2020!$A:$A,$A163,ALIF_Y2020!$F:$F)</f>
        <v>444285</v>
      </c>
      <c r="Y163" s="116">
        <f>-SUMIF(ALIF_Y2021!$A:$A,$A163,ALIF_Y2021!$F:$F)</f>
        <v>0</v>
      </c>
      <c r="Z163" s="116">
        <f>-SUMIF(ALIF_Y2022!$A:$A,$A163,ALIF_Y2022!$F:$F)</f>
        <v>0</v>
      </c>
      <c r="AA163" s="116">
        <f>-SUMIF(ALIF_Y2023!$A:$A,$A163,ALIF_Y2023!$F:$F)</f>
        <v>0</v>
      </c>
      <c r="AE163" s="116" t="e">
        <f>-SUMIF(#REF!,$A163,#REF!)</f>
        <v>#REF!</v>
      </c>
      <c r="AF163" s="116" t="e">
        <f>-SUMIF(#REF!,$A163,#REF!)</f>
        <v>#REF!</v>
      </c>
      <c r="AG163" s="116" t="e">
        <f>-SUMIF(#REF!,$A163,#REF!)</f>
        <v>#REF!</v>
      </c>
      <c r="AH163" s="116" t="e">
        <f>-SUMIF(#REF!,$A163,#REF!)</f>
        <v>#REF!</v>
      </c>
      <c r="AI163" s="116" t="e">
        <f>-SUMIF(#REF!,$A163,#REF!)</f>
        <v>#REF!</v>
      </c>
      <c r="AJ163" s="116" t="e">
        <f>-SUMIF(#REF!,$A163,#REF!)</f>
        <v>#REF!</v>
      </c>
      <c r="AK163" s="116" t="e">
        <f>-SUMIF(#REF!,$A163,#REF!)</f>
        <v>#REF!</v>
      </c>
      <c r="AL163" s="116" t="e">
        <f>-SUMIF(#REF!,$A163,#REF!)</f>
        <v>#REF!</v>
      </c>
      <c r="AM163" s="116" t="e">
        <f>-SUMIF(#REF!,$A163,#REF!)</f>
        <v>#REF!</v>
      </c>
      <c r="AN163" s="116" t="e">
        <f>-SUMIF(#REF!,$A163,#REF!)</f>
        <v>#REF!</v>
      </c>
      <c r="AO163" s="116" t="e">
        <f>-SUMIF(#REF!,$A163,#REF!)</f>
        <v>#REF!</v>
      </c>
    </row>
    <row r="164" spans="1:42" x14ac:dyDescent="0.25">
      <c r="A164" s="101">
        <v>800002</v>
      </c>
      <c r="B164" t="s">
        <v>236</v>
      </c>
      <c r="C164" s="116" t="e">
        <f t="shared" si="146"/>
        <v>#REF!</v>
      </c>
      <c r="D164" s="116" t="e">
        <f t="shared" si="147"/>
        <v>#REF!</v>
      </c>
      <c r="E164" s="116" t="e">
        <f t="shared" si="148"/>
        <v>#REF!</v>
      </c>
      <c r="F164" s="116" t="e">
        <f t="shared" si="149"/>
        <v>#REF!</v>
      </c>
      <c r="G164" s="116" t="e">
        <f t="shared" si="150"/>
        <v>#REF!</v>
      </c>
      <c r="H164" s="116" t="e">
        <f t="shared" si="151"/>
        <v>#REF!</v>
      </c>
      <c r="I164" s="116" t="e">
        <f t="shared" si="152"/>
        <v>#REF!</v>
      </c>
      <c r="J164" s="116" t="e">
        <f t="shared" si="153"/>
        <v>#REF!</v>
      </c>
      <c r="K164" s="116" t="e">
        <f t="shared" si="154"/>
        <v>#REF!</v>
      </c>
      <c r="L164" s="116" t="e">
        <f t="shared" si="155"/>
        <v>#REF!</v>
      </c>
      <c r="M164" s="116" t="e">
        <f t="shared" si="156"/>
        <v>#REF!</v>
      </c>
      <c r="N164" s="116">
        <f t="shared" si="157"/>
        <v>0</v>
      </c>
      <c r="Q164" s="116" t="e">
        <f>-SUMIF(#REF!,$A164,#REF!)</f>
        <v>#REF!</v>
      </c>
      <c r="R164" s="116">
        <f>-SUMIF(ALIF_Y2014!$A:$A,$A164,ALIF_Y2014!$F:$F)</f>
        <v>0</v>
      </c>
      <c r="S164" s="116">
        <f>-SUMIF(ALIF_Y2015!$A:$A,$A164,ALIF_Y2015!$F:$F)</f>
        <v>0</v>
      </c>
      <c r="T164" s="116">
        <f>-SUMIF(ALIF_Y2016!$A:$A,$A164,ALIF_Y2016!$F:$F)</f>
        <v>0</v>
      </c>
      <c r="U164" s="116">
        <f>-SUMIF(ALIF_Y2017!$A:$A,$A164,ALIF_Y2017!$F:$F)</f>
        <v>0</v>
      </c>
      <c r="V164" s="116">
        <f>-SUMIF(ALIF_Y2018!$A:$A,$A164,ALIF_Y2018!$F:$F)</f>
        <v>0</v>
      </c>
      <c r="W164" s="116">
        <f>-SUMIF(ALIF_Y2019!$A:$A,$A164,ALIF_Y2019!$F:$F)</f>
        <v>0</v>
      </c>
      <c r="X164" s="116">
        <f>-SUMIF(ALIF_Y2020!$A:$A,$A164,ALIF_Y2020!$F:$F)</f>
        <v>0</v>
      </c>
      <c r="Y164" s="116">
        <f>-SUMIF(ALIF_Y2021!$A:$A,$A164,ALIF_Y2021!$F:$F)</f>
        <v>0</v>
      </c>
      <c r="Z164" s="116">
        <f>-SUMIF(ALIF_Y2022!$A:$A,$A164,ALIF_Y2022!$F:$F)</f>
        <v>-700886</v>
      </c>
      <c r="AA164" s="116">
        <f>-SUMIF(ALIF_Y2023!$A:$A,$A164,ALIF_Y2023!$F:$F)</f>
        <v>0</v>
      </c>
      <c r="AE164" s="116" t="e">
        <f>-SUMIF(#REF!,$A164,#REF!)</f>
        <v>#REF!</v>
      </c>
      <c r="AF164" s="116" t="e">
        <f>-SUMIF(#REF!,$A164,#REF!)</f>
        <v>#REF!</v>
      </c>
      <c r="AG164" s="116" t="e">
        <f>-SUMIF(#REF!,$A164,#REF!)</f>
        <v>#REF!</v>
      </c>
      <c r="AH164" s="116" t="e">
        <f>-SUMIF(#REF!,$A164,#REF!)</f>
        <v>#REF!</v>
      </c>
      <c r="AI164" s="116" t="e">
        <f>-SUMIF(#REF!,$A164,#REF!)</f>
        <v>#REF!</v>
      </c>
      <c r="AJ164" s="116" t="e">
        <f>-SUMIF(#REF!,$A164,#REF!)</f>
        <v>#REF!</v>
      </c>
      <c r="AK164" s="116" t="e">
        <f>-SUMIF(#REF!,$A164,#REF!)</f>
        <v>#REF!</v>
      </c>
      <c r="AL164" s="116" t="e">
        <f>-SUMIF(#REF!,$A164,#REF!)</f>
        <v>#REF!</v>
      </c>
      <c r="AM164" s="116" t="e">
        <f>-SUMIF(#REF!,$A164,#REF!)</f>
        <v>#REF!</v>
      </c>
      <c r="AN164" s="116" t="e">
        <f>-SUMIF(#REF!,$A164,#REF!)</f>
        <v>#REF!</v>
      </c>
      <c r="AO164" s="116" t="e">
        <f>-SUMIF(#REF!,$A164,#REF!)</f>
        <v>#REF!</v>
      </c>
    </row>
    <row r="165" spans="1:42" ht="7.9" customHeight="1" x14ac:dyDescent="0.25"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</row>
    <row r="166" spans="1:42" x14ac:dyDescent="0.25">
      <c r="A166" s="99"/>
      <c r="C166" s="118" t="e">
        <f t="shared" ref="C166:N166" si="158">SUM(C161:C165)</f>
        <v>#REF!</v>
      </c>
      <c r="D166" s="118" t="e">
        <f t="shared" si="158"/>
        <v>#REF!</v>
      </c>
      <c r="E166" s="118" t="e">
        <f t="shared" si="158"/>
        <v>#REF!</v>
      </c>
      <c r="F166" s="118" t="e">
        <f t="shared" si="158"/>
        <v>#REF!</v>
      </c>
      <c r="G166" s="118" t="e">
        <f t="shared" si="158"/>
        <v>#REF!</v>
      </c>
      <c r="H166" s="118" t="e">
        <f t="shared" si="158"/>
        <v>#REF!</v>
      </c>
      <c r="I166" s="118" t="e">
        <f t="shared" si="158"/>
        <v>#REF!</v>
      </c>
      <c r="J166" s="118" t="e">
        <f t="shared" si="158"/>
        <v>#REF!</v>
      </c>
      <c r="K166" s="118" t="e">
        <f t="shared" si="158"/>
        <v>#REF!</v>
      </c>
      <c r="L166" s="118" t="e">
        <f t="shared" si="158"/>
        <v>#REF!</v>
      </c>
      <c r="M166" s="118" t="e">
        <f t="shared" si="158"/>
        <v>#REF!</v>
      </c>
      <c r="N166" s="118">
        <f t="shared" si="158"/>
        <v>0</v>
      </c>
      <c r="Q166" s="118" t="e">
        <f>SUM(Q161:Q165)</f>
        <v>#REF!</v>
      </c>
      <c r="R166" s="118">
        <f t="shared" ref="R166:AB166" si="159">SUM(R161:R165)</f>
        <v>0</v>
      </c>
      <c r="S166" s="118">
        <f t="shared" si="159"/>
        <v>0</v>
      </c>
      <c r="T166" s="118">
        <f t="shared" si="159"/>
        <v>0</v>
      </c>
      <c r="U166" s="118">
        <f t="shared" si="159"/>
        <v>31714781.920000002</v>
      </c>
      <c r="V166" s="118">
        <f t="shared" si="159"/>
        <v>7696296.1699999999</v>
      </c>
      <c r="W166" s="118">
        <f t="shared" si="159"/>
        <v>502289.05</v>
      </c>
      <c r="X166" s="118">
        <f t="shared" si="159"/>
        <v>277914.95</v>
      </c>
      <c r="Y166" s="118">
        <f t="shared" si="159"/>
        <v>-146154.65599999999</v>
      </c>
      <c r="Z166" s="118">
        <f t="shared" si="159"/>
        <v>398110.60400000005</v>
      </c>
      <c r="AA166" s="118">
        <f t="shared" si="159"/>
        <v>-16923359.736000001</v>
      </c>
      <c r="AB166" s="118">
        <f t="shared" si="159"/>
        <v>0</v>
      </c>
      <c r="AE166" s="118" t="e">
        <f>SUM(AE161:AE165)</f>
        <v>#REF!</v>
      </c>
      <c r="AF166" s="118" t="e">
        <f t="shared" ref="AF166:AO166" si="160">SUM(AF161:AF165)</f>
        <v>#REF!</v>
      </c>
      <c r="AG166" s="118" t="e">
        <f t="shared" si="160"/>
        <v>#REF!</v>
      </c>
      <c r="AH166" s="118" t="e">
        <f t="shared" si="160"/>
        <v>#REF!</v>
      </c>
      <c r="AI166" s="118" t="e">
        <f t="shared" si="160"/>
        <v>#REF!</v>
      </c>
      <c r="AJ166" s="118" t="e">
        <f t="shared" si="160"/>
        <v>#REF!</v>
      </c>
      <c r="AK166" s="118" t="e">
        <f t="shared" si="160"/>
        <v>#REF!</v>
      </c>
      <c r="AL166" s="118" t="e">
        <f t="shared" si="160"/>
        <v>#REF!</v>
      </c>
      <c r="AM166" s="118" t="e">
        <f t="shared" si="160"/>
        <v>#REF!</v>
      </c>
      <c r="AN166" s="118" t="e">
        <f t="shared" si="160"/>
        <v>#REF!</v>
      </c>
      <c r="AO166" s="118" t="e">
        <f t="shared" si="160"/>
        <v>#REF!</v>
      </c>
    </row>
    <row r="167" spans="1:42" x14ac:dyDescent="0.25">
      <c r="A167" s="99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</row>
    <row r="168" spans="1:42" x14ac:dyDescent="0.25">
      <c r="A168" s="99" t="s">
        <v>577</v>
      </c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</row>
    <row r="169" spans="1:42" x14ac:dyDescent="0.25">
      <c r="A169" s="101">
        <v>150002</v>
      </c>
      <c r="B169" t="s">
        <v>38</v>
      </c>
      <c r="C169" s="116" t="e">
        <f t="shared" ref="C169:C170" si="161">Q169+AE169</f>
        <v>#REF!</v>
      </c>
      <c r="D169" s="116" t="e">
        <f t="shared" ref="D169:D170" si="162">R169+AF169</f>
        <v>#REF!</v>
      </c>
      <c r="E169" s="116" t="e">
        <f t="shared" ref="E169:E170" si="163">S169+AG169</f>
        <v>#REF!</v>
      </c>
      <c r="F169" s="116" t="e">
        <f t="shared" ref="F169:F170" si="164">T169+AH169</f>
        <v>#REF!</v>
      </c>
      <c r="G169" s="116" t="e">
        <f t="shared" ref="G169:G170" si="165">U169+AI169</f>
        <v>#REF!</v>
      </c>
      <c r="H169" s="116" t="e">
        <f t="shared" ref="H169:H170" si="166">V169+AJ169</f>
        <v>#REF!</v>
      </c>
      <c r="I169" s="116" t="e">
        <f t="shared" ref="I169:I170" si="167">W169+AK169</f>
        <v>#REF!</v>
      </c>
      <c r="J169" s="116" t="e">
        <f t="shared" ref="J169:J170" si="168">X169+AL169</f>
        <v>#REF!</v>
      </c>
      <c r="K169" s="116" t="e">
        <f t="shared" ref="K169:K170" si="169">Y169+AM169</f>
        <v>#REF!</v>
      </c>
      <c r="L169" s="116" t="e">
        <f t="shared" ref="L169:L170" si="170">Z169+AN169</f>
        <v>#REF!</v>
      </c>
      <c r="M169" s="116" t="e">
        <f t="shared" ref="M169:M170" si="171">AA169+AO169</f>
        <v>#REF!</v>
      </c>
      <c r="N169" s="116">
        <f t="shared" ref="N169:N170" si="172">AB169+AP169</f>
        <v>0</v>
      </c>
      <c r="Q169" s="116" t="e">
        <f>-SUMIF(#REF!,$A169,#REF!)</f>
        <v>#REF!</v>
      </c>
      <c r="R169" s="116">
        <f>-SUMIF(ALIF_Y2014!$A:$A,$A169,ALIF_Y2014!$F:$F)</f>
        <v>0</v>
      </c>
      <c r="S169" s="116">
        <f>-SUMIF(ALIF_Y2015!$A:$A,$A169,ALIF_Y2015!$F:$F)</f>
        <v>0</v>
      </c>
      <c r="T169" s="116">
        <f>-SUMIF(ALIF_Y2016!$A:$A,$A169,ALIF_Y2016!$F:$F)</f>
        <v>0</v>
      </c>
      <c r="U169" s="116">
        <f>-SUMIF(ALIF_Y2017!$A:$A,$A169,ALIF_Y2017!$F:$F)</f>
        <v>0</v>
      </c>
      <c r="V169" s="116">
        <f>-SUMIF(ALIF_Y2018!$A:$A,$A169,ALIF_Y2018!$F:$F)</f>
        <v>0</v>
      </c>
      <c r="W169" s="116">
        <f>-SUMIF(ALIF_Y2019!$A:$A,$A169,ALIF_Y2019!$F:$F)</f>
        <v>0</v>
      </c>
      <c r="X169" s="116">
        <f>-SUMIF(ALIF_Y2020!$A:$A,$A169,ALIF_Y2020!$F:$F)</f>
        <v>-3107455</v>
      </c>
      <c r="Y169" s="116">
        <f>-SUMIF(ALIF_Y2021!$A:$A,$A169,ALIF_Y2021!$F:$F)</f>
        <v>-2388782</v>
      </c>
      <c r="Z169" s="116">
        <f>-SUMIF(ALIF_Y2022!$A:$A,$A169,ALIF_Y2022!$F:$F)</f>
        <v>-2374238</v>
      </c>
      <c r="AA169" s="116">
        <f>-SUMIF(ALIF_Y2023!$A:$A,$A169,ALIF_Y2023!$F:$F)</f>
        <v>-2371988</v>
      </c>
      <c r="AE169" s="116" t="e">
        <f>-SUMIF(#REF!,$A169,#REF!)</f>
        <v>#REF!</v>
      </c>
      <c r="AF169" s="116" t="e">
        <f>-SUMIF(#REF!,$A169,#REF!)</f>
        <v>#REF!</v>
      </c>
      <c r="AG169" s="116" t="e">
        <f>-SUMIF(#REF!,$A169,#REF!)</f>
        <v>#REF!</v>
      </c>
      <c r="AH169" s="116" t="e">
        <f>-SUMIF(#REF!,$A169,#REF!)</f>
        <v>#REF!</v>
      </c>
      <c r="AI169" s="116" t="e">
        <f>-SUMIF(#REF!,$A169,#REF!)</f>
        <v>#REF!</v>
      </c>
      <c r="AJ169" s="116" t="e">
        <f>-SUMIF(#REF!,$A169,#REF!)</f>
        <v>#REF!</v>
      </c>
      <c r="AK169" s="116" t="e">
        <f>-SUMIF(#REF!,$A169,#REF!)</f>
        <v>#REF!</v>
      </c>
      <c r="AL169" s="116" t="e">
        <f>-SUMIF(#REF!,$A169,#REF!)</f>
        <v>#REF!</v>
      </c>
      <c r="AM169" s="116" t="e">
        <f>-SUMIF(#REF!,$A169,#REF!)</f>
        <v>#REF!</v>
      </c>
      <c r="AN169" s="116" t="e">
        <f>-SUMIF(#REF!,$A169,#REF!)</f>
        <v>#REF!</v>
      </c>
      <c r="AO169" s="116" t="e">
        <f>-SUMIF(#REF!,$A169,#REF!)</f>
        <v>#REF!</v>
      </c>
    </row>
    <row r="170" spans="1:42" x14ac:dyDescent="0.25">
      <c r="A170" s="101">
        <v>260002</v>
      </c>
      <c r="B170" t="s">
        <v>97</v>
      </c>
      <c r="C170" s="116" t="e">
        <f t="shared" si="161"/>
        <v>#REF!</v>
      </c>
      <c r="D170" s="116" t="e">
        <f t="shared" si="162"/>
        <v>#REF!</v>
      </c>
      <c r="E170" s="116" t="e">
        <f t="shared" si="163"/>
        <v>#REF!</v>
      </c>
      <c r="F170" s="116" t="e">
        <f t="shared" si="164"/>
        <v>#REF!</v>
      </c>
      <c r="G170" s="116" t="e">
        <f t="shared" si="165"/>
        <v>#REF!</v>
      </c>
      <c r="H170" s="116" t="e">
        <f t="shared" si="166"/>
        <v>#REF!</v>
      </c>
      <c r="I170" s="116" t="e">
        <f t="shared" si="167"/>
        <v>#REF!</v>
      </c>
      <c r="J170" s="116" t="e">
        <f t="shared" si="168"/>
        <v>#REF!</v>
      </c>
      <c r="K170" s="116" t="e">
        <f t="shared" si="169"/>
        <v>#REF!</v>
      </c>
      <c r="L170" s="116" t="e">
        <f t="shared" si="170"/>
        <v>#REF!</v>
      </c>
      <c r="M170" s="116" t="e">
        <f t="shared" si="171"/>
        <v>#REF!</v>
      </c>
      <c r="N170" s="116">
        <f t="shared" si="172"/>
        <v>0</v>
      </c>
      <c r="Q170" s="116" t="e">
        <f>-SUMIF(#REF!,$A170,#REF!)</f>
        <v>#REF!</v>
      </c>
      <c r="R170" s="116">
        <f>-SUMIF(ALIF_Y2014!$A:$A,$A170,ALIF_Y2014!$F:$F)</f>
        <v>2925857.71</v>
      </c>
      <c r="S170" s="116">
        <f>-SUMIF(ALIF_Y2015!$A:$A,$A170,ALIF_Y2015!$F:$F)</f>
        <v>2992687.9419999998</v>
      </c>
      <c r="T170" s="116">
        <f>-SUMIF(ALIF_Y2016!$A:$A,$A170,ALIF_Y2016!$F:$F)</f>
        <v>4649375</v>
      </c>
      <c r="U170" s="116">
        <f>-SUMIF(ALIF_Y2017!$A:$A,$A170,ALIF_Y2017!$F:$F)</f>
        <v>4847761</v>
      </c>
      <c r="V170" s="116">
        <f>-SUMIF(ALIF_Y2018!$A:$A,$A170,ALIF_Y2018!$F:$F)</f>
        <v>4633898</v>
      </c>
      <c r="W170" s="116">
        <f>-SUMIF(ALIF_Y2019!$A:$A,$A170,ALIF_Y2019!$F:$F)</f>
        <v>4294641</v>
      </c>
      <c r="X170" s="116">
        <f>-SUMIF(ALIF_Y2020!$A:$A,$A170,ALIF_Y2020!$F:$F)</f>
        <v>7512895</v>
      </c>
      <c r="Y170" s="116">
        <f>-SUMIF(ALIF_Y2021!$A:$A,$A170,ALIF_Y2021!$F:$F)</f>
        <v>6280744</v>
      </c>
      <c r="Z170" s="116">
        <f>-SUMIF(ALIF_Y2022!$A:$A,$A170,ALIF_Y2022!$F:$F)</f>
        <v>6809005</v>
      </c>
      <c r="AA170" s="116">
        <f>-SUMIF(ALIF_Y2023!$A:$A,$A170,ALIF_Y2023!$F:$F)</f>
        <v>8171258.3200000003</v>
      </c>
      <c r="AE170" s="116" t="e">
        <f>-SUMIF(#REF!,$A170,#REF!)</f>
        <v>#REF!</v>
      </c>
      <c r="AF170" s="116" t="e">
        <f>-SUMIF(#REF!,$A170,#REF!)</f>
        <v>#REF!</v>
      </c>
      <c r="AG170" s="116" t="e">
        <f>-SUMIF(#REF!,$A170,#REF!)</f>
        <v>#REF!</v>
      </c>
      <c r="AH170" s="116" t="e">
        <f>-SUMIF(#REF!,$A170,#REF!)</f>
        <v>#REF!</v>
      </c>
      <c r="AI170" s="116" t="e">
        <f>-SUMIF(#REF!,$A170,#REF!)</f>
        <v>#REF!</v>
      </c>
      <c r="AJ170" s="116" t="e">
        <f>-SUMIF(#REF!,$A170,#REF!)</f>
        <v>#REF!</v>
      </c>
      <c r="AK170" s="116" t="e">
        <f>-SUMIF(#REF!,$A170,#REF!)</f>
        <v>#REF!</v>
      </c>
      <c r="AL170" s="116" t="e">
        <f>-SUMIF(#REF!,$A170,#REF!)</f>
        <v>#REF!</v>
      </c>
      <c r="AM170" s="116" t="e">
        <f>-SUMIF(#REF!,$A170,#REF!)</f>
        <v>#REF!</v>
      </c>
      <c r="AN170" s="116" t="e">
        <f>-SUMIF(#REF!,$A170,#REF!)</f>
        <v>#REF!</v>
      </c>
      <c r="AO170" s="116" t="e">
        <f>-SUMIF(#REF!,$A170,#REF!)</f>
        <v>#REF!</v>
      </c>
    </row>
    <row r="171" spans="1:42" ht="7.9" customHeight="1" x14ac:dyDescent="0.25"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</row>
    <row r="172" spans="1:42" x14ac:dyDescent="0.25">
      <c r="A172" s="99"/>
      <c r="C172" s="118" t="e">
        <f t="shared" ref="C172:N172" si="173">SUM(C169:C171)</f>
        <v>#REF!</v>
      </c>
      <c r="D172" s="118" t="e">
        <f t="shared" si="173"/>
        <v>#REF!</v>
      </c>
      <c r="E172" s="118" t="e">
        <f t="shared" si="173"/>
        <v>#REF!</v>
      </c>
      <c r="F172" s="118" t="e">
        <f t="shared" si="173"/>
        <v>#REF!</v>
      </c>
      <c r="G172" s="118" t="e">
        <f t="shared" si="173"/>
        <v>#REF!</v>
      </c>
      <c r="H172" s="118" t="e">
        <f t="shared" si="173"/>
        <v>#REF!</v>
      </c>
      <c r="I172" s="118" t="e">
        <f t="shared" si="173"/>
        <v>#REF!</v>
      </c>
      <c r="J172" s="118" t="e">
        <f t="shared" si="173"/>
        <v>#REF!</v>
      </c>
      <c r="K172" s="118" t="e">
        <f t="shared" si="173"/>
        <v>#REF!</v>
      </c>
      <c r="L172" s="118" t="e">
        <f t="shared" si="173"/>
        <v>#REF!</v>
      </c>
      <c r="M172" s="118" t="e">
        <f t="shared" si="173"/>
        <v>#REF!</v>
      </c>
      <c r="N172" s="118">
        <f t="shared" si="173"/>
        <v>0</v>
      </c>
      <c r="Q172" s="118" t="e">
        <f>SUM(Q169:Q171)</f>
        <v>#REF!</v>
      </c>
      <c r="R172" s="118">
        <f t="shared" ref="R172:AB172" si="174">SUM(R169:R171)</f>
        <v>2925857.71</v>
      </c>
      <c r="S172" s="118">
        <f t="shared" si="174"/>
        <v>2992687.9419999998</v>
      </c>
      <c r="T172" s="118">
        <f t="shared" si="174"/>
        <v>4649375</v>
      </c>
      <c r="U172" s="118">
        <f t="shared" si="174"/>
        <v>4847761</v>
      </c>
      <c r="V172" s="118">
        <f t="shared" si="174"/>
        <v>4633898</v>
      </c>
      <c r="W172" s="118">
        <f t="shared" si="174"/>
        <v>4294641</v>
      </c>
      <c r="X172" s="118">
        <f t="shared" si="174"/>
        <v>4405440</v>
      </c>
      <c r="Y172" s="118">
        <f t="shared" si="174"/>
        <v>3891962</v>
      </c>
      <c r="Z172" s="118">
        <f t="shared" si="174"/>
        <v>4434767</v>
      </c>
      <c r="AA172" s="118">
        <f t="shared" si="174"/>
        <v>5799270.3200000003</v>
      </c>
      <c r="AB172" s="118">
        <f t="shared" si="174"/>
        <v>0</v>
      </c>
      <c r="AE172" s="118" t="e">
        <f>SUM(AE169:AE171)</f>
        <v>#REF!</v>
      </c>
      <c r="AF172" s="118" t="e">
        <f t="shared" ref="AF172:AO172" si="175">SUM(AF169:AF171)</f>
        <v>#REF!</v>
      </c>
      <c r="AG172" s="118" t="e">
        <f t="shared" si="175"/>
        <v>#REF!</v>
      </c>
      <c r="AH172" s="118" t="e">
        <f t="shared" si="175"/>
        <v>#REF!</v>
      </c>
      <c r="AI172" s="118" t="e">
        <f t="shared" si="175"/>
        <v>#REF!</v>
      </c>
      <c r="AJ172" s="118" t="e">
        <f t="shared" si="175"/>
        <v>#REF!</v>
      </c>
      <c r="AK172" s="118" t="e">
        <f t="shared" si="175"/>
        <v>#REF!</v>
      </c>
      <c r="AL172" s="118" t="e">
        <f t="shared" si="175"/>
        <v>#REF!</v>
      </c>
      <c r="AM172" s="118" t="e">
        <f t="shared" si="175"/>
        <v>#REF!</v>
      </c>
      <c r="AN172" s="118" t="e">
        <f t="shared" si="175"/>
        <v>#REF!</v>
      </c>
      <c r="AO172" s="118" t="e">
        <f t="shared" si="175"/>
        <v>#REF!</v>
      </c>
    </row>
    <row r="173" spans="1:42" x14ac:dyDescent="0.25">
      <c r="A173" s="99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</row>
    <row r="174" spans="1:42" x14ac:dyDescent="0.25">
      <c r="A174" s="99" t="s">
        <v>578</v>
      </c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</row>
    <row r="175" spans="1:42" x14ac:dyDescent="0.25">
      <c r="A175" s="101">
        <v>260005</v>
      </c>
      <c r="B175" t="s">
        <v>100</v>
      </c>
      <c r="C175" s="116" t="e">
        <f>Q175+AE175</f>
        <v>#REF!</v>
      </c>
      <c r="D175" s="116" t="e">
        <f t="shared" ref="D175" si="176">R175+AF175</f>
        <v>#REF!</v>
      </c>
      <c r="E175" s="116" t="e">
        <f t="shared" ref="E175" si="177">S175+AG175</f>
        <v>#REF!</v>
      </c>
      <c r="F175" s="116" t="e">
        <f t="shared" ref="F175" si="178">T175+AH175</f>
        <v>#REF!</v>
      </c>
      <c r="G175" s="116" t="e">
        <f t="shared" ref="G175" si="179">U175+AI175</f>
        <v>#REF!</v>
      </c>
      <c r="H175" s="116" t="e">
        <f t="shared" ref="H175" si="180">V175+AJ175</f>
        <v>#REF!</v>
      </c>
      <c r="I175" s="116" t="e">
        <f t="shared" ref="I175" si="181">W175+AK175</f>
        <v>#REF!</v>
      </c>
      <c r="J175" s="116" t="e">
        <f t="shared" ref="J175" si="182">X175+AL175</f>
        <v>#REF!</v>
      </c>
      <c r="K175" s="116" t="e">
        <f t="shared" ref="K175" si="183">Y175+AM175</f>
        <v>#REF!</v>
      </c>
      <c r="L175" s="116" t="e">
        <f t="shared" ref="L175" si="184">Z175+AN175</f>
        <v>#REF!</v>
      </c>
      <c r="M175" s="116" t="e">
        <f t="shared" ref="M175" si="185">AA175+AO175</f>
        <v>#REF!</v>
      </c>
      <c r="N175" s="116">
        <f t="shared" ref="N175" si="186">AB175+AP175</f>
        <v>0</v>
      </c>
      <c r="Q175" s="116" t="e">
        <f>-SUMIF(#REF!,$A175,#REF!)</f>
        <v>#REF!</v>
      </c>
      <c r="R175" s="116">
        <f>-SUMIF(ALIF_Y2014!$A:$A,$A175,ALIF_Y2014!$F:$F)</f>
        <v>0</v>
      </c>
      <c r="S175" s="116">
        <f>-SUMIF(ALIF_Y2015!$A:$A,$A175,ALIF_Y2015!$F:$F)</f>
        <v>0</v>
      </c>
      <c r="T175" s="116">
        <f>-SUMIF(ALIF_Y2016!$A:$A,$A175,ALIF_Y2016!$F:$F)</f>
        <v>0</v>
      </c>
      <c r="U175" s="116">
        <f>-SUMIF(ALIF_Y2017!$A:$A,$A175,ALIF_Y2017!$F:$F)</f>
        <v>0</v>
      </c>
      <c r="V175" s="116">
        <f>-SUMIF(ALIF_Y2018!$A:$A,$A175,ALIF_Y2018!$F:$F)</f>
        <v>4000000</v>
      </c>
      <c r="W175" s="116">
        <f>-SUMIF(ALIF_Y2019!$A:$A,$A175,ALIF_Y2019!$F:$F)</f>
        <v>4120000</v>
      </c>
      <c r="X175" s="116">
        <f>-SUMIF(ALIF_Y2020!$A:$A,$A175,ALIF_Y2020!$F:$F)</f>
        <v>4214760</v>
      </c>
      <c r="Y175" s="116">
        <f>-SUMIF(ALIF_Y2021!$A:$A,$A175,ALIF_Y2021!$F:$F)</f>
        <v>4329893.1940000001</v>
      </c>
      <c r="Z175" s="116">
        <f>-SUMIF(ALIF_Y2022!$A:$A,$A175,ALIF_Y2022!$F:$F)</f>
        <v>4426579.7149999999</v>
      </c>
      <c r="AA175" s="116">
        <f>-SUMIF(ALIF_Y2023!$A:$A,$A175,ALIF_Y2023!$F:$F)</f>
        <v>4698371.7089999998</v>
      </c>
      <c r="AE175" s="116" t="e">
        <f>-SUMIF(#REF!,$A175,#REF!)</f>
        <v>#REF!</v>
      </c>
      <c r="AF175" s="116" t="e">
        <f>-SUMIF(#REF!,$A175,#REF!)</f>
        <v>#REF!</v>
      </c>
      <c r="AG175" s="116" t="e">
        <f>-SUMIF(#REF!,$A175,#REF!)</f>
        <v>#REF!</v>
      </c>
      <c r="AH175" s="116" t="e">
        <f>-SUMIF(#REF!,$A175,#REF!)</f>
        <v>#REF!</v>
      </c>
      <c r="AI175" s="116" t="e">
        <f>-SUMIF(#REF!,$A175,#REF!)</f>
        <v>#REF!</v>
      </c>
      <c r="AJ175" s="116" t="e">
        <f>-SUMIF(#REF!,$A175,#REF!)</f>
        <v>#REF!</v>
      </c>
      <c r="AK175" s="116" t="e">
        <f>-SUMIF(#REF!,$A175,#REF!)</f>
        <v>#REF!</v>
      </c>
      <c r="AL175" s="116" t="e">
        <f>-SUMIF(#REF!,$A175,#REF!)</f>
        <v>#REF!</v>
      </c>
      <c r="AM175" s="116" t="e">
        <f>-SUMIF(#REF!,$A175,#REF!)</f>
        <v>#REF!</v>
      </c>
      <c r="AN175" s="116" t="e">
        <f>-SUMIF(#REF!,$A175,#REF!)</f>
        <v>#REF!</v>
      </c>
      <c r="AO175" s="116" t="e">
        <f>-SUMIF(#REF!,$A175,#REF!)</f>
        <v>#REF!</v>
      </c>
    </row>
    <row r="176" spans="1:42" ht="7.9" customHeight="1" x14ac:dyDescent="0.25"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</row>
    <row r="177" spans="1:42" x14ac:dyDescent="0.25">
      <c r="A177" s="99"/>
      <c r="C177" s="118" t="e">
        <f t="shared" ref="C177:N177" si="187">SUM(C174:C176)</f>
        <v>#REF!</v>
      </c>
      <c r="D177" s="118" t="e">
        <f t="shared" si="187"/>
        <v>#REF!</v>
      </c>
      <c r="E177" s="118" t="e">
        <f t="shared" si="187"/>
        <v>#REF!</v>
      </c>
      <c r="F177" s="118" t="e">
        <f t="shared" si="187"/>
        <v>#REF!</v>
      </c>
      <c r="G177" s="118" t="e">
        <f t="shared" si="187"/>
        <v>#REF!</v>
      </c>
      <c r="H177" s="118" t="e">
        <f t="shared" si="187"/>
        <v>#REF!</v>
      </c>
      <c r="I177" s="118" t="e">
        <f t="shared" si="187"/>
        <v>#REF!</v>
      </c>
      <c r="J177" s="118" t="e">
        <f t="shared" si="187"/>
        <v>#REF!</v>
      </c>
      <c r="K177" s="118" t="e">
        <f t="shared" si="187"/>
        <v>#REF!</v>
      </c>
      <c r="L177" s="118" t="e">
        <f t="shared" si="187"/>
        <v>#REF!</v>
      </c>
      <c r="M177" s="118" t="e">
        <f t="shared" si="187"/>
        <v>#REF!</v>
      </c>
      <c r="N177" s="118">
        <f t="shared" si="187"/>
        <v>0</v>
      </c>
      <c r="Q177" s="118" t="e">
        <f>SUM(Q174:Q176)</f>
        <v>#REF!</v>
      </c>
      <c r="R177" s="118">
        <f t="shared" ref="R177:AB177" si="188">SUM(R174:R176)</f>
        <v>0</v>
      </c>
      <c r="S177" s="118">
        <f t="shared" si="188"/>
        <v>0</v>
      </c>
      <c r="T177" s="118">
        <f t="shared" si="188"/>
        <v>0</v>
      </c>
      <c r="U177" s="118">
        <f t="shared" si="188"/>
        <v>0</v>
      </c>
      <c r="V177" s="118">
        <f t="shared" si="188"/>
        <v>4000000</v>
      </c>
      <c r="W177" s="118">
        <f t="shared" si="188"/>
        <v>4120000</v>
      </c>
      <c r="X177" s="118">
        <f t="shared" si="188"/>
        <v>4214760</v>
      </c>
      <c r="Y177" s="118">
        <f t="shared" si="188"/>
        <v>4329893.1940000001</v>
      </c>
      <c r="Z177" s="118">
        <f t="shared" si="188"/>
        <v>4426579.7149999999</v>
      </c>
      <c r="AA177" s="118">
        <f t="shared" si="188"/>
        <v>4698371.7089999998</v>
      </c>
      <c r="AB177" s="118">
        <f t="shared" si="188"/>
        <v>0</v>
      </c>
      <c r="AE177" s="118" t="e">
        <f>SUM(AE174:AE176)</f>
        <v>#REF!</v>
      </c>
      <c r="AF177" s="118" t="e">
        <f t="shared" ref="AF177:AO177" si="189">SUM(AF174:AF176)</f>
        <v>#REF!</v>
      </c>
      <c r="AG177" s="118" t="e">
        <f t="shared" si="189"/>
        <v>#REF!</v>
      </c>
      <c r="AH177" s="118" t="e">
        <f t="shared" si="189"/>
        <v>#REF!</v>
      </c>
      <c r="AI177" s="118" t="e">
        <f t="shared" si="189"/>
        <v>#REF!</v>
      </c>
      <c r="AJ177" s="118" t="e">
        <f t="shared" si="189"/>
        <v>#REF!</v>
      </c>
      <c r="AK177" s="118" t="e">
        <f t="shared" si="189"/>
        <v>#REF!</v>
      </c>
      <c r="AL177" s="118" t="e">
        <f t="shared" si="189"/>
        <v>#REF!</v>
      </c>
      <c r="AM177" s="118" t="e">
        <f t="shared" si="189"/>
        <v>#REF!</v>
      </c>
      <c r="AN177" s="118" t="e">
        <f t="shared" si="189"/>
        <v>#REF!</v>
      </c>
      <c r="AO177" s="118" t="e">
        <f t="shared" si="189"/>
        <v>#REF!</v>
      </c>
    </row>
    <row r="178" spans="1:42" x14ac:dyDescent="0.25">
      <c r="A178" s="99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</row>
    <row r="179" spans="1:42" hidden="1" x14ac:dyDescent="0.25">
      <c r="A179" s="99" t="s">
        <v>561</v>
      </c>
    </row>
    <row r="180" spans="1:42" hidden="1" x14ac:dyDescent="0.25">
      <c r="A180" s="101">
        <v>410001</v>
      </c>
      <c r="B180" t="s">
        <v>110</v>
      </c>
      <c r="C180" s="116" t="e">
        <f t="shared" ref="C180:N186" si="190">Q180+AE180</f>
        <v>#REF!</v>
      </c>
      <c r="D180" s="116" t="e">
        <f t="shared" si="190"/>
        <v>#REF!</v>
      </c>
      <c r="E180" s="116" t="e">
        <f t="shared" si="190"/>
        <v>#REF!</v>
      </c>
      <c r="F180" s="116" t="e">
        <f t="shared" si="190"/>
        <v>#REF!</v>
      </c>
      <c r="G180" s="116" t="e">
        <f t="shared" si="190"/>
        <v>#REF!</v>
      </c>
      <c r="H180" s="116" t="e">
        <f t="shared" si="190"/>
        <v>#REF!</v>
      </c>
      <c r="I180" s="116" t="e">
        <f t="shared" si="190"/>
        <v>#REF!</v>
      </c>
      <c r="J180" s="116" t="e">
        <f t="shared" si="190"/>
        <v>#REF!</v>
      </c>
      <c r="K180" s="116" t="e">
        <f t="shared" si="190"/>
        <v>#REF!</v>
      </c>
      <c r="L180" s="116" t="e">
        <f t="shared" si="190"/>
        <v>#REF!</v>
      </c>
      <c r="M180" s="116" t="e">
        <f t="shared" si="190"/>
        <v>#REF!</v>
      </c>
      <c r="N180" s="116" t="e">
        <f t="shared" si="190"/>
        <v>#REF!</v>
      </c>
      <c r="Q180" s="116" t="e">
        <f>-SUMIF(#REF!,$A180,#REF!)</f>
        <v>#REF!</v>
      </c>
      <c r="R180" s="116">
        <f>-SUMIF(ALIF_Y2014!$A:$A,$A180,ALIF_Y2014!$F:$F)</f>
        <v>138694271.65186799</v>
      </c>
      <c r="S180" s="116">
        <f>-SUMIF(ALIF_Y2015!$A:$A,$A180,ALIF_Y2015!$F:$F)</f>
        <v>109880263.3243669</v>
      </c>
      <c r="T180" s="116">
        <f>-SUMIF(ALIF_Y2016!$A:$A,$A180,ALIF_Y2016!$F:$F)</f>
        <v>88089958.155328989</v>
      </c>
      <c r="U180" s="116">
        <f>-SUMIF(ALIF_Y2017!$A:$A,$A180,ALIF_Y2017!$F:$F)</f>
        <v>93677879.411868006</v>
      </c>
      <c r="V180" s="116">
        <f>-SUMIF(ALIF_Y2018!$A:$A,$A180,ALIF_Y2018!$F:$F)</f>
        <v>107826419.45039001</v>
      </c>
      <c r="W180" s="116">
        <f>-SUMIF(ALIF_Y2019!$A:$A,$A180,ALIF_Y2019!$F:$F)</f>
        <v>146951657.34141198</v>
      </c>
      <c r="X180" s="116">
        <f>-SUMIF(ALIF_Y2020!$A:$A,$A180,ALIF_Y2020!$F:$F)</f>
        <v>126986507.64854398</v>
      </c>
      <c r="Y180" s="116">
        <f>-SUMIF(ALIF_Y2021!$A:$A,$A180,ALIF_Y2021!$F:$F)</f>
        <v>182178130.77999899</v>
      </c>
      <c r="Z180" s="116">
        <f>-SUMIF(ALIF_Y2022!$A:$A,$A180,ALIF_Y2022!$F:$F)</f>
        <v>221605750.687417</v>
      </c>
      <c r="AA180" s="116">
        <f>-SUMIF(ALIF_Y2023!$A:$A,$A180,ALIF_Y2023!$F:$F)</f>
        <v>104691191.84482999</v>
      </c>
      <c r="AE180" s="116" t="e">
        <f>-SUMIF(#REF!,$A180,#REF!)</f>
        <v>#REF!</v>
      </c>
      <c r="AF180" s="116" t="e">
        <f>-SUMIF(#REF!,$A180,#REF!)</f>
        <v>#REF!</v>
      </c>
      <c r="AG180" s="116" t="e">
        <f>-SUMIF(#REF!,$A180,#REF!)</f>
        <v>#REF!</v>
      </c>
      <c r="AH180" s="116" t="e">
        <f>-SUMIF(#REF!,$A180,#REF!)</f>
        <v>#REF!</v>
      </c>
      <c r="AI180" s="116" t="e">
        <f>-SUMIF(#REF!,$A180,#REF!)</f>
        <v>#REF!</v>
      </c>
      <c r="AJ180" s="116" t="e">
        <f>-SUMIF(#REF!,$A180,#REF!)</f>
        <v>#REF!</v>
      </c>
      <c r="AK180" s="116" t="e">
        <f>-SUMIF(#REF!,$A180,#REF!)</f>
        <v>#REF!</v>
      </c>
      <c r="AL180" s="116" t="e">
        <f>-SUMIF(#REF!,$A180,#REF!)</f>
        <v>#REF!</v>
      </c>
      <c r="AM180" s="116" t="e">
        <f>-SUMIF(#REF!,$A180,#REF!)</f>
        <v>#REF!</v>
      </c>
      <c r="AN180" s="116" t="e">
        <f>-SUMIF(#REF!,$A180,#REF!)</f>
        <v>#REF!</v>
      </c>
      <c r="AO180" s="116" t="e">
        <f>-SUMIF(#REF!,$A180,#REF!)</f>
        <v>#REF!</v>
      </c>
      <c r="AP180" s="116" t="e">
        <f>-SUMIF(#REF!,$A180,#REF!)</f>
        <v>#REF!</v>
      </c>
    </row>
    <row r="181" spans="1:42" hidden="1" x14ac:dyDescent="0.25">
      <c r="A181" s="101">
        <v>410002</v>
      </c>
      <c r="B181" t="s">
        <v>111</v>
      </c>
      <c r="C181" s="116" t="e">
        <f t="shared" si="190"/>
        <v>#REF!</v>
      </c>
      <c r="D181" s="116" t="e">
        <f t="shared" si="190"/>
        <v>#REF!</v>
      </c>
      <c r="E181" s="116" t="e">
        <f t="shared" si="190"/>
        <v>#REF!</v>
      </c>
      <c r="F181" s="116" t="e">
        <f t="shared" si="190"/>
        <v>#REF!</v>
      </c>
      <c r="G181" s="116" t="e">
        <f t="shared" si="190"/>
        <v>#REF!</v>
      </c>
      <c r="H181" s="116" t="e">
        <f t="shared" si="190"/>
        <v>#REF!</v>
      </c>
      <c r="I181" s="116" t="e">
        <f t="shared" si="190"/>
        <v>#REF!</v>
      </c>
      <c r="J181" s="116" t="e">
        <f t="shared" si="190"/>
        <v>#REF!</v>
      </c>
      <c r="K181" s="116" t="e">
        <f t="shared" si="190"/>
        <v>#REF!</v>
      </c>
      <c r="L181" s="116" t="e">
        <f t="shared" si="190"/>
        <v>#REF!</v>
      </c>
      <c r="M181" s="116" t="e">
        <f t="shared" si="190"/>
        <v>#REF!</v>
      </c>
      <c r="N181" s="116" t="e">
        <f t="shared" si="190"/>
        <v>#REF!</v>
      </c>
      <c r="Q181" s="116" t="e">
        <f>-SUMIF(#REF!,$A181,#REF!)</f>
        <v>#REF!</v>
      </c>
      <c r="R181" s="116">
        <f>-SUMIF(ALIF_Y2014!$A:$A,$A181,ALIF_Y2014!$F:$F)</f>
        <v>-4887005.6909999996</v>
      </c>
      <c r="S181" s="116">
        <f>-SUMIF(ALIF_Y2015!$A:$A,$A181,ALIF_Y2015!$F:$F)</f>
        <v>-415859.38699999999</v>
      </c>
      <c r="T181" s="116">
        <f>-SUMIF(ALIF_Y2016!$A:$A,$A181,ALIF_Y2016!$F:$F)</f>
        <v>-339466.36499999999</v>
      </c>
      <c r="U181" s="116">
        <f>-SUMIF(ALIF_Y2017!$A:$A,$A181,ALIF_Y2017!$F:$F)</f>
        <v>-562971.18000000005</v>
      </c>
      <c r="V181" s="116">
        <f>-SUMIF(ALIF_Y2018!$A:$A,$A181,ALIF_Y2018!$F:$F)</f>
        <v>-376159.14799999999</v>
      </c>
      <c r="W181" s="116">
        <f>-SUMIF(ALIF_Y2019!$A:$A,$A181,ALIF_Y2019!$F:$F)</f>
        <v>-806316.79099999997</v>
      </c>
      <c r="X181" s="116">
        <f>-SUMIF(ALIF_Y2020!$A:$A,$A181,ALIF_Y2020!$F:$F)</f>
        <v>-362210.75099999999</v>
      </c>
      <c r="Y181" s="116">
        <f>-SUMIF(ALIF_Y2021!$A:$A,$A181,ALIF_Y2021!$F:$F)</f>
        <v>-815298.13600000006</v>
      </c>
      <c r="Z181" s="116">
        <f>-SUMIF(ALIF_Y2022!$A:$A,$A181,ALIF_Y2022!$F:$F)</f>
        <v>-957497.96</v>
      </c>
      <c r="AA181" s="116">
        <f>-SUMIF(ALIF_Y2023!$A:$A,$A181,ALIF_Y2023!$F:$F)</f>
        <v>-1079316.101</v>
      </c>
      <c r="AE181" s="116" t="e">
        <f>-SUMIF(#REF!,$A181,#REF!)</f>
        <v>#REF!</v>
      </c>
      <c r="AF181" s="116" t="e">
        <f>-SUMIF(#REF!,$A181,#REF!)</f>
        <v>#REF!</v>
      </c>
      <c r="AG181" s="116" t="e">
        <f>-SUMIF(#REF!,$A181,#REF!)</f>
        <v>#REF!</v>
      </c>
      <c r="AH181" s="116" t="e">
        <f>-SUMIF(#REF!,$A181,#REF!)</f>
        <v>#REF!</v>
      </c>
      <c r="AI181" s="116" t="e">
        <f>-SUMIF(#REF!,$A181,#REF!)</f>
        <v>#REF!</v>
      </c>
      <c r="AJ181" s="116" t="e">
        <f>-SUMIF(#REF!,$A181,#REF!)</f>
        <v>#REF!</v>
      </c>
      <c r="AK181" s="116" t="e">
        <f>-SUMIF(#REF!,$A181,#REF!)</f>
        <v>#REF!</v>
      </c>
      <c r="AL181" s="116" t="e">
        <f>-SUMIF(#REF!,$A181,#REF!)</f>
        <v>#REF!</v>
      </c>
      <c r="AM181" s="116" t="e">
        <f>-SUMIF(#REF!,$A181,#REF!)</f>
        <v>#REF!</v>
      </c>
      <c r="AN181" s="116" t="e">
        <f>-SUMIF(#REF!,$A181,#REF!)</f>
        <v>#REF!</v>
      </c>
      <c r="AO181" s="116" t="e">
        <f>-SUMIF(#REF!,$A181,#REF!)</f>
        <v>#REF!</v>
      </c>
      <c r="AP181" s="116" t="e">
        <f>-SUMIF(#REF!,$A181,#REF!)</f>
        <v>#REF!</v>
      </c>
    </row>
    <row r="182" spans="1:42" hidden="1" x14ac:dyDescent="0.25">
      <c r="A182" s="101">
        <v>410003</v>
      </c>
      <c r="B182" t="s">
        <v>112</v>
      </c>
      <c r="C182" s="116" t="e">
        <f t="shared" si="190"/>
        <v>#REF!</v>
      </c>
      <c r="D182" s="116" t="e">
        <f t="shared" si="190"/>
        <v>#REF!</v>
      </c>
      <c r="E182" s="116" t="e">
        <f t="shared" si="190"/>
        <v>#REF!</v>
      </c>
      <c r="F182" s="116" t="e">
        <f t="shared" si="190"/>
        <v>#REF!</v>
      </c>
      <c r="G182" s="116" t="e">
        <f t="shared" si="190"/>
        <v>#REF!</v>
      </c>
      <c r="H182" s="116" t="e">
        <f t="shared" si="190"/>
        <v>#REF!</v>
      </c>
      <c r="I182" s="116" t="e">
        <f t="shared" si="190"/>
        <v>#REF!</v>
      </c>
      <c r="J182" s="116" t="e">
        <f t="shared" si="190"/>
        <v>#REF!</v>
      </c>
      <c r="K182" s="116" t="e">
        <f t="shared" si="190"/>
        <v>#REF!</v>
      </c>
      <c r="L182" s="116" t="e">
        <f t="shared" si="190"/>
        <v>#REF!</v>
      </c>
      <c r="M182" s="116" t="e">
        <f t="shared" si="190"/>
        <v>#REF!</v>
      </c>
      <c r="N182" s="116" t="e">
        <f t="shared" si="190"/>
        <v>#REF!</v>
      </c>
      <c r="Q182" s="116" t="e">
        <f>-SUMIF(#REF!,$A182,#REF!)</f>
        <v>#REF!</v>
      </c>
      <c r="R182" s="116">
        <f>-SUMIF(ALIF_Y2014!$A:$A,$A182,ALIF_Y2014!$F:$F)</f>
        <v>-94883.404999999999</v>
      </c>
      <c r="S182" s="116">
        <f>-SUMIF(ALIF_Y2015!$A:$A,$A182,ALIF_Y2015!$F:$F)</f>
        <v>-20246.399000000001</v>
      </c>
      <c r="T182" s="116">
        <f>-SUMIF(ALIF_Y2016!$A:$A,$A182,ALIF_Y2016!$F:$F)</f>
        <v>-45495.544999999998</v>
      </c>
      <c r="U182" s="116">
        <f>-SUMIF(ALIF_Y2017!$A:$A,$A182,ALIF_Y2017!$F:$F)</f>
        <v>-36303.033000000003</v>
      </c>
      <c r="V182" s="116">
        <f>-SUMIF(ALIF_Y2018!$A:$A,$A182,ALIF_Y2018!$F:$F)</f>
        <v>-40234.758999999998</v>
      </c>
      <c r="W182" s="116">
        <f>-SUMIF(ALIF_Y2019!$A:$A,$A182,ALIF_Y2019!$F:$F)</f>
        <v>-63590.362999999998</v>
      </c>
      <c r="X182" s="116">
        <f>-SUMIF(ALIF_Y2020!$A:$A,$A182,ALIF_Y2020!$F:$F)</f>
        <v>-21462.884999999998</v>
      </c>
      <c r="Y182" s="116">
        <f>-SUMIF(ALIF_Y2021!$A:$A,$A182,ALIF_Y2021!$F:$F)</f>
        <v>-23474.695</v>
      </c>
      <c r="Z182" s="116">
        <f>-SUMIF(ALIF_Y2022!$A:$A,$A182,ALIF_Y2022!$F:$F)</f>
        <v>-1127.25</v>
      </c>
      <c r="AA182" s="116">
        <f>-SUMIF(ALIF_Y2023!$A:$A,$A182,ALIF_Y2023!$F:$F)</f>
        <v>-1702.06</v>
      </c>
      <c r="AE182" s="116" t="e">
        <f>-SUMIF(#REF!,$A182,#REF!)</f>
        <v>#REF!</v>
      </c>
      <c r="AF182" s="116" t="e">
        <f>-SUMIF(#REF!,$A182,#REF!)</f>
        <v>#REF!</v>
      </c>
      <c r="AG182" s="116" t="e">
        <f>-SUMIF(#REF!,$A182,#REF!)</f>
        <v>#REF!</v>
      </c>
      <c r="AH182" s="116" t="e">
        <f>-SUMIF(#REF!,$A182,#REF!)</f>
        <v>#REF!</v>
      </c>
      <c r="AI182" s="116" t="e">
        <f>-SUMIF(#REF!,$A182,#REF!)</f>
        <v>#REF!</v>
      </c>
      <c r="AJ182" s="116" t="e">
        <f>-SUMIF(#REF!,$A182,#REF!)</f>
        <v>#REF!</v>
      </c>
      <c r="AK182" s="116" t="e">
        <f>-SUMIF(#REF!,$A182,#REF!)</f>
        <v>#REF!</v>
      </c>
      <c r="AL182" s="116" t="e">
        <f>-SUMIF(#REF!,$A182,#REF!)</f>
        <v>#REF!</v>
      </c>
      <c r="AM182" s="116" t="e">
        <f>-SUMIF(#REF!,$A182,#REF!)</f>
        <v>#REF!</v>
      </c>
      <c r="AN182" s="116" t="e">
        <f>-SUMIF(#REF!,$A182,#REF!)</f>
        <v>#REF!</v>
      </c>
      <c r="AO182" s="116" t="e">
        <f>-SUMIF(#REF!,$A182,#REF!)</f>
        <v>#REF!</v>
      </c>
      <c r="AP182" s="116" t="e">
        <f>-SUMIF(#REF!,$A182,#REF!)</f>
        <v>#REF!</v>
      </c>
    </row>
    <row r="183" spans="1:42" hidden="1" x14ac:dyDescent="0.25">
      <c r="A183" s="101">
        <v>410004</v>
      </c>
      <c r="B183" t="s">
        <v>113</v>
      </c>
      <c r="C183" s="116" t="e">
        <f t="shared" si="190"/>
        <v>#REF!</v>
      </c>
      <c r="D183" s="116" t="e">
        <f t="shared" si="190"/>
        <v>#REF!</v>
      </c>
      <c r="E183" s="116" t="e">
        <f t="shared" si="190"/>
        <v>#REF!</v>
      </c>
      <c r="F183" s="116" t="e">
        <f t="shared" si="190"/>
        <v>#REF!</v>
      </c>
      <c r="G183" s="116" t="e">
        <f t="shared" si="190"/>
        <v>#REF!</v>
      </c>
      <c r="H183" s="116" t="e">
        <f t="shared" si="190"/>
        <v>#REF!</v>
      </c>
      <c r="I183" s="116" t="e">
        <f t="shared" si="190"/>
        <v>#REF!</v>
      </c>
      <c r="J183" s="116" t="e">
        <f t="shared" si="190"/>
        <v>#REF!</v>
      </c>
      <c r="K183" s="116" t="e">
        <f t="shared" si="190"/>
        <v>#REF!</v>
      </c>
      <c r="L183" s="116" t="e">
        <f t="shared" si="190"/>
        <v>#REF!</v>
      </c>
      <c r="M183" s="116" t="e">
        <f t="shared" si="190"/>
        <v>#REF!</v>
      </c>
      <c r="N183" s="116" t="e">
        <f t="shared" si="190"/>
        <v>#REF!</v>
      </c>
      <c r="Q183" s="116" t="e">
        <f>-SUMIF(#REF!,$A183,#REF!)</f>
        <v>#REF!</v>
      </c>
      <c r="R183" s="116">
        <f>-SUMIF(ALIF_Y2014!$A:$A,$A183,ALIF_Y2014!$F:$F)</f>
        <v>263041.3</v>
      </c>
      <c r="S183" s="116">
        <f>-SUMIF(ALIF_Y2015!$A:$A,$A183,ALIF_Y2015!$F:$F)</f>
        <v>0</v>
      </c>
      <c r="T183" s="116">
        <f>-SUMIF(ALIF_Y2016!$A:$A,$A183,ALIF_Y2016!$F:$F)</f>
        <v>-15329.73</v>
      </c>
      <c r="U183" s="116">
        <f>-SUMIF(ALIF_Y2017!$A:$A,$A183,ALIF_Y2017!$F:$F)</f>
        <v>0</v>
      </c>
      <c r="V183" s="116">
        <f>-SUMIF(ALIF_Y2018!$A:$A,$A183,ALIF_Y2018!$F:$F)</f>
        <v>0</v>
      </c>
      <c r="W183" s="116">
        <f>-SUMIF(ALIF_Y2019!$A:$A,$A183,ALIF_Y2019!$F:$F)</f>
        <v>0</v>
      </c>
      <c r="X183" s="116">
        <f>-SUMIF(ALIF_Y2020!$A:$A,$A183,ALIF_Y2020!$F:$F)</f>
        <v>0</v>
      </c>
      <c r="Y183" s="116">
        <f>-SUMIF(ALIF_Y2021!$A:$A,$A183,ALIF_Y2021!$F:$F)</f>
        <v>1268181.379</v>
      </c>
      <c r="Z183" s="116">
        <f>-SUMIF(ALIF_Y2022!$A:$A,$A183,ALIF_Y2022!$F:$F)</f>
        <v>1317629.5530000001</v>
      </c>
      <c r="AA183" s="116">
        <f>-SUMIF(ALIF_Y2023!$A:$A,$A183,ALIF_Y2023!$F:$F)</f>
        <v>590338.68200000003</v>
      </c>
      <c r="AE183" s="116" t="e">
        <f>-SUMIF(#REF!,$A183,#REF!)</f>
        <v>#REF!</v>
      </c>
      <c r="AF183" s="116" t="e">
        <f>-SUMIF(#REF!,$A183,#REF!)</f>
        <v>#REF!</v>
      </c>
      <c r="AG183" s="116" t="e">
        <f>-SUMIF(#REF!,$A183,#REF!)</f>
        <v>#REF!</v>
      </c>
      <c r="AH183" s="116" t="e">
        <f>-SUMIF(#REF!,$A183,#REF!)</f>
        <v>#REF!</v>
      </c>
      <c r="AI183" s="116" t="e">
        <f>-SUMIF(#REF!,$A183,#REF!)</f>
        <v>#REF!</v>
      </c>
      <c r="AJ183" s="116" t="e">
        <f>-SUMIF(#REF!,$A183,#REF!)</f>
        <v>#REF!</v>
      </c>
      <c r="AK183" s="116" t="e">
        <f>-SUMIF(#REF!,$A183,#REF!)</f>
        <v>#REF!</v>
      </c>
      <c r="AL183" s="116" t="e">
        <f>-SUMIF(#REF!,$A183,#REF!)</f>
        <v>#REF!</v>
      </c>
      <c r="AM183" s="116" t="e">
        <f>-SUMIF(#REF!,$A183,#REF!)</f>
        <v>#REF!</v>
      </c>
      <c r="AN183" s="116" t="e">
        <f>-SUMIF(#REF!,$A183,#REF!)</f>
        <v>#REF!</v>
      </c>
      <c r="AO183" s="116" t="e">
        <f>-SUMIF(#REF!,$A183,#REF!)</f>
        <v>#REF!</v>
      </c>
      <c r="AP183" s="116" t="e">
        <f>-SUMIF(#REF!,$A183,#REF!)</f>
        <v>#REF!</v>
      </c>
    </row>
    <row r="184" spans="1:42" hidden="1" x14ac:dyDescent="0.25">
      <c r="A184" s="101">
        <v>420001</v>
      </c>
      <c r="B184" t="s">
        <v>114</v>
      </c>
      <c r="C184" s="116" t="e">
        <f t="shared" si="190"/>
        <v>#REF!</v>
      </c>
      <c r="D184" s="116" t="e">
        <f t="shared" si="190"/>
        <v>#REF!</v>
      </c>
      <c r="E184" s="116" t="e">
        <f t="shared" si="190"/>
        <v>#REF!</v>
      </c>
      <c r="F184" s="116" t="e">
        <f t="shared" si="190"/>
        <v>#REF!</v>
      </c>
      <c r="G184" s="116" t="e">
        <f t="shared" si="190"/>
        <v>#REF!</v>
      </c>
      <c r="H184" s="116" t="e">
        <f t="shared" si="190"/>
        <v>#REF!</v>
      </c>
      <c r="I184" s="116" t="e">
        <f t="shared" si="190"/>
        <v>#REF!</v>
      </c>
      <c r="J184" s="116" t="e">
        <f t="shared" si="190"/>
        <v>#REF!</v>
      </c>
      <c r="K184" s="116" t="e">
        <f t="shared" si="190"/>
        <v>#REF!</v>
      </c>
      <c r="L184" s="116" t="e">
        <f t="shared" si="190"/>
        <v>#REF!</v>
      </c>
      <c r="M184" s="116" t="e">
        <f t="shared" si="190"/>
        <v>#REF!</v>
      </c>
      <c r="N184" s="116" t="e">
        <f t="shared" si="190"/>
        <v>#REF!</v>
      </c>
      <c r="Q184" s="116" t="e">
        <f>-SUMIF(#REF!,$A184,#REF!)</f>
        <v>#REF!</v>
      </c>
      <c r="R184" s="116">
        <f>-SUMIF(ALIF_Y2014!$A:$A,$A184,ALIF_Y2014!$F:$F)</f>
        <v>0</v>
      </c>
      <c r="S184" s="116">
        <f>-SUMIF(ALIF_Y2015!$A:$A,$A184,ALIF_Y2015!$F:$F)</f>
        <v>0</v>
      </c>
      <c r="T184" s="116">
        <f>-SUMIF(ALIF_Y2016!$A:$A,$A184,ALIF_Y2016!$F:$F)</f>
        <v>0</v>
      </c>
      <c r="U184" s="116">
        <f>-SUMIF(ALIF_Y2017!$A:$A,$A184,ALIF_Y2017!$F:$F)</f>
        <v>0</v>
      </c>
      <c r="V184" s="116">
        <f>-SUMIF(ALIF_Y2018!$A:$A,$A184,ALIF_Y2018!$F:$F)</f>
        <v>0</v>
      </c>
      <c r="W184" s="116">
        <f>-SUMIF(ALIF_Y2019!$A:$A,$A184,ALIF_Y2019!$F:$F)</f>
        <v>0</v>
      </c>
      <c r="X184" s="116">
        <f>-SUMIF(ALIF_Y2020!$A:$A,$A184,ALIF_Y2020!$F:$F)</f>
        <v>0</v>
      </c>
      <c r="Y184" s="116">
        <f>-SUMIF(ALIF_Y2021!$A:$A,$A184,ALIF_Y2021!$F:$F)</f>
        <v>11208</v>
      </c>
      <c r="Z184" s="116">
        <f>-SUMIF(ALIF_Y2022!$A:$A,$A184,ALIF_Y2022!$F:$F)</f>
        <v>0</v>
      </c>
      <c r="AA184" s="116">
        <f>-SUMIF(ALIF_Y2023!$A:$A,$A184,ALIF_Y2023!$F:$F)</f>
        <v>0</v>
      </c>
      <c r="AE184" s="116" t="e">
        <f>-SUMIF(#REF!,$A184,#REF!)</f>
        <v>#REF!</v>
      </c>
      <c r="AF184" s="116" t="e">
        <f>-SUMIF(#REF!,$A184,#REF!)</f>
        <v>#REF!</v>
      </c>
      <c r="AG184" s="116" t="e">
        <f>-SUMIF(#REF!,$A184,#REF!)</f>
        <v>#REF!</v>
      </c>
      <c r="AH184" s="116" t="e">
        <f>-SUMIF(#REF!,$A184,#REF!)</f>
        <v>#REF!</v>
      </c>
      <c r="AI184" s="116" t="e">
        <f>-SUMIF(#REF!,$A184,#REF!)</f>
        <v>#REF!</v>
      </c>
      <c r="AJ184" s="116" t="e">
        <f>-SUMIF(#REF!,$A184,#REF!)</f>
        <v>#REF!</v>
      </c>
      <c r="AK184" s="116" t="e">
        <f>-SUMIF(#REF!,$A184,#REF!)</f>
        <v>#REF!</v>
      </c>
      <c r="AL184" s="116" t="e">
        <f>-SUMIF(#REF!,$A184,#REF!)</f>
        <v>#REF!</v>
      </c>
      <c r="AM184" s="116" t="e">
        <f>-SUMIF(#REF!,$A184,#REF!)</f>
        <v>#REF!</v>
      </c>
      <c r="AN184" s="116" t="e">
        <f>-SUMIF(#REF!,$A184,#REF!)</f>
        <v>#REF!</v>
      </c>
      <c r="AO184" s="116" t="e">
        <f>-SUMIF(#REF!,$A184,#REF!)</f>
        <v>#REF!</v>
      </c>
      <c r="AP184" s="116" t="e">
        <f>-SUMIF(#REF!,$A184,#REF!)</f>
        <v>#REF!</v>
      </c>
    </row>
    <row r="185" spans="1:42" hidden="1" x14ac:dyDescent="0.25">
      <c r="A185" s="101">
        <v>420002</v>
      </c>
      <c r="B185" t="s">
        <v>251</v>
      </c>
      <c r="C185" s="116" t="e">
        <f t="shared" si="190"/>
        <v>#REF!</v>
      </c>
      <c r="D185" s="116" t="e">
        <f t="shared" si="190"/>
        <v>#REF!</v>
      </c>
      <c r="E185" s="116" t="e">
        <f t="shared" si="190"/>
        <v>#REF!</v>
      </c>
      <c r="F185" s="116" t="e">
        <f t="shared" si="190"/>
        <v>#REF!</v>
      </c>
      <c r="G185" s="116" t="e">
        <f t="shared" si="190"/>
        <v>#REF!</v>
      </c>
      <c r="H185" s="116" t="e">
        <f t="shared" si="190"/>
        <v>#REF!</v>
      </c>
      <c r="I185" s="116" t="e">
        <f t="shared" si="190"/>
        <v>#REF!</v>
      </c>
      <c r="J185" s="116" t="e">
        <f t="shared" si="190"/>
        <v>#REF!</v>
      </c>
      <c r="K185" s="116" t="e">
        <f t="shared" si="190"/>
        <v>#REF!</v>
      </c>
      <c r="L185" s="116" t="e">
        <f t="shared" si="190"/>
        <v>#REF!</v>
      </c>
      <c r="M185" s="116" t="e">
        <f t="shared" si="190"/>
        <v>#REF!</v>
      </c>
      <c r="N185" s="116" t="e">
        <f t="shared" si="190"/>
        <v>#REF!</v>
      </c>
      <c r="Q185" s="116" t="e">
        <f>-SUMIF(#REF!,$A185,#REF!)</f>
        <v>#REF!</v>
      </c>
      <c r="R185" s="116">
        <f>-SUMIF(ALIF_Y2014!$A:$A,$A185,ALIF_Y2014!$F:$F)</f>
        <v>0</v>
      </c>
      <c r="S185" s="116">
        <f>-SUMIF(ALIF_Y2015!$A:$A,$A185,ALIF_Y2015!$F:$F)</f>
        <v>0</v>
      </c>
      <c r="T185" s="116">
        <f>-SUMIF(ALIF_Y2016!$A:$A,$A185,ALIF_Y2016!$F:$F)</f>
        <v>0</v>
      </c>
      <c r="U185" s="116">
        <f>-SUMIF(ALIF_Y2017!$A:$A,$A185,ALIF_Y2017!$F:$F)</f>
        <v>0</v>
      </c>
      <c r="V185" s="116">
        <f>-SUMIF(ALIF_Y2018!$A:$A,$A185,ALIF_Y2018!$F:$F)</f>
        <v>0</v>
      </c>
      <c r="W185" s="116">
        <f>-SUMIF(ALIF_Y2019!$A:$A,$A185,ALIF_Y2019!$F:$F)</f>
        <v>0</v>
      </c>
      <c r="X185" s="116">
        <f>-SUMIF(ALIF_Y2020!$A:$A,$A185,ALIF_Y2020!$F:$F)</f>
        <v>0</v>
      </c>
      <c r="Y185" s="116">
        <f>-SUMIF(ALIF_Y2021!$A:$A,$A185,ALIF_Y2021!$F:$F)</f>
        <v>0</v>
      </c>
      <c r="Z185" s="116">
        <f>-SUMIF(ALIF_Y2022!$A:$A,$A185,ALIF_Y2022!$F:$F)</f>
        <v>0</v>
      </c>
      <c r="AA185" s="116">
        <f>-SUMIF(ALIF_Y2023!$A:$A,$A185,ALIF_Y2023!$F:$F)</f>
        <v>0</v>
      </c>
      <c r="AE185" s="116" t="e">
        <f>-SUMIF(#REF!,$A185,#REF!)</f>
        <v>#REF!</v>
      </c>
      <c r="AF185" s="116" t="e">
        <f>-SUMIF(#REF!,$A185,#REF!)</f>
        <v>#REF!</v>
      </c>
      <c r="AG185" s="116" t="e">
        <f>-SUMIF(#REF!,$A185,#REF!)</f>
        <v>#REF!</v>
      </c>
      <c r="AH185" s="116" t="e">
        <f>-SUMIF(#REF!,$A185,#REF!)</f>
        <v>#REF!</v>
      </c>
      <c r="AI185" s="116" t="e">
        <f>-SUMIF(#REF!,$A185,#REF!)</f>
        <v>#REF!</v>
      </c>
      <c r="AJ185" s="116" t="e">
        <f>-SUMIF(#REF!,$A185,#REF!)</f>
        <v>#REF!</v>
      </c>
      <c r="AK185" s="116" t="e">
        <f>-SUMIF(#REF!,$A185,#REF!)</f>
        <v>#REF!</v>
      </c>
      <c r="AL185" s="116" t="e">
        <f>-SUMIF(#REF!,$A185,#REF!)</f>
        <v>#REF!</v>
      </c>
      <c r="AM185" s="116" t="e">
        <f>-SUMIF(#REF!,$A185,#REF!)</f>
        <v>#REF!</v>
      </c>
      <c r="AN185" s="116" t="e">
        <f>-SUMIF(#REF!,$A185,#REF!)</f>
        <v>#REF!</v>
      </c>
      <c r="AO185" s="116" t="e">
        <f>-SUMIF(#REF!,$A185,#REF!)</f>
        <v>#REF!</v>
      </c>
      <c r="AP185" s="116" t="e">
        <f>-SUMIF(#REF!,$A185,#REF!)</f>
        <v>#REF!</v>
      </c>
    </row>
    <row r="186" spans="1:42" hidden="1" x14ac:dyDescent="0.25">
      <c r="A186" s="101">
        <v>420003</v>
      </c>
      <c r="B186" t="s">
        <v>115</v>
      </c>
      <c r="C186" s="116" t="e">
        <f t="shared" si="190"/>
        <v>#REF!</v>
      </c>
      <c r="D186" s="116" t="e">
        <f t="shared" si="190"/>
        <v>#REF!</v>
      </c>
      <c r="E186" s="116" t="e">
        <f t="shared" si="190"/>
        <v>#REF!</v>
      </c>
      <c r="F186" s="116" t="e">
        <f t="shared" si="190"/>
        <v>#REF!</v>
      </c>
      <c r="G186" s="116" t="e">
        <f t="shared" si="190"/>
        <v>#REF!</v>
      </c>
      <c r="H186" s="116" t="e">
        <f t="shared" si="190"/>
        <v>#REF!</v>
      </c>
      <c r="I186" s="116" t="e">
        <f t="shared" si="190"/>
        <v>#REF!</v>
      </c>
      <c r="J186" s="116" t="e">
        <f t="shared" si="190"/>
        <v>#REF!</v>
      </c>
      <c r="K186" s="116" t="e">
        <f t="shared" si="190"/>
        <v>#REF!</v>
      </c>
      <c r="L186" s="116" t="e">
        <f t="shared" si="190"/>
        <v>#REF!</v>
      </c>
      <c r="M186" s="116" t="e">
        <f t="shared" si="190"/>
        <v>#REF!</v>
      </c>
      <c r="N186" s="116" t="e">
        <f t="shared" si="190"/>
        <v>#REF!</v>
      </c>
      <c r="Q186" s="116" t="e">
        <f>-SUMIF(#REF!,$A186,#REF!)</f>
        <v>#REF!</v>
      </c>
      <c r="R186" s="116">
        <f>-SUMIF(ALIF_Y2014!$A:$A,$A186,ALIF_Y2014!$F:$F)</f>
        <v>0</v>
      </c>
      <c r="S186" s="116">
        <f>-SUMIF(ALIF_Y2015!$A:$A,$A186,ALIF_Y2015!$F:$F)</f>
        <v>4.7E-2</v>
      </c>
      <c r="T186" s="116">
        <f>-SUMIF(ALIF_Y2016!$A:$A,$A186,ALIF_Y2016!$F:$F)</f>
        <v>77976.134999999995</v>
      </c>
      <c r="U186" s="116">
        <f>-SUMIF(ALIF_Y2017!$A:$A,$A186,ALIF_Y2017!$F:$F)</f>
        <v>2.7E-2</v>
      </c>
      <c r="V186" s="116">
        <f>-SUMIF(ALIF_Y2018!$A:$A,$A186,ALIF_Y2018!$F:$F)</f>
        <v>1E-3</v>
      </c>
      <c r="W186" s="116">
        <f>-SUMIF(ALIF_Y2019!$A:$A,$A186,ALIF_Y2019!$F:$F)</f>
        <v>0</v>
      </c>
      <c r="X186" s="116">
        <f>-SUMIF(ALIF_Y2020!$A:$A,$A186,ALIF_Y2020!$F:$F)</f>
        <v>-1.6E-2</v>
      </c>
      <c r="Y186" s="116">
        <f>-SUMIF(ALIF_Y2021!$A:$A,$A186,ALIF_Y2021!$F:$F)</f>
        <v>0</v>
      </c>
      <c r="Z186" s="116">
        <f>-SUMIF(ALIF_Y2022!$A:$A,$A186,ALIF_Y2022!$F:$F)</f>
        <v>0</v>
      </c>
      <c r="AA186" s="116">
        <f>-SUMIF(ALIF_Y2023!$A:$A,$A186,ALIF_Y2023!$F:$F)</f>
        <v>0</v>
      </c>
      <c r="AE186" s="116" t="e">
        <f>-SUMIF(#REF!,$A186,#REF!)</f>
        <v>#REF!</v>
      </c>
      <c r="AF186" s="116" t="e">
        <f>-SUMIF(#REF!,$A186,#REF!)</f>
        <v>#REF!</v>
      </c>
      <c r="AG186" s="116" t="e">
        <f>-SUMIF(#REF!,$A186,#REF!)</f>
        <v>#REF!</v>
      </c>
      <c r="AH186" s="116" t="e">
        <f>-SUMIF(#REF!,$A186,#REF!)</f>
        <v>#REF!</v>
      </c>
      <c r="AI186" s="116" t="e">
        <f>-SUMIF(#REF!,$A186,#REF!)</f>
        <v>#REF!</v>
      </c>
      <c r="AJ186" s="116" t="e">
        <f>-SUMIF(#REF!,$A186,#REF!)</f>
        <v>#REF!</v>
      </c>
      <c r="AK186" s="116" t="e">
        <f>-SUMIF(#REF!,$A186,#REF!)</f>
        <v>#REF!</v>
      </c>
      <c r="AL186" s="116" t="e">
        <f>-SUMIF(#REF!,$A186,#REF!)</f>
        <v>#REF!</v>
      </c>
      <c r="AM186" s="116" t="e">
        <f>-SUMIF(#REF!,$A186,#REF!)</f>
        <v>#REF!</v>
      </c>
      <c r="AN186" s="116" t="e">
        <f>-SUMIF(#REF!,$A186,#REF!)</f>
        <v>#REF!</v>
      </c>
      <c r="AO186" s="116" t="e">
        <f>-SUMIF(#REF!,$A186,#REF!)</f>
        <v>#REF!</v>
      </c>
      <c r="AP186" s="116" t="e">
        <f>-SUMIF(#REF!,$A186,#REF!)</f>
        <v>#REF!</v>
      </c>
    </row>
    <row r="187" spans="1:42" ht="7.9" hidden="1" customHeight="1" x14ac:dyDescent="0.25"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2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</row>
    <row r="188" spans="1:42" hidden="1" x14ac:dyDescent="0.25">
      <c r="C188" s="118" t="e">
        <f>SUM(C180:C187)</f>
        <v>#REF!</v>
      </c>
      <c r="D188" s="118" t="e">
        <f t="shared" ref="D188:N188" si="191">SUM(D180:D187)</f>
        <v>#REF!</v>
      </c>
      <c r="E188" s="118" t="e">
        <f t="shared" si="191"/>
        <v>#REF!</v>
      </c>
      <c r="F188" s="118" t="e">
        <f t="shared" si="191"/>
        <v>#REF!</v>
      </c>
      <c r="G188" s="118" t="e">
        <f t="shared" si="191"/>
        <v>#REF!</v>
      </c>
      <c r="H188" s="118" t="e">
        <f t="shared" si="191"/>
        <v>#REF!</v>
      </c>
      <c r="I188" s="118" t="e">
        <f t="shared" si="191"/>
        <v>#REF!</v>
      </c>
      <c r="J188" s="118" t="e">
        <f t="shared" si="191"/>
        <v>#REF!</v>
      </c>
      <c r="K188" s="118" t="e">
        <f t="shared" si="191"/>
        <v>#REF!</v>
      </c>
      <c r="L188" s="118" t="e">
        <f t="shared" si="191"/>
        <v>#REF!</v>
      </c>
      <c r="M188" s="118" t="e">
        <f t="shared" si="191"/>
        <v>#REF!</v>
      </c>
      <c r="N188" s="118" t="e">
        <f t="shared" si="191"/>
        <v>#REF!</v>
      </c>
      <c r="Q188" s="118" t="e">
        <f t="shared" ref="Q188" si="192">SUM(Q180:Q187)</f>
        <v>#REF!</v>
      </c>
      <c r="R188" s="118">
        <f t="shared" ref="R188:AB188" si="193">SUM(R180:R187)</f>
        <v>133975423.85586798</v>
      </c>
      <c r="S188" s="118">
        <f t="shared" si="193"/>
        <v>109444157.5853669</v>
      </c>
      <c r="T188" s="118">
        <f t="shared" si="193"/>
        <v>87767642.650328994</v>
      </c>
      <c r="U188" s="118">
        <f t="shared" si="193"/>
        <v>93078605.225867987</v>
      </c>
      <c r="V188" s="118">
        <f t="shared" si="193"/>
        <v>107410025.54439001</v>
      </c>
      <c r="W188" s="118">
        <f t="shared" si="193"/>
        <v>146081750.18741196</v>
      </c>
      <c r="X188" s="118">
        <f t="shared" si="193"/>
        <v>126602833.99654397</v>
      </c>
      <c r="Y188" s="118">
        <f t="shared" si="193"/>
        <v>182618747.327999</v>
      </c>
      <c r="Z188" s="118">
        <f t="shared" si="193"/>
        <v>221964755.030417</v>
      </c>
      <c r="AA188" s="118">
        <f t="shared" si="193"/>
        <v>104200512.36582999</v>
      </c>
      <c r="AB188" s="118">
        <f t="shared" si="193"/>
        <v>0</v>
      </c>
      <c r="AE188" s="118" t="e">
        <f t="shared" ref="AE188:AO188" si="194">SUM(AE180:AE187)</f>
        <v>#REF!</v>
      </c>
      <c r="AF188" s="118" t="e">
        <f t="shared" si="194"/>
        <v>#REF!</v>
      </c>
      <c r="AG188" s="118" t="e">
        <f t="shared" si="194"/>
        <v>#REF!</v>
      </c>
      <c r="AH188" s="118" t="e">
        <f t="shared" si="194"/>
        <v>#REF!</v>
      </c>
      <c r="AI188" s="118" t="e">
        <f t="shared" si="194"/>
        <v>#REF!</v>
      </c>
      <c r="AJ188" s="118" t="e">
        <f t="shared" si="194"/>
        <v>#REF!</v>
      </c>
      <c r="AK188" s="118" t="e">
        <f t="shared" si="194"/>
        <v>#REF!</v>
      </c>
      <c r="AL188" s="118" t="e">
        <f t="shared" si="194"/>
        <v>#REF!</v>
      </c>
      <c r="AM188" s="118" t="e">
        <f t="shared" si="194"/>
        <v>#REF!</v>
      </c>
      <c r="AN188" s="118" t="e">
        <f t="shared" si="194"/>
        <v>#REF!</v>
      </c>
      <c r="AO188" s="118" t="e">
        <f t="shared" si="194"/>
        <v>#REF!</v>
      </c>
      <c r="AP188" s="118" t="e">
        <f t="shared" ref="AP188" si="195">SUM(AP180:AP187)</f>
        <v>#REF!</v>
      </c>
    </row>
    <row r="190" spans="1:42" hidden="1" x14ac:dyDescent="0.25">
      <c r="A190" s="99" t="s">
        <v>563</v>
      </c>
      <c r="O190" s="118">
        <f t="shared" ref="O190:O194" si="196">SUM(C190:N190)</f>
        <v>0</v>
      </c>
    </row>
    <row r="191" spans="1:42" hidden="1" x14ac:dyDescent="0.25">
      <c r="B191" t="s">
        <v>343</v>
      </c>
      <c r="O191" s="118">
        <f t="shared" si="196"/>
        <v>0</v>
      </c>
      <c r="Q191" s="116" t="e">
        <f>SUMIF(#REF!,$B191,#REF!)</f>
        <v>#REF!</v>
      </c>
      <c r="AE191" s="116" t="e">
        <f>SUMIF(#REF!,$B191,#REF!)</f>
        <v>#REF!</v>
      </c>
    </row>
    <row r="192" spans="1:42" hidden="1" x14ac:dyDescent="0.25">
      <c r="B192" t="s">
        <v>344</v>
      </c>
      <c r="O192" s="118">
        <f t="shared" si="196"/>
        <v>0</v>
      </c>
      <c r="Q192" s="116" t="e">
        <f>SUMIF(#REF!,$B192,#REF!)</f>
        <v>#REF!</v>
      </c>
      <c r="AE192" s="116" t="e">
        <f>SUMIF(#REF!,$B192,#REF!)</f>
        <v>#REF!</v>
      </c>
    </row>
    <row r="193" spans="1:42" hidden="1" x14ac:dyDescent="0.25">
      <c r="B193" t="s">
        <v>312</v>
      </c>
      <c r="O193" s="118">
        <f t="shared" si="196"/>
        <v>0</v>
      </c>
      <c r="Q193" s="116" t="e">
        <f>SUMIF(#REF!,$B193,#REF!)</f>
        <v>#REF!</v>
      </c>
      <c r="AE193" s="116" t="e">
        <f>SUMIF(#REF!,$B193,#REF!)</f>
        <v>#REF!</v>
      </c>
    </row>
    <row r="194" spans="1:42" hidden="1" x14ac:dyDescent="0.25">
      <c r="O194" s="118">
        <f t="shared" si="196"/>
        <v>0</v>
      </c>
    </row>
    <row r="195" spans="1:42" hidden="1" x14ac:dyDescent="0.25">
      <c r="C195" s="118">
        <f t="shared" ref="C195:O195" si="197">SUM(C191:C194)</f>
        <v>0</v>
      </c>
      <c r="D195" s="118">
        <f t="shared" si="197"/>
        <v>0</v>
      </c>
      <c r="E195" s="118">
        <f t="shared" si="197"/>
        <v>0</v>
      </c>
      <c r="F195" s="118">
        <f t="shared" si="197"/>
        <v>0</v>
      </c>
      <c r="G195" s="118">
        <f t="shared" si="197"/>
        <v>0</v>
      </c>
      <c r="H195" s="118">
        <f t="shared" si="197"/>
        <v>0</v>
      </c>
      <c r="I195" s="118">
        <f t="shared" si="197"/>
        <v>0</v>
      </c>
      <c r="J195" s="118">
        <f t="shared" si="197"/>
        <v>0</v>
      </c>
      <c r="K195" s="118">
        <f t="shared" si="197"/>
        <v>0</v>
      </c>
      <c r="L195" s="118">
        <f t="shared" si="197"/>
        <v>0</v>
      </c>
      <c r="M195" s="118">
        <f t="shared" si="197"/>
        <v>0</v>
      </c>
      <c r="N195" s="118">
        <f t="shared" si="197"/>
        <v>0</v>
      </c>
      <c r="O195" s="118">
        <f t="shared" si="197"/>
        <v>0</v>
      </c>
      <c r="Q195" s="118" t="e">
        <f>SUM(Q191:Q194)</f>
        <v>#REF!</v>
      </c>
      <c r="R195" s="118">
        <f t="shared" ref="R195:AB195" si="198">SUM(R191:R194)</f>
        <v>0</v>
      </c>
      <c r="S195" s="118">
        <f t="shared" si="198"/>
        <v>0</v>
      </c>
      <c r="T195" s="118">
        <f t="shared" si="198"/>
        <v>0</v>
      </c>
      <c r="U195" s="118">
        <f t="shared" si="198"/>
        <v>0</v>
      </c>
      <c r="V195" s="118">
        <f t="shared" si="198"/>
        <v>0</v>
      </c>
      <c r="W195" s="118">
        <f t="shared" si="198"/>
        <v>0</v>
      </c>
      <c r="X195" s="118">
        <f t="shared" si="198"/>
        <v>0</v>
      </c>
      <c r="Y195" s="118">
        <f t="shared" si="198"/>
        <v>0</v>
      </c>
      <c r="Z195" s="118">
        <f t="shared" si="198"/>
        <v>0</v>
      </c>
      <c r="AA195" s="118">
        <f t="shared" si="198"/>
        <v>0</v>
      </c>
      <c r="AB195" s="118">
        <f t="shared" si="198"/>
        <v>0</v>
      </c>
      <c r="AE195" s="118" t="e">
        <f>SUM(AE191:AE194)</f>
        <v>#REF!</v>
      </c>
      <c r="AF195" s="118">
        <f t="shared" ref="AF195" si="199">SUM(AF191:AF194)</f>
        <v>0</v>
      </c>
      <c r="AG195" s="118">
        <f t="shared" ref="AG195" si="200">SUM(AG191:AG194)</f>
        <v>0</v>
      </c>
      <c r="AH195" s="118">
        <f t="shared" ref="AH195" si="201">SUM(AH191:AH194)</f>
        <v>0</v>
      </c>
      <c r="AI195" s="118">
        <f t="shared" ref="AI195" si="202">SUM(AI191:AI194)</f>
        <v>0</v>
      </c>
      <c r="AJ195" s="118">
        <f t="shared" ref="AJ195" si="203">SUM(AJ191:AJ194)</f>
        <v>0</v>
      </c>
      <c r="AK195" s="118">
        <f t="shared" ref="AK195" si="204">SUM(AK191:AK194)</f>
        <v>0</v>
      </c>
      <c r="AL195" s="118">
        <f t="shared" ref="AL195" si="205">SUM(AL191:AL194)</f>
        <v>0</v>
      </c>
      <c r="AM195" s="118">
        <f t="shared" ref="AM195" si="206">SUM(AM191:AM194)</f>
        <v>0</v>
      </c>
      <c r="AN195" s="118">
        <f t="shared" ref="AN195" si="207">SUM(AN191:AN194)</f>
        <v>0</v>
      </c>
      <c r="AO195" s="118">
        <f t="shared" ref="AO195" si="208">SUM(AO191:AO194)</f>
        <v>0</v>
      </c>
      <c r="AP195" s="118">
        <f t="shared" ref="AP195" si="209">SUM(AP191:AP194)</f>
        <v>0</v>
      </c>
    </row>
    <row r="196" spans="1:42" hidden="1" x14ac:dyDescent="0.25"/>
    <row r="197" spans="1:42" hidden="1" x14ac:dyDescent="0.25">
      <c r="A197" s="99" t="s">
        <v>564</v>
      </c>
    </row>
    <row r="198" spans="1:42" hidden="1" x14ac:dyDescent="0.25">
      <c r="A198" s="10">
        <v>700037</v>
      </c>
      <c r="B198" s="9" t="s">
        <v>207</v>
      </c>
      <c r="Q198" s="116" t="e">
        <f>SUMIF(#REF!,$A198,#REF!)</f>
        <v>#REF!</v>
      </c>
      <c r="AE198" s="116" t="e">
        <f>SUMIF(#REF!,$A198,#REF!)</f>
        <v>#REF!</v>
      </c>
    </row>
    <row r="199" spans="1:42" hidden="1" x14ac:dyDescent="0.25">
      <c r="A199" s="10">
        <v>700045</v>
      </c>
      <c r="B199" s="9" t="s">
        <v>215</v>
      </c>
      <c r="Q199" s="116" t="e">
        <f>SUMIF(#REF!,$A199,#REF!)</f>
        <v>#REF!</v>
      </c>
      <c r="AE199" s="116" t="e">
        <f>SUMIF(#REF!,$A199,#REF!)</f>
        <v>#REF!</v>
      </c>
    </row>
    <row r="200" spans="1:42" hidden="1" x14ac:dyDescent="0.25">
      <c r="A200" s="10">
        <v>700065</v>
      </c>
      <c r="B200" s="9" t="s">
        <v>245</v>
      </c>
      <c r="Q200" s="116" t="e">
        <f>SUMIF(#REF!,$A200,#REF!)</f>
        <v>#REF!</v>
      </c>
      <c r="AE200" s="116" t="e">
        <f>SUMIF(#REF!,$A200,#REF!)</f>
        <v>#REF!</v>
      </c>
    </row>
    <row r="201" spans="1:42" hidden="1" x14ac:dyDescent="0.25"/>
    <row r="202" spans="1:42" hidden="1" x14ac:dyDescent="0.25">
      <c r="Q202" s="118" t="e">
        <f>SUM(Q198:Q201)</f>
        <v>#REF!</v>
      </c>
      <c r="R202" s="118">
        <f t="shared" ref="R202:AB202" si="210">SUM(R198:R201)</f>
        <v>0</v>
      </c>
      <c r="S202" s="118">
        <f t="shared" si="210"/>
        <v>0</v>
      </c>
      <c r="T202" s="118">
        <f t="shared" si="210"/>
        <v>0</v>
      </c>
      <c r="U202" s="118">
        <f t="shared" si="210"/>
        <v>0</v>
      </c>
      <c r="V202" s="118">
        <f t="shared" si="210"/>
        <v>0</v>
      </c>
      <c r="W202" s="118">
        <f t="shared" si="210"/>
        <v>0</v>
      </c>
      <c r="X202" s="118">
        <f t="shared" si="210"/>
        <v>0</v>
      </c>
      <c r="Y202" s="118">
        <f t="shared" si="210"/>
        <v>0</v>
      </c>
      <c r="Z202" s="118">
        <f t="shared" si="210"/>
        <v>0</v>
      </c>
      <c r="AA202" s="118">
        <f t="shared" si="210"/>
        <v>0</v>
      </c>
      <c r="AB202" s="118">
        <f t="shared" si="210"/>
        <v>0</v>
      </c>
      <c r="AE202" s="118" t="e">
        <f>SUM(AE198:AE201)</f>
        <v>#REF!</v>
      </c>
      <c r="AF202" s="118">
        <f t="shared" ref="AF202" si="211">SUM(AF198:AF201)</f>
        <v>0</v>
      </c>
      <c r="AG202" s="118">
        <f t="shared" ref="AG202" si="212">SUM(AG198:AG201)</f>
        <v>0</v>
      </c>
      <c r="AH202" s="118">
        <f t="shared" ref="AH202" si="213">SUM(AH198:AH201)</f>
        <v>0</v>
      </c>
      <c r="AI202" s="118">
        <f t="shared" ref="AI202" si="214">SUM(AI198:AI201)</f>
        <v>0</v>
      </c>
      <c r="AJ202" s="118">
        <f t="shared" ref="AJ202" si="215">SUM(AJ198:AJ201)</f>
        <v>0</v>
      </c>
      <c r="AK202" s="118">
        <f t="shared" ref="AK202" si="216">SUM(AK198:AK201)</f>
        <v>0</v>
      </c>
      <c r="AL202" s="118">
        <f t="shared" ref="AL202" si="217">SUM(AL198:AL201)</f>
        <v>0</v>
      </c>
      <c r="AM202" s="118">
        <f t="shared" ref="AM202" si="218">SUM(AM198:AM201)</f>
        <v>0</v>
      </c>
      <c r="AN202" s="118">
        <f t="shared" ref="AN202" si="219">SUM(AN198:AN201)</f>
        <v>0</v>
      </c>
      <c r="AO202" s="118">
        <f t="shared" ref="AO202" si="220">SUM(AO198:AO201)</f>
        <v>0</v>
      </c>
      <c r="AP202" s="118">
        <f t="shared" ref="AP202" si="221">SUM(AP198:AP201)</f>
        <v>0</v>
      </c>
    </row>
    <row r="203" spans="1:42" hidden="1" x14ac:dyDescent="0.25"/>
    <row r="204" spans="1:42" hidden="1" x14ac:dyDescent="0.25">
      <c r="A204" s="99" t="s">
        <v>565</v>
      </c>
      <c r="AC204" s="116"/>
    </row>
    <row r="205" spans="1:42" hidden="1" x14ac:dyDescent="0.25">
      <c r="A205">
        <v>600029</v>
      </c>
      <c r="B205" t="s">
        <v>164</v>
      </c>
      <c r="Q205" s="116" t="e">
        <f>SUMIF(#REF!,$A205,#REF!)</f>
        <v>#REF!</v>
      </c>
      <c r="AE205" s="116" t="e">
        <f>SUMIF(#REF!,$A205,#REF!)</f>
        <v>#REF!</v>
      </c>
    </row>
    <row r="206" spans="1:42" hidden="1" x14ac:dyDescent="0.25">
      <c r="A206">
        <v>600030</v>
      </c>
      <c r="B206" t="s">
        <v>165</v>
      </c>
      <c r="Q206" s="116" t="e">
        <f>SUMIF(#REF!,$A206,#REF!)</f>
        <v>#REF!</v>
      </c>
      <c r="AE206" s="116" t="e">
        <f>SUMIF(#REF!,$A206,#REF!)</f>
        <v>#REF!</v>
      </c>
    </row>
    <row r="207" spans="1:42" hidden="1" x14ac:dyDescent="0.25">
      <c r="A207">
        <v>600031</v>
      </c>
      <c r="B207" t="s">
        <v>166</v>
      </c>
      <c r="Q207" s="116" t="e">
        <f>SUMIF(#REF!,$A207,#REF!)</f>
        <v>#REF!</v>
      </c>
      <c r="AE207" s="116" t="e">
        <f>SUMIF(#REF!,$A207,#REF!)</f>
        <v>#REF!</v>
      </c>
    </row>
    <row r="208" spans="1:42" hidden="1" x14ac:dyDescent="0.25">
      <c r="A208">
        <v>600032</v>
      </c>
      <c r="B208" t="s">
        <v>167</v>
      </c>
      <c r="Q208" s="116" t="e">
        <f>SUMIF(#REF!,$A208,#REF!)</f>
        <v>#REF!</v>
      </c>
      <c r="AE208" s="116" t="e">
        <f>SUMIF(#REF!,$A208,#REF!)</f>
        <v>#REF!</v>
      </c>
    </row>
    <row r="209" spans="1:31" hidden="1" x14ac:dyDescent="0.25">
      <c r="A209">
        <v>700050</v>
      </c>
      <c r="B209" t="s">
        <v>218</v>
      </c>
      <c r="Q209" s="116" t="e">
        <f>SUMIF(#REF!,$A209,#REF!)</f>
        <v>#REF!</v>
      </c>
      <c r="AE209" s="116" t="e">
        <f>SUMIF(#REF!,$A209,#REF!)</f>
        <v>#REF!</v>
      </c>
    </row>
    <row r="210" spans="1:31" hidden="1" x14ac:dyDescent="0.25">
      <c r="A210">
        <v>700051</v>
      </c>
      <c r="B210" t="s">
        <v>243</v>
      </c>
      <c r="Q210" s="116" t="e">
        <f>SUMIF(#REF!,$A210,#REF!)</f>
        <v>#REF!</v>
      </c>
      <c r="AE210" s="116" t="e">
        <f>SUMIF(#REF!,$A210,#REF!)</f>
        <v>#REF!</v>
      </c>
    </row>
    <row r="211" spans="1:31" hidden="1" x14ac:dyDescent="0.25">
      <c r="A211">
        <v>700052</v>
      </c>
      <c r="B211" t="s">
        <v>219</v>
      </c>
      <c r="Q211" s="116" t="e">
        <f>SUMIF(#REF!,$A211,#REF!)</f>
        <v>#REF!</v>
      </c>
      <c r="AE211" s="116" t="e">
        <f>SUMIF(#REF!,$A211,#REF!)</f>
        <v>#REF!</v>
      </c>
    </row>
    <row r="212" spans="1:31" hidden="1" x14ac:dyDescent="0.25">
      <c r="A212">
        <v>700053</v>
      </c>
      <c r="B212" t="s">
        <v>220</v>
      </c>
      <c r="Q212" s="116" t="e">
        <f>SUMIF(#REF!,$A212,#REF!)</f>
        <v>#REF!</v>
      </c>
      <c r="AE212" s="116" t="e">
        <f>SUMIF(#REF!,$A212,#REF!)</f>
        <v>#REF!</v>
      </c>
    </row>
    <row r="213" spans="1:31" hidden="1" x14ac:dyDescent="0.25">
      <c r="A213">
        <v>700054</v>
      </c>
      <c r="B213" t="s">
        <v>221</v>
      </c>
      <c r="Q213" s="116" t="e">
        <f>SUMIF(#REF!,$A213,#REF!)</f>
        <v>#REF!</v>
      </c>
      <c r="AE213" s="116" t="e">
        <f>SUMIF(#REF!,$A213,#REF!)</f>
        <v>#REF!</v>
      </c>
    </row>
    <row r="214" spans="1:31" hidden="1" x14ac:dyDescent="0.25">
      <c r="A214">
        <v>700055</v>
      </c>
      <c r="B214" t="s">
        <v>222</v>
      </c>
      <c r="Q214" s="116" t="e">
        <f>SUMIF(#REF!,$A214,#REF!)</f>
        <v>#REF!</v>
      </c>
      <c r="AE214" s="116" t="e">
        <f>SUMIF(#REF!,$A214,#REF!)</f>
        <v>#REF!</v>
      </c>
    </row>
    <row r="215" spans="1:31" hidden="1" x14ac:dyDescent="0.25">
      <c r="A215">
        <v>700056</v>
      </c>
      <c r="B215" t="s">
        <v>223</v>
      </c>
      <c r="Q215" s="116" t="e">
        <f>SUMIF(#REF!,$A215,#REF!)</f>
        <v>#REF!</v>
      </c>
      <c r="AE215" s="116" t="e">
        <f>SUMIF(#REF!,$A215,#REF!)</f>
        <v>#REF!</v>
      </c>
    </row>
    <row r="216" spans="1:31" hidden="1" x14ac:dyDescent="0.25">
      <c r="A216">
        <v>700064</v>
      </c>
      <c r="B216" t="s">
        <v>231</v>
      </c>
      <c r="Q216" s="116" t="e">
        <f>SUMIF(#REF!,$A216,#REF!)</f>
        <v>#REF!</v>
      </c>
      <c r="R216" s="116" t="e">
        <f>SUMIF(#REF!,$A216,#REF!)</f>
        <v>#REF!</v>
      </c>
      <c r="S216" s="116" t="e">
        <f>SUMIF(#REF!,$A216,#REF!)</f>
        <v>#REF!</v>
      </c>
      <c r="T216" s="116" t="e">
        <f>SUMIF(#REF!,$A216,#REF!)</f>
        <v>#REF!</v>
      </c>
      <c r="U216" s="116" t="e">
        <f>SUMIF(#REF!,$A216,#REF!)</f>
        <v>#REF!</v>
      </c>
      <c r="V216" s="116" t="e">
        <f>SUMIF(#REF!,$A216,#REF!)</f>
        <v>#REF!</v>
      </c>
      <c r="W216" s="116" t="e">
        <f>SUMIF(#REF!,$A216,#REF!)</f>
        <v>#REF!</v>
      </c>
      <c r="X216" s="116" t="e">
        <f>SUMIF(#REF!,$A216,#REF!)</f>
        <v>#REF!</v>
      </c>
      <c r="Y216" s="116" t="e">
        <f>SUMIF(#REF!,$A216,#REF!)</f>
        <v>#REF!</v>
      </c>
      <c r="Z216" s="116" t="e">
        <f>SUMIF(#REF!,$A216,#REF!)</f>
        <v>#REF!</v>
      </c>
      <c r="AA216" s="116" t="e">
        <f>SUMIF(#REF!,$A216,#REF!)</f>
        <v>#REF!</v>
      </c>
      <c r="AB216" s="116" t="e">
        <f>SUMIF(#REF!,$A216,#REF!)</f>
        <v>#REF!</v>
      </c>
      <c r="AE216" s="116" t="e">
        <f>SUMIF(#REF!,$A216,#REF!)</f>
        <v>#REF!</v>
      </c>
    </row>
    <row r="217" spans="1:31" hidden="1" x14ac:dyDescent="0.25">
      <c r="A217">
        <v>600033</v>
      </c>
      <c r="B217" t="s">
        <v>168</v>
      </c>
      <c r="Q217" s="116" t="e">
        <f>SUMIF(#REF!,$A217,#REF!)</f>
        <v>#REF!</v>
      </c>
      <c r="AE217" s="116" t="e">
        <f>SUMIF(#REF!,$A217,#REF!)</f>
        <v>#REF!</v>
      </c>
    </row>
    <row r="218" spans="1:31" hidden="1" x14ac:dyDescent="0.25"/>
    <row r="219" spans="1:31" hidden="1" x14ac:dyDescent="0.25">
      <c r="Q219" s="118" t="e">
        <f>SUM(Q205:Q218)</f>
        <v>#REF!</v>
      </c>
      <c r="R219" s="118" t="e">
        <f t="shared" ref="R219:AB219" si="222">SUM(R205:R218)</f>
        <v>#REF!</v>
      </c>
      <c r="S219" s="118" t="e">
        <f t="shared" si="222"/>
        <v>#REF!</v>
      </c>
      <c r="T219" s="118" t="e">
        <f t="shared" si="222"/>
        <v>#REF!</v>
      </c>
      <c r="U219" s="118" t="e">
        <f t="shared" si="222"/>
        <v>#REF!</v>
      </c>
      <c r="V219" s="118" t="e">
        <f t="shared" si="222"/>
        <v>#REF!</v>
      </c>
      <c r="W219" s="118" t="e">
        <f t="shared" si="222"/>
        <v>#REF!</v>
      </c>
      <c r="X219" s="118" t="e">
        <f t="shared" si="222"/>
        <v>#REF!</v>
      </c>
      <c r="Y219" s="118" t="e">
        <f t="shared" si="222"/>
        <v>#REF!</v>
      </c>
      <c r="Z219" s="118" t="e">
        <f t="shared" si="222"/>
        <v>#REF!</v>
      </c>
      <c r="AA219" s="118" t="e">
        <f t="shared" si="222"/>
        <v>#REF!</v>
      </c>
      <c r="AB219" s="118" t="e">
        <f t="shared" si="222"/>
        <v>#REF!</v>
      </c>
      <c r="AE219" s="118" t="e">
        <f>SUM(AE205:AE218)</f>
        <v>#REF!</v>
      </c>
    </row>
    <row r="220" spans="1:31" hidden="1" x14ac:dyDescent="0.25"/>
    <row r="221" spans="1:31" hidden="1" x14ac:dyDescent="0.25">
      <c r="A221" s="99" t="s">
        <v>566</v>
      </c>
    </row>
    <row r="222" spans="1:31" hidden="1" x14ac:dyDescent="0.25">
      <c r="A222">
        <v>600060</v>
      </c>
      <c r="B222" t="s">
        <v>170</v>
      </c>
      <c r="Q222" s="116" t="e">
        <f>-SUMIF(#REF!,$A222,#REF!)</f>
        <v>#REF!</v>
      </c>
      <c r="AE222" s="116" t="e">
        <f>-SUMIF(#REF!,$A222,#REF!)</f>
        <v>#REF!</v>
      </c>
    </row>
    <row r="223" spans="1:31" hidden="1" x14ac:dyDescent="0.25"/>
    <row r="224" spans="1:31" hidden="1" x14ac:dyDescent="0.25">
      <c r="Q224" s="118" t="e">
        <f>SUM(Q222:Q223)</f>
        <v>#REF!</v>
      </c>
      <c r="R224" s="118">
        <f t="shared" ref="R224:AB224" si="223">SUM(R222:R223)</f>
        <v>0</v>
      </c>
      <c r="S224" s="118">
        <f t="shared" si="223"/>
        <v>0</v>
      </c>
      <c r="T224" s="118">
        <f t="shared" si="223"/>
        <v>0</v>
      </c>
      <c r="U224" s="118">
        <f t="shared" si="223"/>
        <v>0</v>
      </c>
      <c r="V224" s="118">
        <f t="shared" si="223"/>
        <v>0</v>
      </c>
      <c r="W224" s="118">
        <f t="shared" si="223"/>
        <v>0</v>
      </c>
      <c r="X224" s="118">
        <f t="shared" si="223"/>
        <v>0</v>
      </c>
      <c r="Y224" s="118">
        <f t="shared" si="223"/>
        <v>0</v>
      </c>
      <c r="Z224" s="118">
        <f t="shared" si="223"/>
        <v>0</v>
      </c>
      <c r="AA224" s="118">
        <f t="shared" si="223"/>
        <v>0</v>
      </c>
      <c r="AB224" s="118">
        <f t="shared" si="223"/>
        <v>0</v>
      </c>
      <c r="AE224" s="118" t="e">
        <f>SUM(AE222:AE223)</f>
        <v>#REF!</v>
      </c>
    </row>
  </sheetData>
  <phoneticPr fontId="45" type="noConversion"/>
  <conditionalFormatting sqref="A198:A20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F95D-795D-4B2E-8D9F-7D76D2DD84FC}">
  <sheetPr filterMode="1"/>
  <dimension ref="A1:J424"/>
  <sheetViews>
    <sheetView zoomScale="90" zoomScaleNormal="90" workbookViewId="0">
      <pane ySplit="4" topLeftCell="A381" activePane="bottomLeft" state="frozen"/>
      <selection activeCell="G4" sqref="G4:J5"/>
      <selection pane="bottomLeft" activeCell="A424" sqref="A424"/>
    </sheetView>
  </sheetViews>
  <sheetFormatPr defaultColWidth="8.85546875" defaultRowHeight="15" x14ac:dyDescent="0.25"/>
  <cols>
    <col min="1" max="1" width="13.42578125" style="1" bestFit="1" customWidth="1"/>
    <col min="2" max="2" width="52.28515625" style="1" bestFit="1" customWidth="1"/>
    <col min="3" max="3" width="16.7109375" style="1" bestFit="1" customWidth="1"/>
    <col min="4" max="5" width="16.140625" style="1" bestFit="1" customWidth="1"/>
    <col min="6" max="6" width="17" style="3" bestFit="1" customWidth="1"/>
    <col min="7" max="7" width="8.5703125" style="2" bestFit="1" customWidth="1"/>
    <col min="8" max="8" width="19.5703125" style="1" bestFit="1" customWidth="1"/>
    <col min="9" max="9" width="42.7109375" style="1" bestFit="1" customWidth="1"/>
    <col min="10" max="10" width="50.7109375" style="1" bestFit="1" customWidth="1"/>
    <col min="11" max="16384" width="8.85546875" style="1"/>
  </cols>
  <sheetData>
    <row r="1" spans="1:10" x14ac:dyDescent="0.25">
      <c r="A1" s="5" t="s">
        <v>262</v>
      </c>
    </row>
    <row r="2" spans="1:10" x14ac:dyDescent="0.25">
      <c r="A2" s="97" t="s">
        <v>592</v>
      </c>
    </row>
    <row r="4" spans="1:10" x14ac:dyDescent="0.25">
      <c r="A4" s="1" t="s">
        <v>261</v>
      </c>
      <c r="B4" s="1" t="s">
        <v>260</v>
      </c>
      <c r="C4" s="1" t="s">
        <v>259</v>
      </c>
      <c r="D4" s="1" t="s">
        <v>258</v>
      </c>
      <c r="E4" s="1" t="s">
        <v>257</v>
      </c>
      <c r="F4" s="3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1">
        <v>110002</v>
      </c>
      <c r="B5" s="1" t="s">
        <v>1</v>
      </c>
      <c r="C5" s="3">
        <v>0</v>
      </c>
      <c r="D5" s="3">
        <v>249682</v>
      </c>
      <c r="E5" s="3">
        <v>0</v>
      </c>
      <c r="F5" s="3">
        <v>249682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1">
        <v>110003</v>
      </c>
      <c r="B6" s="1" t="s">
        <v>2</v>
      </c>
      <c r="C6" s="3">
        <v>0</v>
      </c>
      <c r="D6" s="3">
        <v>1765393.75</v>
      </c>
      <c r="E6" s="3">
        <v>0</v>
      </c>
      <c r="F6" s="43">
        <v>1765393.75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1">
        <v>110004</v>
      </c>
      <c r="B7" s="1" t="s">
        <v>3</v>
      </c>
      <c r="C7" s="3">
        <v>0</v>
      </c>
      <c r="D7" s="3">
        <v>38613109.295000002</v>
      </c>
      <c r="E7" s="3">
        <v>51168.5</v>
      </c>
      <c r="F7" s="43">
        <v>38561940.795000002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1">
        <v>110006</v>
      </c>
      <c r="B8" s="1" t="s">
        <v>4</v>
      </c>
      <c r="C8" s="3">
        <v>0</v>
      </c>
      <c r="D8" s="3">
        <v>1446052.15</v>
      </c>
      <c r="E8" s="3">
        <v>0</v>
      </c>
      <c r="F8" s="43">
        <v>1446052.15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1">
        <v>110007</v>
      </c>
      <c r="B9" s="1" t="s">
        <v>5</v>
      </c>
      <c r="C9" s="3">
        <v>0</v>
      </c>
      <c r="D9" s="3">
        <v>798523.45</v>
      </c>
      <c r="E9" s="3">
        <v>0</v>
      </c>
      <c r="F9" s="6">
        <v>798523.45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1">
        <v>110008</v>
      </c>
      <c r="B10" s="1" t="s">
        <v>6</v>
      </c>
      <c r="C10" s="3">
        <v>0</v>
      </c>
      <c r="D10" s="3">
        <v>191765.4</v>
      </c>
      <c r="E10" s="3">
        <v>0</v>
      </c>
      <c r="F10" s="6">
        <v>191765.4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1">
        <v>111013</v>
      </c>
      <c r="B11" s="1" t="s">
        <v>9</v>
      </c>
      <c r="C11" s="3">
        <v>0</v>
      </c>
      <c r="D11" s="3">
        <v>2486494.6800000002</v>
      </c>
      <c r="E11" s="3">
        <v>2486494.6800000002</v>
      </c>
      <c r="F11" s="43">
        <v>0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 - Accumulated depreciation</v>
      </c>
    </row>
    <row r="12" spans="1:10" hidden="1" x14ac:dyDescent="0.25">
      <c r="A12" s="1">
        <v>120001</v>
      </c>
      <c r="B12" s="1" t="s">
        <v>11</v>
      </c>
      <c r="C12" s="3">
        <v>0</v>
      </c>
      <c r="D12" s="3">
        <v>0</v>
      </c>
      <c r="E12" s="3">
        <v>227682.83</v>
      </c>
      <c r="F12" s="43">
        <v>-227682.83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Property, plant and equipment</v>
      </c>
      <c r="J12" t="str">
        <f>_xlfn.XLOOKUP($A12,Map!$A:$A,Map!F:F)</f>
        <v>Property, plant and equipment - Accumulated depreciation</v>
      </c>
    </row>
    <row r="13" spans="1:10" hidden="1" x14ac:dyDescent="0.25">
      <c r="A13" s="1">
        <v>120002</v>
      </c>
      <c r="B13" s="1" t="s">
        <v>12</v>
      </c>
      <c r="C13" s="3">
        <v>0</v>
      </c>
      <c r="D13" s="3">
        <v>0</v>
      </c>
      <c r="E13" s="3">
        <v>1715968.22</v>
      </c>
      <c r="F13" s="6">
        <v>-1715968.22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1">
        <v>120003</v>
      </c>
      <c r="B14" s="1" t="s">
        <v>13</v>
      </c>
      <c r="C14" s="3">
        <v>0</v>
      </c>
      <c r="D14" s="3">
        <v>0</v>
      </c>
      <c r="E14" s="3">
        <v>20403680.359999999</v>
      </c>
      <c r="F14" s="6">
        <v>-20403680.359999999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1">
        <v>120005</v>
      </c>
      <c r="B15" s="1" t="s">
        <v>14</v>
      </c>
      <c r="C15" s="3">
        <v>0</v>
      </c>
      <c r="D15" s="3">
        <v>0</v>
      </c>
      <c r="E15" s="3">
        <v>1053780.57</v>
      </c>
      <c r="F15" s="6">
        <v>-1053780.57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1">
        <v>120006</v>
      </c>
      <c r="B16" s="1" t="s">
        <v>15</v>
      </c>
      <c r="C16" s="3">
        <v>0</v>
      </c>
      <c r="D16" s="3">
        <v>0</v>
      </c>
      <c r="E16" s="3">
        <v>69116.08</v>
      </c>
      <c r="F16" s="6">
        <v>-69116.08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1">
        <v>120007</v>
      </c>
      <c r="B17" s="1" t="s">
        <v>16</v>
      </c>
      <c r="C17" s="3">
        <v>0</v>
      </c>
      <c r="D17" s="3">
        <v>0</v>
      </c>
      <c r="E17" s="3">
        <v>154323.31899999999</v>
      </c>
      <c r="F17" s="43">
        <v>-154323.31899999999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1">
        <v>121001</v>
      </c>
      <c r="B18" s="1" t="s">
        <v>18</v>
      </c>
      <c r="C18" s="3">
        <v>0</v>
      </c>
      <c r="D18" s="3">
        <v>5363766.13</v>
      </c>
      <c r="E18" s="3">
        <v>0</v>
      </c>
      <c r="F18" s="3">
        <v>5363766.13</v>
      </c>
      <c r="G18" t="str">
        <f>_xlfn.XLOOKUP($A18,Map!$A:$A,Map!C:C)</f>
        <v>BS</v>
      </c>
      <c r="H18" t="str">
        <f>_xlfn.XLOOKUP($A18,Map!$A:$A,Map!D:D)</f>
        <v>Current Assets</v>
      </c>
      <c r="I18" t="str">
        <f>_xlfn.XLOOKUP($A18,Map!$A:$A,Map!E:E)</f>
        <v>Prepaid expenses</v>
      </c>
      <c r="J18" t="str">
        <f>_xlfn.XLOOKUP($A18,Map!$A:$A,Map!F:F)</f>
        <v>Pre Operating Exps</v>
      </c>
    </row>
    <row r="19" spans="1:10" hidden="1" x14ac:dyDescent="0.25">
      <c r="A19" s="1">
        <v>121002</v>
      </c>
      <c r="B19" s="1" t="s">
        <v>19</v>
      </c>
      <c r="C19" s="3">
        <v>0</v>
      </c>
      <c r="D19" s="3">
        <v>0</v>
      </c>
      <c r="E19" s="3">
        <v>3650674.13</v>
      </c>
      <c r="F19" s="3">
        <v>-3650674.13</v>
      </c>
      <c r="G19" t="str">
        <f>_xlfn.XLOOKUP($A19,Map!$A:$A,Map!C:C)</f>
        <v>BS</v>
      </c>
      <c r="H19" t="str">
        <f>_xlfn.XLOOKUP($A19,Map!$A:$A,Map!D:D)</f>
        <v>Current Assets</v>
      </c>
      <c r="I19" t="str">
        <f>_xlfn.XLOOKUP($A19,Map!$A:$A,Map!E:E)</f>
        <v>Prepaid expenses</v>
      </c>
      <c r="J19" t="str">
        <f>_xlfn.XLOOKUP($A19,Map!$A:$A,Map!F:F)</f>
        <v>Amortization Of Pre Operating Exps</v>
      </c>
    </row>
    <row r="20" spans="1:10" hidden="1" x14ac:dyDescent="0.25">
      <c r="A20" s="1">
        <v>130001</v>
      </c>
      <c r="B20" s="63" t="s">
        <v>20</v>
      </c>
      <c r="C20" s="3">
        <v>0</v>
      </c>
      <c r="D20" s="3">
        <v>163394280.13999999</v>
      </c>
      <c r="E20" s="3">
        <v>156110301.639</v>
      </c>
      <c r="F20" s="3">
        <v>7283978.5010000002</v>
      </c>
      <c r="G20" t="str">
        <f>_xlfn.XLOOKUP($A20,Map!$A:$A,Map!C:C)</f>
        <v>BS</v>
      </c>
      <c r="H20" t="str">
        <f>_xlfn.XLOOKUP($A20,Map!$A:$A,Map!D:D)</f>
        <v>Current Assets</v>
      </c>
      <c r="I20" t="str">
        <f>_xlfn.XLOOKUP($A20,Map!$A:$A,Map!E:E)</f>
        <v>Cash and cash equivalents</v>
      </c>
      <c r="J20" t="str">
        <f>_xlfn.XLOOKUP($A20,Map!$A:$A,Map!F:F)</f>
        <v>Bank balances</v>
      </c>
    </row>
    <row r="21" spans="1:10" hidden="1" x14ac:dyDescent="0.25">
      <c r="A21" s="1">
        <v>130002</v>
      </c>
      <c r="B21" s="1" t="s">
        <v>21</v>
      </c>
      <c r="C21" s="3">
        <v>0</v>
      </c>
      <c r="D21" s="3">
        <v>92645037.547999993</v>
      </c>
      <c r="E21" s="3">
        <v>92590169.057999998</v>
      </c>
      <c r="F21" s="3">
        <v>54868.49</v>
      </c>
      <c r="G21" t="str">
        <f>_xlfn.XLOOKUP($A21,Map!$A:$A,Map!C:C)</f>
        <v>BS</v>
      </c>
      <c r="H21" t="str">
        <f>_xlfn.XLOOKUP($A21,Map!$A:$A,Map!D:D)</f>
        <v>Current Assets</v>
      </c>
      <c r="I21" t="str">
        <f>_xlfn.XLOOKUP($A21,Map!$A:$A,Map!E:E)</f>
        <v>Cash and cash equivalents</v>
      </c>
      <c r="J21" t="str">
        <f>_xlfn.XLOOKUP($A21,Map!$A:$A,Map!F:F)</f>
        <v>Bank balances</v>
      </c>
    </row>
    <row r="22" spans="1:10" hidden="1" x14ac:dyDescent="0.25">
      <c r="A22" s="1">
        <v>130004</v>
      </c>
      <c r="B22" s="1" t="s">
        <v>23</v>
      </c>
      <c r="C22" s="3">
        <v>0</v>
      </c>
      <c r="D22" s="3">
        <v>63755221.656000003</v>
      </c>
      <c r="E22" s="3">
        <v>61308947.545999996</v>
      </c>
      <c r="F22" s="6">
        <v>2446274.11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Cash and cash equivalents</v>
      </c>
      <c r="J22" t="str">
        <f>_xlfn.XLOOKUP($A22,Map!$A:$A,Map!F:F)</f>
        <v>Bank balances</v>
      </c>
    </row>
    <row r="23" spans="1:10" hidden="1" x14ac:dyDescent="0.25">
      <c r="A23" s="1">
        <v>130005</v>
      </c>
      <c r="B23" s="1" t="s">
        <v>24</v>
      </c>
      <c r="C23" s="3">
        <v>0</v>
      </c>
      <c r="D23" s="3">
        <v>4799427.45</v>
      </c>
      <c r="E23" s="3">
        <v>4625550.6500000004</v>
      </c>
      <c r="F23" s="43">
        <v>173876.8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Cash and cash equivalents</v>
      </c>
      <c r="J23" t="str">
        <f>_xlfn.XLOOKUP($A23,Map!$A:$A,Map!F:F)</f>
        <v>Bank balances</v>
      </c>
    </row>
    <row r="24" spans="1:10" hidden="1" x14ac:dyDescent="0.25">
      <c r="A24" s="1">
        <v>130006</v>
      </c>
      <c r="B24" s="1" t="s">
        <v>25</v>
      </c>
      <c r="C24" s="3">
        <v>0</v>
      </c>
      <c r="D24" s="3">
        <v>30662200.780000001</v>
      </c>
      <c r="E24" s="3">
        <v>30393355.010000002</v>
      </c>
      <c r="F24" s="43">
        <v>268845.77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hidden="1" x14ac:dyDescent="0.25">
      <c r="A25" s="1">
        <v>130007</v>
      </c>
      <c r="B25" s="1" t="s">
        <v>26</v>
      </c>
      <c r="C25" s="3">
        <v>0</v>
      </c>
      <c r="D25" s="3">
        <v>25637639.745000001</v>
      </c>
      <c r="E25" s="3">
        <v>25107326.765000001</v>
      </c>
      <c r="F25" s="6">
        <v>530312.98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1">
        <v>130008</v>
      </c>
      <c r="B26" s="1" t="s">
        <v>247</v>
      </c>
      <c r="C26" s="3">
        <v>0</v>
      </c>
      <c r="D26" s="3">
        <v>16642022.65</v>
      </c>
      <c r="E26" s="3">
        <v>16369044.630000001</v>
      </c>
      <c r="F26" s="43">
        <v>272978.02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1">
        <v>130099</v>
      </c>
      <c r="B27" s="1" t="s">
        <v>34</v>
      </c>
      <c r="C27" s="3">
        <v>0</v>
      </c>
      <c r="D27" s="3">
        <v>226544596</v>
      </c>
      <c r="E27" s="3">
        <v>226544596</v>
      </c>
      <c r="F27" s="43">
        <v>0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1">
        <v>140001</v>
      </c>
      <c r="B28" s="1" t="s">
        <v>35</v>
      </c>
      <c r="C28" s="3">
        <v>0</v>
      </c>
      <c r="D28" s="3">
        <v>400350369.29799998</v>
      </c>
      <c r="E28" s="3">
        <v>364162460.48299998</v>
      </c>
      <c r="F28" s="43">
        <v>36187908.814999998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Trade receivables</v>
      </c>
      <c r="J28" t="str">
        <f>_xlfn.XLOOKUP($A28,Map!$A:$A,Map!F:F)</f>
        <v>Trade receivables - current</v>
      </c>
    </row>
    <row r="29" spans="1:10" hidden="1" x14ac:dyDescent="0.25">
      <c r="A29" s="1">
        <v>150001</v>
      </c>
      <c r="B29" s="1" t="s">
        <v>37</v>
      </c>
      <c r="C29" s="3">
        <v>0</v>
      </c>
      <c r="D29" s="3">
        <v>1803265.01</v>
      </c>
      <c r="E29" s="3">
        <v>1219094.531</v>
      </c>
      <c r="F29" s="43">
        <v>584170.47900000005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Prepaid expenses</v>
      </c>
      <c r="J29" t="str">
        <f>_xlfn.XLOOKUP($A29,Map!$A:$A,Map!F:F)</f>
        <v>Advances - current</v>
      </c>
    </row>
    <row r="30" spans="1:10" hidden="1" x14ac:dyDescent="0.25">
      <c r="A30" s="1">
        <v>160001</v>
      </c>
      <c r="B30" s="1" t="s">
        <v>39</v>
      </c>
      <c r="C30" s="3">
        <v>0</v>
      </c>
      <c r="D30" s="3">
        <v>1669724.98</v>
      </c>
      <c r="E30" s="3">
        <v>1614880.43</v>
      </c>
      <c r="F30" s="43">
        <v>54844.55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Petty cash</v>
      </c>
    </row>
    <row r="31" spans="1:10" hidden="1" x14ac:dyDescent="0.25">
      <c r="A31" s="1">
        <v>170000</v>
      </c>
      <c r="B31" s="1" t="s">
        <v>40</v>
      </c>
      <c r="C31" s="3">
        <v>0</v>
      </c>
      <c r="D31" s="3">
        <v>352793.75</v>
      </c>
      <c r="E31" s="3">
        <v>264360.17499999999</v>
      </c>
      <c r="F31" s="43">
        <v>88433.574999999997</v>
      </c>
      <c r="G31" t="str">
        <f>_xlfn.XLOOKUP($A31,Map!$A:$A,Map!C:C)</f>
        <v>BS</v>
      </c>
      <c r="H31" t="str">
        <f>_xlfn.XLOOKUP($A31,Map!$A:$A,Map!D:D)</f>
        <v>Current Liabilities</v>
      </c>
      <c r="I31" t="str">
        <f>_xlfn.XLOOKUP($A31,Map!$A:$A,Map!E:E)</f>
        <v>Short-term Murabaha loans</v>
      </c>
      <c r="J31" t="str">
        <f>_xlfn.XLOOKUP($A31,Map!$A:$A,Map!F:F)</f>
        <v>Prepayments - current</v>
      </c>
    </row>
    <row r="32" spans="1:10" hidden="1" x14ac:dyDescent="0.25">
      <c r="A32" s="1">
        <v>170001</v>
      </c>
      <c r="B32" s="1" t="s">
        <v>41</v>
      </c>
      <c r="C32" s="3">
        <v>0</v>
      </c>
      <c r="D32" s="3">
        <v>460743.28</v>
      </c>
      <c r="E32" s="3">
        <v>460743.28</v>
      </c>
      <c r="F32" s="6">
        <v>0</v>
      </c>
      <c r="G32" t="str">
        <f>_xlfn.XLOOKUP($A32,Map!$A:$A,Map!C:C)</f>
        <v>BS</v>
      </c>
      <c r="H32" t="str">
        <f>_xlfn.XLOOKUP($A32,Map!$A:$A,Map!D:D)</f>
        <v>Current Liabilities</v>
      </c>
      <c r="I32" t="str">
        <f>_xlfn.XLOOKUP($A32,Map!$A:$A,Map!E:E)</f>
        <v>Short-term Murabaha loans</v>
      </c>
      <c r="J32" t="str">
        <f>_xlfn.XLOOKUP($A32,Map!$A:$A,Map!F:F)</f>
        <v>Prepayments - current</v>
      </c>
    </row>
    <row r="33" spans="1:10" hidden="1" x14ac:dyDescent="0.25">
      <c r="A33" s="1">
        <v>170003</v>
      </c>
      <c r="B33" s="1" t="s">
        <v>43</v>
      </c>
      <c r="C33" s="3">
        <v>0</v>
      </c>
      <c r="D33" s="3">
        <v>749137.08</v>
      </c>
      <c r="E33" s="3">
        <v>539245.51</v>
      </c>
      <c r="F33" s="6">
        <v>209891.57</v>
      </c>
      <c r="G33" t="str">
        <f>_xlfn.XLOOKUP($A33,Map!$A:$A,Map!C:C)</f>
        <v>BS</v>
      </c>
      <c r="H33" t="str">
        <f>_xlfn.XLOOKUP($A33,Map!$A:$A,Map!D:D)</f>
        <v>Current Liabilities</v>
      </c>
      <c r="I33" t="str">
        <f>_xlfn.XLOOKUP($A33,Map!$A:$A,Map!E:E)</f>
        <v>Short-term Murabaha loans</v>
      </c>
      <c r="J33" t="str">
        <f>_xlfn.XLOOKUP($A33,Map!$A:$A,Map!F:F)</f>
        <v>Prepayments - current</v>
      </c>
    </row>
    <row r="34" spans="1:10" hidden="1" x14ac:dyDescent="0.25">
      <c r="A34" s="1">
        <v>170004</v>
      </c>
      <c r="B34" s="1" t="s">
        <v>244</v>
      </c>
      <c r="C34" s="3">
        <v>0</v>
      </c>
      <c r="D34" s="3">
        <v>249557.69</v>
      </c>
      <c r="E34" s="3">
        <v>249557.69</v>
      </c>
      <c r="F34" s="6">
        <v>0</v>
      </c>
      <c r="G34" t="str">
        <f>_xlfn.XLOOKUP($A34,Map!$A:$A,Map!C:C)</f>
        <v>BS</v>
      </c>
      <c r="H34" t="str">
        <f>_xlfn.XLOOKUP($A34,Map!$A:$A,Map!D:D)</f>
        <v>Current Liabilities</v>
      </c>
      <c r="I34" t="str">
        <f>_xlfn.XLOOKUP($A34,Map!$A:$A,Map!E:E)</f>
        <v>Short-term Murabaha loans</v>
      </c>
      <c r="J34" t="str">
        <f>_xlfn.XLOOKUP($A34,Map!$A:$A,Map!F:F)</f>
        <v>Prepayments - current</v>
      </c>
    </row>
    <row r="35" spans="1:10" hidden="1" x14ac:dyDescent="0.25">
      <c r="A35" s="1">
        <v>170006</v>
      </c>
      <c r="B35" s="1" t="s">
        <v>45</v>
      </c>
      <c r="C35" s="3">
        <v>0</v>
      </c>
      <c r="D35" s="3">
        <v>1568829</v>
      </c>
      <c r="E35" s="3">
        <v>1378110</v>
      </c>
      <c r="F35" s="6">
        <v>190719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Prepaid expenses</v>
      </c>
      <c r="J35" t="str">
        <f>_xlfn.XLOOKUP($A35,Map!$A:$A,Map!F:F)</f>
        <v>Deposits - current</v>
      </c>
    </row>
    <row r="36" spans="1:10" hidden="1" x14ac:dyDescent="0.25">
      <c r="A36" s="1">
        <v>170007</v>
      </c>
      <c r="B36" s="1" t="s">
        <v>46</v>
      </c>
      <c r="C36" s="3">
        <v>0</v>
      </c>
      <c r="D36" s="3">
        <v>4002557.22</v>
      </c>
      <c r="E36" s="3">
        <v>2727864.64</v>
      </c>
      <c r="F36" s="3">
        <v>1274692.58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Prepaid expenses</v>
      </c>
      <c r="J36" t="str">
        <f>_xlfn.XLOOKUP($A36,Map!$A:$A,Map!F:F)</f>
        <v>Deposits - current</v>
      </c>
    </row>
    <row r="37" spans="1:10" hidden="1" x14ac:dyDescent="0.25">
      <c r="A37" s="1">
        <v>170009</v>
      </c>
      <c r="B37" s="1" t="s">
        <v>48</v>
      </c>
      <c r="C37" s="3">
        <v>0</v>
      </c>
      <c r="D37" s="3">
        <v>1797643</v>
      </c>
      <c r="E37" s="3">
        <v>1677642.9</v>
      </c>
      <c r="F37" s="3">
        <v>120000.1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Prepaid expenses</v>
      </c>
      <c r="J37" t="str">
        <f>_xlfn.XLOOKUP($A37,Map!$A:$A,Map!F:F)</f>
        <v>Rent</v>
      </c>
    </row>
    <row r="38" spans="1:10" hidden="1" x14ac:dyDescent="0.25">
      <c r="A38" s="1">
        <v>170010</v>
      </c>
      <c r="B38" s="1" t="s">
        <v>49</v>
      </c>
      <c r="C38" s="3">
        <v>0</v>
      </c>
      <c r="D38" s="3">
        <v>506100</v>
      </c>
      <c r="E38" s="3">
        <v>506100</v>
      </c>
      <c r="F38" s="43">
        <v>0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Prepaid expenses</v>
      </c>
      <c r="J38" t="str">
        <f>_xlfn.XLOOKUP($A38,Map!$A:$A,Map!F:F)</f>
        <v>Housing allowance</v>
      </c>
    </row>
    <row r="39" spans="1:10" hidden="1" x14ac:dyDescent="0.25">
      <c r="A39" s="1">
        <v>170011</v>
      </c>
      <c r="B39" s="1" t="s">
        <v>50</v>
      </c>
      <c r="C39" s="3">
        <v>0</v>
      </c>
      <c r="D39" s="3">
        <v>93666.66</v>
      </c>
      <c r="E39" s="3">
        <v>93666.66</v>
      </c>
      <c r="F39" s="3">
        <v>0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Prepaid expenses</v>
      </c>
      <c r="J39" t="str">
        <f>_xlfn.XLOOKUP($A39,Map!$A:$A,Map!F:F)</f>
        <v>Air tickets</v>
      </c>
    </row>
    <row r="40" spans="1:10" hidden="1" x14ac:dyDescent="0.25">
      <c r="A40" s="1">
        <v>170013</v>
      </c>
      <c r="B40" s="1" t="s">
        <v>52</v>
      </c>
      <c r="C40" s="3">
        <v>0</v>
      </c>
      <c r="D40" s="3">
        <v>59000</v>
      </c>
      <c r="E40" s="3">
        <v>0</v>
      </c>
      <c r="F40" s="3">
        <v>59000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Prepaid expenses</v>
      </c>
      <c r="J40" t="str">
        <f>_xlfn.XLOOKUP($A40,Map!$A:$A,Map!F:F)</f>
        <v>Insurance</v>
      </c>
    </row>
    <row r="41" spans="1:10" hidden="1" x14ac:dyDescent="0.25">
      <c r="A41" s="1">
        <v>170014</v>
      </c>
      <c r="B41" s="1" t="s">
        <v>53</v>
      </c>
      <c r="C41" s="3">
        <v>0</v>
      </c>
      <c r="D41" s="3">
        <v>584748.18000000005</v>
      </c>
      <c r="E41" s="3">
        <v>357549.18</v>
      </c>
      <c r="F41" s="3">
        <v>227199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Prepaid expenses</v>
      </c>
      <c r="J41" t="str">
        <f>_xlfn.XLOOKUP($A41,Map!$A:$A,Map!F:F)</f>
        <v>Insurance</v>
      </c>
    </row>
    <row r="42" spans="1:10" hidden="1" x14ac:dyDescent="0.25">
      <c r="A42" s="1">
        <v>170015</v>
      </c>
      <c r="B42" s="1" t="s">
        <v>54</v>
      </c>
      <c r="C42" s="3">
        <v>0</v>
      </c>
      <c r="D42" s="3">
        <v>8679</v>
      </c>
      <c r="E42" s="3">
        <v>8679</v>
      </c>
      <c r="F42" s="3">
        <v>0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Prepaid expenses</v>
      </c>
      <c r="J42" t="str">
        <f>_xlfn.XLOOKUP($A42,Map!$A:$A,Map!F:F)</f>
        <v>Salaries and wages</v>
      </c>
    </row>
    <row r="43" spans="1:10" hidden="1" x14ac:dyDescent="0.25">
      <c r="A43" s="1">
        <v>180001</v>
      </c>
      <c r="B43" s="1" t="s">
        <v>60</v>
      </c>
      <c r="C43" s="3">
        <v>0</v>
      </c>
      <c r="D43" s="3">
        <v>809881.34199999995</v>
      </c>
      <c r="E43" s="3">
        <v>653541.35199999996</v>
      </c>
      <c r="F43" s="43">
        <v>156339.99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Inventories</v>
      </c>
      <c r="J43" t="str">
        <f>_xlfn.XLOOKUP($A43,Map!$A:$A,Map!F:F)</f>
        <v>Raw materials - Inventory</v>
      </c>
    </row>
    <row r="44" spans="1:10" hidden="1" x14ac:dyDescent="0.25">
      <c r="A44" s="1">
        <v>180002</v>
      </c>
      <c r="B44" s="1" t="s">
        <v>61</v>
      </c>
      <c r="C44" s="3">
        <v>0</v>
      </c>
      <c r="D44" s="3">
        <v>122663.94</v>
      </c>
      <c r="E44" s="3">
        <v>122663.94</v>
      </c>
      <c r="F44" s="3">
        <v>0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Inventories</v>
      </c>
      <c r="J44" t="str">
        <f>_xlfn.XLOOKUP($A44,Map!$A:$A,Map!F:F)</f>
        <v>Raw materials - Inventory</v>
      </c>
    </row>
    <row r="45" spans="1:10" hidden="1" x14ac:dyDescent="0.25">
      <c r="A45" s="1">
        <v>180003</v>
      </c>
      <c r="B45" s="1" t="s">
        <v>62</v>
      </c>
      <c r="C45" s="3">
        <v>0</v>
      </c>
      <c r="D45" s="3">
        <v>2617065.7680000002</v>
      </c>
      <c r="E45" s="3">
        <v>1963552.4380000001</v>
      </c>
      <c r="F45" s="43">
        <v>653513.32999999996</v>
      </c>
      <c r="G45" t="str">
        <f>_xlfn.XLOOKUP($A45,Map!$A:$A,Map!C:C)</f>
        <v>BS</v>
      </c>
      <c r="H45" t="str">
        <f>_xlfn.XLOOKUP($A45,Map!$A:$A,Map!D:D)</f>
        <v>Current Assets</v>
      </c>
      <c r="I45" t="str">
        <f>_xlfn.XLOOKUP($A45,Map!$A:$A,Map!E:E)</f>
        <v>Inventories</v>
      </c>
      <c r="J45" t="str">
        <f>_xlfn.XLOOKUP($A45,Map!$A:$A,Map!F:F)</f>
        <v>Spare parts - Inventory</v>
      </c>
    </row>
    <row r="46" spans="1:10" hidden="1" x14ac:dyDescent="0.25">
      <c r="A46" s="1">
        <v>180004</v>
      </c>
      <c r="B46" s="1" t="s">
        <v>63</v>
      </c>
      <c r="C46" s="3">
        <v>0</v>
      </c>
      <c r="D46" s="3">
        <v>12281946.450999999</v>
      </c>
      <c r="E46" s="3">
        <v>5238833.04</v>
      </c>
      <c r="F46" s="3">
        <v>7043113.4110000003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Inventories</v>
      </c>
      <c r="J46" t="str">
        <f>_xlfn.XLOOKUP($A46,Map!$A:$A,Map!F:F)</f>
        <v>Raw materials - Inventory</v>
      </c>
    </row>
    <row r="47" spans="1:10" hidden="1" x14ac:dyDescent="0.25">
      <c r="A47" s="1">
        <v>180005</v>
      </c>
      <c r="B47" s="1" t="s">
        <v>64</v>
      </c>
      <c r="C47" s="3">
        <v>0</v>
      </c>
      <c r="D47" s="3">
        <v>19775970.839000002</v>
      </c>
      <c r="E47" s="3">
        <v>13971212.273</v>
      </c>
      <c r="F47" s="3">
        <v>5804758.5659999996</v>
      </c>
      <c r="G47" t="str">
        <f>_xlfn.XLOOKUP($A47,Map!$A:$A,Map!C:C)</f>
        <v>BS</v>
      </c>
      <c r="H47" t="str">
        <f>_xlfn.XLOOKUP($A47,Map!$A:$A,Map!D:D)</f>
        <v>Current Assets</v>
      </c>
      <c r="I47" t="str">
        <f>_xlfn.XLOOKUP($A47,Map!$A:$A,Map!E:E)</f>
        <v>Inventories</v>
      </c>
      <c r="J47" t="str">
        <f>_xlfn.XLOOKUP($A47,Map!$A:$A,Map!F:F)</f>
        <v>Raw materials - Inventory</v>
      </c>
    </row>
    <row r="48" spans="1:10" hidden="1" x14ac:dyDescent="0.25">
      <c r="A48" s="1">
        <v>180006</v>
      </c>
      <c r="B48" s="1" t="s">
        <v>65</v>
      </c>
      <c r="C48" s="3">
        <v>0</v>
      </c>
      <c r="D48" s="3">
        <v>19838480.752999999</v>
      </c>
      <c r="E48" s="3">
        <v>19164932.410999998</v>
      </c>
      <c r="F48" s="3">
        <v>673548.34199999995</v>
      </c>
      <c r="G48" t="str">
        <f>_xlfn.XLOOKUP($A48,Map!$A:$A,Map!C:C)</f>
        <v>BS</v>
      </c>
      <c r="H48" t="str">
        <f>_xlfn.XLOOKUP($A48,Map!$A:$A,Map!D:D)</f>
        <v>Current Assets</v>
      </c>
      <c r="I48" t="str">
        <f>_xlfn.XLOOKUP($A48,Map!$A:$A,Map!E:E)</f>
        <v>Inventories</v>
      </c>
      <c r="J48" t="str">
        <f>_xlfn.XLOOKUP($A48,Map!$A:$A,Map!F:F)</f>
        <v>Raw materials - Inventory</v>
      </c>
    </row>
    <row r="49" spans="1:10" hidden="1" x14ac:dyDescent="0.25">
      <c r="A49" s="1">
        <v>180007</v>
      </c>
      <c r="B49" s="1" t="s">
        <v>66</v>
      </c>
      <c r="C49" s="3">
        <v>0</v>
      </c>
      <c r="D49" s="3">
        <v>5134087.4210000001</v>
      </c>
      <c r="E49" s="3">
        <v>3120327.4169999999</v>
      </c>
      <c r="F49" s="3">
        <v>2013760.004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Inventories</v>
      </c>
      <c r="J49" t="str">
        <f>_xlfn.XLOOKUP($A49,Map!$A:$A,Map!F:F)</f>
        <v>Raw materials - Inventory</v>
      </c>
    </row>
    <row r="50" spans="1:10" hidden="1" x14ac:dyDescent="0.25">
      <c r="A50" s="1">
        <v>180008</v>
      </c>
      <c r="B50" s="1" t="s">
        <v>67</v>
      </c>
      <c r="C50" s="3">
        <v>0</v>
      </c>
      <c r="D50" s="3">
        <v>2867429.7039999999</v>
      </c>
      <c r="E50" s="3">
        <v>1425373.5530000001</v>
      </c>
      <c r="F50" s="43">
        <v>1442056.1510000001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Inventories</v>
      </c>
      <c r="J50" t="str">
        <f>_xlfn.XLOOKUP($A50,Map!$A:$A,Map!F:F)</f>
        <v>Raw materials - Inventory</v>
      </c>
    </row>
    <row r="51" spans="1:10" hidden="1" x14ac:dyDescent="0.25">
      <c r="A51" s="1">
        <v>180009</v>
      </c>
      <c r="B51" s="1" t="s">
        <v>68</v>
      </c>
      <c r="C51" s="3">
        <v>0</v>
      </c>
      <c r="D51" s="3">
        <v>624103262.41600001</v>
      </c>
      <c r="E51" s="3">
        <v>624103261.41600001</v>
      </c>
      <c r="F51" s="3">
        <v>1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Inventories</v>
      </c>
      <c r="J51" t="str">
        <f>_xlfn.XLOOKUP($A51,Map!$A:$A,Map!F:F)</f>
        <v>Raw materials - Inventory</v>
      </c>
    </row>
    <row r="52" spans="1:10" hidden="1" x14ac:dyDescent="0.25">
      <c r="A52" s="1">
        <v>180010</v>
      </c>
      <c r="B52" s="1" t="s">
        <v>69</v>
      </c>
      <c r="C52" s="3">
        <v>0</v>
      </c>
      <c r="D52" s="72">
        <v>11893793.173</v>
      </c>
      <c r="E52" s="72">
        <v>10681457.338</v>
      </c>
      <c r="F52" s="73">
        <v>1212335.835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Inventories</v>
      </c>
      <c r="J52" t="str">
        <f>_xlfn.XLOOKUP($A52,Map!$A:$A,Map!F:F)</f>
        <v>Packaging materials - Inventory</v>
      </c>
    </row>
    <row r="53" spans="1:10" hidden="1" x14ac:dyDescent="0.25">
      <c r="A53" s="1">
        <v>180011</v>
      </c>
      <c r="B53" s="1" t="s">
        <v>70</v>
      </c>
      <c r="C53" s="3">
        <v>0</v>
      </c>
      <c r="D53" s="72">
        <v>166983849.755</v>
      </c>
      <c r="E53" s="72">
        <v>161161076.13699999</v>
      </c>
      <c r="F53" s="72">
        <v>5822773.6179999998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Inventories</v>
      </c>
      <c r="J53" t="str">
        <f>_xlfn.XLOOKUP($A53,Map!$A:$A,Map!F:F)</f>
        <v>Finished goods - Inventory</v>
      </c>
    </row>
    <row r="54" spans="1:10" hidden="1" x14ac:dyDescent="0.25">
      <c r="A54" s="1">
        <v>180012</v>
      </c>
      <c r="B54" s="1" t="s">
        <v>71</v>
      </c>
      <c r="C54" s="3">
        <v>0</v>
      </c>
      <c r="D54" s="3">
        <v>195433511.139</v>
      </c>
      <c r="E54" s="3">
        <v>191942487.58700001</v>
      </c>
      <c r="F54" s="3">
        <v>3491023.5520000001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Inventories</v>
      </c>
      <c r="J54" t="str">
        <f>_xlfn.XLOOKUP($A54,Map!$A:$A,Map!F:F)</f>
        <v>Work in progress - Inventory</v>
      </c>
    </row>
    <row r="55" spans="1:10" hidden="1" x14ac:dyDescent="0.25">
      <c r="A55" s="1">
        <v>180013</v>
      </c>
      <c r="B55" s="1" t="s">
        <v>72</v>
      </c>
      <c r="C55" s="3">
        <v>0</v>
      </c>
      <c r="D55" s="3">
        <v>49027053.107000001</v>
      </c>
      <c r="E55" s="3">
        <v>43274900.546999998</v>
      </c>
      <c r="F55" s="3">
        <v>5752152.5599999996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Inventories</v>
      </c>
      <c r="J55" t="str">
        <f>_xlfn.XLOOKUP($A55,Map!$A:$A,Map!F:F)</f>
        <v>Finished goods - Inventory</v>
      </c>
    </row>
    <row r="56" spans="1:10" hidden="1" x14ac:dyDescent="0.25">
      <c r="A56" s="1">
        <v>180014</v>
      </c>
      <c r="B56" s="1" t="s">
        <v>73</v>
      </c>
      <c r="C56" s="3">
        <v>0</v>
      </c>
      <c r="D56" s="3">
        <v>325605618.62300003</v>
      </c>
      <c r="E56" s="3">
        <v>325605618.62300003</v>
      </c>
      <c r="F56" s="3">
        <v>0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Inventories</v>
      </c>
      <c r="J56" t="str">
        <f>_xlfn.XLOOKUP($A56,Map!$A:$A,Map!F:F)</f>
        <v>Work in progress - Inventory</v>
      </c>
    </row>
    <row r="57" spans="1:10" hidden="1" x14ac:dyDescent="0.25">
      <c r="A57" s="1">
        <v>180096</v>
      </c>
      <c r="B57" s="1" t="s">
        <v>74</v>
      </c>
      <c r="C57" s="3">
        <v>0</v>
      </c>
      <c r="D57" s="3">
        <v>195038151.64899999</v>
      </c>
      <c r="E57" s="3">
        <v>195038151.64899999</v>
      </c>
      <c r="F57" s="3">
        <v>0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Inventories</v>
      </c>
      <c r="J57" t="str">
        <f>_xlfn.XLOOKUP($A57,Map!$A:$A,Map!F:F)</f>
        <v>Work in progress - Inventory</v>
      </c>
    </row>
    <row r="58" spans="1:10" hidden="1" x14ac:dyDescent="0.25">
      <c r="A58" s="1">
        <v>180097</v>
      </c>
      <c r="B58" s="1" t="s">
        <v>75</v>
      </c>
      <c r="C58" s="3">
        <v>0</v>
      </c>
      <c r="D58" s="3">
        <v>13517.453</v>
      </c>
      <c r="E58" s="3">
        <v>13517.453</v>
      </c>
      <c r="F58" s="3">
        <v>0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Inventories</v>
      </c>
      <c r="J58" t="str">
        <f>_xlfn.XLOOKUP($A58,Map!$A:$A,Map!F:F)</f>
        <v>Work in progress - Inventory</v>
      </c>
    </row>
    <row r="59" spans="1:10" hidden="1" x14ac:dyDescent="0.25">
      <c r="A59" s="1">
        <v>180098</v>
      </c>
      <c r="B59" s="1" t="s">
        <v>76</v>
      </c>
      <c r="C59" s="3">
        <v>0</v>
      </c>
      <c r="D59" s="3">
        <v>916678.5</v>
      </c>
      <c r="E59" s="3">
        <v>916678.5</v>
      </c>
      <c r="F59" s="3">
        <v>0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Inventories</v>
      </c>
      <c r="J59" t="str">
        <f>_xlfn.XLOOKUP($A59,Map!$A:$A,Map!F:F)</f>
        <v>Work in progress - Inventory</v>
      </c>
    </row>
    <row r="60" spans="1:10" hidden="1" x14ac:dyDescent="0.25">
      <c r="A60" s="1">
        <v>180099</v>
      </c>
      <c r="B60" s="1" t="s">
        <v>77</v>
      </c>
      <c r="C60" s="3">
        <v>0</v>
      </c>
      <c r="D60" s="3">
        <v>3869730.37</v>
      </c>
      <c r="E60" s="3">
        <v>3869730.37</v>
      </c>
      <c r="F60" s="3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Inventories</v>
      </c>
      <c r="J60" t="str">
        <f>_xlfn.XLOOKUP($A60,Map!$A:$A,Map!F:F)</f>
        <v>Goods in transit - Inventory</v>
      </c>
    </row>
    <row r="61" spans="1:10" hidden="1" x14ac:dyDescent="0.25">
      <c r="A61" s="1">
        <v>210001</v>
      </c>
      <c r="B61" s="1" t="s">
        <v>78</v>
      </c>
      <c r="C61" s="3">
        <v>0</v>
      </c>
      <c r="D61" s="3">
        <v>78074669.376000002</v>
      </c>
      <c r="E61" s="3">
        <v>76590597.016000003</v>
      </c>
      <c r="F61" s="3">
        <v>1484072.36</v>
      </c>
      <c r="G61" t="str">
        <f>_xlfn.XLOOKUP($A61,Map!$A:$A,Map!C:C)</f>
        <v>BS</v>
      </c>
      <c r="H61" t="str">
        <f>_xlfn.XLOOKUP($A61,Map!$A:$A,Map!D:D)</f>
        <v>Current Liabilities</v>
      </c>
      <c r="I61" t="str">
        <f>_xlfn.XLOOKUP($A61,Map!$A:$A,Map!E:E)</f>
        <v>Tade payables and Accuals &amp; other credit balances</v>
      </c>
      <c r="J61" t="str">
        <f>_xlfn.XLOOKUP($A61,Map!$A:$A,Map!F:F)</f>
        <v>Trade payables - Foreign</v>
      </c>
    </row>
    <row r="62" spans="1:10" hidden="1" x14ac:dyDescent="0.25">
      <c r="A62" s="1">
        <v>210002</v>
      </c>
      <c r="B62" s="1" t="s">
        <v>79</v>
      </c>
      <c r="C62" s="3">
        <v>0</v>
      </c>
      <c r="D62" s="3">
        <v>60933724.75</v>
      </c>
      <c r="E62" s="3">
        <v>59023222.659999996</v>
      </c>
      <c r="F62" s="3">
        <v>1910502.09</v>
      </c>
      <c r="G62" t="str">
        <f>_xlfn.XLOOKUP($A62,Map!$A:$A,Map!C:C)</f>
        <v>BS</v>
      </c>
      <c r="H62" t="str">
        <f>_xlfn.XLOOKUP($A62,Map!$A:$A,Map!D:D)</f>
        <v>Current Liabilities</v>
      </c>
      <c r="I62" t="str">
        <f>_xlfn.XLOOKUP($A62,Map!$A:$A,Map!E:E)</f>
        <v>Tade payables and Accuals &amp; other credit balances</v>
      </c>
      <c r="J62" t="str">
        <f>_xlfn.XLOOKUP($A62,Map!$A:$A,Map!F:F)</f>
        <v>Trade payables - Local</v>
      </c>
    </row>
    <row r="63" spans="1:10" hidden="1" x14ac:dyDescent="0.25">
      <c r="A63" s="1">
        <v>220001</v>
      </c>
      <c r="B63" s="1" t="s">
        <v>80</v>
      </c>
      <c r="C63" s="3">
        <v>0</v>
      </c>
      <c r="D63" s="3">
        <v>5964204.9199999999</v>
      </c>
      <c r="E63" s="3">
        <v>5964204.9199999999</v>
      </c>
      <c r="F63" s="3">
        <v>0</v>
      </c>
      <c r="G63" t="str">
        <f>_xlfn.XLOOKUP($A63,Map!$A:$A,Map!C:C)</f>
        <v>BS</v>
      </c>
      <c r="H63" t="str">
        <f>_xlfn.XLOOKUP($A63,Map!$A:$A,Map!D:D)</f>
        <v>Current Liabilities</v>
      </c>
      <c r="I63" t="str">
        <f>_xlfn.XLOOKUP($A63,Map!$A:$A,Map!E:E)</f>
        <v>Short-term Murabaha loans</v>
      </c>
      <c r="J63" t="str">
        <f>_xlfn.XLOOKUP($A63,Map!$A:$A,Map!F:F)</f>
        <v>Other loans - current</v>
      </c>
    </row>
    <row r="64" spans="1:10" hidden="1" x14ac:dyDescent="0.25">
      <c r="A64" s="1">
        <v>220002</v>
      </c>
      <c r="B64" s="1" t="s">
        <v>81</v>
      </c>
      <c r="C64" s="3">
        <v>0</v>
      </c>
      <c r="D64" s="3">
        <v>15636340.716</v>
      </c>
      <c r="E64" s="3">
        <v>30637439.465999998</v>
      </c>
      <c r="F64" s="3">
        <v>-15001098.75</v>
      </c>
      <c r="G64" t="str">
        <f>_xlfn.XLOOKUP($A64,Map!$A:$A,Map!C:C)</f>
        <v>BS</v>
      </c>
      <c r="H64" t="str">
        <f>_xlfn.XLOOKUP($A64,Map!$A:$A,Map!D:D)</f>
        <v>Current Liabilities</v>
      </c>
      <c r="I64" t="str">
        <f>_xlfn.XLOOKUP($A64,Map!$A:$A,Map!E:E)</f>
        <v>Short-term Murabaha loans</v>
      </c>
      <c r="J64" t="str">
        <f>_xlfn.XLOOKUP($A64,Map!$A:$A,Map!F:F)</f>
        <v>Other loans - current</v>
      </c>
    </row>
    <row r="65" spans="1:10" hidden="1" x14ac:dyDescent="0.25">
      <c r="A65" s="1">
        <v>220003</v>
      </c>
      <c r="B65" s="1" t="s">
        <v>82</v>
      </c>
      <c r="C65" s="3">
        <v>0</v>
      </c>
      <c r="D65" s="3">
        <v>15191654.140000001</v>
      </c>
      <c r="E65" s="3">
        <v>15191654.140000001</v>
      </c>
      <c r="F65" s="3">
        <v>0</v>
      </c>
      <c r="G65" t="str">
        <f>_xlfn.XLOOKUP($A65,Map!$A:$A,Map!C:C)</f>
        <v>BS</v>
      </c>
      <c r="H65" t="str">
        <f>_xlfn.XLOOKUP($A65,Map!$A:$A,Map!D:D)</f>
        <v>Current Liabilities</v>
      </c>
      <c r="I65" t="str">
        <f>_xlfn.XLOOKUP($A65,Map!$A:$A,Map!E:E)</f>
        <v>Short-term Murabaha loans</v>
      </c>
      <c r="J65" t="str">
        <f>_xlfn.XLOOKUP($A65,Map!$A:$A,Map!F:F)</f>
        <v>Other loans - current</v>
      </c>
    </row>
    <row r="66" spans="1:10" hidden="1" x14ac:dyDescent="0.25">
      <c r="A66" s="1">
        <v>220004</v>
      </c>
      <c r="B66" s="1" t="s">
        <v>83</v>
      </c>
      <c r="C66" s="3">
        <v>0</v>
      </c>
      <c r="D66" s="3">
        <v>4399426.9869999997</v>
      </c>
      <c r="E66" s="3">
        <v>14594315.777000001</v>
      </c>
      <c r="F66" s="3">
        <v>-10194888.789999999</v>
      </c>
      <c r="G66" t="str">
        <f>_xlfn.XLOOKUP($A66,Map!$A:$A,Map!C:C)</f>
        <v>BS</v>
      </c>
      <c r="H66" t="str">
        <f>_xlfn.XLOOKUP($A66,Map!$A:$A,Map!D:D)</f>
        <v>Current Liabilities</v>
      </c>
      <c r="I66" t="str">
        <f>_xlfn.XLOOKUP($A66,Map!$A:$A,Map!E:E)</f>
        <v>Short-term Murabaha loans</v>
      </c>
      <c r="J66" t="str">
        <f>_xlfn.XLOOKUP($A66,Map!$A:$A,Map!F:F)</f>
        <v>Other loans - current</v>
      </c>
    </row>
    <row r="67" spans="1:10" hidden="1" x14ac:dyDescent="0.25">
      <c r="A67" s="1">
        <v>230001</v>
      </c>
      <c r="B67" s="1" t="s">
        <v>86</v>
      </c>
      <c r="C67" s="3">
        <v>0</v>
      </c>
      <c r="D67" s="3">
        <v>548458202.60899997</v>
      </c>
      <c r="E67" s="3">
        <v>548458202.60899997</v>
      </c>
      <c r="F67" s="3">
        <v>0</v>
      </c>
      <c r="G67" t="str">
        <f>_xlfn.XLOOKUP($A67,Map!$A:$A,Map!C:C)</f>
        <v>BS</v>
      </c>
      <c r="H67" t="str">
        <f>_xlfn.XLOOKUP($A67,Map!$A:$A,Map!D:D)</f>
        <v>Current Liabilities</v>
      </c>
      <c r="I67" t="str">
        <f>_xlfn.XLOOKUP($A67,Map!$A:$A,Map!E:E)</f>
        <v>Tade payables and Accuals &amp; other credit balances</v>
      </c>
      <c r="J67" t="str">
        <f>_xlfn.XLOOKUP($A67,Map!$A:$A,Map!F:F)</f>
        <v>Clearing account</v>
      </c>
    </row>
    <row r="68" spans="1:10" hidden="1" x14ac:dyDescent="0.25">
      <c r="A68" s="1">
        <v>240001</v>
      </c>
      <c r="B68" s="1" t="s">
        <v>87</v>
      </c>
      <c r="C68" s="3">
        <v>0</v>
      </c>
      <c r="D68" s="3">
        <v>6475861.0120000001</v>
      </c>
      <c r="E68" s="3">
        <v>6475861.0080000004</v>
      </c>
      <c r="F68" s="3">
        <v>4.0000000000000001E-3</v>
      </c>
      <c r="G68" t="str">
        <f>_xlfn.XLOOKUP($A68,Map!$A:$A,Map!C:C)</f>
        <v>BS</v>
      </c>
      <c r="H68" t="str">
        <f>_xlfn.XLOOKUP($A68,Map!$A:$A,Map!D:D)</f>
        <v>Current Liabilities</v>
      </c>
      <c r="I68" t="str">
        <f>_xlfn.XLOOKUP($A68,Map!$A:$A,Map!E:E)</f>
        <v>Tade payables and Accuals &amp; other credit balances</v>
      </c>
      <c r="J68" t="str">
        <f>_xlfn.XLOOKUP($A68,Map!$A:$A,Map!F:F)</f>
        <v>Overhead</v>
      </c>
    </row>
    <row r="69" spans="1:10" hidden="1" x14ac:dyDescent="0.25">
      <c r="A69" s="1">
        <v>250001</v>
      </c>
      <c r="B69" s="1" t="s">
        <v>90</v>
      </c>
      <c r="C69" s="3">
        <v>0</v>
      </c>
      <c r="D69" s="3">
        <v>5368976.9989999998</v>
      </c>
      <c r="E69" s="3">
        <v>5368976.9989999998</v>
      </c>
      <c r="F69" s="3">
        <v>0</v>
      </c>
      <c r="G69" t="str">
        <f>_xlfn.XLOOKUP($A69,Map!$A:$A,Map!C:C)</f>
        <v>BS</v>
      </c>
      <c r="H69" t="str">
        <f>_xlfn.XLOOKUP($A69,Map!$A:$A,Map!D:D)</f>
        <v>Current Liabilities</v>
      </c>
      <c r="I69" t="str">
        <f>_xlfn.XLOOKUP($A69,Map!$A:$A,Map!E:E)</f>
        <v>Tade payables and Accuals &amp; other credit balances</v>
      </c>
      <c r="J69" t="str">
        <f>_xlfn.XLOOKUP($A69,Map!$A:$A,Map!F:F)</f>
        <v>Accrued salaries and wages</v>
      </c>
    </row>
    <row r="70" spans="1:10" hidden="1" x14ac:dyDescent="0.25">
      <c r="A70" s="1">
        <v>250002</v>
      </c>
      <c r="B70" s="1" t="s">
        <v>91</v>
      </c>
      <c r="C70" s="3">
        <v>0</v>
      </c>
      <c r="D70" s="3">
        <v>989172</v>
      </c>
      <c r="E70" s="3">
        <v>1139172</v>
      </c>
      <c r="F70" s="3">
        <v>-150000</v>
      </c>
      <c r="G70" t="str">
        <f>_xlfn.XLOOKUP($A70,Map!$A:$A,Map!C:C)</f>
        <v>BS</v>
      </c>
      <c r="H70" t="str">
        <f>_xlfn.XLOOKUP($A70,Map!$A:$A,Map!D:D)</f>
        <v>Current Liabilities</v>
      </c>
      <c r="I70" t="str">
        <f>_xlfn.XLOOKUP($A70,Map!$A:$A,Map!E:E)</f>
        <v>Tade payables and Accuals &amp; other credit balances</v>
      </c>
      <c r="J70" t="str">
        <f>_xlfn.XLOOKUP($A70,Map!$A:$A,Map!F:F)</f>
        <v>Accrued utilities</v>
      </c>
    </row>
    <row r="71" spans="1:10" hidden="1" x14ac:dyDescent="0.25">
      <c r="A71" s="1">
        <v>250003</v>
      </c>
      <c r="B71" s="1" t="s">
        <v>92</v>
      </c>
      <c r="C71" s="3">
        <v>0</v>
      </c>
      <c r="D71" s="3">
        <v>0</v>
      </c>
      <c r="E71" s="3">
        <v>1537200</v>
      </c>
      <c r="F71" s="3">
        <v>-1537200</v>
      </c>
      <c r="G71" t="str">
        <f>_xlfn.XLOOKUP($A71,Map!$A:$A,Map!C:C)</f>
        <v>BS</v>
      </c>
      <c r="H71" t="str">
        <f>_xlfn.XLOOKUP($A71,Map!$A:$A,Map!D:D)</f>
        <v>Current Liabilities</v>
      </c>
      <c r="I71" t="str">
        <f>_xlfn.XLOOKUP($A71,Map!$A:$A,Map!E:E)</f>
        <v>Zakat provision</v>
      </c>
      <c r="J71" t="str">
        <f>_xlfn.XLOOKUP($A71,Map!$A:$A,Map!F:F)</f>
        <v>Zakat provision</v>
      </c>
    </row>
    <row r="72" spans="1:10" hidden="1" x14ac:dyDescent="0.25">
      <c r="A72" s="1">
        <v>250004</v>
      </c>
      <c r="B72" s="1" t="s">
        <v>93</v>
      </c>
      <c r="C72" s="3">
        <v>0</v>
      </c>
      <c r="D72" s="3">
        <v>1001911.81</v>
      </c>
      <c r="E72" s="3">
        <v>2201911.81</v>
      </c>
      <c r="F72" s="3">
        <v>-1200000</v>
      </c>
      <c r="G72" t="str">
        <f>_xlfn.XLOOKUP($A72,Map!$A:$A,Map!C:C)</f>
        <v>BS</v>
      </c>
      <c r="H72" t="str">
        <f>_xlfn.XLOOKUP($A72,Map!$A:$A,Map!D:D)</f>
        <v>Current Liabilities</v>
      </c>
      <c r="I72" t="str">
        <f>_xlfn.XLOOKUP($A72,Map!$A:$A,Map!E:E)</f>
        <v>Tade payables and Accuals &amp; other credit balances</v>
      </c>
      <c r="J72" t="str">
        <f>_xlfn.XLOOKUP($A72,Map!$A:$A,Map!F:F)</f>
        <v>Accrued bonus</v>
      </c>
    </row>
    <row r="73" spans="1:10" hidden="1" x14ac:dyDescent="0.25">
      <c r="A73" s="1">
        <v>250005</v>
      </c>
      <c r="B73" s="1" t="s">
        <v>94</v>
      </c>
      <c r="C73" s="3">
        <v>0</v>
      </c>
      <c r="D73" s="3">
        <v>0</v>
      </c>
      <c r="E73" s="3">
        <v>50000</v>
      </c>
      <c r="F73" s="3">
        <v>-50000</v>
      </c>
      <c r="G73" t="str">
        <f>_xlfn.XLOOKUP($A73,Map!$A:$A,Map!C:C)</f>
        <v>BS</v>
      </c>
      <c r="H73" t="str">
        <f>_xlfn.XLOOKUP($A73,Map!$A:$A,Map!D:D)</f>
        <v>Current Liabilities</v>
      </c>
      <c r="I73" t="str">
        <f>_xlfn.XLOOKUP($A73,Map!$A:$A,Map!E:E)</f>
        <v>Tade payables and Accuals &amp; other credit balances</v>
      </c>
      <c r="J73" t="str">
        <f>_xlfn.XLOOKUP($A73,Map!$A:$A,Map!F:F)</f>
        <v>Accrued expenses</v>
      </c>
    </row>
    <row r="74" spans="1:10" hidden="1" x14ac:dyDescent="0.25">
      <c r="A74" s="1">
        <v>260001</v>
      </c>
      <c r="B74" s="1" t="s">
        <v>96</v>
      </c>
      <c r="C74" s="3">
        <v>0</v>
      </c>
      <c r="D74" s="3">
        <v>14155020</v>
      </c>
      <c r="E74" s="3">
        <v>17667500</v>
      </c>
      <c r="F74" s="3">
        <v>-3512480</v>
      </c>
      <c r="G74" t="str">
        <f>_xlfn.XLOOKUP($A74,Map!$A:$A,Map!C:C)</f>
        <v>BS</v>
      </c>
      <c r="H74" t="str">
        <f>_xlfn.XLOOKUP($A74,Map!$A:$A,Map!D:D)</f>
        <v>Stockholder's equity</v>
      </c>
      <c r="I74" t="str">
        <f>_xlfn.XLOOKUP($A74,Map!$A:$A,Map!E:E)</f>
        <v>Statutory reserve</v>
      </c>
      <c r="J74" t="str">
        <f>_xlfn.XLOOKUP($A74,Map!$A:$A,Map!F:F)</f>
        <v>Statutory reserve</v>
      </c>
    </row>
    <row r="75" spans="1:10" hidden="1" x14ac:dyDescent="0.25">
      <c r="A75" s="1">
        <v>260002</v>
      </c>
      <c r="B75" s="1" t="s">
        <v>97</v>
      </c>
      <c r="C75" s="3">
        <v>0</v>
      </c>
      <c r="D75" s="3">
        <v>308293</v>
      </c>
      <c r="E75" s="3">
        <v>3234150.71</v>
      </c>
      <c r="F75" s="3">
        <v>-2925857.71</v>
      </c>
      <c r="G75" t="str">
        <f>_xlfn.XLOOKUP($A75,Map!$A:$A,Map!C:C)</f>
        <v>BS</v>
      </c>
      <c r="H75" t="str">
        <f>_xlfn.XLOOKUP($A75,Map!$A:$A,Map!D:D)</f>
        <v>Non-Current Liabilities</v>
      </c>
      <c r="I75" t="str">
        <f>_xlfn.XLOOKUP($A75,Map!$A:$A,Map!E:E)</f>
        <v xml:space="preserve">End-of-service indemnities </v>
      </c>
      <c r="J75" t="str">
        <f>_xlfn.XLOOKUP($A75,Map!$A:$A,Map!F:F)</f>
        <v xml:space="preserve">End-of-service indemnities </v>
      </c>
    </row>
    <row r="76" spans="1:10" hidden="1" x14ac:dyDescent="0.25">
      <c r="A76" s="1">
        <v>260003</v>
      </c>
      <c r="B76" s="1" t="s">
        <v>98</v>
      </c>
      <c r="C76" s="3">
        <v>0</v>
      </c>
      <c r="D76" s="3">
        <v>0</v>
      </c>
      <c r="E76" s="3">
        <v>1409581.54</v>
      </c>
      <c r="F76" s="3">
        <v>-1409581.54</v>
      </c>
      <c r="G76" t="str">
        <f>_xlfn.XLOOKUP($A76,Map!$A:$A,Map!C:C)</f>
        <v>BS</v>
      </c>
      <c r="H76" t="str">
        <f>_xlfn.XLOOKUP($A76,Map!$A:$A,Map!D:D)</f>
        <v>Current Assets</v>
      </c>
      <c r="I76" t="str">
        <f>_xlfn.XLOOKUP($A76,Map!$A:$A,Map!E:E)</f>
        <v>Trade receivables</v>
      </c>
      <c r="J76" t="str">
        <f>_xlfn.XLOOKUP($A76,Map!$A:$A,Map!F:F)</f>
        <v>Provisions</v>
      </c>
    </row>
    <row r="77" spans="1:10" hidden="1" x14ac:dyDescent="0.25">
      <c r="A77" s="1">
        <v>310001</v>
      </c>
      <c r="B77" s="1" t="s">
        <v>106</v>
      </c>
      <c r="C77" s="3">
        <v>0</v>
      </c>
      <c r="D77" s="3">
        <v>56340000</v>
      </c>
      <c r="E77" s="3">
        <v>75363934.239999995</v>
      </c>
      <c r="F77" s="3">
        <v>-19023934.239999998</v>
      </c>
      <c r="G77" t="str">
        <f>_xlfn.XLOOKUP($A77,Map!$A:$A,Map!C:C)</f>
        <v>BS</v>
      </c>
      <c r="H77" t="str">
        <f>_xlfn.XLOOKUP($A77,Map!$A:$A,Map!D:D)</f>
        <v>Stockholder's equity</v>
      </c>
      <c r="I77" t="str">
        <f>_xlfn.XLOOKUP($A77,Map!$A:$A,Map!E:E)</f>
        <v>Retained earnings</v>
      </c>
      <c r="J77" t="str">
        <f>_xlfn.XLOOKUP($A77,Map!$A:$A,Map!F:F)</f>
        <v>Retained earnings</v>
      </c>
    </row>
    <row r="78" spans="1:10" hidden="1" x14ac:dyDescent="0.25">
      <c r="A78" s="1">
        <v>330001</v>
      </c>
      <c r="B78" s="1" t="s">
        <v>107</v>
      </c>
      <c r="C78" s="3">
        <v>0</v>
      </c>
      <c r="D78" s="3">
        <v>0</v>
      </c>
      <c r="E78" s="3">
        <v>1766750</v>
      </c>
      <c r="F78" s="3">
        <v>-1766750</v>
      </c>
      <c r="G78" t="str">
        <f>_xlfn.XLOOKUP($A78,Map!$A:$A,Map!C:C)</f>
        <v>BS</v>
      </c>
      <c r="H78" t="str">
        <f>_xlfn.XLOOKUP($A78,Map!$A:$A,Map!D:D)</f>
        <v>Stockholder's equity</v>
      </c>
      <c r="I78" t="str">
        <f>_xlfn.XLOOKUP($A78,Map!$A:$A,Map!E:E)</f>
        <v>Retained earnings</v>
      </c>
      <c r="J78" t="str">
        <f>_xlfn.XLOOKUP($A78,Map!$A:$A,Map!F:F)</f>
        <v>Retained earnings</v>
      </c>
    </row>
    <row r="79" spans="1:10" hidden="1" x14ac:dyDescent="0.25">
      <c r="A79" s="1">
        <v>330002</v>
      </c>
      <c r="B79" s="1" t="s">
        <v>108</v>
      </c>
      <c r="C79" s="3">
        <v>0</v>
      </c>
      <c r="D79" s="3">
        <v>0</v>
      </c>
      <c r="E79" s="3">
        <v>33568250</v>
      </c>
      <c r="F79" s="3">
        <v>-33568250</v>
      </c>
      <c r="G79" t="str">
        <f>_xlfn.XLOOKUP($A79,Map!$A:$A,Map!C:C)</f>
        <v>BS</v>
      </c>
      <c r="H79" t="str">
        <f>_xlfn.XLOOKUP($A79,Map!$A:$A,Map!D:D)</f>
        <v>Stockholder's equity</v>
      </c>
      <c r="I79" t="str">
        <f>_xlfn.XLOOKUP($A79,Map!$A:$A,Map!E:E)</f>
        <v>Share capital</v>
      </c>
      <c r="J79" t="str">
        <f>_xlfn.XLOOKUP($A79,Map!$A:$A,Map!F:F)</f>
        <v>Share capital</v>
      </c>
    </row>
    <row r="80" spans="1:10" hidden="1" x14ac:dyDescent="0.25">
      <c r="A80" s="1">
        <v>410001</v>
      </c>
      <c r="B80" s="1" t="s">
        <v>110</v>
      </c>
      <c r="C80" s="3">
        <v>0</v>
      </c>
      <c r="D80" s="3">
        <v>130046966.742</v>
      </c>
      <c r="E80" s="3">
        <v>315140185.361</v>
      </c>
      <c r="F80" s="3">
        <v>-185093218.61899999</v>
      </c>
      <c r="G80" t="str">
        <f>_xlfn.XLOOKUP($A80,Map!$A:$A,Map!C:C)</f>
        <v>IS</v>
      </c>
      <c r="H80" t="str">
        <f>_xlfn.XLOOKUP($A80,Map!$A:$A,Map!D:D)</f>
        <v>Sales</v>
      </c>
      <c r="I80" t="str">
        <f>_xlfn.XLOOKUP($A80,Map!$A:$A,Map!E:E)</f>
        <v>Sales</v>
      </c>
      <c r="J80" t="str">
        <f>_xlfn.XLOOKUP($A80,Map!$A:$A,Map!F:F)</f>
        <v>Trading revenue</v>
      </c>
    </row>
    <row r="81" spans="1:10" hidden="1" x14ac:dyDescent="0.25">
      <c r="A81" s="1">
        <v>410002</v>
      </c>
      <c r="B81" s="1" t="s">
        <v>111</v>
      </c>
      <c r="C81" s="3">
        <v>0</v>
      </c>
      <c r="D81" s="3">
        <v>4895495.4709999999</v>
      </c>
      <c r="E81" s="3">
        <v>8489.7800000000007</v>
      </c>
      <c r="F81" s="3">
        <v>4887005.6909999996</v>
      </c>
      <c r="G81" t="str">
        <f>_xlfn.XLOOKUP($A81,Map!$A:$A,Map!C:C)</f>
        <v>IS</v>
      </c>
      <c r="H81" t="str">
        <f>_xlfn.XLOOKUP($A81,Map!$A:$A,Map!D:D)</f>
        <v>Sales</v>
      </c>
      <c r="I81" t="str">
        <f>_xlfn.XLOOKUP($A81,Map!$A:$A,Map!E:E)</f>
        <v>Sales</v>
      </c>
      <c r="J81" t="str">
        <f>_xlfn.XLOOKUP($A81,Map!$A:$A,Map!F:F)</f>
        <v>Trading revenue</v>
      </c>
    </row>
    <row r="82" spans="1:10" hidden="1" x14ac:dyDescent="0.25">
      <c r="A82" s="1">
        <v>410003</v>
      </c>
      <c r="B82" s="1" t="s">
        <v>112</v>
      </c>
      <c r="C82" s="3">
        <v>0</v>
      </c>
      <c r="D82" s="3">
        <v>130633.973</v>
      </c>
      <c r="E82" s="3">
        <v>35750.567999999999</v>
      </c>
      <c r="F82" s="3">
        <v>94883.404999999999</v>
      </c>
      <c r="G82" t="str">
        <f>_xlfn.XLOOKUP($A82,Map!$A:$A,Map!C:C)</f>
        <v>IS</v>
      </c>
      <c r="H82" t="str">
        <f>_xlfn.XLOOKUP($A82,Map!$A:$A,Map!D:D)</f>
        <v>Sales</v>
      </c>
      <c r="I82" t="str">
        <f>_xlfn.XLOOKUP($A82,Map!$A:$A,Map!E:E)</f>
        <v>Sales</v>
      </c>
      <c r="J82" t="str">
        <f>_xlfn.XLOOKUP($A82,Map!$A:$A,Map!F:F)</f>
        <v>Trading revenue</v>
      </c>
    </row>
    <row r="83" spans="1:10" hidden="1" x14ac:dyDescent="0.25">
      <c r="A83" s="1">
        <v>410004</v>
      </c>
      <c r="B83" s="1" t="s">
        <v>113</v>
      </c>
      <c r="C83" s="3">
        <v>0</v>
      </c>
      <c r="D83" s="3">
        <v>0</v>
      </c>
      <c r="E83" s="3">
        <v>263041.3</v>
      </c>
      <c r="F83" s="3">
        <v>-263041.3</v>
      </c>
      <c r="G83" t="str">
        <f>_xlfn.XLOOKUP($A83,Map!$A:$A,Map!C:C)</f>
        <v>IS</v>
      </c>
      <c r="H83" t="str">
        <f>_xlfn.XLOOKUP($A83,Map!$A:$A,Map!D:D)</f>
        <v>Sales</v>
      </c>
      <c r="I83" t="str">
        <f>_xlfn.XLOOKUP($A83,Map!$A:$A,Map!E:E)</f>
        <v>Sales</v>
      </c>
      <c r="J83" t="str">
        <f>_xlfn.XLOOKUP($A83,Map!$A:$A,Map!F:F)</f>
        <v>Scrap sales</v>
      </c>
    </row>
    <row r="84" spans="1:10" hidden="1" x14ac:dyDescent="0.25">
      <c r="A84" s="1">
        <v>420003</v>
      </c>
      <c r="B84" s="1" t="s">
        <v>115</v>
      </c>
      <c r="C84" s="3">
        <v>0</v>
      </c>
      <c r="D84" s="3">
        <v>0.44</v>
      </c>
      <c r="E84" s="3">
        <v>0.44</v>
      </c>
      <c r="F84" s="3">
        <v>0</v>
      </c>
      <c r="G84" t="str">
        <f>_xlfn.XLOOKUP($A84,Map!$A:$A,Map!C:C)</f>
        <v>IS</v>
      </c>
      <c r="H84" t="str">
        <f>_xlfn.XLOOKUP($A84,Map!$A:$A,Map!D:D)</f>
        <v>Sales</v>
      </c>
      <c r="I84" t="str">
        <f>_xlfn.XLOOKUP($A84,Map!$A:$A,Map!E:E)</f>
        <v>Sales</v>
      </c>
      <c r="J84" t="str">
        <f>_xlfn.XLOOKUP($A84,Map!$A:$A,Map!F:F)</f>
        <v>Scrap sales</v>
      </c>
    </row>
    <row r="85" spans="1:10" x14ac:dyDescent="0.25">
      <c r="A85" s="1">
        <v>510001</v>
      </c>
      <c r="B85" s="1" t="s">
        <v>116</v>
      </c>
      <c r="C85" s="3">
        <v>0</v>
      </c>
      <c r="D85" s="3">
        <v>172335582.11899999</v>
      </c>
      <c r="E85" s="3">
        <v>40954291.740999997</v>
      </c>
      <c r="F85" s="3">
        <v>131381290.37800001</v>
      </c>
      <c r="G85" t="str">
        <f>_xlfn.XLOOKUP($A85,Map!$A:$A,Map!C:C)</f>
        <v>IS</v>
      </c>
      <c r="H85" t="str">
        <f>_xlfn.XLOOKUP($A85,Map!$A:$A,Map!D:D)</f>
        <v>Cost of sales</v>
      </c>
      <c r="I85" t="str">
        <f>_xlfn.XLOOKUP($A85,Map!$A:$A,Map!E:E)</f>
        <v>Raw materials</v>
      </c>
      <c r="J85" t="str">
        <f>_xlfn.XLOOKUP($A85,Map!$A:$A,Map!F:F)</f>
        <v>Raw materials</v>
      </c>
    </row>
    <row r="86" spans="1:10" hidden="1" x14ac:dyDescent="0.25">
      <c r="A86" s="1">
        <v>510002</v>
      </c>
      <c r="B86" s="1" t="s">
        <v>117</v>
      </c>
      <c r="C86" s="3">
        <v>0</v>
      </c>
      <c r="D86" s="3">
        <v>9061978.4670000002</v>
      </c>
      <c r="E86" s="3">
        <v>3266063.702</v>
      </c>
      <c r="F86" s="3">
        <v>5795914.7649999997</v>
      </c>
      <c r="G86" t="str">
        <f>_xlfn.XLOOKUP($A86,Map!$A:$A,Map!C:C)</f>
        <v>IS</v>
      </c>
      <c r="H86" t="str">
        <f>_xlfn.XLOOKUP($A86,Map!$A:$A,Map!D:D)</f>
        <v>Cost of sales</v>
      </c>
      <c r="I86" t="str">
        <f>_xlfn.XLOOKUP($A86,Map!$A:$A,Map!E:E)</f>
        <v>Direct Labor</v>
      </c>
      <c r="J86" t="str">
        <f>_xlfn.XLOOKUP($A86,Map!$A:$A,Map!F:F)</f>
        <v>Direct Labor</v>
      </c>
    </row>
    <row r="87" spans="1:10" x14ac:dyDescent="0.25">
      <c r="A87" s="1">
        <v>510003</v>
      </c>
      <c r="B87" s="1" t="s">
        <v>118</v>
      </c>
      <c r="C87" s="3">
        <v>0</v>
      </c>
      <c r="D87" s="3">
        <v>22528180.565000001</v>
      </c>
      <c r="E87" s="3">
        <v>20981016.307999998</v>
      </c>
      <c r="F87" s="3">
        <v>1547164.257</v>
      </c>
      <c r="G87" t="str">
        <f>_xlfn.XLOOKUP($A87,Map!$A:$A,Map!C:C)</f>
        <v>IS</v>
      </c>
      <c r="H87" t="str">
        <f>_xlfn.XLOOKUP($A87,Map!$A:$A,Map!D:D)</f>
        <v>Cost of sales</v>
      </c>
      <c r="I87" t="str">
        <f>_xlfn.XLOOKUP($A87,Map!$A:$A,Map!E:E)</f>
        <v>Raw materials</v>
      </c>
      <c r="J87" t="str">
        <f>_xlfn.XLOOKUP($A87,Map!$A:$A,Map!F:F)</f>
        <v>Raw materials</v>
      </c>
    </row>
    <row r="88" spans="1:10" x14ac:dyDescent="0.25">
      <c r="A88" s="1">
        <v>510004</v>
      </c>
      <c r="B88" s="1" t="s">
        <v>119</v>
      </c>
      <c r="C88" s="3">
        <v>0</v>
      </c>
      <c r="D88" s="3">
        <v>16131977.072000001</v>
      </c>
      <c r="E88" s="3">
        <v>8359359.9819999998</v>
      </c>
      <c r="F88" s="3">
        <v>7772617.0899999999</v>
      </c>
      <c r="G88" t="str">
        <f>_xlfn.XLOOKUP($A88,Map!$A:$A,Map!C:C)</f>
        <v>IS</v>
      </c>
      <c r="H88" t="str">
        <f>_xlfn.XLOOKUP($A88,Map!$A:$A,Map!D:D)</f>
        <v>Cost of sales</v>
      </c>
      <c r="I88" t="str">
        <f>_xlfn.XLOOKUP($A88,Map!$A:$A,Map!E:E)</f>
        <v>Raw materials</v>
      </c>
      <c r="J88" t="str">
        <f>_xlfn.XLOOKUP($A88,Map!$A:$A,Map!F:F)</f>
        <v>Other expenses</v>
      </c>
    </row>
    <row r="89" spans="1:10" x14ac:dyDescent="0.25">
      <c r="A89" s="1">
        <v>510005</v>
      </c>
      <c r="B89" s="1" t="s">
        <v>120</v>
      </c>
      <c r="C89" s="3">
        <v>0</v>
      </c>
      <c r="D89" s="3">
        <v>476977.89</v>
      </c>
      <c r="E89" s="3">
        <v>476977.89199999999</v>
      </c>
      <c r="F89" s="3">
        <v>-2E-3</v>
      </c>
      <c r="G89" t="str">
        <f>_xlfn.XLOOKUP($A89,Map!$A:$A,Map!C:C)</f>
        <v>IS</v>
      </c>
      <c r="H89" t="str">
        <f>_xlfn.XLOOKUP($A89,Map!$A:$A,Map!D:D)</f>
        <v>Cost of sales</v>
      </c>
      <c r="I89" t="str">
        <f>_xlfn.XLOOKUP($A89,Map!$A:$A,Map!E:E)</f>
        <v>Raw materials</v>
      </c>
      <c r="J89" t="str">
        <f>_xlfn.XLOOKUP($A89,Map!$A:$A,Map!F:F)</f>
        <v>Other expenses</v>
      </c>
    </row>
    <row r="90" spans="1:10" hidden="1" x14ac:dyDescent="0.25">
      <c r="A90" s="1">
        <v>520001</v>
      </c>
      <c r="B90" s="1" t="s">
        <v>121</v>
      </c>
      <c r="C90" s="3">
        <v>0</v>
      </c>
      <c r="D90" s="3">
        <v>966530.38100000005</v>
      </c>
      <c r="E90" s="3">
        <v>966530.38</v>
      </c>
      <c r="F90" s="3">
        <v>1E-3</v>
      </c>
      <c r="G90" t="str">
        <f>_xlfn.XLOOKUP($A90,Map!$A:$A,Map!C:C)</f>
        <v>IS</v>
      </c>
      <c r="H90" t="str">
        <f>_xlfn.XLOOKUP($A90,Map!$A:$A,Map!D:D)</f>
        <v>Cost of sales</v>
      </c>
      <c r="I90" t="str">
        <f>_xlfn.XLOOKUP($A90,Map!$A:$A,Map!E:E)</f>
        <v>Direct Labor</v>
      </c>
      <c r="J90" t="str">
        <f>_xlfn.XLOOKUP($A90,Map!$A:$A,Map!F:F)</f>
        <v>Salaries and wages</v>
      </c>
    </row>
    <row r="91" spans="1:10" hidden="1" x14ac:dyDescent="0.25">
      <c r="A91" s="1">
        <v>520002</v>
      </c>
      <c r="B91" s="1" t="s">
        <v>122</v>
      </c>
      <c r="C91" s="3">
        <v>0</v>
      </c>
      <c r="D91" s="3">
        <v>743</v>
      </c>
      <c r="E91" s="3">
        <v>743</v>
      </c>
      <c r="F91" s="3">
        <v>0</v>
      </c>
      <c r="G91" t="str">
        <f>_xlfn.XLOOKUP($A91,Map!$A:$A,Map!C:C)</f>
        <v>IS</v>
      </c>
      <c r="H91" t="str">
        <f>_xlfn.XLOOKUP($A91,Map!$A:$A,Map!D:D)</f>
        <v>Cost of sales</v>
      </c>
      <c r="I91" t="str">
        <f>_xlfn.XLOOKUP($A91,Map!$A:$A,Map!E:E)</f>
        <v>Direct Labor</v>
      </c>
      <c r="J91" t="str">
        <f>_xlfn.XLOOKUP($A91,Map!$A:$A,Map!F:F)</f>
        <v>Overtime pay</v>
      </c>
    </row>
    <row r="92" spans="1:10" hidden="1" x14ac:dyDescent="0.25">
      <c r="A92" s="1">
        <v>520003</v>
      </c>
      <c r="B92" s="1" t="s">
        <v>123</v>
      </c>
      <c r="C92" s="3">
        <v>0</v>
      </c>
      <c r="D92" s="3">
        <v>21622</v>
      </c>
      <c r="E92" s="3">
        <v>21622</v>
      </c>
      <c r="F92" s="3">
        <v>0</v>
      </c>
      <c r="G92" t="str">
        <f>_xlfn.XLOOKUP($A92,Map!$A:$A,Map!C:C)</f>
        <v>IS</v>
      </c>
      <c r="H92" t="str">
        <f>_xlfn.XLOOKUP($A92,Map!$A:$A,Map!D:D)</f>
        <v>Cost of sales</v>
      </c>
      <c r="I92" t="str">
        <f>_xlfn.XLOOKUP($A92,Map!$A:$A,Map!E:E)</f>
        <v>Direct Labor</v>
      </c>
      <c r="J92" t="str">
        <f>_xlfn.XLOOKUP($A92,Map!$A:$A,Map!F:F)</f>
        <v>Transportation allowance</v>
      </c>
    </row>
    <row r="93" spans="1:10" hidden="1" x14ac:dyDescent="0.25">
      <c r="A93" s="1">
        <v>520004</v>
      </c>
      <c r="B93" s="1" t="s">
        <v>124</v>
      </c>
      <c r="C93" s="3">
        <v>0</v>
      </c>
      <c r="D93" s="3">
        <v>54080.118999999999</v>
      </c>
      <c r="E93" s="3">
        <v>54080.118999999999</v>
      </c>
      <c r="F93" s="3">
        <v>0</v>
      </c>
      <c r="G93" t="str">
        <f>_xlfn.XLOOKUP($A93,Map!$A:$A,Map!C:C)</f>
        <v>IS</v>
      </c>
      <c r="H93" t="str">
        <f>_xlfn.XLOOKUP($A93,Map!$A:$A,Map!D:D)</f>
        <v>Cost of sales</v>
      </c>
      <c r="I93" t="str">
        <f>_xlfn.XLOOKUP($A93,Map!$A:$A,Map!E:E)</f>
        <v>Direct Labor</v>
      </c>
      <c r="J93" t="str">
        <f>_xlfn.XLOOKUP($A93,Map!$A:$A,Map!F:F)</f>
        <v>Food and housing</v>
      </c>
    </row>
    <row r="94" spans="1:10" hidden="1" x14ac:dyDescent="0.25">
      <c r="A94" s="1">
        <v>520005</v>
      </c>
      <c r="B94" s="1" t="s">
        <v>125</v>
      </c>
      <c r="C94" s="3">
        <v>0</v>
      </c>
      <c r="D94" s="3">
        <v>2175</v>
      </c>
      <c r="E94" s="3">
        <v>2175</v>
      </c>
      <c r="F94" s="3">
        <v>0</v>
      </c>
      <c r="G94" t="str">
        <f>_xlfn.XLOOKUP($A94,Map!$A:$A,Map!C:C)</f>
        <v>IS</v>
      </c>
      <c r="H94" t="str">
        <f>_xlfn.XLOOKUP($A94,Map!$A:$A,Map!D:D)</f>
        <v>Cost of sales</v>
      </c>
      <c r="I94" t="str">
        <f>_xlfn.XLOOKUP($A94,Map!$A:$A,Map!E:E)</f>
        <v>Direct Labor</v>
      </c>
      <c r="J94" t="str">
        <f>_xlfn.XLOOKUP($A94,Map!$A:$A,Map!F:F)</f>
        <v>Leave pay</v>
      </c>
    </row>
    <row r="95" spans="1:10" hidden="1" x14ac:dyDescent="0.25">
      <c r="A95" s="1">
        <v>520006</v>
      </c>
      <c r="B95" s="1" t="s">
        <v>126</v>
      </c>
      <c r="C95" s="3">
        <v>0</v>
      </c>
      <c r="D95" s="3">
        <v>133752.82999999999</v>
      </c>
      <c r="E95" s="3">
        <v>133752.82999999999</v>
      </c>
      <c r="F95" s="3">
        <v>0</v>
      </c>
      <c r="G95" t="str">
        <f>_xlfn.XLOOKUP($A95,Map!$A:$A,Map!C:C)</f>
        <v>IS</v>
      </c>
      <c r="H95" t="str">
        <f>_xlfn.XLOOKUP($A95,Map!$A:$A,Map!D:D)</f>
        <v>Cost of sales</v>
      </c>
      <c r="I95" t="str">
        <f>_xlfn.XLOOKUP($A95,Map!$A:$A,Map!E:E)</f>
        <v>Direct Labor</v>
      </c>
      <c r="J95" t="str">
        <f>_xlfn.XLOOKUP($A95,Map!$A:$A,Map!F:F)</f>
        <v>Medical insurance</v>
      </c>
    </row>
    <row r="96" spans="1:10" hidden="1" x14ac:dyDescent="0.25">
      <c r="A96" s="1">
        <v>520011</v>
      </c>
      <c r="B96" s="1" t="s">
        <v>122</v>
      </c>
      <c r="C96" s="3">
        <v>0</v>
      </c>
      <c r="D96" s="3">
        <v>209594.5</v>
      </c>
      <c r="E96" s="3">
        <v>209594.5</v>
      </c>
      <c r="F96" s="3">
        <v>0</v>
      </c>
      <c r="G96" t="str">
        <f>_xlfn.XLOOKUP($A96,Map!$A:$A,Map!C:C)</f>
        <v>IS</v>
      </c>
      <c r="H96" t="str">
        <f>_xlfn.XLOOKUP($A96,Map!$A:$A,Map!D:D)</f>
        <v>Cost of sales</v>
      </c>
      <c r="I96" t="str">
        <f>_xlfn.XLOOKUP($A96,Map!$A:$A,Map!E:E)</f>
        <v>Direct Labor</v>
      </c>
      <c r="J96" t="str">
        <f>_xlfn.XLOOKUP($A96,Map!$A:$A,Map!F:F)</f>
        <v>Overtime pay</v>
      </c>
    </row>
    <row r="97" spans="1:10" hidden="1" x14ac:dyDescent="0.25">
      <c r="A97" s="1">
        <v>520013</v>
      </c>
      <c r="B97" s="1" t="s">
        <v>124</v>
      </c>
      <c r="C97" s="3">
        <v>0</v>
      </c>
      <c r="D97" s="3">
        <v>227</v>
      </c>
      <c r="E97" s="3">
        <v>227</v>
      </c>
      <c r="F97" s="3">
        <v>0</v>
      </c>
      <c r="G97" t="str">
        <f>_xlfn.XLOOKUP($A97,Map!$A:$A,Map!C:C)</f>
        <v>IS</v>
      </c>
      <c r="H97" t="str">
        <f>_xlfn.XLOOKUP($A97,Map!$A:$A,Map!D:D)</f>
        <v>Cost of sales</v>
      </c>
      <c r="I97" t="str">
        <f>_xlfn.XLOOKUP($A97,Map!$A:$A,Map!E:E)</f>
        <v>Direct Labor</v>
      </c>
      <c r="J97" t="str">
        <f>_xlfn.XLOOKUP($A97,Map!$A:$A,Map!F:F)</f>
        <v>Food and housing</v>
      </c>
    </row>
    <row r="98" spans="1:10" hidden="1" x14ac:dyDescent="0.25">
      <c r="A98" s="1">
        <v>520014</v>
      </c>
      <c r="B98" s="1" t="s">
        <v>125</v>
      </c>
      <c r="C98" s="3">
        <v>0</v>
      </c>
      <c r="D98" s="3">
        <v>1350</v>
      </c>
      <c r="E98" s="3">
        <v>1350</v>
      </c>
      <c r="F98" s="3">
        <v>0</v>
      </c>
      <c r="G98" t="str">
        <f>_xlfn.XLOOKUP($A98,Map!$A:$A,Map!C:C)</f>
        <v>IS</v>
      </c>
      <c r="H98" t="str">
        <f>_xlfn.XLOOKUP($A98,Map!$A:$A,Map!D:D)</f>
        <v>Cost of sales</v>
      </c>
      <c r="I98" t="str">
        <f>_xlfn.XLOOKUP($A98,Map!$A:$A,Map!E:E)</f>
        <v>Direct Labor</v>
      </c>
      <c r="J98" t="str">
        <f>_xlfn.XLOOKUP($A98,Map!$A:$A,Map!F:F)</f>
        <v>Leave pay</v>
      </c>
    </row>
    <row r="99" spans="1:10" hidden="1" x14ac:dyDescent="0.25">
      <c r="A99" s="1">
        <v>520021</v>
      </c>
      <c r="B99" s="1" t="s">
        <v>129</v>
      </c>
      <c r="C99" s="3">
        <v>0</v>
      </c>
      <c r="D99" s="3">
        <v>29659.64</v>
      </c>
      <c r="E99" s="3">
        <v>29659.64</v>
      </c>
      <c r="F99" s="3">
        <v>0</v>
      </c>
      <c r="G99" t="str">
        <f>_xlfn.XLOOKUP($A99,Map!$A:$A,Map!C:C)</f>
        <v>IS</v>
      </c>
      <c r="H99" t="str">
        <f>_xlfn.XLOOKUP($A99,Map!$A:$A,Map!D:D)</f>
        <v>Cost of sales</v>
      </c>
      <c r="I99" t="str">
        <f>_xlfn.XLOOKUP($A99,Map!$A:$A,Map!E:E)</f>
        <v>Direct Labor</v>
      </c>
      <c r="J99" t="str">
        <f>_xlfn.XLOOKUP($A99,Map!$A:$A,Map!F:F)</f>
        <v>Medical insurance</v>
      </c>
    </row>
    <row r="100" spans="1:10" hidden="1" x14ac:dyDescent="0.25">
      <c r="A100" s="1">
        <v>520022</v>
      </c>
      <c r="B100" s="1" t="s">
        <v>130</v>
      </c>
      <c r="C100" s="3">
        <v>0</v>
      </c>
      <c r="D100" s="3">
        <v>150</v>
      </c>
      <c r="E100" s="3">
        <v>150</v>
      </c>
      <c r="F100" s="3">
        <v>0</v>
      </c>
      <c r="G100" t="str">
        <f>_xlfn.XLOOKUP($A100,Map!$A:$A,Map!C:C)</f>
        <v>IS</v>
      </c>
      <c r="H100" t="str">
        <f>_xlfn.XLOOKUP($A100,Map!$A:$A,Map!D:D)</f>
        <v>Cost of sales</v>
      </c>
      <c r="I100" t="str">
        <f>_xlfn.XLOOKUP($A100,Map!$A:$A,Map!E:E)</f>
        <v>Direct Labor</v>
      </c>
      <c r="J100" t="str">
        <f>_xlfn.XLOOKUP($A100,Map!$A:$A,Map!F:F)</f>
        <v>Iqama renewal</v>
      </c>
    </row>
    <row r="101" spans="1:10" x14ac:dyDescent="0.25">
      <c r="A101" s="1">
        <v>520032</v>
      </c>
      <c r="B101" s="1" t="s">
        <v>131</v>
      </c>
      <c r="C101" s="3">
        <v>0</v>
      </c>
      <c r="D101" s="3">
        <v>6900</v>
      </c>
      <c r="E101" s="3">
        <v>6900</v>
      </c>
      <c r="F101" s="3">
        <v>0</v>
      </c>
      <c r="G101" t="str">
        <f>_xlfn.XLOOKUP($A101,Map!$A:$A,Map!C:C)</f>
        <v>IS</v>
      </c>
      <c r="H101" t="str">
        <f>_xlfn.XLOOKUP($A101,Map!$A:$A,Map!D:D)</f>
        <v>Cost of sales</v>
      </c>
      <c r="I101" t="str">
        <f>_xlfn.XLOOKUP($A101,Map!$A:$A,Map!E:E)</f>
        <v>Raw materials</v>
      </c>
      <c r="J101" t="str">
        <f>_xlfn.XLOOKUP($A101,Map!$A:$A,Map!F:F)</f>
        <v>Consumables</v>
      </c>
    </row>
    <row r="102" spans="1:10" x14ac:dyDescent="0.25">
      <c r="A102" s="1">
        <v>520037</v>
      </c>
      <c r="B102" s="1" t="s">
        <v>133</v>
      </c>
      <c r="C102" s="3">
        <v>0</v>
      </c>
      <c r="D102" s="3">
        <v>7934649.2050000001</v>
      </c>
      <c r="E102" s="3">
        <v>7934649.2039999999</v>
      </c>
      <c r="F102" s="3">
        <v>1E-3</v>
      </c>
      <c r="G102" t="str">
        <f>_xlfn.XLOOKUP($A102,Map!$A:$A,Map!C:C)</f>
        <v>IS</v>
      </c>
      <c r="H102" t="str">
        <f>_xlfn.XLOOKUP($A102,Map!$A:$A,Map!D:D)</f>
        <v>Cost of sales</v>
      </c>
      <c r="I102" t="str">
        <f>_xlfn.XLOOKUP($A102,Map!$A:$A,Map!E:E)</f>
        <v>Raw materials</v>
      </c>
      <c r="J102" t="str">
        <f>_xlfn.XLOOKUP($A102,Map!$A:$A,Map!F:F)</f>
        <v>Raw materials</v>
      </c>
    </row>
    <row r="103" spans="1:10" x14ac:dyDescent="0.25">
      <c r="A103" s="1">
        <v>520040</v>
      </c>
      <c r="B103" s="1" t="s">
        <v>134</v>
      </c>
      <c r="C103" s="3">
        <v>0</v>
      </c>
      <c r="D103" s="3">
        <v>1525724.04</v>
      </c>
      <c r="E103" s="3">
        <v>1525724.0419999999</v>
      </c>
      <c r="F103" s="3">
        <v>-2E-3</v>
      </c>
      <c r="G103" t="str">
        <f>_xlfn.XLOOKUP($A103,Map!$A:$A,Map!C:C)</f>
        <v>IS</v>
      </c>
      <c r="H103" t="str">
        <f>_xlfn.XLOOKUP($A103,Map!$A:$A,Map!D:D)</f>
        <v>Cost of sales</v>
      </c>
      <c r="I103" t="str">
        <f>_xlfn.XLOOKUP($A103,Map!$A:$A,Map!E:E)</f>
        <v>Raw materials</v>
      </c>
      <c r="J103" t="str">
        <f>_xlfn.XLOOKUP($A103,Map!$A:$A,Map!F:F)</f>
        <v>Other expenses</v>
      </c>
    </row>
    <row r="104" spans="1:10" x14ac:dyDescent="0.25">
      <c r="A104" s="1">
        <v>520041</v>
      </c>
      <c r="B104" s="1" t="s">
        <v>135</v>
      </c>
      <c r="C104" s="3">
        <v>0</v>
      </c>
      <c r="D104" s="3">
        <v>9351428.5260000005</v>
      </c>
      <c r="E104" s="3">
        <v>9351428.523</v>
      </c>
      <c r="F104" s="3">
        <v>3.0000000000000001E-3</v>
      </c>
      <c r="G104" t="str">
        <f>_xlfn.XLOOKUP($A104,Map!$A:$A,Map!C:C)</f>
        <v>IS</v>
      </c>
      <c r="H104" t="str">
        <f>_xlfn.XLOOKUP($A104,Map!$A:$A,Map!D:D)</f>
        <v>Cost of sales</v>
      </c>
      <c r="I104" t="str">
        <f>_xlfn.XLOOKUP($A104,Map!$A:$A,Map!E:E)</f>
        <v>Raw materials</v>
      </c>
      <c r="J104" t="str">
        <f>_xlfn.XLOOKUP($A104,Map!$A:$A,Map!F:F)</f>
        <v>Other expenses</v>
      </c>
    </row>
    <row r="105" spans="1:10" x14ac:dyDescent="0.25">
      <c r="A105" s="1">
        <v>520042</v>
      </c>
      <c r="B105" s="1" t="s">
        <v>136</v>
      </c>
      <c r="C105" s="3">
        <v>0</v>
      </c>
      <c r="D105" s="3">
        <v>99513825.002000004</v>
      </c>
      <c r="E105" s="3">
        <v>99513825.003000006</v>
      </c>
      <c r="F105" s="3">
        <v>-1E-3</v>
      </c>
      <c r="G105" t="str">
        <f>_xlfn.XLOOKUP($A105,Map!$A:$A,Map!C:C)</f>
        <v>IS</v>
      </c>
      <c r="H105" t="str">
        <f>_xlfn.XLOOKUP($A105,Map!$A:$A,Map!D:D)</f>
        <v>Cost of sales</v>
      </c>
      <c r="I105" t="str">
        <f>_xlfn.XLOOKUP($A105,Map!$A:$A,Map!E:E)</f>
        <v>Raw materials</v>
      </c>
      <c r="J105" t="str">
        <f>_xlfn.XLOOKUP($A105,Map!$A:$A,Map!F:F)</f>
        <v>Inventory Adjustment</v>
      </c>
    </row>
    <row r="106" spans="1:10" hidden="1" x14ac:dyDescent="0.25">
      <c r="A106" s="1">
        <v>600001</v>
      </c>
      <c r="B106" s="1" t="s">
        <v>137</v>
      </c>
      <c r="C106" s="3">
        <v>0</v>
      </c>
      <c r="D106" s="3">
        <v>1480216.95</v>
      </c>
      <c r="E106" s="3">
        <v>1480216.95</v>
      </c>
      <c r="F106" s="3">
        <v>0</v>
      </c>
      <c r="G106" t="str">
        <f>_xlfn.XLOOKUP($A106,Map!$A:$A,Map!C:C)</f>
        <v>IS</v>
      </c>
      <c r="H106" t="str">
        <f>_xlfn.XLOOKUP($A106,Map!$A:$A,Map!D:D)</f>
        <v>Cost of sales</v>
      </c>
      <c r="I106" t="str">
        <f>_xlfn.XLOOKUP($A106,Map!$A:$A,Map!E:E)</f>
        <v>Overhead - Labor Cost</v>
      </c>
      <c r="J106" t="str">
        <f>_xlfn.XLOOKUP($A106,Map!$A:$A,Map!F:F)</f>
        <v>Salaries and wages</v>
      </c>
    </row>
    <row r="107" spans="1:10" hidden="1" x14ac:dyDescent="0.25">
      <c r="A107" s="1">
        <v>600002</v>
      </c>
      <c r="B107" s="1" t="s">
        <v>138</v>
      </c>
      <c r="C107" s="3">
        <v>0</v>
      </c>
      <c r="D107" s="3">
        <v>284009</v>
      </c>
      <c r="E107" s="3">
        <v>284009</v>
      </c>
      <c r="F107" s="3">
        <v>0</v>
      </c>
      <c r="G107" t="str">
        <f>_xlfn.XLOOKUP($A107,Map!$A:$A,Map!C:C)</f>
        <v>IS</v>
      </c>
      <c r="H107" t="str">
        <f>_xlfn.XLOOKUP($A107,Map!$A:$A,Map!D:D)</f>
        <v>Cost of sales</v>
      </c>
      <c r="I107" t="str">
        <f>_xlfn.XLOOKUP($A107,Map!$A:$A,Map!E:E)</f>
        <v>Overhead - Labor Cost</v>
      </c>
      <c r="J107" t="str">
        <f>_xlfn.XLOOKUP($A107,Map!$A:$A,Map!F:F)</f>
        <v>Overtime pay</v>
      </c>
    </row>
    <row r="108" spans="1:10" hidden="1" x14ac:dyDescent="0.25">
      <c r="A108" s="1">
        <v>600003</v>
      </c>
      <c r="B108" s="1" t="s">
        <v>139</v>
      </c>
      <c r="C108" s="3">
        <v>0</v>
      </c>
      <c r="D108" s="3">
        <v>65096</v>
      </c>
      <c r="E108" s="3">
        <v>65096</v>
      </c>
      <c r="F108" s="3">
        <v>0</v>
      </c>
      <c r="G108" t="str">
        <f>_xlfn.XLOOKUP($A108,Map!$A:$A,Map!C:C)</f>
        <v>IS</v>
      </c>
      <c r="H108" t="str">
        <f>_xlfn.XLOOKUP($A108,Map!$A:$A,Map!D:D)</f>
        <v>Cost of sales</v>
      </c>
      <c r="I108" t="str">
        <f>_xlfn.XLOOKUP($A108,Map!$A:$A,Map!E:E)</f>
        <v>Overhead - Labor Cost</v>
      </c>
      <c r="J108" t="str">
        <f>_xlfn.XLOOKUP($A108,Map!$A:$A,Map!F:F)</f>
        <v xml:space="preserve">Food &amp; Housing </v>
      </c>
    </row>
    <row r="109" spans="1:10" hidden="1" x14ac:dyDescent="0.25">
      <c r="A109" s="1">
        <v>600004</v>
      </c>
      <c r="B109" s="1" t="s">
        <v>140</v>
      </c>
      <c r="C109" s="3">
        <v>0</v>
      </c>
      <c r="D109" s="3">
        <v>154512.64000000001</v>
      </c>
      <c r="E109" s="3">
        <v>154512.64000000001</v>
      </c>
      <c r="F109" s="3">
        <v>0</v>
      </c>
      <c r="G109" t="str">
        <f>_xlfn.XLOOKUP($A109,Map!$A:$A,Map!C:C)</f>
        <v>IS</v>
      </c>
      <c r="H109" t="str">
        <f>_xlfn.XLOOKUP($A109,Map!$A:$A,Map!D:D)</f>
        <v>Cost of sales</v>
      </c>
      <c r="I109" t="str">
        <f>_xlfn.XLOOKUP($A109,Map!$A:$A,Map!E:E)</f>
        <v>Overhead - Labor Cost</v>
      </c>
      <c r="J109" t="str">
        <f>_xlfn.XLOOKUP($A109,Map!$A:$A,Map!F:F)</f>
        <v>Medical insurance</v>
      </c>
    </row>
    <row r="110" spans="1:10" hidden="1" x14ac:dyDescent="0.25">
      <c r="A110" s="40">
        <v>600005</v>
      </c>
      <c r="B110" s="40" t="s">
        <v>141</v>
      </c>
      <c r="C110" s="3">
        <v>0</v>
      </c>
      <c r="D110" s="6">
        <v>294613</v>
      </c>
      <c r="E110" s="6">
        <v>294613</v>
      </c>
      <c r="F110" s="6">
        <v>0</v>
      </c>
      <c r="G110" t="str">
        <f>_xlfn.XLOOKUP($A110,Map!$A:$A,Map!C:C)</f>
        <v>IS</v>
      </c>
      <c r="H110" t="str">
        <f>_xlfn.XLOOKUP($A110,Map!$A:$A,Map!D:D)</f>
        <v>General and Admin</v>
      </c>
      <c r="I110" t="str">
        <f>_xlfn.XLOOKUP($A110,Map!$A:$A,Map!E:E)</f>
        <v>Govt license and fees (including modon)</v>
      </c>
      <c r="J110" t="str">
        <f>_xlfn.XLOOKUP($A110,Map!$A:$A,Map!F:F)</f>
        <v>Government fees</v>
      </c>
    </row>
    <row r="111" spans="1:10" hidden="1" x14ac:dyDescent="0.25">
      <c r="A111" s="40">
        <v>600006</v>
      </c>
      <c r="B111" s="40" t="s">
        <v>142</v>
      </c>
      <c r="C111" s="3">
        <v>0</v>
      </c>
      <c r="D111" s="6">
        <v>247184.5</v>
      </c>
      <c r="E111" s="6">
        <v>247184.5</v>
      </c>
      <c r="F111" s="6">
        <v>0</v>
      </c>
      <c r="G111" t="str">
        <f>_xlfn.XLOOKUP($A111,Map!$A:$A,Map!C:C)</f>
        <v>IS</v>
      </c>
      <c r="H111" t="str">
        <f>_xlfn.XLOOKUP($A111,Map!$A:$A,Map!D:D)</f>
        <v>Cost of sales</v>
      </c>
      <c r="I111" t="str">
        <f>_xlfn.XLOOKUP($A111,Map!$A:$A,Map!E:E)</f>
        <v>Overhead - Labor Cost</v>
      </c>
      <c r="J111" t="str">
        <f>_xlfn.XLOOKUP($A111,Map!$A:$A,Map!F:F)</f>
        <v xml:space="preserve">Food &amp; Housing </v>
      </c>
    </row>
    <row r="112" spans="1:10" hidden="1" x14ac:dyDescent="0.25">
      <c r="A112" s="40">
        <v>600007</v>
      </c>
      <c r="B112" s="40" t="s">
        <v>143</v>
      </c>
      <c r="C112" s="3">
        <v>0</v>
      </c>
      <c r="D112" s="6">
        <v>6367</v>
      </c>
      <c r="E112" s="6">
        <v>6367</v>
      </c>
      <c r="F112" s="6">
        <v>0</v>
      </c>
      <c r="G112" t="str">
        <f>_xlfn.XLOOKUP($A112,Map!$A:$A,Map!C:C)</f>
        <v>IS</v>
      </c>
      <c r="H112" t="str">
        <f>_xlfn.XLOOKUP($A112,Map!$A:$A,Map!D:D)</f>
        <v>Cost of sales</v>
      </c>
      <c r="I112" t="str">
        <f>_xlfn.XLOOKUP($A112,Map!$A:$A,Map!E:E)</f>
        <v>Overhead - Labor Cost</v>
      </c>
      <c r="J112" t="str">
        <f>_xlfn.XLOOKUP($A112,Map!$A:$A,Map!F:F)</f>
        <v>Transportation allowance</v>
      </c>
    </row>
    <row r="113" spans="1:10" hidden="1" x14ac:dyDescent="0.25">
      <c r="A113" s="40">
        <v>600008</v>
      </c>
      <c r="B113" s="40" t="s">
        <v>144</v>
      </c>
      <c r="C113" s="3">
        <v>0</v>
      </c>
      <c r="D113" s="6">
        <v>97690</v>
      </c>
      <c r="E113" s="6">
        <v>97690</v>
      </c>
      <c r="F113" s="6">
        <v>0</v>
      </c>
      <c r="G113" t="str">
        <f>_xlfn.XLOOKUP($A113,Map!$A:$A,Map!C:C)</f>
        <v>IS</v>
      </c>
      <c r="H113" t="str">
        <f>_xlfn.XLOOKUP($A113,Map!$A:$A,Map!D:D)</f>
        <v>Cost of sales</v>
      </c>
      <c r="I113" t="str">
        <f>_xlfn.XLOOKUP($A113,Map!$A:$A,Map!E:E)</f>
        <v>Overhead - Labor Cost</v>
      </c>
      <c r="J113" t="str">
        <f>_xlfn.XLOOKUP($A113,Map!$A:$A,Map!F:F)</f>
        <v>Air tickets</v>
      </c>
    </row>
    <row r="114" spans="1:10" hidden="1" x14ac:dyDescent="0.25">
      <c r="A114" s="40">
        <v>600009</v>
      </c>
      <c r="B114" s="40" t="s">
        <v>145</v>
      </c>
      <c r="C114" s="3">
        <v>0</v>
      </c>
      <c r="D114" s="6">
        <v>167209</v>
      </c>
      <c r="E114" s="6">
        <v>167209</v>
      </c>
      <c r="F114" s="6">
        <v>0</v>
      </c>
      <c r="G114" t="str">
        <f>_xlfn.XLOOKUP($A114,Map!$A:$A,Map!C:C)</f>
        <v>IS</v>
      </c>
      <c r="H114" t="str">
        <f>_xlfn.XLOOKUP($A114,Map!$A:$A,Map!D:D)</f>
        <v>Cost of sales</v>
      </c>
      <c r="I114" t="str">
        <f>_xlfn.XLOOKUP($A114,Map!$A:$A,Map!E:E)</f>
        <v>Overhead - Labor Cost</v>
      </c>
      <c r="J114" t="str">
        <f>_xlfn.XLOOKUP($A114,Map!$A:$A,Map!F:F)</f>
        <v>Vacation pay</v>
      </c>
    </row>
    <row r="115" spans="1:10" hidden="1" x14ac:dyDescent="0.25">
      <c r="A115" s="40">
        <v>600011</v>
      </c>
      <c r="B115" s="40" t="s">
        <v>147</v>
      </c>
      <c r="C115" s="3">
        <v>0</v>
      </c>
      <c r="D115" s="6">
        <v>10000</v>
      </c>
      <c r="E115" s="6">
        <v>10000</v>
      </c>
      <c r="F115" s="6">
        <v>0</v>
      </c>
      <c r="G115" t="str">
        <f>_xlfn.XLOOKUP($A115,Map!$A:$A,Map!C:C)</f>
        <v>IS</v>
      </c>
      <c r="H115" t="str">
        <f>_xlfn.XLOOKUP($A115,Map!$A:$A,Map!D:D)</f>
        <v>Cost of sales</v>
      </c>
      <c r="I115" t="str">
        <f>_xlfn.XLOOKUP($A115,Map!$A:$A,Map!E:E)</f>
        <v>Overhead - Labor Cost</v>
      </c>
      <c r="J115" t="str">
        <f>_xlfn.XLOOKUP($A115,Map!$A:$A,Map!F:F)</f>
        <v>Air tickets</v>
      </c>
    </row>
    <row r="116" spans="1:10" hidden="1" x14ac:dyDescent="0.25">
      <c r="A116" s="40">
        <v>600013</v>
      </c>
      <c r="B116" s="40" t="s">
        <v>149</v>
      </c>
      <c r="C116" s="3">
        <v>0</v>
      </c>
      <c r="D116" s="6">
        <v>924</v>
      </c>
      <c r="E116" s="6">
        <v>924</v>
      </c>
      <c r="F116" s="6">
        <v>0</v>
      </c>
      <c r="G116" t="str">
        <f>_xlfn.XLOOKUP($A116,Map!$A:$A,Map!C:C)</f>
        <v>IS</v>
      </c>
      <c r="H116" t="str">
        <f>_xlfn.XLOOKUP($A116,Map!$A:$A,Map!D:D)</f>
        <v>Cost of sales</v>
      </c>
      <c r="I116" t="str">
        <f>_xlfn.XLOOKUP($A116,Map!$A:$A,Map!E:E)</f>
        <v>Overhead - Labor Cost</v>
      </c>
      <c r="J116" t="str">
        <f>_xlfn.XLOOKUP($A116,Map!$A:$A,Map!F:F)</f>
        <v>Telephone allowance</v>
      </c>
    </row>
    <row r="117" spans="1:10" hidden="1" x14ac:dyDescent="0.25">
      <c r="A117" s="1">
        <v>600014</v>
      </c>
      <c r="B117" s="1" t="s">
        <v>60</v>
      </c>
      <c r="C117" s="3">
        <v>0</v>
      </c>
      <c r="D117" s="3">
        <v>1414195.7679999999</v>
      </c>
      <c r="E117" s="3">
        <v>1414195.7660000001</v>
      </c>
      <c r="F117" s="3">
        <v>2E-3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Overhead - Consumables &amp; SP</v>
      </c>
      <c r="J117" t="str">
        <f>_xlfn.XLOOKUP($A117,Map!$A:$A,Map!F:F)</f>
        <v>Consumables</v>
      </c>
    </row>
    <row r="118" spans="1:10" hidden="1" x14ac:dyDescent="0.25">
      <c r="A118" s="1">
        <v>600015</v>
      </c>
      <c r="B118" s="1" t="s">
        <v>150</v>
      </c>
      <c r="C118" s="3">
        <v>0</v>
      </c>
      <c r="D118" s="3">
        <v>156043.72899999999</v>
      </c>
      <c r="E118" s="3">
        <v>156043.72899999999</v>
      </c>
      <c r="F118" s="3">
        <v>0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Overhead - Consumables &amp; SP</v>
      </c>
      <c r="J118" t="str">
        <f>_xlfn.XLOOKUP($A118,Map!$A:$A,Map!F:F)</f>
        <v>Consumables</v>
      </c>
    </row>
    <row r="119" spans="1:10" hidden="1" x14ac:dyDescent="0.25">
      <c r="A119" s="1">
        <v>600016</v>
      </c>
      <c r="B119" s="1" t="s">
        <v>151</v>
      </c>
      <c r="C119" s="3">
        <v>0</v>
      </c>
      <c r="D119" s="3">
        <v>3088745.8879999998</v>
      </c>
      <c r="E119" s="3">
        <v>3088745.8879999998</v>
      </c>
      <c r="F119" s="3">
        <v>0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Overhead - Consumables &amp; SP</v>
      </c>
      <c r="J119" t="str">
        <f>_xlfn.XLOOKUP($A119,Map!$A:$A,Map!F:F)</f>
        <v>Tools</v>
      </c>
    </row>
    <row r="120" spans="1:10" hidden="1" x14ac:dyDescent="0.25">
      <c r="A120" s="40">
        <v>600017</v>
      </c>
      <c r="B120" s="40" t="s">
        <v>152</v>
      </c>
      <c r="C120" s="3">
        <v>0</v>
      </c>
      <c r="D120" s="6">
        <v>1390828.88</v>
      </c>
      <c r="E120" s="6">
        <v>1390828.88</v>
      </c>
      <c r="F120" s="6">
        <v>0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Overhead - Utility</v>
      </c>
      <c r="J120" t="str">
        <f>_xlfn.XLOOKUP($A120,Map!$A:$A,Map!F:F)</f>
        <v>Electricity expenses</v>
      </c>
    </row>
    <row r="121" spans="1:10" hidden="1" x14ac:dyDescent="0.25">
      <c r="A121" s="40">
        <v>600018</v>
      </c>
      <c r="B121" s="40" t="s">
        <v>153</v>
      </c>
      <c r="C121" s="3">
        <v>0</v>
      </c>
      <c r="D121" s="6">
        <v>68572</v>
      </c>
      <c r="E121" s="6">
        <v>68572</v>
      </c>
      <c r="F121" s="6">
        <v>0</v>
      </c>
      <c r="G121" t="str">
        <f>_xlfn.XLOOKUP($A121,Map!$A:$A,Map!C:C)</f>
        <v>IS</v>
      </c>
      <c r="H121" t="str">
        <f>_xlfn.XLOOKUP($A121,Map!$A:$A,Map!D:D)</f>
        <v>Cost of sales</v>
      </c>
      <c r="I121" t="str">
        <f>_xlfn.XLOOKUP($A121,Map!$A:$A,Map!E:E)</f>
        <v>Overhead - Utility</v>
      </c>
      <c r="J121" t="str">
        <f>_xlfn.XLOOKUP($A121,Map!$A:$A,Map!F:F)</f>
        <v>Water expenses</v>
      </c>
    </row>
    <row r="122" spans="1:10" hidden="1" x14ac:dyDescent="0.25">
      <c r="A122" s="40">
        <v>600019</v>
      </c>
      <c r="B122" s="40" t="s">
        <v>154</v>
      </c>
      <c r="C122" s="3">
        <v>0</v>
      </c>
      <c r="D122" s="6">
        <v>60129.05</v>
      </c>
      <c r="E122" s="6">
        <v>60129.05</v>
      </c>
      <c r="F122" s="6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Overhead - Utility</v>
      </c>
      <c r="J122" t="str">
        <f>_xlfn.XLOOKUP($A122,Map!$A:$A,Map!F:F)</f>
        <v>Fuel and oil</v>
      </c>
    </row>
    <row r="123" spans="1:10" hidden="1" x14ac:dyDescent="0.25">
      <c r="A123" s="40">
        <v>600020</v>
      </c>
      <c r="B123" s="40" t="s">
        <v>155</v>
      </c>
      <c r="C123" s="3">
        <v>0</v>
      </c>
      <c r="D123" s="6">
        <v>221254.95199999999</v>
      </c>
      <c r="E123" s="6">
        <v>221254.95199999999</v>
      </c>
      <c r="F123" s="6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Overhead - R&amp;M</v>
      </c>
      <c r="J123" t="str">
        <f>_xlfn.XLOOKUP($A123,Map!$A:$A,Map!F:F)</f>
        <v>Machine and equipment</v>
      </c>
    </row>
    <row r="124" spans="1:10" hidden="1" x14ac:dyDescent="0.25">
      <c r="A124" s="40">
        <v>600021</v>
      </c>
      <c r="B124" s="40" t="s">
        <v>156</v>
      </c>
      <c r="C124" s="3">
        <v>0</v>
      </c>
      <c r="D124" s="6">
        <v>38872</v>
      </c>
      <c r="E124" s="6">
        <v>38872</v>
      </c>
      <c r="F124" s="6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Overhead - R&amp;M</v>
      </c>
      <c r="J124" t="str">
        <f>_xlfn.XLOOKUP($A124,Map!$A:$A,Map!F:F)</f>
        <v>Vehicle maintenance</v>
      </c>
    </row>
    <row r="125" spans="1:10" hidden="1" x14ac:dyDescent="0.25">
      <c r="A125" s="40">
        <v>600023</v>
      </c>
      <c r="B125" s="40" t="s">
        <v>158</v>
      </c>
      <c r="C125" s="3">
        <v>0</v>
      </c>
      <c r="D125" s="6">
        <v>2080</v>
      </c>
      <c r="E125" s="6">
        <v>2080</v>
      </c>
      <c r="F125" s="6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Overhead - R&amp;M</v>
      </c>
      <c r="J125" t="str">
        <f>_xlfn.XLOOKUP($A125,Map!$A:$A,Map!F:F)</f>
        <v>Office equipment maintenance</v>
      </c>
    </row>
    <row r="126" spans="1:10" hidden="1" x14ac:dyDescent="0.25">
      <c r="A126" s="40">
        <v>600024</v>
      </c>
      <c r="B126" s="40" t="s">
        <v>159</v>
      </c>
      <c r="C126" s="3">
        <v>0</v>
      </c>
      <c r="D126" s="6">
        <v>71184.5</v>
      </c>
      <c r="E126" s="6">
        <v>71184.5</v>
      </c>
      <c r="F126" s="6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Overhead - Rent</v>
      </c>
      <c r="J126" t="str">
        <f>_xlfn.XLOOKUP($A126,Map!$A:$A,Map!F:F)</f>
        <v>Pump rental expenses</v>
      </c>
    </row>
    <row r="127" spans="1:10" hidden="1" x14ac:dyDescent="0.25">
      <c r="A127" s="40">
        <v>600027</v>
      </c>
      <c r="B127" s="40" t="s">
        <v>162</v>
      </c>
      <c r="C127" s="3">
        <v>0</v>
      </c>
      <c r="D127" s="6">
        <v>528700</v>
      </c>
      <c r="E127" s="6">
        <v>528700</v>
      </c>
      <c r="F127" s="6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Overhead - Rent</v>
      </c>
      <c r="J127" t="str">
        <f>_xlfn.XLOOKUP($A127,Map!$A:$A,Map!F:F)</f>
        <v>Production hall rental</v>
      </c>
    </row>
    <row r="128" spans="1:10" hidden="1" x14ac:dyDescent="0.25">
      <c r="A128" s="40">
        <v>600028</v>
      </c>
      <c r="B128" s="40" t="s">
        <v>163</v>
      </c>
      <c r="C128" s="3">
        <v>0</v>
      </c>
      <c r="D128" s="6">
        <v>32121</v>
      </c>
      <c r="E128" s="6">
        <v>32121</v>
      </c>
      <c r="F128" s="6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Overhead - Consumables &amp; SP</v>
      </c>
      <c r="J128" t="str">
        <f>_xlfn.XLOOKUP($A128,Map!$A:$A,Map!F:F)</f>
        <v xml:space="preserve">Education &amp; Furniture Allowances </v>
      </c>
    </row>
    <row r="129" spans="1:10" hidden="1" x14ac:dyDescent="0.25">
      <c r="A129" s="40">
        <v>600029</v>
      </c>
      <c r="B129" s="40" t="s">
        <v>164</v>
      </c>
      <c r="C129" s="3">
        <v>0</v>
      </c>
      <c r="D129" s="6">
        <v>2954190.4589999998</v>
      </c>
      <c r="E129" s="6">
        <v>2954190.4589999998</v>
      </c>
      <c r="F129" s="6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Depreciation - Machines</v>
      </c>
      <c r="J129" t="str">
        <f>_xlfn.XLOOKUP($A129,Map!$A:$A,Map!F:F)</f>
        <v>Depreciation of property, plant and equipment</v>
      </c>
    </row>
    <row r="130" spans="1:10" hidden="1" x14ac:dyDescent="0.25">
      <c r="A130" s="1">
        <v>600030</v>
      </c>
      <c r="B130" s="1" t="s">
        <v>165</v>
      </c>
      <c r="C130" s="3">
        <v>0</v>
      </c>
      <c r="D130" s="3">
        <v>16978.21</v>
      </c>
      <c r="E130" s="3">
        <v>16978.21</v>
      </c>
      <c r="F130" s="3">
        <v>0</v>
      </c>
      <c r="G130" t="str">
        <f>_xlfn.XLOOKUP($A130,Map!$A:$A,Map!C:C)</f>
        <v>IS</v>
      </c>
      <c r="H130" t="str">
        <f>_xlfn.XLOOKUP($A130,Map!$A:$A,Map!D:D)</f>
        <v>Depreciation expenses</v>
      </c>
      <c r="I130" t="str">
        <f>_xlfn.XLOOKUP($A130,Map!$A:$A,Map!E:E)</f>
        <v>Depreciation expenses</v>
      </c>
      <c r="J130" t="str">
        <f>_xlfn.XLOOKUP($A130,Map!$A:$A,Map!F:F)</f>
        <v>Depreciation of property, plant and equipment</v>
      </c>
    </row>
    <row r="131" spans="1:10" hidden="1" x14ac:dyDescent="0.25">
      <c r="A131" s="1">
        <v>600031</v>
      </c>
      <c r="B131" s="1" t="s">
        <v>166</v>
      </c>
      <c r="C131" s="3">
        <v>0</v>
      </c>
      <c r="D131" s="3">
        <v>106775.67</v>
      </c>
      <c r="E131" s="3">
        <v>106775.67</v>
      </c>
      <c r="F131" s="3">
        <v>0</v>
      </c>
      <c r="G131" t="str">
        <f>_xlfn.XLOOKUP($A131,Map!$A:$A,Map!C:C)</f>
        <v>IS</v>
      </c>
      <c r="H131" t="str">
        <f>_xlfn.XLOOKUP($A131,Map!$A:$A,Map!D:D)</f>
        <v>Depreciation expenses</v>
      </c>
      <c r="I131" t="str">
        <f>_xlfn.XLOOKUP($A131,Map!$A:$A,Map!E:E)</f>
        <v>Depreciation expenses</v>
      </c>
      <c r="J131" t="str">
        <f>_xlfn.XLOOKUP($A131,Map!$A:$A,Map!F:F)</f>
        <v>Depreciation of property, plant and equipment</v>
      </c>
    </row>
    <row r="132" spans="1:10" hidden="1" x14ac:dyDescent="0.25">
      <c r="A132" s="1">
        <v>700001</v>
      </c>
      <c r="B132" s="1" t="s">
        <v>171</v>
      </c>
      <c r="C132" s="3">
        <v>0</v>
      </c>
      <c r="D132" s="3">
        <v>2402429.33</v>
      </c>
      <c r="E132" s="3">
        <v>2867</v>
      </c>
      <c r="F132" s="3">
        <v>2399562.33</v>
      </c>
      <c r="G132" t="str">
        <f>_xlfn.XLOOKUP($A132,Map!$A:$A,Map!C:C)</f>
        <v>IS</v>
      </c>
      <c r="H132" t="str">
        <f>_xlfn.XLOOKUP($A132,Map!$A:$A,Map!D:D)</f>
        <v>General and Admin</v>
      </c>
      <c r="I132" t="str">
        <f>_xlfn.XLOOKUP($A132,Map!$A:$A,Map!E:E)</f>
        <v>Salaries and wages</v>
      </c>
      <c r="J132" t="str">
        <f>_xlfn.XLOOKUP($A132,Map!$A:$A,Map!F:F)</f>
        <v>Salaries and wages</v>
      </c>
    </row>
    <row r="133" spans="1:10" hidden="1" x14ac:dyDescent="0.25">
      <c r="A133" s="1">
        <v>700002</v>
      </c>
      <c r="B133" s="1" t="s">
        <v>172</v>
      </c>
      <c r="C133" s="3">
        <v>0</v>
      </c>
      <c r="D133" s="3">
        <v>31119</v>
      </c>
      <c r="E133" s="3">
        <v>0</v>
      </c>
      <c r="F133" s="3">
        <v>31119</v>
      </c>
      <c r="G133" t="str">
        <f>_xlfn.XLOOKUP($A133,Map!$A:$A,Map!C:C)</f>
        <v>IS</v>
      </c>
      <c r="H133" t="str">
        <f>_xlfn.XLOOKUP($A133,Map!$A:$A,Map!D:D)</f>
        <v>General and Admin</v>
      </c>
      <c r="I133" t="str">
        <f>_xlfn.XLOOKUP($A133,Map!$A:$A,Map!E:E)</f>
        <v>Salaries and wages</v>
      </c>
      <c r="J133" t="str">
        <f>_xlfn.XLOOKUP($A133,Map!$A:$A,Map!F:F)</f>
        <v>Overtime pay</v>
      </c>
    </row>
    <row r="134" spans="1:10" hidden="1" x14ac:dyDescent="0.25">
      <c r="A134" s="1">
        <v>700003</v>
      </c>
      <c r="B134" s="1" t="s">
        <v>173</v>
      </c>
      <c r="C134" s="3">
        <v>0</v>
      </c>
      <c r="D134" s="3">
        <v>28154</v>
      </c>
      <c r="E134" s="3">
        <v>0</v>
      </c>
      <c r="F134" s="3">
        <v>28154</v>
      </c>
      <c r="G134" t="str">
        <f>_xlfn.XLOOKUP($A134,Map!$A:$A,Map!C:C)</f>
        <v>IS</v>
      </c>
      <c r="H134" t="str">
        <f>_xlfn.XLOOKUP($A134,Map!$A:$A,Map!D:D)</f>
        <v>General and Admin</v>
      </c>
      <c r="I134" t="str">
        <f>_xlfn.XLOOKUP($A134,Map!$A:$A,Map!E:E)</f>
        <v>Salaries and wages</v>
      </c>
      <c r="J134" t="str">
        <f>_xlfn.XLOOKUP($A134,Map!$A:$A,Map!F:F)</f>
        <v xml:space="preserve">Food &amp; Housing </v>
      </c>
    </row>
    <row r="135" spans="1:10" hidden="1" x14ac:dyDescent="0.25">
      <c r="A135" s="1">
        <v>700004</v>
      </c>
      <c r="B135" s="1" t="s">
        <v>174</v>
      </c>
      <c r="C135" s="3">
        <v>0</v>
      </c>
      <c r="D135" s="3">
        <v>122637.25</v>
      </c>
      <c r="E135" s="3">
        <v>1631</v>
      </c>
      <c r="F135" s="3">
        <v>121006.25</v>
      </c>
      <c r="G135" t="str">
        <f>_xlfn.XLOOKUP($A135,Map!$A:$A,Map!C:C)</f>
        <v>IS</v>
      </c>
      <c r="H135" t="str">
        <f>_xlfn.XLOOKUP($A135,Map!$A:$A,Map!D:D)</f>
        <v>General and Admin</v>
      </c>
      <c r="I135" t="str">
        <f>_xlfn.XLOOKUP($A135,Map!$A:$A,Map!E:E)</f>
        <v>Salaries and wages</v>
      </c>
      <c r="J135" t="str">
        <f>_xlfn.XLOOKUP($A135,Map!$A:$A,Map!F:F)</f>
        <v>Medical insurance</v>
      </c>
    </row>
    <row r="136" spans="1:10" hidden="1" x14ac:dyDescent="0.25">
      <c r="A136" s="1">
        <v>700005</v>
      </c>
      <c r="B136" s="1" t="s">
        <v>175</v>
      </c>
      <c r="C136" s="3">
        <v>0</v>
      </c>
      <c r="D136" s="3">
        <v>178284</v>
      </c>
      <c r="E136" s="3">
        <v>0</v>
      </c>
      <c r="F136" s="3">
        <v>178284</v>
      </c>
      <c r="G136" t="str">
        <f>_xlfn.XLOOKUP($A136,Map!$A:$A,Map!C:C)</f>
        <v>IS</v>
      </c>
      <c r="H136" t="str">
        <f>_xlfn.XLOOKUP($A136,Map!$A:$A,Map!D:D)</f>
        <v>General and Admin</v>
      </c>
      <c r="I136" t="str">
        <f>_xlfn.XLOOKUP($A136,Map!$A:$A,Map!E:E)</f>
        <v>Govt license and fees (including modon)</v>
      </c>
      <c r="J136" t="str">
        <f>_xlfn.XLOOKUP($A136,Map!$A:$A,Map!F:F)</f>
        <v>Government fees</v>
      </c>
    </row>
    <row r="137" spans="1:10" hidden="1" x14ac:dyDescent="0.25">
      <c r="A137" s="1">
        <v>700006</v>
      </c>
      <c r="B137" s="1" t="s">
        <v>176</v>
      </c>
      <c r="C137" s="3">
        <v>0</v>
      </c>
      <c r="D137" s="3">
        <v>578533.9</v>
      </c>
      <c r="E137" s="3">
        <v>0</v>
      </c>
      <c r="F137" s="3">
        <v>578533.9</v>
      </c>
      <c r="G137" t="str">
        <f>_xlfn.XLOOKUP($A137,Map!$A:$A,Map!C:C)</f>
        <v>IS</v>
      </c>
      <c r="H137" t="str">
        <f>_xlfn.XLOOKUP($A137,Map!$A:$A,Map!D:D)</f>
        <v>General and Admin</v>
      </c>
      <c r="I137" t="str">
        <f>_xlfn.XLOOKUP($A137,Map!$A:$A,Map!E:E)</f>
        <v>Salaries and wages</v>
      </c>
      <c r="J137" t="str">
        <f>_xlfn.XLOOKUP($A137,Map!$A:$A,Map!F:F)</f>
        <v xml:space="preserve">Food &amp; Housing </v>
      </c>
    </row>
    <row r="138" spans="1:10" hidden="1" x14ac:dyDescent="0.25">
      <c r="A138" s="1">
        <v>700007</v>
      </c>
      <c r="B138" s="1" t="s">
        <v>177</v>
      </c>
      <c r="C138" s="3">
        <v>0</v>
      </c>
      <c r="D138" s="3">
        <v>286506</v>
      </c>
      <c r="E138" s="3">
        <v>0</v>
      </c>
      <c r="F138" s="3">
        <v>286506</v>
      </c>
      <c r="G138" t="str">
        <f>_xlfn.XLOOKUP($A138,Map!$A:$A,Map!C:C)</f>
        <v>IS</v>
      </c>
      <c r="H138" t="str">
        <f>_xlfn.XLOOKUP($A138,Map!$A:$A,Map!D:D)</f>
        <v>General and Admin</v>
      </c>
      <c r="I138" t="str">
        <f>_xlfn.XLOOKUP($A138,Map!$A:$A,Map!E:E)</f>
        <v>Salaries and wages</v>
      </c>
      <c r="J138" t="str">
        <f>_xlfn.XLOOKUP($A138,Map!$A:$A,Map!F:F)</f>
        <v>Transportation allowance</v>
      </c>
    </row>
    <row r="139" spans="1:10" hidden="1" x14ac:dyDescent="0.25">
      <c r="A139" s="1">
        <v>700008</v>
      </c>
      <c r="B139" s="1" t="s">
        <v>178</v>
      </c>
      <c r="C139" s="3">
        <v>0</v>
      </c>
      <c r="D139" s="3">
        <v>63347</v>
      </c>
      <c r="E139" s="3">
        <v>0</v>
      </c>
      <c r="F139" s="3">
        <v>63347</v>
      </c>
      <c r="G139" t="str">
        <f>_xlfn.XLOOKUP($A139,Map!$A:$A,Map!C:C)</f>
        <v>IS</v>
      </c>
      <c r="H139" t="str">
        <f>_xlfn.XLOOKUP($A139,Map!$A:$A,Map!D:D)</f>
        <v>General and Admin</v>
      </c>
      <c r="I139" t="str">
        <f>_xlfn.XLOOKUP($A139,Map!$A:$A,Map!E:E)</f>
        <v>Salaries and wages</v>
      </c>
      <c r="J139" t="str">
        <f>_xlfn.XLOOKUP($A139,Map!$A:$A,Map!F:F)</f>
        <v>Air tickets</v>
      </c>
    </row>
    <row r="140" spans="1:10" hidden="1" x14ac:dyDescent="0.25">
      <c r="A140" s="1">
        <v>700009</v>
      </c>
      <c r="B140" s="1" t="s">
        <v>179</v>
      </c>
      <c r="C140" s="3">
        <v>0</v>
      </c>
      <c r="D140" s="3">
        <v>228255</v>
      </c>
      <c r="E140" s="3">
        <v>3000</v>
      </c>
      <c r="F140" s="3">
        <v>225255</v>
      </c>
      <c r="G140" t="str">
        <f>_xlfn.XLOOKUP($A140,Map!$A:$A,Map!C:C)</f>
        <v>IS</v>
      </c>
      <c r="H140" t="str">
        <f>_xlfn.XLOOKUP($A140,Map!$A:$A,Map!D:D)</f>
        <v>General and Admin</v>
      </c>
      <c r="I140" t="str">
        <f>_xlfn.XLOOKUP($A140,Map!$A:$A,Map!E:E)</f>
        <v>Salaries and wages</v>
      </c>
      <c r="J140" t="str">
        <f>_xlfn.XLOOKUP($A140,Map!$A:$A,Map!F:F)</f>
        <v>Leave pay</v>
      </c>
    </row>
    <row r="141" spans="1:10" hidden="1" x14ac:dyDescent="0.25">
      <c r="A141" s="1">
        <v>700010</v>
      </c>
      <c r="B141" s="1" t="s">
        <v>180</v>
      </c>
      <c r="C141" s="3">
        <v>0</v>
      </c>
      <c r="D141" s="3">
        <v>810000</v>
      </c>
      <c r="E141" s="3">
        <v>0</v>
      </c>
      <c r="F141" s="3">
        <v>810000</v>
      </c>
      <c r="G141" t="str">
        <f>_xlfn.XLOOKUP($A141,Map!$A:$A,Map!C:C)</f>
        <v>IS</v>
      </c>
      <c r="H141" t="str">
        <f>_xlfn.XLOOKUP($A141,Map!$A:$A,Map!D:D)</f>
        <v>General and Admin</v>
      </c>
      <c r="I141" t="str">
        <f>_xlfn.XLOOKUP($A141,Map!$A:$A,Map!E:E)</f>
        <v>Salaries and wages</v>
      </c>
      <c r="J141" t="str">
        <f>_xlfn.XLOOKUP($A141,Map!$A:$A,Map!F:F)</f>
        <v>Indemnities</v>
      </c>
    </row>
    <row r="142" spans="1:10" hidden="1" x14ac:dyDescent="0.25">
      <c r="A142" s="1">
        <v>700011</v>
      </c>
      <c r="B142" s="1" t="s">
        <v>181</v>
      </c>
      <c r="C142" s="3">
        <v>0</v>
      </c>
      <c r="D142" s="3">
        <v>108000</v>
      </c>
      <c r="E142" s="3">
        <v>0</v>
      </c>
      <c r="F142" s="3">
        <v>108000</v>
      </c>
      <c r="G142" t="str">
        <f>_xlfn.XLOOKUP($A142,Map!$A:$A,Map!C:C)</f>
        <v>IS</v>
      </c>
      <c r="H142" t="str">
        <f>_xlfn.XLOOKUP($A142,Map!$A:$A,Map!D:D)</f>
        <v>General and Admin</v>
      </c>
      <c r="I142" t="str">
        <f>_xlfn.XLOOKUP($A142,Map!$A:$A,Map!E:E)</f>
        <v>Salaries and wages</v>
      </c>
      <c r="J142" t="str">
        <f>_xlfn.XLOOKUP($A142,Map!$A:$A,Map!F:F)</f>
        <v>Air tickets</v>
      </c>
    </row>
    <row r="143" spans="1:10" hidden="1" x14ac:dyDescent="0.25">
      <c r="A143" s="1">
        <v>700012</v>
      </c>
      <c r="B143" s="1" t="s">
        <v>182</v>
      </c>
      <c r="C143" s="3">
        <v>0</v>
      </c>
      <c r="D143" s="3">
        <v>97732</v>
      </c>
      <c r="E143" s="3">
        <v>0</v>
      </c>
      <c r="F143" s="3">
        <v>97732</v>
      </c>
      <c r="G143" t="str">
        <f>_xlfn.XLOOKUP($A143,Map!$A:$A,Map!C:C)</f>
        <v>IS</v>
      </c>
      <c r="H143" t="str">
        <f>_xlfn.XLOOKUP($A143,Map!$A:$A,Map!D:D)</f>
        <v>General and Admin</v>
      </c>
      <c r="I143" t="str">
        <f>_xlfn.XLOOKUP($A143,Map!$A:$A,Map!E:E)</f>
        <v>Salaries and wages</v>
      </c>
      <c r="J143" t="str">
        <f>_xlfn.XLOOKUP($A143,Map!$A:$A,Map!F:F)</f>
        <v xml:space="preserve">Education &amp; Furniture Allowances </v>
      </c>
    </row>
    <row r="144" spans="1:10" hidden="1" x14ac:dyDescent="0.25">
      <c r="A144" s="1">
        <v>700013</v>
      </c>
      <c r="B144" s="1" t="s">
        <v>183</v>
      </c>
      <c r="C144" s="3">
        <v>0</v>
      </c>
      <c r="D144" s="3">
        <v>70818</v>
      </c>
      <c r="E144" s="3">
        <v>0</v>
      </c>
      <c r="F144" s="3">
        <v>70818</v>
      </c>
      <c r="G144" t="str">
        <f>_xlfn.XLOOKUP($A144,Map!$A:$A,Map!C:C)</f>
        <v>IS</v>
      </c>
      <c r="H144" t="str">
        <f>_xlfn.XLOOKUP($A144,Map!$A:$A,Map!D:D)</f>
        <v>General and Admin</v>
      </c>
      <c r="I144" t="str">
        <f>_xlfn.XLOOKUP($A144,Map!$A:$A,Map!E:E)</f>
        <v>Utilities</v>
      </c>
      <c r="J144" t="str">
        <f>_xlfn.XLOOKUP($A144,Map!$A:$A,Map!F:F)</f>
        <v>Other general and administrative expenses</v>
      </c>
    </row>
    <row r="145" spans="1:10" hidden="1" x14ac:dyDescent="0.25">
      <c r="A145" s="1">
        <v>700015</v>
      </c>
      <c r="B145" s="1" t="s">
        <v>185</v>
      </c>
      <c r="C145" s="3">
        <v>0</v>
      </c>
      <c r="D145" s="3">
        <v>5022</v>
      </c>
      <c r="E145" s="3">
        <v>0</v>
      </c>
      <c r="F145" s="3">
        <v>5022</v>
      </c>
      <c r="G145" t="str">
        <f>_xlfn.XLOOKUP($A145,Map!$A:$A,Map!C:C)</f>
        <v>IS</v>
      </c>
      <c r="H145" t="str">
        <f>_xlfn.XLOOKUP($A145,Map!$A:$A,Map!D:D)</f>
        <v>General and Admin</v>
      </c>
      <c r="I145" t="str">
        <f>_xlfn.XLOOKUP($A145,Map!$A:$A,Map!E:E)</f>
        <v>Business travel</v>
      </c>
      <c r="J145" t="str">
        <f>_xlfn.XLOOKUP($A145,Map!$A:$A,Map!F:F)</f>
        <v>Transportation expenses</v>
      </c>
    </row>
    <row r="146" spans="1:10" hidden="1" x14ac:dyDescent="0.25">
      <c r="A146" s="1">
        <v>700016</v>
      </c>
      <c r="B146" s="1" t="s">
        <v>186</v>
      </c>
      <c r="C146" s="3">
        <v>0</v>
      </c>
      <c r="D146" s="3">
        <v>3117</v>
      </c>
      <c r="E146" s="3">
        <v>0</v>
      </c>
      <c r="F146" s="3">
        <v>3117</v>
      </c>
      <c r="G146" t="str">
        <f>_xlfn.XLOOKUP($A146,Map!$A:$A,Map!C:C)</f>
        <v>IS</v>
      </c>
      <c r="H146" t="str">
        <f>_xlfn.XLOOKUP($A146,Map!$A:$A,Map!D:D)</f>
        <v>Selling and Marketing</v>
      </c>
      <c r="I146" t="str">
        <f>_xlfn.XLOOKUP($A146,Map!$A:$A,Map!E:E)</f>
        <v>Buffet expenses</v>
      </c>
      <c r="J146" t="str">
        <f>_xlfn.XLOOKUP($A146,Map!$A:$A,Map!F:F)</f>
        <v>Food expenses</v>
      </c>
    </row>
    <row r="147" spans="1:10" hidden="1" x14ac:dyDescent="0.25">
      <c r="A147" s="1">
        <v>700017</v>
      </c>
      <c r="B147" s="1" t="s">
        <v>187</v>
      </c>
      <c r="C147" s="3">
        <v>0</v>
      </c>
      <c r="D147" s="3">
        <v>7663.78</v>
      </c>
      <c r="E147" s="3">
        <v>0</v>
      </c>
      <c r="F147" s="3">
        <v>7663.78</v>
      </c>
      <c r="G147" t="str">
        <f>_xlfn.XLOOKUP($A147,Map!$A:$A,Map!C:C)</f>
        <v>IS</v>
      </c>
      <c r="H147" t="str">
        <f>_xlfn.XLOOKUP($A147,Map!$A:$A,Map!D:D)</f>
        <v>General and Admin</v>
      </c>
      <c r="I147" t="str">
        <f>_xlfn.XLOOKUP($A147,Map!$A:$A,Map!E:E)</f>
        <v>Salaries and wages</v>
      </c>
      <c r="J147" t="str">
        <f>_xlfn.XLOOKUP($A147,Map!$A:$A,Map!F:F)</f>
        <v>Accommodation expenses</v>
      </c>
    </row>
    <row r="148" spans="1:10" hidden="1" x14ac:dyDescent="0.25">
      <c r="A148" s="1">
        <v>700018</v>
      </c>
      <c r="B148" s="1" t="s">
        <v>188</v>
      </c>
      <c r="C148" s="3">
        <v>0</v>
      </c>
      <c r="D148" s="3">
        <v>58916.22</v>
      </c>
      <c r="E148" s="3">
        <v>0</v>
      </c>
      <c r="F148" s="3">
        <v>58916.22</v>
      </c>
      <c r="G148" t="str">
        <f>_xlfn.XLOOKUP($A148,Map!$A:$A,Map!C:C)</f>
        <v>IS</v>
      </c>
      <c r="H148" t="str">
        <f>_xlfn.XLOOKUP($A148,Map!$A:$A,Map!D:D)</f>
        <v>General and Admin</v>
      </c>
      <c r="I148" t="str">
        <f>_xlfn.XLOOKUP($A148,Map!$A:$A,Map!E:E)</f>
        <v>Salaries and wages</v>
      </c>
      <c r="J148" t="str">
        <f>_xlfn.XLOOKUP($A148,Map!$A:$A,Map!F:F)</f>
        <v xml:space="preserve">Employee Medical Emergency Expenses </v>
      </c>
    </row>
    <row r="149" spans="1:10" hidden="1" x14ac:dyDescent="0.25">
      <c r="A149" s="1">
        <v>700019</v>
      </c>
      <c r="B149" s="1" t="s">
        <v>189</v>
      </c>
      <c r="C149" s="3">
        <v>0</v>
      </c>
      <c r="D149" s="3">
        <v>1200000</v>
      </c>
      <c r="E149" s="3">
        <v>208468.57</v>
      </c>
      <c r="F149" s="3">
        <v>991531.43</v>
      </c>
      <c r="G149" t="str">
        <f>_xlfn.XLOOKUP($A149,Map!$A:$A,Map!C:C)</f>
        <v>IS</v>
      </c>
      <c r="H149" t="str">
        <f>_xlfn.XLOOKUP($A149,Map!$A:$A,Map!D:D)</f>
        <v>General and Admin</v>
      </c>
      <c r="I149" t="str">
        <f>_xlfn.XLOOKUP($A149,Map!$A:$A,Map!E:E)</f>
        <v>Salaries and wages</v>
      </c>
      <c r="J149" t="str">
        <f>_xlfn.XLOOKUP($A149,Map!$A:$A,Map!F:F)</f>
        <v xml:space="preserve">Incentives </v>
      </c>
    </row>
    <row r="150" spans="1:10" hidden="1" x14ac:dyDescent="0.25">
      <c r="A150" s="1">
        <v>700020</v>
      </c>
      <c r="B150" s="1" t="s">
        <v>190</v>
      </c>
      <c r="C150" s="3">
        <v>0</v>
      </c>
      <c r="D150" s="3">
        <v>41114.870000000003</v>
      </c>
      <c r="E150" s="3">
        <v>0</v>
      </c>
      <c r="F150" s="3">
        <v>41114.870000000003</v>
      </c>
      <c r="G150" t="str">
        <f>_xlfn.XLOOKUP($A150,Map!$A:$A,Map!C:C)</f>
        <v>IS</v>
      </c>
      <c r="H150" t="str">
        <f>_xlfn.XLOOKUP($A150,Map!$A:$A,Map!D:D)</f>
        <v>General and Admin</v>
      </c>
      <c r="I150" t="str">
        <f>_xlfn.XLOOKUP($A150,Map!$A:$A,Map!E:E)</f>
        <v>Utilities</v>
      </c>
      <c r="J150" t="str">
        <f>_xlfn.XLOOKUP($A150,Map!$A:$A,Map!F:F)</f>
        <v>Electricity expenses</v>
      </c>
    </row>
    <row r="151" spans="1:10" hidden="1" x14ac:dyDescent="0.25">
      <c r="A151" s="1">
        <v>700021</v>
      </c>
      <c r="B151" s="1" t="s">
        <v>191</v>
      </c>
      <c r="C151" s="3">
        <v>0</v>
      </c>
      <c r="D151" s="3">
        <v>2761</v>
      </c>
      <c r="E151" s="3">
        <v>0</v>
      </c>
      <c r="F151" s="3">
        <v>2761</v>
      </c>
      <c r="G151" t="str">
        <f>_xlfn.XLOOKUP($A151,Map!$A:$A,Map!C:C)</f>
        <v>IS</v>
      </c>
      <c r="H151" t="str">
        <f>_xlfn.XLOOKUP($A151,Map!$A:$A,Map!D:D)</f>
        <v>General and Admin</v>
      </c>
      <c r="I151" t="str">
        <f>_xlfn.XLOOKUP($A151,Map!$A:$A,Map!E:E)</f>
        <v>Utilities</v>
      </c>
      <c r="J151" t="str">
        <f>_xlfn.XLOOKUP($A151,Map!$A:$A,Map!F:F)</f>
        <v>Other general and administrative expenses</v>
      </c>
    </row>
    <row r="152" spans="1:10" hidden="1" x14ac:dyDescent="0.25">
      <c r="A152" s="1">
        <v>700022</v>
      </c>
      <c r="B152" s="1" t="s">
        <v>192</v>
      </c>
      <c r="C152" s="3">
        <v>0</v>
      </c>
      <c r="D152" s="3">
        <v>48944.98</v>
      </c>
      <c r="E152" s="3">
        <v>492.94</v>
      </c>
      <c r="F152" s="3">
        <v>48452.04</v>
      </c>
      <c r="G152" t="str">
        <f>_xlfn.XLOOKUP($A152,Map!$A:$A,Map!C:C)</f>
        <v>IS</v>
      </c>
      <c r="H152" t="str">
        <f>_xlfn.XLOOKUP($A152,Map!$A:$A,Map!D:D)</f>
        <v>General and Admin</v>
      </c>
      <c r="I152" t="str">
        <f>_xlfn.XLOOKUP($A152,Map!$A:$A,Map!E:E)</f>
        <v>Utilities</v>
      </c>
      <c r="J152" t="str">
        <f>_xlfn.XLOOKUP($A152,Map!$A:$A,Map!F:F)</f>
        <v>Other general and administrative expenses</v>
      </c>
    </row>
    <row r="153" spans="1:10" hidden="1" x14ac:dyDescent="0.25">
      <c r="A153" s="1">
        <v>700023</v>
      </c>
      <c r="B153" s="1" t="s">
        <v>193</v>
      </c>
      <c r="C153" s="3">
        <v>0</v>
      </c>
      <c r="D153" s="3">
        <v>32884.239999999998</v>
      </c>
      <c r="E153" s="3">
        <v>310</v>
      </c>
      <c r="F153" s="3">
        <v>32574.240000000002</v>
      </c>
      <c r="G153" t="str">
        <f>_xlfn.XLOOKUP($A153,Map!$A:$A,Map!C:C)</f>
        <v>IS</v>
      </c>
      <c r="H153" t="str">
        <f>_xlfn.XLOOKUP($A153,Map!$A:$A,Map!D:D)</f>
        <v>General and Admin</v>
      </c>
      <c r="I153" t="str">
        <f>_xlfn.XLOOKUP($A153,Map!$A:$A,Map!E:E)</f>
        <v>Utilities</v>
      </c>
      <c r="J153" t="str">
        <f>_xlfn.XLOOKUP($A153,Map!$A:$A,Map!F:F)</f>
        <v xml:space="preserve">Postage &amp; Printing </v>
      </c>
    </row>
    <row r="154" spans="1:10" hidden="1" x14ac:dyDescent="0.25">
      <c r="A154" s="1">
        <v>700024</v>
      </c>
      <c r="B154" s="1" t="s">
        <v>194</v>
      </c>
      <c r="C154" s="3">
        <v>0</v>
      </c>
      <c r="D154" s="3">
        <v>50126.31</v>
      </c>
      <c r="E154" s="3">
        <v>2250</v>
      </c>
      <c r="F154" s="3">
        <v>47876.31</v>
      </c>
      <c r="G154" t="str">
        <f>_xlfn.XLOOKUP($A154,Map!$A:$A,Map!C:C)</f>
        <v>IS</v>
      </c>
      <c r="H154" t="str">
        <f>_xlfn.XLOOKUP($A154,Map!$A:$A,Map!D:D)</f>
        <v>General and Admin</v>
      </c>
      <c r="I154" t="str">
        <f>_xlfn.XLOOKUP($A154,Map!$A:$A,Map!E:E)</f>
        <v>IT expenses</v>
      </c>
      <c r="J154" t="str">
        <f>_xlfn.XLOOKUP($A154,Map!$A:$A,Map!F:F)</f>
        <v>Other general and administrative expenses</v>
      </c>
    </row>
    <row r="155" spans="1:10" hidden="1" x14ac:dyDescent="0.25">
      <c r="A155" s="1">
        <v>700025</v>
      </c>
      <c r="B155" s="1" t="s">
        <v>195</v>
      </c>
      <c r="C155" s="3">
        <v>0</v>
      </c>
      <c r="D155" s="3">
        <v>50000</v>
      </c>
      <c r="E155" s="3">
        <v>0</v>
      </c>
      <c r="F155" s="3">
        <v>50000</v>
      </c>
      <c r="G155" t="str">
        <f>_xlfn.XLOOKUP($A155,Map!$A:$A,Map!C:C)</f>
        <v>IS</v>
      </c>
      <c r="H155" t="str">
        <f>_xlfn.XLOOKUP($A155,Map!$A:$A,Map!D:D)</f>
        <v>General and Admin</v>
      </c>
      <c r="I155" t="str">
        <f>_xlfn.XLOOKUP($A155,Map!$A:$A,Map!E:E)</f>
        <v>Salaries and wages</v>
      </c>
      <c r="J155" t="str">
        <f>_xlfn.XLOOKUP($A155,Map!$A:$A,Map!F:F)</f>
        <v>Salaries and wages</v>
      </c>
    </row>
    <row r="156" spans="1:10" hidden="1" x14ac:dyDescent="0.25">
      <c r="A156" s="1">
        <v>700026</v>
      </c>
      <c r="B156" s="1" t="s">
        <v>196</v>
      </c>
      <c r="C156" s="3">
        <v>0</v>
      </c>
      <c r="D156" s="3">
        <v>9737.32</v>
      </c>
      <c r="E156" s="3">
        <v>0</v>
      </c>
      <c r="F156" s="3">
        <v>9737.32</v>
      </c>
      <c r="G156" t="str">
        <f>_xlfn.XLOOKUP($A156,Map!$A:$A,Map!C:C)</f>
        <v>IS</v>
      </c>
      <c r="H156" t="str">
        <f>_xlfn.XLOOKUP($A156,Map!$A:$A,Map!D:D)</f>
        <v>General and Admin</v>
      </c>
      <c r="I156" t="str">
        <f>_xlfn.XLOOKUP($A156,Map!$A:$A,Map!E:E)</f>
        <v>Utilities</v>
      </c>
      <c r="J156" t="str">
        <f>_xlfn.XLOOKUP($A156,Map!$A:$A,Map!F:F)</f>
        <v>Magazines &amp; News Papers Exp.</v>
      </c>
    </row>
    <row r="157" spans="1:10" hidden="1" x14ac:dyDescent="0.25">
      <c r="A157" s="1">
        <v>700028</v>
      </c>
      <c r="B157" s="1" t="s">
        <v>198</v>
      </c>
      <c r="C157" s="3">
        <v>0</v>
      </c>
      <c r="D157" s="3">
        <v>8628</v>
      </c>
      <c r="E157" s="3">
        <v>0</v>
      </c>
      <c r="F157" s="3">
        <v>8628</v>
      </c>
      <c r="G157" t="str">
        <f>_xlfn.XLOOKUP($A157,Map!$A:$A,Map!C:C)</f>
        <v>IS</v>
      </c>
      <c r="H157" t="str">
        <f>_xlfn.XLOOKUP($A157,Map!$A:$A,Map!D:D)</f>
        <v>General and Admin</v>
      </c>
      <c r="I157" t="str">
        <f>_xlfn.XLOOKUP($A157,Map!$A:$A,Map!E:E)</f>
        <v xml:space="preserve">Back office Support </v>
      </c>
      <c r="J157" t="str">
        <f>_xlfn.XLOOKUP($A157,Map!$A:$A,Map!F:F)</f>
        <v>Stationery expenses</v>
      </c>
    </row>
    <row r="158" spans="1:10" hidden="1" x14ac:dyDescent="0.25">
      <c r="A158" s="1">
        <v>700029</v>
      </c>
      <c r="B158" s="1" t="s">
        <v>199</v>
      </c>
      <c r="C158" s="3">
        <v>0</v>
      </c>
      <c r="D158" s="3">
        <v>30959</v>
      </c>
      <c r="E158" s="3">
        <v>0</v>
      </c>
      <c r="F158" s="3">
        <v>30959</v>
      </c>
      <c r="G158" t="str">
        <f>_xlfn.XLOOKUP($A158,Map!$A:$A,Map!C:C)</f>
        <v>IS</v>
      </c>
      <c r="H158" t="str">
        <f>_xlfn.XLOOKUP($A158,Map!$A:$A,Map!D:D)</f>
        <v>General and Admin</v>
      </c>
      <c r="I158" t="str">
        <f>_xlfn.XLOOKUP($A158,Map!$A:$A,Map!E:E)</f>
        <v>Utilities</v>
      </c>
      <c r="J158" t="str">
        <f>_xlfn.XLOOKUP($A158,Map!$A:$A,Map!F:F)</f>
        <v xml:space="preserve">Postage &amp; Printing </v>
      </c>
    </row>
    <row r="159" spans="1:10" hidden="1" x14ac:dyDescent="0.25">
      <c r="A159" s="1">
        <v>700030</v>
      </c>
      <c r="B159" s="1" t="s">
        <v>200</v>
      </c>
      <c r="C159" s="3">
        <v>0</v>
      </c>
      <c r="D159" s="3">
        <v>35712</v>
      </c>
      <c r="E159" s="3">
        <v>1800</v>
      </c>
      <c r="F159" s="3">
        <v>33912</v>
      </c>
      <c r="G159" t="str">
        <f>_xlfn.XLOOKUP($A159,Map!$A:$A,Map!C:C)</f>
        <v>IS</v>
      </c>
      <c r="H159" t="str">
        <f>_xlfn.XLOOKUP($A159,Map!$A:$A,Map!D:D)</f>
        <v>General and Admin</v>
      </c>
      <c r="I159" t="str">
        <f>_xlfn.XLOOKUP($A159,Map!$A:$A,Map!E:E)</f>
        <v>Utilities</v>
      </c>
      <c r="J159" t="str">
        <f>_xlfn.XLOOKUP($A159,Map!$A:$A,Map!F:F)</f>
        <v>Building maintenance</v>
      </c>
    </row>
    <row r="160" spans="1:10" hidden="1" x14ac:dyDescent="0.25">
      <c r="A160" s="1">
        <v>700031</v>
      </c>
      <c r="B160" s="1" t="s">
        <v>201</v>
      </c>
      <c r="C160" s="3">
        <v>0</v>
      </c>
      <c r="D160" s="3">
        <v>19018</v>
      </c>
      <c r="E160" s="3">
        <v>0</v>
      </c>
      <c r="F160" s="3">
        <v>19018</v>
      </c>
      <c r="G160" t="str">
        <f>_xlfn.XLOOKUP($A160,Map!$A:$A,Map!C:C)</f>
        <v>IS</v>
      </c>
      <c r="H160" t="str">
        <f>_xlfn.XLOOKUP($A160,Map!$A:$A,Map!D:D)</f>
        <v>General and Admin</v>
      </c>
      <c r="I160" t="str">
        <f>_xlfn.XLOOKUP($A160,Map!$A:$A,Map!E:E)</f>
        <v>Utilities</v>
      </c>
      <c r="J160" t="str">
        <f>_xlfn.XLOOKUP($A160,Map!$A:$A,Map!F:F)</f>
        <v>Office equipment maintenance</v>
      </c>
    </row>
    <row r="161" spans="1:10" hidden="1" x14ac:dyDescent="0.25">
      <c r="A161" s="1">
        <v>700032</v>
      </c>
      <c r="B161" s="1" t="s">
        <v>202</v>
      </c>
      <c r="C161" s="3">
        <v>0</v>
      </c>
      <c r="D161" s="3">
        <v>86036</v>
      </c>
      <c r="E161" s="3">
        <v>6615</v>
      </c>
      <c r="F161" s="3">
        <v>79421</v>
      </c>
      <c r="G161" t="str">
        <f>_xlfn.XLOOKUP($A161,Map!$A:$A,Map!C:C)</f>
        <v>IS</v>
      </c>
      <c r="H161" t="str">
        <f>_xlfn.XLOOKUP($A161,Map!$A:$A,Map!D:D)</f>
        <v>General and Admin</v>
      </c>
      <c r="I161" t="str">
        <f>_xlfn.XLOOKUP($A161,Map!$A:$A,Map!E:E)</f>
        <v>Utilities</v>
      </c>
      <c r="J161" t="str">
        <f>_xlfn.XLOOKUP($A161,Map!$A:$A,Map!F:F)</f>
        <v>Vehicle maintenance</v>
      </c>
    </row>
    <row r="162" spans="1:10" hidden="1" x14ac:dyDescent="0.25">
      <c r="A162" s="1">
        <v>700033</v>
      </c>
      <c r="B162" s="1" t="s">
        <v>203</v>
      </c>
      <c r="C162" s="3">
        <v>0</v>
      </c>
      <c r="D162" s="3">
        <v>25324.95</v>
      </c>
      <c r="E162" s="3">
        <v>0</v>
      </c>
      <c r="F162" s="3">
        <v>25324.95</v>
      </c>
      <c r="G162" t="str">
        <f>_xlfn.XLOOKUP($A162,Map!$A:$A,Map!C:C)</f>
        <v>IS</v>
      </c>
      <c r="H162" t="str">
        <f>_xlfn.XLOOKUP($A162,Map!$A:$A,Map!D:D)</f>
        <v>General and Admin</v>
      </c>
      <c r="I162" t="str">
        <f>_xlfn.XLOOKUP($A162,Map!$A:$A,Map!E:E)</f>
        <v>Utilities</v>
      </c>
      <c r="J162" t="str">
        <f>_xlfn.XLOOKUP($A162,Map!$A:$A,Map!F:F)</f>
        <v>Fuel and oil</v>
      </c>
    </row>
    <row r="163" spans="1:10" hidden="1" x14ac:dyDescent="0.25">
      <c r="A163" s="1">
        <v>700034</v>
      </c>
      <c r="B163" s="1" t="s">
        <v>204</v>
      </c>
      <c r="C163" s="3">
        <v>0</v>
      </c>
      <c r="D163" s="3">
        <v>8606.6</v>
      </c>
      <c r="E163" s="3">
        <v>0</v>
      </c>
      <c r="F163" s="3">
        <v>8606.6</v>
      </c>
      <c r="G163" t="str">
        <f>_xlfn.XLOOKUP($A163,Map!$A:$A,Map!C:C)</f>
        <v>IS</v>
      </c>
      <c r="H163" t="str">
        <f>_xlfn.XLOOKUP($A163,Map!$A:$A,Map!D:D)</f>
        <v>General and Admin</v>
      </c>
      <c r="I163" t="str">
        <f>_xlfn.XLOOKUP($A163,Map!$A:$A,Map!E:E)</f>
        <v xml:space="preserve">Back office Support </v>
      </c>
      <c r="J163" t="str">
        <f>_xlfn.XLOOKUP($A163,Map!$A:$A,Map!F:F)</f>
        <v>Consumables</v>
      </c>
    </row>
    <row r="164" spans="1:10" hidden="1" x14ac:dyDescent="0.25">
      <c r="A164" s="1">
        <v>700036</v>
      </c>
      <c r="B164" s="1" t="s">
        <v>206</v>
      </c>
      <c r="C164" s="3">
        <v>0</v>
      </c>
      <c r="D164" s="3">
        <v>24393</v>
      </c>
      <c r="E164" s="3">
        <v>0</v>
      </c>
      <c r="F164" s="3">
        <v>24393</v>
      </c>
      <c r="G164" t="str">
        <f>_xlfn.XLOOKUP($A164,Map!$A:$A,Map!C:C)</f>
        <v>IS</v>
      </c>
      <c r="H164" t="str">
        <f>_xlfn.XLOOKUP($A164,Map!$A:$A,Map!D:D)</f>
        <v>General and Admin</v>
      </c>
      <c r="I164" t="str">
        <f>_xlfn.XLOOKUP($A164,Map!$A:$A,Map!E:E)</f>
        <v>Utilities</v>
      </c>
      <c r="J164" t="str">
        <f>_xlfn.XLOOKUP($A164,Map!$A:$A,Map!F:F)</f>
        <v>Vehicle insurance</v>
      </c>
    </row>
    <row r="165" spans="1:10" hidden="1" x14ac:dyDescent="0.25">
      <c r="A165" s="1">
        <v>700037</v>
      </c>
      <c r="B165" s="1" t="s">
        <v>207</v>
      </c>
      <c r="C165" s="3">
        <v>0</v>
      </c>
      <c r="D165" s="3">
        <v>27168</v>
      </c>
      <c r="E165" s="3">
        <v>0</v>
      </c>
      <c r="F165" s="3">
        <v>27168</v>
      </c>
      <c r="G165" t="str">
        <f>_xlfn.XLOOKUP($A165,Map!$A:$A,Map!C:C)</f>
        <v>IS</v>
      </c>
      <c r="H165" t="str">
        <f>_xlfn.XLOOKUP($A165,Map!$A:$A,Map!D:D)</f>
        <v>Finance cost</v>
      </c>
      <c r="I165" t="str">
        <f>_xlfn.XLOOKUP($A165,Map!$A:$A,Map!E:E)</f>
        <v>Finance cost</v>
      </c>
      <c r="J165" t="str">
        <f>_xlfn.XLOOKUP($A165,Map!$A:$A,Map!F:F)</f>
        <v>Lease interest</v>
      </c>
    </row>
    <row r="166" spans="1:10" hidden="1" x14ac:dyDescent="0.25">
      <c r="A166" s="1">
        <v>700038</v>
      </c>
      <c r="B166" s="1" t="s">
        <v>208</v>
      </c>
      <c r="C166" s="3">
        <v>0</v>
      </c>
      <c r="D166" s="3">
        <v>320179</v>
      </c>
      <c r="E166" s="3">
        <v>702</v>
      </c>
      <c r="F166" s="3">
        <v>319477</v>
      </c>
      <c r="G166" t="str">
        <f>_xlfn.XLOOKUP($A166,Map!$A:$A,Map!C:C)</f>
        <v>IS</v>
      </c>
      <c r="H166" t="str">
        <f>_xlfn.XLOOKUP($A166,Map!$A:$A,Map!D:D)</f>
        <v>General and Admin</v>
      </c>
      <c r="I166" t="str">
        <f>_xlfn.XLOOKUP($A166,Map!$A:$A,Map!E:E)</f>
        <v>Business travel</v>
      </c>
      <c r="J166" t="str">
        <f>_xlfn.XLOOKUP($A166,Map!$A:$A,Map!F:F)</f>
        <v>Bussiness trip expenses</v>
      </c>
    </row>
    <row r="167" spans="1:10" hidden="1" x14ac:dyDescent="0.25">
      <c r="A167" s="1">
        <v>700039</v>
      </c>
      <c r="B167" s="1" t="s">
        <v>209</v>
      </c>
      <c r="C167" s="3">
        <v>0</v>
      </c>
      <c r="D167" s="3">
        <v>21019</v>
      </c>
      <c r="E167" s="3">
        <v>0</v>
      </c>
      <c r="F167" s="3">
        <v>21019</v>
      </c>
      <c r="G167" t="str">
        <f>_xlfn.XLOOKUP($A167,Map!$A:$A,Map!C:C)</f>
        <v>IS</v>
      </c>
      <c r="H167" t="str">
        <f>_xlfn.XLOOKUP($A167,Map!$A:$A,Map!D:D)</f>
        <v>Selling and Marketing</v>
      </c>
      <c r="I167" t="str">
        <f>_xlfn.XLOOKUP($A167,Map!$A:$A,Map!E:E)</f>
        <v>Buffet expenses</v>
      </c>
      <c r="J167" t="str">
        <f>_xlfn.XLOOKUP($A167,Map!$A:$A,Map!F:F)</f>
        <v>Buffet expenses</v>
      </c>
    </row>
    <row r="168" spans="1:10" hidden="1" x14ac:dyDescent="0.25">
      <c r="A168" s="1">
        <v>700040</v>
      </c>
      <c r="B168" s="1" t="s">
        <v>210</v>
      </c>
      <c r="C168" s="3">
        <v>0</v>
      </c>
      <c r="D168" s="3">
        <v>33518</v>
      </c>
      <c r="E168" s="3">
        <v>0</v>
      </c>
      <c r="F168" s="3">
        <v>33518</v>
      </c>
      <c r="G168" t="str">
        <f>_xlfn.XLOOKUP($A168,Map!$A:$A,Map!C:C)</f>
        <v>IS</v>
      </c>
      <c r="H168" t="str">
        <f>_xlfn.XLOOKUP($A168,Map!$A:$A,Map!D:D)</f>
        <v>General and Admin</v>
      </c>
      <c r="I168" t="str">
        <f>_xlfn.XLOOKUP($A168,Map!$A:$A,Map!E:E)</f>
        <v>Utilities</v>
      </c>
      <c r="J168" t="str">
        <f>_xlfn.XLOOKUP($A168,Map!$A:$A,Map!F:F)</f>
        <v xml:space="preserve">Cleaning Expenses </v>
      </c>
    </row>
    <row r="169" spans="1:10" hidden="1" x14ac:dyDescent="0.25">
      <c r="A169" s="1">
        <v>700041</v>
      </c>
      <c r="B169" s="1" t="s">
        <v>211</v>
      </c>
      <c r="C169" s="3">
        <v>0</v>
      </c>
      <c r="D169" s="3">
        <v>34539.24</v>
      </c>
      <c r="E169" s="3">
        <v>0</v>
      </c>
      <c r="F169" s="3">
        <v>34539.24</v>
      </c>
      <c r="G169" t="str">
        <f>_xlfn.XLOOKUP($A169,Map!$A:$A,Map!C:C)</f>
        <v>IS</v>
      </c>
      <c r="H169" t="str">
        <f>_xlfn.XLOOKUP($A169,Map!$A:$A,Map!D:D)</f>
        <v>General and Admin</v>
      </c>
      <c r="I169" t="str">
        <f>_xlfn.XLOOKUP($A169,Map!$A:$A,Map!E:E)</f>
        <v>Salaries and wages</v>
      </c>
      <c r="J169" t="str">
        <f>_xlfn.XLOOKUP($A169,Map!$A:$A,Map!F:F)</f>
        <v>Recruitment</v>
      </c>
    </row>
    <row r="170" spans="1:10" hidden="1" x14ac:dyDescent="0.25">
      <c r="A170" s="1">
        <v>700043</v>
      </c>
      <c r="B170" s="1" t="s">
        <v>213</v>
      </c>
      <c r="C170" s="3">
        <v>0</v>
      </c>
      <c r="D170" s="3">
        <v>8381</v>
      </c>
      <c r="E170" s="3">
        <v>0</v>
      </c>
      <c r="F170" s="3">
        <v>8381</v>
      </c>
      <c r="G170" t="str">
        <f>_xlfn.XLOOKUP($A170,Map!$A:$A,Map!C:C)</f>
        <v>IS</v>
      </c>
      <c r="H170" t="str">
        <f>_xlfn.XLOOKUP($A170,Map!$A:$A,Map!D:D)</f>
        <v>General and Admin</v>
      </c>
      <c r="I170" t="str">
        <f>_xlfn.XLOOKUP($A170,Map!$A:$A,Map!E:E)</f>
        <v>Govt license and fees (including modon)</v>
      </c>
      <c r="J170" t="str">
        <f>_xlfn.XLOOKUP($A170,Map!$A:$A,Map!F:F)</f>
        <v>Licenses and fees</v>
      </c>
    </row>
    <row r="171" spans="1:10" hidden="1" x14ac:dyDescent="0.25">
      <c r="A171" s="1">
        <v>700044</v>
      </c>
      <c r="B171" s="1" t="s">
        <v>214</v>
      </c>
      <c r="C171" s="3">
        <v>0</v>
      </c>
      <c r="D171" s="3">
        <v>16519</v>
      </c>
      <c r="E171" s="3">
        <v>140</v>
      </c>
      <c r="F171" s="3">
        <v>16379</v>
      </c>
      <c r="G171" t="str">
        <f>_xlfn.XLOOKUP($A171,Map!$A:$A,Map!C:C)</f>
        <v>IS</v>
      </c>
      <c r="H171" t="str">
        <f>_xlfn.XLOOKUP($A171,Map!$A:$A,Map!D:D)</f>
        <v>General and Admin</v>
      </c>
      <c r="I171" t="str">
        <f>_xlfn.XLOOKUP($A171,Map!$A:$A,Map!E:E)</f>
        <v>Govt license and fees (including modon)</v>
      </c>
      <c r="J171" t="str">
        <f>_xlfn.XLOOKUP($A171,Map!$A:$A,Map!F:F)</f>
        <v>Government fees</v>
      </c>
    </row>
    <row r="172" spans="1:10" hidden="1" x14ac:dyDescent="0.25">
      <c r="A172" s="1">
        <v>700045</v>
      </c>
      <c r="B172" s="1" t="s">
        <v>215</v>
      </c>
      <c r="C172" s="3">
        <v>0</v>
      </c>
      <c r="D172" s="3">
        <v>2124727.7799999998</v>
      </c>
      <c r="E172" s="3">
        <v>165360.71299999999</v>
      </c>
      <c r="F172" s="6">
        <v>1959367.067</v>
      </c>
      <c r="G172" t="str">
        <f>_xlfn.XLOOKUP($A172,Map!$A:$A,Map!C:C)</f>
        <v>IS</v>
      </c>
      <c r="H172" t="str">
        <f>_xlfn.XLOOKUP($A172,Map!$A:$A,Map!D:D)</f>
        <v>Finance cost</v>
      </c>
      <c r="I172" t="str">
        <f>_xlfn.XLOOKUP($A172,Map!$A:$A,Map!E:E)</f>
        <v>Finance cost</v>
      </c>
      <c r="J172" t="str">
        <f>_xlfn.XLOOKUP($A172,Map!$A:$A,Map!F:F)</f>
        <v>Bank charges</v>
      </c>
    </row>
    <row r="173" spans="1:10" hidden="1" x14ac:dyDescent="0.25">
      <c r="A173" s="1">
        <v>700048</v>
      </c>
      <c r="B173" s="1" t="s">
        <v>216</v>
      </c>
      <c r="C173" s="3">
        <v>0</v>
      </c>
      <c r="D173" s="3">
        <v>1537200</v>
      </c>
      <c r="E173" s="3">
        <v>0</v>
      </c>
      <c r="F173" s="6">
        <v>1537200</v>
      </c>
      <c r="G173" t="str">
        <f>_xlfn.XLOOKUP($A173,Map!$A:$A,Map!C:C)</f>
        <v>IS</v>
      </c>
      <c r="H173" t="str">
        <f>_xlfn.XLOOKUP($A173,Map!$A:$A,Map!D:D)</f>
        <v>Zakat</v>
      </c>
      <c r="I173" t="str">
        <f>_xlfn.XLOOKUP($A173,Map!$A:$A,Map!E:E)</f>
        <v>Zakat expenses</v>
      </c>
      <c r="J173" t="str">
        <f>_xlfn.XLOOKUP($A173,Map!$A:$A,Map!F:F)</f>
        <v>Zakat expenses</v>
      </c>
    </row>
    <row r="174" spans="1:10" hidden="1" x14ac:dyDescent="0.25">
      <c r="A174" s="1">
        <v>700050</v>
      </c>
      <c r="B174" s="1" t="s">
        <v>218</v>
      </c>
      <c r="C174" s="3">
        <v>0</v>
      </c>
      <c r="D174" s="3">
        <v>24968.16</v>
      </c>
      <c r="E174" s="3">
        <v>0</v>
      </c>
      <c r="F174" s="6">
        <v>24968.16</v>
      </c>
      <c r="G174" t="str">
        <f>_xlfn.XLOOKUP($A174,Map!$A:$A,Map!C:C)</f>
        <v>IS</v>
      </c>
      <c r="H174" t="str">
        <f>_xlfn.XLOOKUP($A174,Map!$A:$A,Map!D:D)</f>
        <v>Depreciation expenses</v>
      </c>
      <c r="I174" t="str">
        <f>_xlfn.XLOOKUP($A174,Map!$A:$A,Map!E:E)</f>
        <v>Depreciation expenses</v>
      </c>
      <c r="J174" t="str">
        <f>_xlfn.XLOOKUP($A174,Map!$A:$A,Map!F:F)</f>
        <v>Depreciation of property, plant and equipment</v>
      </c>
    </row>
    <row r="175" spans="1:10" hidden="1" x14ac:dyDescent="0.25">
      <c r="A175" s="1">
        <v>700053</v>
      </c>
      <c r="B175" s="1" t="s">
        <v>220</v>
      </c>
      <c r="C175" s="3">
        <v>0</v>
      </c>
      <c r="D175" s="3">
        <v>305</v>
      </c>
      <c r="E175" s="3">
        <v>0</v>
      </c>
      <c r="F175" s="6">
        <v>305</v>
      </c>
      <c r="G175" t="str">
        <f>_xlfn.XLOOKUP($A175,Map!$A:$A,Map!C:C)</f>
        <v>IS</v>
      </c>
      <c r="H175" t="str">
        <f>_xlfn.XLOOKUP($A175,Map!$A:$A,Map!D:D)</f>
        <v>Depreciation expenses</v>
      </c>
      <c r="I175" t="str">
        <f>_xlfn.XLOOKUP($A175,Map!$A:$A,Map!E:E)</f>
        <v>Depreciation expenses</v>
      </c>
      <c r="J175" t="str">
        <f>_xlfn.XLOOKUP($A175,Map!$A:$A,Map!F:F)</f>
        <v>Depreciation of property, plant and equipment</v>
      </c>
    </row>
    <row r="176" spans="1:10" hidden="1" x14ac:dyDescent="0.25">
      <c r="A176" s="1">
        <v>700054</v>
      </c>
      <c r="B176" s="1" t="s">
        <v>221</v>
      </c>
      <c r="C176" s="3">
        <v>0</v>
      </c>
      <c r="D176" s="3">
        <v>252150.81</v>
      </c>
      <c r="E176" s="3">
        <v>0</v>
      </c>
      <c r="F176" s="6">
        <v>252150.81</v>
      </c>
      <c r="G176" t="str">
        <f>_xlfn.XLOOKUP($A176,Map!$A:$A,Map!C:C)</f>
        <v>IS</v>
      </c>
      <c r="H176" t="str">
        <f>_xlfn.XLOOKUP($A176,Map!$A:$A,Map!D:D)</f>
        <v>Depreciation expenses</v>
      </c>
      <c r="I176" t="str">
        <f>_xlfn.XLOOKUP($A176,Map!$A:$A,Map!E:E)</f>
        <v>Depreciation expenses</v>
      </c>
      <c r="J176" t="str">
        <f>_xlfn.XLOOKUP($A176,Map!$A:$A,Map!F:F)</f>
        <v>Depreciation of property, plant and equipment</v>
      </c>
    </row>
    <row r="177" spans="1:10" hidden="1" x14ac:dyDescent="0.25">
      <c r="A177" s="1">
        <v>700055</v>
      </c>
      <c r="B177" s="1" t="s">
        <v>222</v>
      </c>
      <c r="C177" s="3">
        <v>0</v>
      </c>
      <c r="D177" s="3">
        <v>14957.32</v>
      </c>
      <c r="E177" s="3">
        <v>1850</v>
      </c>
      <c r="F177" s="42">
        <v>13107.32</v>
      </c>
      <c r="G177" t="str">
        <f>_xlfn.XLOOKUP($A177,Map!$A:$A,Map!C:C)</f>
        <v>IS</v>
      </c>
      <c r="H177" t="str">
        <f>_xlfn.XLOOKUP($A177,Map!$A:$A,Map!D:D)</f>
        <v>Depreciation expenses</v>
      </c>
      <c r="I177" t="str">
        <f>_xlfn.XLOOKUP($A177,Map!$A:$A,Map!E:E)</f>
        <v>Depreciation expenses</v>
      </c>
      <c r="J177" t="str">
        <f>_xlfn.XLOOKUP($A177,Map!$A:$A,Map!F:F)</f>
        <v>Depreciation of property, plant and equipment</v>
      </c>
    </row>
    <row r="178" spans="1:10" hidden="1" x14ac:dyDescent="0.25">
      <c r="A178" s="1">
        <v>700056</v>
      </c>
      <c r="B178" s="1" t="s">
        <v>223</v>
      </c>
      <c r="C178" s="3">
        <v>0</v>
      </c>
      <c r="D178" s="3">
        <v>3360</v>
      </c>
      <c r="E178" s="3">
        <v>0</v>
      </c>
      <c r="F178" s="41">
        <v>3360</v>
      </c>
      <c r="G178" t="str">
        <f>_xlfn.XLOOKUP($A178,Map!$A:$A,Map!C:C)</f>
        <v>IS</v>
      </c>
      <c r="H178" t="str">
        <f>_xlfn.XLOOKUP($A178,Map!$A:$A,Map!D:D)</f>
        <v>Depreciation expenses</v>
      </c>
      <c r="I178" t="str">
        <f>_xlfn.XLOOKUP($A178,Map!$A:$A,Map!E:E)</f>
        <v>Depreciation expenses</v>
      </c>
      <c r="J178" t="str">
        <f>_xlfn.XLOOKUP($A178,Map!$A:$A,Map!F:F)</f>
        <v>Depreciation of property, plant and equipment</v>
      </c>
    </row>
    <row r="179" spans="1:10" hidden="1" x14ac:dyDescent="0.25">
      <c r="A179" s="1">
        <v>700057</v>
      </c>
      <c r="B179" s="1" t="s">
        <v>224</v>
      </c>
      <c r="C179" s="3">
        <v>0</v>
      </c>
      <c r="D179" s="3">
        <v>771759.88</v>
      </c>
      <c r="E179" s="3">
        <v>0</v>
      </c>
      <c r="F179" s="42">
        <v>771759.88</v>
      </c>
      <c r="G179" t="str">
        <f>_xlfn.XLOOKUP($A179,Map!$A:$A,Map!C:C)</f>
        <v>IS</v>
      </c>
      <c r="H179" t="str">
        <f>_xlfn.XLOOKUP($A179,Map!$A:$A,Map!D:D)</f>
        <v>Cost of sales</v>
      </c>
      <c r="I179" t="str">
        <f>_xlfn.XLOOKUP($A179,Map!$A:$A,Map!E:E)</f>
        <v>Overhead - Rent</v>
      </c>
      <c r="J179" t="str">
        <f>_xlfn.XLOOKUP($A179,Map!$A:$A,Map!F:F)</f>
        <v>Warehouse Rent ( Khamis, Rioyadh, Dammam)</v>
      </c>
    </row>
    <row r="180" spans="1:10" hidden="1" x14ac:dyDescent="0.25">
      <c r="A180" s="1">
        <v>700058</v>
      </c>
      <c r="B180" s="1" t="s">
        <v>225</v>
      </c>
      <c r="C180" s="3">
        <v>0</v>
      </c>
      <c r="D180" s="3">
        <v>10844</v>
      </c>
      <c r="E180" s="3">
        <v>0</v>
      </c>
      <c r="F180" s="41">
        <v>10844</v>
      </c>
      <c r="G180" t="str">
        <f>_xlfn.XLOOKUP($A180,Map!$A:$A,Map!C:C)</f>
        <v>IS</v>
      </c>
      <c r="H180" t="str">
        <f>_xlfn.XLOOKUP($A180,Map!$A:$A,Map!D:D)</f>
        <v>Selling and Marketing</v>
      </c>
      <c r="I180" t="str">
        <f>_xlfn.XLOOKUP($A180,Map!$A:$A,Map!E:E)</f>
        <v>Advertising and promotion expenses</v>
      </c>
      <c r="J180" t="str">
        <f>_xlfn.XLOOKUP($A180,Map!$A:$A,Map!F:F)</f>
        <v>Advertising and promotion expenses</v>
      </c>
    </row>
    <row r="181" spans="1:10" hidden="1" x14ac:dyDescent="0.25">
      <c r="A181" s="1">
        <v>700060</v>
      </c>
      <c r="B181" s="1" t="s">
        <v>227</v>
      </c>
      <c r="C181" s="3">
        <v>0</v>
      </c>
      <c r="D181" s="3">
        <v>2674421.8450000002</v>
      </c>
      <c r="E181" s="3">
        <v>547</v>
      </c>
      <c r="F181" s="41">
        <v>2673874.8450000002</v>
      </c>
      <c r="G181" t="str">
        <f>_xlfn.XLOOKUP($A181,Map!$A:$A,Map!C:C)</f>
        <v>IS</v>
      </c>
      <c r="H181" t="str">
        <f>_xlfn.XLOOKUP($A181,Map!$A:$A,Map!D:D)</f>
        <v>Cost of sales</v>
      </c>
      <c r="I181" t="str">
        <f>_xlfn.XLOOKUP($A181,Map!$A:$A,Map!E:E)</f>
        <v>Freight expenses</v>
      </c>
      <c r="J181" t="str">
        <f>_xlfn.XLOOKUP($A181,Map!$A:$A,Map!F:F)</f>
        <v>Freight expenses</v>
      </c>
    </row>
    <row r="182" spans="1:10" hidden="1" x14ac:dyDescent="0.25">
      <c r="A182" s="1">
        <v>700061</v>
      </c>
      <c r="B182" s="1" t="s">
        <v>228</v>
      </c>
      <c r="C182" s="3">
        <v>0</v>
      </c>
      <c r="D182" s="3">
        <v>221073.86</v>
      </c>
      <c r="E182" s="3">
        <v>0</v>
      </c>
      <c r="F182" s="42">
        <v>221073.86</v>
      </c>
      <c r="G182" t="str">
        <f>_xlfn.XLOOKUP($A182,Map!$A:$A,Map!C:C)</f>
        <v>IS</v>
      </c>
      <c r="H182" t="str">
        <f>_xlfn.XLOOKUP($A182,Map!$A:$A,Map!D:D)</f>
        <v>Selling and Marketing</v>
      </c>
      <c r="I182" t="str">
        <f>_xlfn.XLOOKUP($A182,Map!$A:$A,Map!E:E)</f>
        <v>Commission expenses</v>
      </c>
      <c r="J182" t="str">
        <f>_xlfn.XLOOKUP($A182,Map!$A:$A,Map!F:F)</f>
        <v>Commission expenses</v>
      </c>
    </row>
    <row r="183" spans="1:10" hidden="1" x14ac:dyDescent="0.25">
      <c r="A183" s="1">
        <v>700062</v>
      </c>
      <c r="B183" s="1" t="s">
        <v>229</v>
      </c>
      <c r="C183" s="3">
        <v>0</v>
      </c>
      <c r="D183" s="3">
        <v>700005.97</v>
      </c>
      <c r="E183" s="3">
        <v>0</v>
      </c>
      <c r="F183" s="41">
        <v>700005.97</v>
      </c>
      <c r="G183" t="str">
        <f>_xlfn.XLOOKUP($A183,Map!$A:$A,Map!C:C)</f>
        <v>IS</v>
      </c>
      <c r="H183" t="str">
        <f>_xlfn.XLOOKUP($A183,Map!$A:$A,Map!D:D)</f>
        <v>Revised provision on Bad Debts</v>
      </c>
      <c r="I183" t="str">
        <f>_xlfn.XLOOKUP($A183,Map!$A:$A,Map!E:E)</f>
        <v>Bad debts expense</v>
      </c>
      <c r="J183" t="str">
        <f>_xlfn.XLOOKUP($A183,Map!$A:$A,Map!F:F)</f>
        <v>Bad debts expense</v>
      </c>
    </row>
    <row r="184" spans="1:10" hidden="1" x14ac:dyDescent="0.25">
      <c r="A184" s="1">
        <v>700063</v>
      </c>
      <c r="B184" s="1" t="s">
        <v>230</v>
      </c>
      <c r="C184" s="3">
        <v>0</v>
      </c>
      <c r="D184" s="3">
        <v>509159.65</v>
      </c>
      <c r="E184" s="3">
        <v>37422</v>
      </c>
      <c r="F184" s="41">
        <v>471737.65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Salaries and wages</v>
      </c>
      <c r="J184" t="str">
        <f>_xlfn.XLOOKUP($A184,Map!$A:$A,Map!F:F)</f>
        <v>GOSI</v>
      </c>
    </row>
    <row r="185" spans="1:10" hidden="1" x14ac:dyDescent="0.25"/>
    <row r="186" spans="1:10" s="5" customFormat="1" hidden="1" x14ac:dyDescent="0.25">
      <c r="C186" s="92">
        <f>SUBTOTAL(9,C5:C185)</f>
        <v>0</v>
      </c>
      <c r="D186" s="92">
        <f>SUBTOTAL(9,D5:D185)</f>
        <v>329805244.41899997</v>
      </c>
      <c r="E186" s="92">
        <f>SUBTOTAL(9,E5:E185)</f>
        <v>189104172.69499999</v>
      </c>
      <c r="F186" s="92">
        <f>SUBTOTAL(9,F5:F185)</f>
        <v>140701071.72399998</v>
      </c>
      <c r="G186" s="147"/>
    </row>
    <row r="187" spans="1:10" s="5" customFormat="1" hidden="1" x14ac:dyDescent="0.25">
      <c r="C187" s="92"/>
      <c r="D187" s="92"/>
      <c r="E187" s="92"/>
      <c r="F187" s="92"/>
      <c r="G187" s="147"/>
    </row>
    <row r="188" spans="1:10" hidden="1" x14ac:dyDescent="0.25">
      <c r="A188" s="5" t="s">
        <v>531</v>
      </c>
    </row>
    <row r="189" spans="1:10" hidden="1" x14ac:dyDescent="0.25">
      <c r="A189" s="1">
        <v>600031</v>
      </c>
      <c r="B189" s="1" t="s">
        <v>732</v>
      </c>
      <c r="D189" s="1">
        <v>6239.97</v>
      </c>
      <c r="E189" s="1">
        <v>0</v>
      </c>
      <c r="F189" s="3">
        <f>D189-E189</f>
        <v>6239.97</v>
      </c>
      <c r="G189" t="str">
        <f>_xlfn.XLOOKUP($A189,Map!$A:$A,Map!C:C)</f>
        <v>IS</v>
      </c>
      <c r="H189" t="str">
        <f>_xlfn.XLOOKUP($A189,Map!$A:$A,Map!D:D)</f>
        <v>Depreciation expenses</v>
      </c>
      <c r="I189" t="str">
        <f>_xlfn.XLOOKUP($A189,Map!$A:$A,Map!E:E)</f>
        <v>Depreciation expenses</v>
      </c>
      <c r="J189" t="str">
        <f>_xlfn.XLOOKUP($A189,Map!$A:$A,Map!F:F)</f>
        <v>Depreciation of property, plant and equipment</v>
      </c>
    </row>
    <row r="190" spans="1:10" hidden="1" x14ac:dyDescent="0.25">
      <c r="A190" s="1">
        <v>600031</v>
      </c>
      <c r="B190" s="1" t="s">
        <v>732</v>
      </c>
      <c r="D190" s="1">
        <v>73655.360000000001</v>
      </c>
      <c r="E190" s="1">
        <v>0</v>
      </c>
      <c r="F190" s="3">
        <f t="shared" ref="F190:F253" si="0">D190-E190</f>
        <v>73655.360000000001</v>
      </c>
      <c r="G190" t="str">
        <f>_xlfn.XLOOKUP($A190,Map!$A:$A,Map!C:C)</f>
        <v>IS</v>
      </c>
      <c r="H190" t="str">
        <f>_xlfn.XLOOKUP($A190,Map!$A:$A,Map!D:D)</f>
        <v>Depreciation expenses</v>
      </c>
      <c r="I190" t="str">
        <f>_xlfn.XLOOKUP($A190,Map!$A:$A,Map!E:E)</f>
        <v>Depreciation expenses</v>
      </c>
      <c r="J190" t="str">
        <f>_xlfn.XLOOKUP($A190,Map!$A:$A,Map!F:F)</f>
        <v>Depreciation of property, plant and equipment</v>
      </c>
    </row>
    <row r="191" spans="1:10" hidden="1" x14ac:dyDescent="0.25">
      <c r="A191" s="1">
        <v>600030</v>
      </c>
      <c r="B191" s="1" t="s">
        <v>732</v>
      </c>
      <c r="D191" s="1">
        <v>15132.33</v>
      </c>
      <c r="E191" s="1">
        <v>0</v>
      </c>
      <c r="F191" s="3">
        <f t="shared" si="0"/>
        <v>15132.33</v>
      </c>
      <c r="G191" t="str">
        <f>_xlfn.XLOOKUP($A191,Map!$A:$A,Map!C:C)</f>
        <v>IS</v>
      </c>
      <c r="H191" t="str">
        <f>_xlfn.XLOOKUP($A191,Map!$A:$A,Map!D:D)</f>
        <v>Depreciation expenses</v>
      </c>
      <c r="I191" t="str">
        <f>_xlfn.XLOOKUP($A191,Map!$A:$A,Map!E:E)</f>
        <v>Depreciation expenses</v>
      </c>
      <c r="J191" t="str">
        <f>_xlfn.XLOOKUP($A191,Map!$A:$A,Map!F:F)</f>
        <v>Depreciation of property, plant and equipment</v>
      </c>
    </row>
    <row r="192" spans="1:10" hidden="1" x14ac:dyDescent="0.25">
      <c r="A192" s="1">
        <v>600029</v>
      </c>
      <c r="B192" s="1" t="s">
        <v>732</v>
      </c>
      <c r="D192" s="1">
        <v>2379480.429</v>
      </c>
      <c r="E192" s="1">
        <v>0</v>
      </c>
      <c r="F192" s="3">
        <f t="shared" si="0"/>
        <v>2379480.429</v>
      </c>
      <c r="G192" t="str">
        <f>_xlfn.XLOOKUP($A192,Map!$A:$A,Map!C:C)</f>
        <v>IS</v>
      </c>
      <c r="H192" t="str">
        <f>_xlfn.XLOOKUP($A192,Map!$A:$A,Map!D:D)</f>
        <v>Cost of sales</v>
      </c>
      <c r="I192" t="str">
        <f>_xlfn.XLOOKUP($A192,Map!$A:$A,Map!E:E)</f>
        <v>Depreciation - Machines</v>
      </c>
      <c r="J192" t="str">
        <f>_xlfn.XLOOKUP($A192,Map!$A:$A,Map!F:F)</f>
        <v>Depreciation of property, plant and equipment</v>
      </c>
    </row>
    <row r="193" spans="1:10" hidden="1" x14ac:dyDescent="0.25">
      <c r="A193" s="1">
        <v>600028</v>
      </c>
      <c r="B193" s="1" t="s">
        <v>732</v>
      </c>
      <c r="D193" s="1">
        <v>27393</v>
      </c>
      <c r="E193" s="1">
        <v>0</v>
      </c>
      <c r="F193" s="3">
        <f t="shared" si="0"/>
        <v>27393</v>
      </c>
      <c r="G193" t="str">
        <f>_xlfn.XLOOKUP($A193,Map!$A:$A,Map!C:C)</f>
        <v>IS</v>
      </c>
      <c r="H193" t="str">
        <f>_xlfn.XLOOKUP($A193,Map!$A:$A,Map!D:D)</f>
        <v>Cost of sales</v>
      </c>
      <c r="I193" t="str">
        <f>_xlfn.XLOOKUP($A193,Map!$A:$A,Map!E:E)</f>
        <v>Overhead - Consumables &amp; SP</v>
      </c>
      <c r="J193" t="str">
        <f>_xlfn.XLOOKUP($A193,Map!$A:$A,Map!F:F)</f>
        <v xml:space="preserve">Education &amp; Furniture Allowances </v>
      </c>
    </row>
    <row r="194" spans="1:10" hidden="1" x14ac:dyDescent="0.25">
      <c r="A194" s="1">
        <v>600028</v>
      </c>
      <c r="B194" s="1" t="s">
        <v>732</v>
      </c>
      <c r="D194" s="1">
        <v>910</v>
      </c>
      <c r="E194" s="1">
        <v>0</v>
      </c>
      <c r="F194" s="3">
        <f t="shared" si="0"/>
        <v>910</v>
      </c>
      <c r="G194" t="str">
        <f>_xlfn.XLOOKUP($A194,Map!$A:$A,Map!C:C)</f>
        <v>IS</v>
      </c>
      <c r="H194" t="str">
        <f>_xlfn.XLOOKUP($A194,Map!$A:$A,Map!D:D)</f>
        <v>Cost of sales</v>
      </c>
      <c r="I194" t="str">
        <f>_xlfn.XLOOKUP($A194,Map!$A:$A,Map!E:E)</f>
        <v>Overhead - Consumables &amp; SP</v>
      </c>
      <c r="J194" t="str">
        <f>_xlfn.XLOOKUP($A194,Map!$A:$A,Map!F:F)</f>
        <v xml:space="preserve">Education &amp; Furniture Allowances </v>
      </c>
    </row>
    <row r="195" spans="1:10" hidden="1" x14ac:dyDescent="0.25">
      <c r="A195" s="1">
        <v>600028</v>
      </c>
      <c r="B195" s="1" t="s">
        <v>732</v>
      </c>
      <c r="D195" s="1">
        <v>1740</v>
      </c>
      <c r="E195" s="1">
        <v>0</v>
      </c>
      <c r="F195" s="3">
        <f t="shared" si="0"/>
        <v>1740</v>
      </c>
      <c r="G195" t="str">
        <f>_xlfn.XLOOKUP($A195,Map!$A:$A,Map!C:C)</f>
        <v>IS</v>
      </c>
      <c r="H195" t="str">
        <f>_xlfn.XLOOKUP($A195,Map!$A:$A,Map!D:D)</f>
        <v>Cost of sales</v>
      </c>
      <c r="I195" t="str">
        <f>_xlfn.XLOOKUP($A195,Map!$A:$A,Map!E:E)</f>
        <v>Overhead - Consumables &amp; SP</v>
      </c>
      <c r="J195" t="str">
        <f>_xlfn.XLOOKUP($A195,Map!$A:$A,Map!F:F)</f>
        <v xml:space="preserve">Education &amp; Furniture Allowances </v>
      </c>
    </row>
    <row r="196" spans="1:10" hidden="1" x14ac:dyDescent="0.25">
      <c r="A196" s="1">
        <v>600027</v>
      </c>
      <c r="B196" s="1" t="s">
        <v>732</v>
      </c>
      <c r="D196" s="1">
        <v>422960</v>
      </c>
      <c r="E196" s="1">
        <v>0</v>
      </c>
      <c r="F196" s="3">
        <f t="shared" si="0"/>
        <v>422960</v>
      </c>
      <c r="G196" t="str">
        <f>_xlfn.XLOOKUP($A196,Map!$A:$A,Map!C:C)</f>
        <v>IS</v>
      </c>
      <c r="H196" t="str">
        <f>_xlfn.XLOOKUP($A196,Map!$A:$A,Map!D:D)</f>
        <v>Cost of sales</v>
      </c>
      <c r="I196" t="str">
        <f>_xlfn.XLOOKUP($A196,Map!$A:$A,Map!E:E)</f>
        <v>Overhead - Rent</v>
      </c>
      <c r="J196" t="str">
        <f>_xlfn.XLOOKUP($A196,Map!$A:$A,Map!F:F)</f>
        <v>Production hall rental</v>
      </c>
    </row>
    <row r="197" spans="1:10" hidden="1" x14ac:dyDescent="0.25">
      <c r="A197" s="1">
        <v>600024</v>
      </c>
      <c r="B197" s="1" t="s">
        <v>732</v>
      </c>
      <c r="D197" s="1">
        <v>32303</v>
      </c>
      <c r="E197" s="1">
        <v>0</v>
      </c>
      <c r="F197" s="3">
        <f t="shared" si="0"/>
        <v>32303</v>
      </c>
      <c r="G197" t="str">
        <f>_xlfn.XLOOKUP($A197,Map!$A:$A,Map!C:C)</f>
        <v>IS</v>
      </c>
      <c r="H197" t="str">
        <f>_xlfn.XLOOKUP($A197,Map!$A:$A,Map!D:D)</f>
        <v>Cost of sales</v>
      </c>
      <c r="I197" t="str">
        <f>_xlfn.XLOOKUP($A197,Map!$A:$A,Map!E:E)</f>
        <v>Overhead - Rent</v>
      </c>
      <c r="J197" t="str">
        <f>_xlfn.XLOOKUP($A197,Map!$A:$A,Map!F:F)</f>
        <v>Pump rental expenses</v>
      </c>
    </row>
    <row r="198" spans="1:10" hidden="1" x14ac:dyDescent="0.25">
      <c r="A198" s="1">
        <v>600023</v>
      </c>
      <c r="B198" s="1" t="s">
        <v>732</v>
      </c>
      <c r="D198" s="1">
        <v>880</v>
      </c>
      <c r="E198" s="1">
        <v>0</v>
      </c>
      <c r="F198" s="3">
        <f t="shared" si="0"/>
        <v>880</v>
      </c>
      <c r="G198" t="str">
        <f>_xlfn.XLOOKUP($A198,Map!$A:$A,Map!C:C)</f>
        <v>IS</v>
      </c>
      <c r="H198" t="str">
        <f>_xlfn.XLOOKUP($A198,Map!$A:$A,Map!D:D)</f>
        <v>Cost of sales</v>
      </c>
      <c r="I198" t="str">
        <f>_xlfn.XLOOKUP($A198,Map!$A:$A,Map!E:E)</f>
        <v>Overhead - R&amp;M</v>
      </c>
      <c r="J198" t="str">
        <f>_xlfn.XLOOKUP($A198,Map!$A:$A,Map!F:F)</f>
        <v>Office equipment maintenance</v>
      </c>
    </row>
    <row r="199" spans="1:10" hidden="1" x14ac:dyDescent="0.25">
      <c r="A199" s="1">
        <v>600021</v>
      </c>
      <c r="B199" s="1" t="s">
        <v>732</v>
      </c>
      <c r="D199" s="1">
        <v>31863</v>
      </c>
      <c r="E199" s="1">
        <v>0</v>
      </c>
      <c r="F199" s="3">
        <f t="shared" si="0"/>
        <v>31863</v>
      </c>
      <c r="G199" t="str">
        <f>_xlfn.XLOOKUP($A199,Map!$A:$A,Map!C:C)</f>
        <v>IS</v>
      </c>
      <c r="H199" t="str">
        <f>_xlfn.XLOOKUP($A199,Map!$A:$A,Map!D:D)</f>
        <v>Cost of sales</v>
      </c>
      <c r="I199" t="str">
        <f>_xlfn.XLOOKUP($A199,Map!$A:$A,Map!E:E)</f>
        <v>Overhead - R&amp;M</v>
      </c>
      <c r="J199" t="str">
        <f>_xlfn.XLOOKUP($A199,Map!$A:$A,Map!F:F)</f>
        <v>Vehicle maintenance</v>
      </c>
    </row>
    <row r="200" spans="1:10" hidden="1" x14ac:dyDescent="0.25">
      <c r="A200" s="1">
        <v>600020</v>
      </c>
      <c r="B200" s="1" t="s">
        <v>732</v>
      </c>
      <c r="D200" s="1">
        <v>189307.95199999999</v>
      </c>
      <c r="E200" s="1">
        <v>0</v>
      </c>
      <c r="F200" s="3">
        <f t="shared" si="0"/>
        <v>189307.95199999999</v>
      </c>
      <c r="G200" t="str">
        <f>_xlfn.XLOOKUP($A200,Map!$A:$A,Map!C:C)</f>
        <v>IS</v>
      </c>
      <c r="H200" t="str">
        <f>_xlfn.XLOOKUP($A200,Map!$A:$A,Map!D:D)</f>
        <v>Cost of sales</v>
      </c>
      <c r="I200" t="str">
        <f>_xlfn.XLOOKUP($A200,Map!$A:$A,Map!E:E)</f>
        <v>Overhead - R&amp;M</v>
      </c>
      <c r="J200" t="str">
        <f>_xlfn.XLOOKUP($A200,Map!$A:$A,Map!F:F)</f>
        <v>Machine and equipment</v>
      </c>
    </row>
    <row r="201" spans="1:10" hidden="1" x14ac:dyDescent="0.25">
      <c r="A201" s="1">
        <v>600020</v>
      </c>
      <c r="B201" s="1" t="s">
        <v>732</v>
      </c>
      <c r="D201" s="1">
        <v>14377</v>
      </c>
      <c r="E201" s="1">
        <v>0</v>
      </c>
      <c r="F201" s="3">
        <f t="shared" si="0"/>
        <v>14377</v>
      </c>
      <c r="G201" t="str">
        <f>_xlfn.XLOOKUP($A201,Map!$A:$A,Map!C:C)</f>
        <v>IS</v>
      </c>
      <c r="H201" t="str">
        <f>_xlfn.XLOOKUP($A201,Map!$A:$A,Map!D:D)</f>
        <v>Cost of sales</v>
      </c>
      <c r="I201" t="str">
        <f>_xlfn.XLOOKUP($A201,Map!$A:$A,Map!E:E)</f>
        <v>Overhead - R&amp;M</v>
      </c>
      <c r="J201" t="str">
        <f>_xlfn.XLOOKUP($A201,Map!$A:$A,Map!F:F)</f>
        <v>Machine and equipment</v>
      </c>
    </row>
    <row r="202" spans="1:10" hidden="1" x14ac:dyDescent="0.25">
      <c r="A202" s="1">
        <v>600019</v>
      </c>
      <c r="B202" s="1" t="s">
        <v>732</v>
      </c>
      <c r="D202" s="1">
        <v>60129.05</v>
      </c>
      <c r="E202" s="1">
        <v>0</v>
      </c>
      <c r="F202" s="3">
        <f t="shared" si="0"/>
        <v>60129.05</v>
      </c>
      <c r="G202" t="str">
        <f>_xlfn.XLOOKUP($A202,Map!$A:$A,Map!C:C)</f>
        <v>IS</v>
      </c>
      <c r="H202" t="str">
        <f>_xlfn.XLOOKUP($A202,Map!$A:$A,Map!D:D)</f>
        <v>Cost of sales</v>
      </c>
      <c r="I202" t="str">
        <f>_xlfn.XLOOKUP($A202,Map!$A:$A,Map!E:E)</f>
        <v>Overhead - Utility</v>
      </c>
      <c r="J202" t="str">
        <f>_xlfn.XLOOKUP($A202,Map!$A:$A,Map!F:F)</f>
        <v>Fuel and oil</v>
      </c>
    </row>
    <row r="203" spans="1:10" hidden="1" x14ac:dyDescent="0.25">
      <c r="A203" s="1">
        <v>600018</v>
      </c>
      <c r="B203" s="1" t="s">
        <v>732</v>
      </c>
      <c r="D203" s="1">
        <v>44418</v>
      </c>
      <c r="E203" s="1">
        <v>0</v>
      </c>
      <c r="F203" s="3">
        <f t="shared" si="0"/>
        <v>44418</v>
      </c>
      <c r="G203" t="str">
        <f>_xlfn.XLOOKUP($A203,Map!$A:$A,Map!C:C)</f>
        <v>IS</v>
      </c>
      <c r="H203" t="str">
        <f>_xlfn.XLOOKUP($A203,Map!$A:$A,Map!D:D)</f>
        <v>Cost of sales</v>
      </c>
      <c r="I203" t="str">
        <f>_xlfn.XLOOKUP($A203,Map!$A:$A,Map!E:E)</f>
        <v>Overhead - Utility</v>
      </c>
      <c r="J203" t="str">
        <f>_xlfn.XLOOKUP($A203,Map!$A:$A,Map!F:F)</f>
        <v>Water expenses</v>
      </c>
    </row>
    <row r="204" spans="1:10" hidden="1" x14ac:dyDescent="0.25">
      <c r="A204" s="1">
        <v>600018</v>
      </c>
      <c r="B204" s="1" t="s">
        <v>732</v>
      </c>
      <c r="D204" s="1">
        <v>1680</v>
      </c>
      <c r="E204" s="1">
        <v>0</v>
      </c>
      <c r="F204" s="3">
        <f t="shared" si="0"/>
        <v>1680</v>
      </c>
      <c r="G204" t="str">
        <f>_xlfn.XLOOKUP($A204,Map!$A:$A,Map!C:C)</f>
        <v>IS</v>
      </c>
      <c r="H204" t="str">
        <f>_xlfn.XLOOKUP($A204,Map!$A:$A,Map!D:D)</f>
        <v>Cost of sales</v>
      </c>
      <c r="I204" t="str">
        <f>_xlfn.XLOOKUP($A204,Map!$A:$A,Map!E:E)</f>
        <v>Overhead - Utility</v>
      </c>
      <c r="J204" t="str">
        <f>_xlfn.XLOOKUP($A204,Map!$A:$A,Map!F:F)</f>
        <v>Water expenses</v>
      </c>
    </row>
    <row r="205" spans="1:10" hidden="1" x14ac:dyDescent="0.25">
      <c r="A205" s="1">
        <v>600017</v>
      </c>
      <c r="B205" s="1" t="s">
        <v>732</v>
      </c>
      <c r="D205" s="1">
        <v>1096442.8500000001</v>
      </c>
      <c r="E205" s="1">
        <v>0</v>
      </c>
      <c r="F205" s="3">
        <f t="shared" si="0"/>
        <v>1096442.8500000001</v>
      </c>
      <c r="G205" t="str">
        <f>_xlfn.XLOOKUP($A205,Map!$A:$A,Map!C:C)</f>
        <v>IS</v>
      </c>
      <c r="H205" t="str">
        <f>_xlfn.XLOOKUP($A205,Map!$A:$A,Map!D:D)</f>
        <v>Cost of sales</v>
      </c>
      <c r="I205" t="str">
        <f>_xlfn.XLOOKUP($A205,Map!$A:$A,Map!E:E)</f>
        <v>Overhead - Utility</v>
      </c>
      <c r="J205" t="str">
        <f>_xlfn.XLOOKUP($A205,Map!$A:$A,Map!F:F)</f>
        <v>Electricity expenses</v>
      </c>
    </row>
    <row r="206" spans="1:10" hidden="1" x14ac:dyDescent="0.25">
      <c r="A206" s="1">
        <v>600016</v>
      </c>
      <c r="B206" s="1" t="s">
        <v>732</v>
      </c>
      <c r="D206" s="1">
        <v>1020949.154</v>
      </c>
      <c r="E206" s="1">
        <v>0</v>
      </c>
      <c r="F206" s="3">
        <f t="shared" si="0"/>
        <v>1020949.154</v>
      </c>
      <c r="G206" t="str">
        <f>_xlfn.XLOOKUP($A206,Map!$A:$A,Map!C:C)</f>
        <v>IS</v>
      </c>
      <c r="H206" t="str">
        <f>_xlfn.XLOOKUP($A206,Map!$A:$A,Map!D:D)</f>
        <v>Cost of sales</v>
      </c>
      <c r="I206" t="str">
        <f>_xlfn.XLOOKUP($A206,Map!$A:$A,Map!E:E)</f>
        <v>Overhead - Consumables &amp; SP</v>
      </c>
      <c r="J206" t="str">
        <f>_xlfn.XLOOKUP($A206,Map!$A:$A,Map!F:F)</f>
        <v>Tools</v>
      </c>
    </row>
    <row r="207" spans="1:10" hidden="1" x14ac:dyDescent="0.25">
      <c r="A207" s="1">
        <v>600016</v>
      </c>
      <c r="B207" s="1" t="s">
        <v>732</v>
      </c>
      <c r="D207" s="1">
        <v>0</v>
      </c>
      <c r="E207" s="1">
        <v>0</v>
      </c>
      <c r="F207" s="3">
        <f t="shared" si="0"/>
        <v>0</v>
      </c>
      <c r="G207" t="str">
        <f>_xlfn.XLOOKUP($A207,Map!$A:$A,Map!C:C)</f>
        <v>IS</v>
      </c>
      <c r="H207" t="str">
        <f>_xlfn.XLOOKUP($A207,Map!$A:$A,Map!D:D)</f>
        <v>Cost of sales</v>
      </c>
      <c r="I207" t="str">
        <f>_xlfn.XLOOKUP($A207,Map!$A:$A,Map!E:E)</f>
        <v>Overhead - Consumables &amp; SP</v>
      </c>
      <c r="J207" t="str">
        <f>_xlfn.XLOOKUP($A207,Map!$A:$A,Map!F:F)</f>
        <v>Tools</v>
      </c>
    </row>
    <row r="208" spans="1:10" hidden="1" x14ac:dyDescent="0.25">
      <c r="A208" s="1">
        <v>600016</v>
      </c>
      <c r="B208" s="1" t="s">
        <v>732</v>
      </c>
      <c r="D208" s="1">
        <v>83218.535999999993</v>
      </c>
      <c r="E208" s="1">
        <v>0</v>
      </c>
      <c r="F208" s="3">
        <f t="shared" si="0"/>
        <v>83218.535999999993</v>
      </c>
      <c r="G208" t="str">
        <f>_xlfn.XLOOKUP($A208,Map!$A:$A,Map!C:C)</f>
        <v>IS</v>
      </c>
      <c r="H208" t="str">
        <f>_xlfn.XLOOKUP($A208,Map!$A:$A,Map!D:D)</f>
        <v>Cost of sales</v>
      </c>
      <c r="I208" t="str">
        <f>_xlfn.XLOOKUP($A208,Map!$A:$A,Map!E:E)</f>
        <v>Overhead - Consumables &amp; SP</v>
      </c>
      <c r="J208" t="str">
        <f>_xlfn.XLOOKUP($A208,Map!$A:$A,Map!F:F)</f>
        <v>Tools</v>
      </c>
    </row>
    <row r="209" spans="1:10" hidden="1" x14ac:dyDescent="0.25">
      <c r="A209" s="1">
        <v>600016</v>
      </c>
      <c r="B209" s="1" t="s">
        <v>732</v>
      </c>
      <c r="D209" s="1">
        <v>0</v>
      </c>
      <c r="E209" s="1">
        <v>0</v>
      </c>
      <c r="F209" s="3">
        <f t="shared" si="0"/>
        <v>0</v>
      </c>
      <c r="G209" t="str">
        <f>_xlfn.XLOOKUP($A209,Map!$A:$A,Map!C:C)</f>
        <v>IS</v>
      </c>
      <c r="H209" t="str">
        <f>_xlfn.XLOOKUP($A209,Map!$A:$A,Map!D:D)</f>
        <v>Cost of sales</v>
      </c>
      <c r="I209" t="str">
        <f>_xlfn.XLOOKUP($A209,Map!$A:$A,Map!E:E)</f>
        <v>Overhead - Consumables &amp; SP</v>
      </c>
      <c r="J209" t="str">
        <f>_xlfn.XLOOKUP($A209,Map!$A:$A,Map!F:F)</f>
        <v>Tools</v>
      </c>
    </row>
    <row r="210" spans="1:10" hidden="1" x14ac:dyDescent="0.25">
      <c r="A210" s="1">
        <v>600016</v>
      </c>
      <c r="B210" s="1" t="s">
        <v>732</v>
      </c>
      <c r="D210" s="1">
        <v>225972.44</v>
      </c>
      <c r="E210" s="1">
        <v>0</v>
      </c>
      <c r="F210" s="3">
        <f t="shared" si="0"/>
        <v>225972.44</v>
      </c>
      <c r="G210" t="str">
        <f>_xlfn.XLOOKUP($A210,Map!$A:$A,Map!C:C)</f>
        <v>IS</v>
      </c>
      <c r="H210" t="str">
        <f>_xlfn.XLOOKUP($A210,Map!$A:$A,Map!D:D)</f>
        <v>Cost of sales</v>
      </c>
      <c r="I210" t="str">
        <f>_xlfn.XLOOKUP($A210,Map!$A:$A,Map!E:E)</f>
        <v>Overhead - Consumables &amp; SP</v>
      </c>
      <c r="J210" t="str">
        <f>_xlfn.XLOOKUP($A210,Map!$A:$A,Map!F:F)</f>
        <v>Tools</v>
      </c>
    </row>
    <row r="211" spans="1:10" hidden="1" x14ac:dyDescent="0.25">
      <c r="A211" s="1">
        <v>600016</v>
      </c>
      <c r="B211" s="1" t="s">
        <v>732</v>
      </c>
      <c r="D211" s="1">
        <v>588922.46400000004</v>
      </c>
      <c r="E211" s="1">
        <v>0</v>
      </c>
      <c r="F211" s="3">
        <f t="shared" si="0"/>
        <v>588922.46400000004</v>
      </c>
      <c r="G211" t="str">
        <f>_xlfn.XLOOKUP($A211,Map!$A:$A,Map!C:C)</f>
        <v>IS</v>
      </c>
      <c r="H211" t="str">
        <f>_xlfn.XLOOKUP($A211,Map!$A:$A,Map!D:D)</f>
        <v>Cost of sales</v>
      </c>
      <c r="I211" t="str">
        <f>_xlfn.XLOOKUP($A211,Map!$A:$A,Map!E:E)</f>
        <v>Overhead - Consumables &amp; SP</v>
      </c>
      <c r="J211" t="str">
        <f>_xlfn.XLOOKUP($A211,Map!$A:$A,Map!F:F)</f>
        <v>Tools</v>
      </c>
    </row>
    <row r="212" spans="1:10" hidden="1" x14ac:dyDescent="0.25">
      <c r="A212" s="1">
        <v>600016</v>
      </c>
      <c r="B212" s="1" t="s">
        <v>732</v>
      </c>
      <c r="D212" s="1">
        <v>81519.960000000006</v>
      </c>
      <c r="E212" s="1">
        <v>0</v>
      </c>
      <c r="F212" s="3">
        <f t="shared" si="0"/>
        <v>81519.960000000006</v>
      </c>
      <c r="G212" t="str">
        <f>_xlfn.XLOOKUP($A212,Map!$A:$A,Map!C:C)</f>
        <v>IS</v>
      </c>
      <c r="H212" t="str">
        <f>_xlfn.XLOOKUP($A212,Map!$A:$A,Map!D:D)</f>
        <v>Cost of sales</v>
      </c>
      <c r="I212" t="str">
        <f>_xlfn.XLOOKUP($A212,Map!$A:$A,Map!E:E)</f>
        <v>Overhead - Consumables &amp; SP</v>
      </c>
      <c r="J212" t="str">
        <f>_xlfn.XLOOKUP($A212,Map!$A:$A,Map!F:F)</f>
        <v>Tools</v>
      </c>
    </row>
    <row r="213" spans="1:10" hidden="1" x14ac:dyDescent="0.25">
      <c r="A213" s="1">
        <v>600015</v>
      </c>
      <c r="B213" s="1" t="s">
        <v>732</v>
      </c>
      <c r="D213" s="1">
        <v>106711.56</v>
      </c>
      <c r="E213" s="1">
        <v>0</v>
      </c>
      <c r="F213" s="3">
        <f t="shared" si="0"/>
        <v>106711.56</v>
      </c>
      <c r="G213" t="str">
        <f>_xlfn.XLOOKUP($A213,Map!$A:$A,Map!C:C)</f>
        <v>IS</v>
      </c>
      <c r="H213" t="str">
        <f>_xlfn.XLOOKUP($A213,Map!$A:$A,Map!D:D)</f>
        <v>Cost of sales</v>
      </c>
      <c r="I213" t="str">
        <f>_xlfn.XLOOKUP($A213,Map!$A:$A,Map!E:E)</f>
        <v>Overhead - Consumables &amp; SP</v>
      </c>
      <c r="J213" t="str">
        <f>_xlfn.XLOOKUP($A213,Map!$A:$A,Map!F:F)</f>
        <v>Consumables</v>
      </c>
    </row>
    <row r="214" spans="1:10" hidden="1" x14ac:dyDescent="0.25">
      <c r="A214" s="1">
        <v>600015</v>
      </c>
      <c r="B214" s="1" t="s">
        <v>732</v>
      </c>
      <c r="D214" s="1">
        <v>0</v>
      </c>
      <c r="E214" s="1">
        <v>0</v>
      </c>
      <c r="F214" s="3">
        <f t="shared" si="0"/>
        <v>0</v>
      </c>
      <c r="G214" t="str">
        <f>_xlfn.XLOOKUP($A214,Map!$A:$A,Map!C:C)</f>
        <v>IS</v>
      </c>
      <c r="H214" t="str">
        <f>_xlfn.XLOOKUP($A214,Map!$A:$A,Map!D:D)</f>
        <v>Cost of sales</v>
      </c>
      <c r="I214" t="str">
        <f>_xlfn.XLOOKUP($A214,Map!$A:$A,Map!E:E)</f>
        <v>Overhead - Consumables &amp; SP</v>
      </c>
      <c r="J214" t="str">
        <f>_xlfn.XLOOKUP($A214,Map!$A:$A,Map!F:F)</f>
        <v>Consumables</v>
      </c>
    </row>
    <row r="215" spans="1:10" hidden="1" x14ac:dyDescent="0.25">
      <c r="A215" s="1">
        <v>600014</v>
      </c>
      <c r="B215" s="1" t="s">
        <v>732</v>
      </c>
      <c r="D215" s="1">
        <v>992343.701</v>
      </c>
      <c r="E215" s="1">
        <v>0</v>
      </c>
      <c r="F215" s="3">
        <f t="shared" si="0"/>
        <v>992343.701</v>
      </c>
      <c r="G215" t="str">
        <f>_xlfn.XLOOKUP($A215,Map!$A:$A,Map!C:C)</f>
        <v>IS</v>
      </c>
      <c r="H215" t="str">
        <f>_xlfn.XLOOKUP($A215,Map!$A:$A,Map!D:D)</f>
        <v>Cost of sales</v>
      </c>
      <c r="I215" t="str">
        <f>_xlfn.XLOOKUP($A215,Map!$A:$A,Map!E:E)</f>
        <v>Overhead - Consumables &amp; SP</v>
      </c>
      <c r="J215" t="str">
        <f>_xlfn.XLOOKUP($A215,Map!$A:$A,Map!F:F)</f>
        <v>Consumables</v>
      </c>
    </row>
    <row r="216" spans="1:10" hidden="1" x14ac:dyDescent="0.25">
      <c r="A216" s="1">
        <v>600014</v>
      </c>
      <c r="B216" s="1" t="s">
        <v>732</v>
      </c>
      <c r="D216" s="1">
        <v>7350</v>
      </c>
      <c r="E216" s="1">
        <v>0</v>
      </c>
      <c r="F216" s="3">
        <f t="shared" si="0"/>
        <v>7350</v>
      </c>
      <c r="G216" t="str">
        <f>_xlfn.XLOOKUP($A216,Map!$A:$A,Map!C:C)</f>
        <v>IS</v>
      </c>
      <c r="H216" t="str">
        <f>_xlfn.XLOOKUP($A216,Map!$A:$A,Map!D:D)</f>
        <v>Cost of sales</v>
      </c>
      <c r="I216" t="str">
        <f>_xlfn.XLOOKUP($A216,Map!$A:$A,Map!E:E)</f>
        <v>Overhead - Consumables &amp; SP</v>
      </c>
      <c r="J216" t="str">
        <f>_xlfn.XLOOKUP($A216,Map!$A:$A,Map!F:F)</f>
        <v>Consumables</v>
      </c>
    </row>
    <row r="217" spans="1:10" hidden="1" x14ac:dyDescent="0.25">
      <c r="A217" s="1">
        <v>600014</v>
      </c>
      <c r="B217" s="1" t="s">
        <v>732</v>
      </c>
      <c r="D217" s="1">
        <v>0</v>
      </c>
      <c r="E217" s="1">
        <v>0</v>
      </c>
      <c r="F217" s="3">
        <f t="shared" si="0"/>
        <v>0</v>
      </c>
      <c r="G217" t="str">
        <f>_xlfn.XLOOKUP($A217,Map!$A:$A,Map!C:C)</f>
        <v>IS</v>
      </c>
      <c r="H217" t="str">
        <f>_xlfn.XLOOKUP($A217,Map!$A:$A,Map!D:D)</f>
        <v>Cost of sales</v>
      </c>
      <c r="I217" t="str">
        <f>_xlfn.XLOOKUP($A217,Map!$A:$A,Map!E:E)</f>
        <v>Overhead - Consumables &amp; SP</v>
      </c>
      <c r="J217" t="str">
        <f>_xlfn.XLOOKUP($A217,Map!$A:$A,Map!F:F)</f>
        <v>Consumables</v>
      </c>
    </row>
    <row r="218" spans="1:10" hidden="1" x14ac:dyDescent="0.25">
      <c r="A218" s="1">
        <v>600013</v>
      </c>
      <c r="B218" s="1" t="s">
        <v>732</v>
      </c>
      <c r="D218" s="1">
        <v>774</v>
      </c>
      <c r="E218" s="1">
        <v>0</v>
      </c>
      <c r="F218" s="3">
        <f t="shared" si="0"/>
        <v>774</v>
      </c>
      <c r="G218" t="str">
        <f>_xlfn.XLOOKUP($A218,Map!$A:$A,Map!C:C)</f>
        <v>IS</v>
      </c>
      <c r="H218" t="str">
        <f>_xlfn.XLOOKUP($A218,Map!$A:$A,Map!D:D)</f>
        <v>Cost of sales</v>
      </c>
      <c r="I218" t="str">
        <f>_xlfn.XLOOKUP($A218,Map!$A:$A,Map!E:E)</f>
        <v>Overhead - Labor Cost</v>
      </c>
      <c r="J218" t="str">
        <f>_xlfn.XLOOKUP($A218,Map!$A:$A,Map!F:F)</f>
        <v>Telephone allowance</v>
      </c>
    </row>
    <row r="219" spans="1:10" hidden="1" x14ac:dyDescent="0.25">
      <c r="A219" s="1">
        <v>600011</v>
      </c>
      <c r="B219" s="1" t="s">
        <v>732</v>
      </c>
      <c r="D219" s="1">
        <v>8000</v>
      </c>
      <c r="E219" s="1">
        <v>0</v>
      </c>
      <c r="F219" s="3">
        <f t="shared" si="0"/>
        <v>8000</v>
      </c>
      <c r="G219" t="str">
        <f>_xlfn.XLOOKUP($A219,Map!$A:$A,Map!C:C)</f>
        <v>IS</v>
      </c>
      <c r="H219" t="str">
        <f>_xlfn.XLOOKUP($A219,Map!$A:$A,Map!D:D)</f>
        <v>Cost of sales</v>
      </c>
      <c r="I219" t="str">
        <f>_xlfn.XLOOKUP($A219,Map!$A:$A,Map!E:E)</f>
        <v>Overhead - Labor Cost</v>
      </c>
      <c r="J219" t="str">
        <f>_xlfn.XLOOKUP($A219,Map!$A:$A,Map!F:F)</f>
        <v>Air tickets</v>
      </c>
    </row>
    <row r="220" spans="1:10" hidden="1" x14ac:dyDescent="0.25">
      <c r="A220" s="1">
        <v>600009</v>
      </c>
      <c r="B220" s="1" t="s">
        <v>732</v>
      </c>
      <c r="D220" s="1">
        <v>129309</v>
      </c>
      <c r="E220" s="1">
        <v>0</v>
      </c>
      <c r="F220" s="3">
        <f t="shared" si="0"/>
        <v>129309</v>
      </c>
      <c r="G220" t="str">
        <f>_xlfn.XLOOKUP($A220,Map!$A:$A,Map!C:C)</f>
        <v>IS</v>
      </c>
      <c r="H220" t="str">
        <f>_xlfn.XLOOKUP($A220,Map!$A:$A,Map!D:D)</f>
        <v>Cost of sales</v>
      </c>
      <c r="I220" t="str">
        <f>_xlfn.XLOOKUP($A220,Map!$A:$A,Map!E:E)</f>
        <v>Overhead - Labor Cost</v>
      </c>
      <c r="J220" t="str">
        <f>_xlfn.XLOOKUP($A220,Map!$A:$A,Map!F:F)</f>
        <v>Vacation pay</v>
      </c>
    </row>
    <row r="221" spans="1:10" hidden="1" x14ac:dyDescent="0.25">
      <c r="A221" s="1">
        <v>600009</v>
      </c>
      <c r="B221" s="1" t="s">
        <v>732</v>
      </c>
      <c r="D221" s="1">
        <v>2300</v>
      </c>
      <c r="E221" s="1">
        <v>0</v>
      </c>
      <c r="F221" s="3">
        <f t="shared" si="0"/>
        <v>2300</v>
      </c>
      <c r="G221" t="str">
        <f>_xlfn.XLOOKUP($A221,Map!$A:$A,Map!C:C)</f>
        <v>IS</v>
      </c>
      <c r="H221" t="str">
        <f>_xlfn.XLOOKUP($A221,Map!$A:$A,Map!D:D)</f>
        <v>Cost of sales</v>
      </c>
      <c r="I221" t="str">
        <f>_xlfn.XLOOKUP($A221,Map!$A:$A,Map!E:E)</f>
        <v>Overhead - Labor Cost</v>
      </c>
      <c r="J221" t="str">
        <f>_xlfn.XLOOKUP($A221,Map!$A:$A,Map!F:F)</f>
        <v>Vacation pay</v>
      </c>
    </row>
    <row r="222" spans="1:10" hidden="1" x14ac:dyDescent="0.25">
      <c r="A222" s="1">
        <v>600008</v>
      </c>
      <c r="B222" s="1" t="s">
        <v>732</v>
      </c>
      <c r="D222" s="1">
        <v>74860</v>
      </c>
      <c r="E222" s="1">
        <v>0</v>
      </c>
      <c r="F222" s="3">
        <f t="shared" si="0"/>
        <v>74860</v>
      </c>
      <c r="G222" t="str">
        <f>_xlfn.XLOOKUP($A222,Map!$A:$A,Map!C:C)</f>
        <v>IS</v>
      </c>
      <c r="H222" t="str">
        <f>_xlfn.XLOOKUP($A222,Map!$A:$A,Map!D:D)</f>
        <v>Cost of sales</v>
      </c>
      <c r="I222" t="str">
        <f>_xlfn.XLOOKUP($A222,Map!$A:$A,Map!E:E)</f>
        <v>Overhead - Labor Cost</v>
      </c>
      <c r="J222" t="str">
        <f>_xlfn.XLOOKUP($A222,Map!$A:$A,Map!F:F)</f>
        <v>Air tickets</v>
      </c>
    </row>
    <row r="223" spans="1:10" hidden="1" x14ac:dyDescent="0.25">
      <c r="A223" s="1">
        <v>600007</v>
      </c>
      <c r="B223" s="1" t="s">
        <v>732</v>
      </c>
      <c r="D223" s="1">
        <v>3227</v>
      </c>
      <c r="E223" s="1">
        <v>0</v>
      </c>
      <c r="F223" s="3">
        <f t="shared" si="0"/>
        <v>3227</v>
      </c>
      <c r="G223" t="str">
        <f>_xlfn.XLOOKUP($A223,Map!$A:$A,Map!C:C)</f>
        <v>IS</v>
      </c>
      <c r="H223" t="str">
        <f>_xlfn.XLOOKUP($A223,Map!$A:$A,Map!D:D)</f>
        <v>Cost of sales</v>
      </c>
      <c r="I223" t="str">
        <f>_xlfn.XLOOKUP($A223,Map!$A:$A,Map!E:E)</f>
        <v>Overhead - Labor Cost</v>
      </c>
      <c r="J223" t="str">
        <f>_xlfn.XLOOKUP($A223,Map!$A:$A,Map!F:F)</f>
        <v>Transportation allowance</v>
      </c>
    </row>
    <row r="224" spans="1:10" hidden="1" x14ac:dyDescent="0.25">
      <c r="A224" s="1">
        <v>600007</v>
      </c>
      <c r="B224" s="1" t="s">
        <v>732</v>
      </c>
      <c r="D224" s="1">
        <v>1600</v>
      </c>
      <c r="E224" s="1">
        <v>0</v>
      </c>
      <c r="F224" s="3">
        <f t="shared" si="0"/>
        <v>1600</v>
      </c>
      <c r="G224" t="str">
        <f>_xlfn.XLOOKUP($A224,Map!$A:$A,Map!C:C)</f>
        <v>IS</v>
      </c>
      <c r="H224" t="str">
        <f>_xlfn.XLOOKUP($A224,Map!$A:$A,Map!D:D)</f>
        <v>Cost of sales</v>
      </c>
      <c r="I224" t="str">
        <f>_xlfn.XLOOKUP($A224,Map!$A:$A,Map!E:E)</f>
        <v>Overhead - Labor Cost</v>
      </c>
      <c r="J224" t="str">
        <f>_xlfn.XLOOKUP($A224,Map!$A:$A,Map!F:F)</f>
        <v>Transportation allowance</v>
      </c>
    </row>
    <row r="225" spans="1:10" hidden="1" x14ac:dyDescent="0.25">
      <c r="A225" s="1">
        <v>600006</v>
      </c>
      <c r="B225" s="1" t="s">
        <v>732</v>
      </c>
      <c r="D225" s="1">
        <v>198837.6</v>
      </c>
      <c r="E225" s="1">
        <v>0</v>
      </c>
      <c r="F225" s="3">
        <f t="shared" si="0"/>
        <v>198837.6</v>
      </c>
      <c r="G225" t="str">
        <f>_xlfn.XLOOKUP($A225,Map!$A:$A,Map!C:C)</f>
        <v>IS</v>
      </c>
      <c r="H225" t="str">
        <f>_xlfn.XLOOKUP($A225,Map!$A:$A,Map!D:D)</f>
        <v>Cost of sales</v>
      </c>
      <c r="I225" t="str">
        <f>_xlfn.XLOOKUP($A225,Map!$A:$A,Map!E:E)</f>
        <v>Overhead - Labor Cost</v>
      </c>
      <c r="J225" t="str">
        <f>_xlfn.XLOOKUP($A225,Map!$A:$A,Map!F:F)</f>
        <v xml:space="preserve">Food &amp; Housing </v>
      </c>
    </row>
    <row r="226" spans="1:10" hidden="1" x14ac:dyDescent="0.25">
      <c r="A226" s="1">
        <v>600005</v>
      </c>
      <c r="B226" s="1" t="s">
        <v>732</v>
      </c>
      <c r="D226" s="1">
        <v>278663</v>
      </c>
      <c r="E226" s="1">
        <v>0</v>
      </c>
      <c r="F226" s="3">
        <f t="shared" si="0"/>
        <v>278663</v>
      </c>
      <c r="G226" t="str">
        <f>_xlfn.XLOOKUP($A226,Map!$A:$A,Map!C:C)</f>
        <v>IS</v>
      </c>
      <c r="H226" t="str">
        <f>_xlfn.XLOOKUP($A226,Map!$A:$A,Map!D:D)</f>
        <v>General and Admin</v>
      </c>
      <c r="I226" t="str">
        <f>_xlfn.XLOOKUP($A226,Map!$A:$A,Map!E:E)</f>
        <v>Govt license and fees (including modon)</v>
      </c>
      <c r="J226" t="str">
        <f>_xlfn.XLOOKUP($A226,Map!$A:$A,Map!F:F)</f>
        <v>Government fees</v>
      </c>
    </row>
    <row r="227" spans="1:10" hidden="1" x14ac:dyDescent="0.25">
      <c r="A227" s="1">
        <v>600004</v>
      </c>
      <c r="B227" s="1" t="s">
        <v>732</v>
      </c>
      <c r="D227" s="1">
        <v>108863.18</v>
      </c>
      <c r="E227" s="1">
        <v>0</v>
      </c>
      <c r="F227" s="3">
        <f t="shared" si="0"/>
        <v>108863.18</v>
      </c>
      <c r="G227" t="str">
        <f>_xlfn.XLOOKUP($A227,Map!$A:$A,Map!C:C)</f>
        <v>IS</v>
      </c>
      <c r="H227" t="str">
        <f>_xlfn.XLOOKUP($A227,Map!$A:$A,Map!D:D)</f>
        <v>Cost of sales</v>
      </c>
      <c r="I227" t="str">
        <f>_xlfn.XLOOKUP($A227,Map!$A:$A,Map!E:E)</f>
        <v>Overhead - Labor Cost</v>
      </c>
      <c r="J227" t="str">
        <f>_xlfn.XLOOKUP($A227,Map!$A:$A,Map!F:F)</f>
        <v>Medical insurance</v>
      </c>
    </row>
    <row r="228" spans="1:10" hidden="1" x14ac:dyDescent="0.25">
      <c r="A228" s="1">
        <v>600004</v>
      </c>
      <c r="B228" s="1" t="s">
        <v>732</v>
      </c>
      <c r="D228" s="1">
        <v>241.33</v>
      </c>
      <c r="E228" s="1">
        <v>0</v>
      </c>
      <c r="F228" s="3">
        <f t="shared" si="0"/>
        <v>241.33</v>
      </c>
      <c r="G228" t="str">
        <f>_xlfn.XLOOKUP($A228,Map!$A:$A,Map!C:C)</f>
        <v>IS</v>
      </c>
      <c r="H228" t="str">
        <f>_xlfn.XLOOKUP($A228,Map!$A:$A,Map!D:D)</f>
        <v>Cost of sales</v>
      </c>
      <c r="I228" t="str">
        <f>_xlfn.XLOOKUP($A228,Map!$A:$A,Map!E:E)</f>
        <v>Overhead - Labor Cost</v>
      </c>
      <c r="J228" t="str">
        <f>_xlfn.XLOOKUP($A228,Map!$A:$A,Map!F:F)</f>
        <v>Medical insurance</v>
      </c>
    </row>
    <row r="229" spans="1:10" hidden="1" x14ac:dyDescent="0.25">
      <c r="A229" s="1">
        <v>600004</v>
      </c>
      <c r="B229" s="1" t="s">
        <v>732</v>
      </c>
      <c r="D229" s="1">
        <v>2547</v>
      </c>
      <c r="E229" s="1">
        <v>0</v>
      </c>
      <c r="F229" s="3">
        <f t="shared" si="0"/>
        <v>2547</v>
      </c>
      <c r="G229" t="str">
        <f>_xlfn.XLOOKUP($A229,Map!$A:$A,Map!C:C)</f>
        <v>IS</v>
      </c>
      <c r="H229" t="str">
        <f>_xlfn.XLOOKUP($A229,Map!$A:$A,Map!D:D)</f>
        <v>Cost of sales</v>
      </c>
      <c r="I229" t="str">
        <f>_xlfn.XLOOKUP($A229,Map!$A:$A,Map!E:E)</f>
        <v>Overhead - Labor Cost</v>
      </c>
      <c r="J229" t="str">
        <f>_xlfn.XLOOKUP($A229,Map!$A:$A,Map!F:F)</f>
        <v>Medical insurance</v>
      </c>
    </row>
    <row r="230" spans="1:10" hidden="1" x14ac:dyDescent="0.25">
      <c r="A230" s="1">
        <v>600003</v>
      </c>
      <c r="B230" s="1" t="s">
        <v>732</v>
      </c>
      <c r="D230" s="1">
        <v>48810</v>
      </c>
      <c r="E230" s="1">
        <v>0</v>
      </c>
      <c r="F230" s="3">
        <f t="shared" si="0"/>
        <v>48810</v>
      </c>
      <c r="G230" t="str">
        <f>_xlfn.XLOOKUP($A230,Map!$A:$A,Map!C:C)</f>
        <v>IS</v>
      </c>
      <c r="H230" t="str">
        <f>_xlfn.XLOOKUP($A230,Map!$A:$A,Map!D:D)</f>
        <v>Cost of sales</v>
      </c>
      <c r="I230" t="str">
        <f>_xlfn.XLOOKUP($A230,Map!$A:$A,Map!E:E)</f>
        <v>Overhead - Labor Cost</v>
      </c>
      <c r="J230" t="str">
        <f>_xlfn.XLOOKUP($A230,Map!$A:$A,Map!F:F)</f>
        <v xml:space="preserve">Food &amp; Housing </v>
      </c>
    </row>
    <row r="231" spans="1:10" hidden="1" x14ac:dyDescent="0.25">
      <c r="A231" s="1">
        <v>600003</v>
      </c>
      <c r="B231" s="1" t="s">
        <v>732</v>
      </c>
      <c r="D231" s="1">
        <v>166</v>
      </c>
      <c r="E231" s="1">
        <v>0</v>
      </c>
      <c r="F231" s="3">
        <f t="shared" si="0"/>
        <v>166</v>
      </c>
      <c r="G231" t="str">
        <f>_xlfn.XLOOKUP($A231,Map!$A:$A,Map!C:C)</f>
        <v>IS</v>
      </c>
      <c r="H231" t="str">
        <f>_xlfn.XLOOKUP($A231,Map!$A:$A,Map!D:D)</f>
        <v>Cost of sales</v>
      </c>
      <c r="I231" t="str">
        <f>_xlfn.XLOOKUP($A231,Map!$A:$A,Map!E:E)</f>
        <v>Overhead - Labor Cost</v>
      </c>
      <c r="J231" t="str">
        <f>_xlfn.XLOOKUP($A231,Map!$A:$A,Map!F:F)</f>
        <v xml:space="preserve">Food &amp; Housing </v>
      </c>
    </row>
    <row r="232" spans="1:10" hidden="1" x14ac:dyDescent="0.25">
      <c r="A232" s="1">
        <v>600002</v>
      </c>
      <c r="B232" s="1" t="s">
        <v>732</v>
      </c>
      <c r="D232" s="1">
        <v>216745</v>
      </c>
      <c r="E232" s="1">
        <v>0</v>
      </c>
      <c r="F232" s="3">
        <f t="shared" si="0"/>
        <v>216745</v>
      </c>
      <c r="G232" t="str">
        <f>_xlfn.XLOOKUP($A232,Map!$A:$A,Map!C:C)</f>
        <v>IS</v>
      </c>
      <c r="H232" t="str">
        <f>_xlfn.XLOOKUP($A232,Map!$A:$A,Map!D:D)</f>
        <v>Cost of sales</v>
      </c>
      <c r="I232" t="str">
        <f>_xlfn.XLOOKUP($A232,Map!$A:$A,Map!E:E)</f>
        <v>Overhead - Labor Cost</v>
      </c>
      <c r="J232" t="str">
        <f>_xlfn.XLOOKUP($A232,Map!$A:$A,Map!F:F)</f>
        <v>Overtime pay</v>
      </c>
    </row>
    <row r="233" spans="1:10" hidden="1" x14ac:dyDescent="0.25">
      <c r="A233" s="1">
        <v>600002</v>
      </c>
      <c r="B233" s="1" t="s">
        <v>732</v>
      </c>
      <c r="D233" s="1">
        <v>595</v>
      </c>
      <c r="E233" s="1">
        <v>0</v>
      </c>
      <c r="F233" s="3">
        <f t="shared" si="0"/>
        <v>595</v>
      </c>
      <c r="G233" t="str">
        <f>_xlfn.XLOOKUP($A233,Map!$A:$A,Map!C:C)</f>
        <v>IS</v>
      </c>
      <c r="H233" t="str">
        <f>_xlfn.XLOOKUP($A233,Map!$A:$A,Map!D:D)</f>
        <v>Cost of sales</v>
      </c>
      <c r="I233" t="str">
        <f>_xlfn.XLOOKUP($A233,Map!$A:$A,Map!E:E)</f>
        <v>Overhead - Labor Cost</v>
      </c>
      <c r="J233" t="str">
        <f>_xlfn.XLOOKUP($A233,Map!$A:$A,Map!F:F)</f>
        <v>Overtime pay</v>
      </c>
    </row>
    <row r="234" spans="1:10" hidden="1" x14ac:dyDescent="0.25">
      <c r="A234" s="1">
        <v>600001</v>
      </c>
      <c r="B234" s="1" t="s">
        <v>732</v>
      </c>
      <c r="D234" s="1">
        <v>27000</v>
      </c>
      <c r="E234" s="1">
        <v>0</v>
      </c>
      <c r="F234" s="3">
        <f t="shared" si="0"/>
        <v>27000</v>
      </c>
      <c r="G234" t="str">
        <f>_xlfn.XLOOKUP($A234,Map!$A:$A,Map!C:C)</f>
        <v>IS</v>
      </c>
      <c r="H234" t="str">
        <f>_xlfn.XLOOKUP($A234,Map!$A:$A,Map!D:D)</f>
        <v>Cost of sales</v>
      </c>
      <c r="I234" t="str">
        <f>_xlfn.XLOOKUP($A234,Map!$A:$A,Map!E:E)</f>
        <v>Overhead - Labor Cost</v>
      </c>
      <c r="J234" t="str">
        <f>_xlfn.XLOOKUP($A234,Map!$A:$A,Map!F:F)</f>
        <v>Salaries and wages</v>
      </c>
    </row>
    <row r="235" spans="1:10" hidden="1" x14ac:dyDescent="0.25">
      <c r="A235" s="1">
        <v>600001</v>
      </c>
      <c r="B235" s="1" t="s">
        <v>732</v>
      </c>
      <c r="D235" s="1">
        <v>27000</v>
      </c>
      <c r="E235" s="1">
        <v>0</v>
      </c>
      <c r="F235" s="3">
        <f t="shared" si="0"/>
        <v>27000</v>
      </c>
      <c r="G235" t="str">
        <f>_xlfn.XLOOKUP($A235,Map!$A:$A,Map!C:C)</f>
        <v>IS</v>
      </c>
      <c r="H235" t="str">
        <f>_xlfn.XLOOKUP($A235,Map!$A:$A,Map!D:D)</f>
        <v>Cost of sales</v>
      </c>
      <c r="I235" t="str">
        <f>_xlfn.XLOOKUP($A235,Map!$A:$A,Map!E:E)</f>
        <v>Overhead - Labor Cost</v>
      </c>
      <c r="J235" t="str">
        <f>_xlfn.XLOOKUP($A235,Map!$A:$A,Map!F:F)</f>
        <v>Salaries and wages</v>
      </c>
    </row>
    <row r="236" spans="1:10" hidden="1" x14ac:dyDescent="0.25">
      <c r="A236" s="1">
        <v>600001</v>
      </c>
      <c r="B236" s="1" t="s">
        <v>732</v>
      </c>
      <c r="D236" s="1">
        <v>1095854.67</v>
      </c>
      <c r="E236" s="1">
        <v>0</v>
      </c>
      <c r="F236" s="3">
        <f t="shared" si="0"/>
        <v>1095854.67</v>
      </c>
      <c r="G236" t="str">
        <f>_xlfn.XLOOKUP($A236,Map!$A:$A,Map!C:C)</f>
        <v>IS</v>
      </c>
      <c r="H236" t="str">
        <f>_xlfn.XLOOKUP($A236,Map!$A:$A,Map!D:D)</f>
        <v>Cost of sales</v>
      </c>
      <c r="I236" t="str">
        <f>_xlfn.XLOOKUP($A236,Map!$A:$A,Map!E:E)</f>
        <v>Overhead - Labor Cost</v>
      </c>
      <c r="J236" t="str">
        <f>_xlfn.XLOOKUP($A236,Map!$A:$A,Map!F:F)</f>
        <v>Salaries and wages</v>
      </c>
    </row>
    <row r="237" spans="1:10" hidden="1" x14ac:dyDescent="0.25">
      <c r="A237" s="1">
        <v>600001</v>
      </c>
      <c r="B237" s="1" t="s">
        <v>732</v>
      </c>
      <c r="D237" s="1">
        <v>0</v>
      </c>
      <c r="E237" s="1">
        <v>0</v>
      </c>
      <c r="F237" s="3">
        <f t="shared" si="0"/>
        <v>0</v>
      </c>
      <c r="G237" t="str">
        <f>_xlfn.XLOOKUP($A237,Map!$A:$A,Map!C:C)</f>
        <v>IS</v>
      </c>
      <c r="H237" t="str">
        <f>_xlfn.XLOOKUP($A237,Map!$A:$A,Map!D:D)</f>
        <v>Cost of sales</v>
      </c>
      <c r="I237" t="str">
        <f>_xlfn.XLOOKUP($A237,Map!$A:$A,Map!E:E)</f>
        <v>Overhead - Labor Cost</v>
      </c>
      <c r="J237" t="str">
        <f>_xlfn.XLOOKUP($A237,Map!$A:$A,Map!F:F)</f>
        <v>Salaries and wages</v>
      </c>
    </row>
    <row r="238" spans="1:10" hidden="1" x14ac:dyDescent="0.25">
      <c r="A238" s="1">
        <v>600001</v>
      </c>
      <c r="B238" s="1" t="s">
        <v>732</v>
      </c>
      <c r="D238" s="1">
        <v>0</v>
      </c>
      <c r="E238" s="1">
        <v>4204.78</v>
      </c>
      <c r="F238" s="3">
        <f t="shared" si="0"/>
        <v>-4204.78</v>
      </c>
      <c r="G238" t="str">
        <f>_xlfn.XLOOKUP($A238,Map!$A:$A,Map!C:C)</f>
        <v>IS</v>
      </c>
      <c r="H238" t="str">
        <f>_xlfn.XLOOKUP($A238,Map!$A:$A,Map!D:D)</f>
        <v>Cost of sales</v>
      </c>
      <c r="I238" t="str">
        <f>_xlfn.XLOOKUP($A238,Map!$A:$A,Map!E:E)</f>
        <v>Overhead - Labor Cost</v>
      </c>
      <c r="J238" t="str">
        <f>_xlfn.XLOOKUP($A238,Map!$A:$A,Map!F:F)</f>
        <v>Salaries and wages</v>
      </c>
    </row>
    <row r="239" spans="1:10" x14ac:dyDescent="0.25">
      <c r="A239" s="1">
        <v>520042</v>
      </c>
      <c r="B239" s="1" t="s">
        <v>732</v>
      </c>
      <c r="D239" s="1">
        <v>0</v>
      </c>
      <c r="E239" s="1">
        <v>36367.81</v>
      </c>
      <c r="F239" s="3">
        <f t="shared" si="0"/>
        <v>-36367.81</v>
      </c>
      <c r="G239" t="str">
        <f>_xlfn.XLOOKUP($A239,Map!$A:$A,Map!C:C)</f>
        <v>IS</v>
      </c>
      <c r="H239" t="str">
        <f>_xlfn.XLOOKUP($A239,Map!$A:$A,Map!D:D)</f>
        <v>Cost of sales</v>
      </c>
      <c r="I239" t="str">
        <f>_xlfn.XLOOKUP($A239,Map!$A:$A,Map!E:E)</f>
        <v>Raw materials</v>
      </c>
      <c r="J239" t="str">
        <f>_xlfn.XLOOKUP($A239,Map!$A:$A,Map!F:F)</f>
        <v>Inventory Adjustment</v>
      </c>
    </row>
    <row r="240" spans="1:10" x14ac:dyDescent="0.25">
      <c r="A240" s="1">
        <v>520041</v>
      </c>
      <c r="B240" s="1" t="s">
        <v>732</v>
      </c>
      <c r="D240" s="1">
        <v>0</v>
      </c>
      <c r="E240" s="1">
        <v>759136.21</v>
      </c>
      <c r="F240" s="3">
        <f t="shared" si="0"/>
        <v>-759136.21</v>
      </c>
      <c r="G240" t="str">
        <f>_xlfn.XLOOKUP($A240,Map!$A:$A,Map!C:C)</f>
        <v>IS</v>
      </c>
      <c r="H240" t="str">
        <f>_xlfn.XLOOKUP($A240,Map!$A:$A,Map!D:D)</f>
        <v>Cost of sales</v>
      </c>
      <c r="I240" t="str">
        <f>_xlfn.XLOOKUP($A240,Map!$A:$A,Map!E:E)</f>
        <v>Raw materials</v>
      </c>
      <c r="J240" t="str">
        <f>_xlfn.XLOOKUP($A240,Map!$A:$A,Map!F:F)</f>
        <v>Other expenses</v>
      </c>
    </row>
    <row r="241" spans="1:10" hidden="1" x14ac:dyDescent="0.25">
      <c r="A241" s="1">
        <v>520021</v>
      </c>
      <c r="B241" s="1" t="s">
        <v>732</v>
      </c>
      <c r="D241" s="1">
        <v>25426.15</v>
      </c>
      <c r="E241" s="1">
        <v>0</v>
      </c>
      <c r="F241" s="3">
        <f t="shared" si="0"/>
        <v>25426.15</v>
      </c>
      <c r="G241" t="str">
        <f>_xlfn.XLOOKUP($A241,Map!$A:$A,Map!C:C)</f>
        <v>IS</v>
      </c>
      <c r="H241" t="str">
        <f>_xlfn.XLOOKUP($A241,Map!$A:$A,Map!D:D)</f>
        <v>Cost of sales</v>
      </c>
      <c r="I241" t="str">
        <f>_xlfn.XLOOKUP($A241,Map!$A:$A,Map!E:E)</f>
        <v>Direct Labor</v>
      </c>
      <c r="J241" t="str">
        <f>_xlfn.XLOOKUP($A241,Map!$A:$A,Map!F:F)</f>
        <v>Medical insurance</v>
      </c>
    </row>
    <row r="242" spans="1:10" hidden="1" x14ac:dyDescent="0.25">
      <c r="A242" s="1">
        <v>520014</v>
      </c>
      <c r="B242" s="1" t="s">
        <v>732</v>
      </c>
      <c r="D242" s="1">
        <v>1350</v>
      </c>
      <c r="E242" s="1">
        <v>0</v>
      </c>
      <c r="F242" s="3">
        <f t="shared" si="0"/>
        <v>1350</v>
      </c>
      <c r="G242" t="str">
        <f>_xlfn.XLOOKUP($A242,Map!$A:$A,Map!C:C)</f>
        <v>IS</v>
      </c>
      <c r="H242" t="str">
        <f>_xlfn.XLOOKUP($A242,Map!$A:$A,Map!D:D)</f>
        <v>Cost of sales</v>
      </c>
      <c r="I242" t="str">
        <f>_xlfn.XLOOKUP($A242,Map!$A:$A,Map!E:E)</f>
        <v>Direct Labor</v>
      </c>
      <c r="J242" t="str">
        <f>_xlfn.XLOOKUP($A242,Map!$A:$A,Map!F:F)</f>
        <v>Leave pay</v>
      </c>
    </row>
    <row r="243" spans="1:10" hidden="1" x14ac:dyDescent="0.25">
      <c r="A243" s="1">
        <v>520013</v>
      </c>
      <c r="B243" s="1" t="s">
        <v>732</v>
      </c>
      <c r="D243" s="1">
        <v>227</v>
      </c>
      <c r="E243" s="1">
        <v>0</v>
      </c>
      <c r="F243" s="3">
        <f t="shared" si="0"/>
        <v>227</v>
      </c>
      <c r="G243" t="str">
        <f>_xlfn.XLOOKUP($A243,Map!$A:$A,Map!C:C)</f>
        <v>IS</v>
      </c>
      <c r="H243" t="str">
        <f>_xlfn.XLOOKUP($A243,Map!$A:$A,Map!D:D)</f>
        <v>Cost of sales</v>
      </c>
      <c r="I243" t="str">
        <f>_xlfn.XLOOKUP($A243,Map!$A:$A,Map!E:E)</f>
        <v>Direct Labor</v>
      </c>
      <c r="J243" t="str">
        <f>_xlfn.XLOOKUP($A243,Map!$A:$A,Map!F:F)</f>
        <v>Food and housing</v>
      </c>
    </row>
    <row r="244" spans="1:10" hidden="1" x14ac:dyDescent="0.25">
      <c r="A244" s="1">
        <v>520011</v>
      </c>
      <c r="B244" s="1" t="s">
        <v>732</v>
      </c>
      <c r="D244" s="1">
        <v>105418</v>
      </c>
      <c r="E244" s="1">
        <v>0</v>
      </c>
      <c r="F244" s="3">
        <f t="shared" si="0"/>
        <v>105418</v>
      </c>
      <c r="G244" t="str">
        <f>_xlfn.XLOOKUP($A244,Map!$A:$A,Map!C:C)</f>
        <v>IS</v>
      </c>
      <c r="H244" t="str">
        <f>_xlfn.XLOOKUP($A244,Map!$A:$A,Map!D:D)</f>
        <v>Cost of sales</v>
      </c>
      <c r="I244" t="str">
        <f>_xlfn.XLOOKUP($A244,Map!$A:$A,Map!E:E)</f>
        <v>Direct Labor</v>
      </c>
      <c r="J244" t="str">
        <f>_xlfn.XLOOKUP($A244,Map!$A:$A,Map!F:F)</f>
        <v>Overtime pay</v>
      </c>
    </row>
    <row r="245" spans="1:10" hidden="1" x14ac:dyDescent="0.25">
      <c r="A245" s="1">
        <v>520011</v>
      </c>
      <c r="B245" s="1" t="s">
        <v>732</v>
      </c>
      <c r="D245" s="1">
        <v>47732</v>
      </c>
      <c r="E245" s="1">
        <v>0</v>
      </c>
      <c r="F245" s="3">
        <f t="shared" si="0"/>
        <v>47732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Direct Labor</v>
      </c>
      <c r="J245" t="str">
        <f>_xlfn.XLOOKUP($A245,Map!$A:$A,Map!F:F)</f>
        <v>Overtime pay</v>
      </c>
    </row>
    <row r="246" spans="1:10" hidden="1" x14ac:dyDescent="0.25">
      <c r="A246" s="1">
        <v>520011</v>
      </c>
      <c r="B246" s="1" t="s">
        <v>732</v>
      </c>
      <c r="D246" s="1">
        <v>8214</v>
      </c>
      <c r="E246" s="1">
        <v>0</v>
      </c>
      <c r="F246" s="3">
        <f t="shared" si="0"/>
        <v>8214</v>
      </c>
      <c r="G246" t="str">
        <f>_xlfn.XLOOKUP($A246,Map!$A:$A,Map!C:C)</f>
        <v>IS</v>
      </c>
      <c r="H246" t="str">
        <f>_xlfn.XLOOKUP($A246,Map!$A:$A,Map!D:D)</f>
        <v>Cost of sales</v>
      </c>
      <c r="I246" t="str">
        <f>_xlfn.XLOOKUP($A246,Map!$A:$A,Map!E:E)</f>
        <v>Direct Labor</v>
      </c>
      <c r="J246" t="str">
        <f>_xlfn.XLOOKUP($A246,Map!$A:$A,Map!F:F)</f>
        <v>Overtime pay</v>
      </c>
    </row>
    <row r="247" spans="1:10" hidden="1" x14ac:dyDescent="0.25">
      <c r="A247" s="1">
        <v>520011</v>
      </c>
      <c r="B247" s="1" t="s">
        <v>732</v>
      </c>
      <c r="D247" s="1">
        <v>6140</v>
      </c>
      <c r="E247" s="1">
        <v>0</v>
      </c>
      <c r="F247" s="3">
        <f t="shared" si="0"/>
        <v>6140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Direct Labor</v>
      </c>
      <c r="J247" t="str">
        <f>_xlfn.XLOOKUP($A247,Map!$A:$A,Map!F:F)</f>
        <v>Overtime pay</v>
      </c>
    </row>
    <row r="248" spans="1:10" hidden="1" x14ac:dyDescent="0.25">
      <c r="A248" s="1">
        <v>520011</v>
      </c>
      <c r="B248" s="1" t="s">
        <v>732</v>
      </c>
      <c r="D248" s="1">
        <v>1013</v>
      </c>
      <c r="E248" s="1">
        <v>0</v>
      </c>
      <c r="F248" s="3">
        <f t="shared" si="0"/>
        <v>1013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Direct Labor</v>
      </c>
      <c r="J248" t="str">
        <f>_xlfn.XLOOKUP($A248,Map!$A:$A,Map!F:F)</f>
        <v>Overtime pay</v>
      </c>
    </row>
    <row r="249" spans="1:10" hidden="1" x14ac:dyDescent="0.25">
      <c r="A249" s="1">
        <v>520006</v>
      </c>
      <c r="B249" s="1" t="s">
        <v>732</v>
      </c>
      <c r="D249" s="1">
        <v>38490</v>
      </c>
      <c r="E249" s="1">
        <v>0</v>
      </c>
      <c r="F249" s="3">
        <f t="shared" si="0"/>
        <v>38490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Direct Labor</v>
      </c>
      <c r="J249" t="str">
        <f>_xlfn.XLOOKUP($A249,Map!$A:$A,Map!F:F)</f>
        <v>Medical insurance</v>
      </c>
    </row>
    <row r="250" spans="1:10" hidden="1" x14ac:dyDescent="0.25">
      <c r="A250" s="1">
        <v>520006</v>
      </c>
      <c r="B250" s="1" t="s">
        <v>732</v>
      </c>
      <c r="D250" s="1">
        <v>11846</v>
      </c>
      <c r="E250" s="1">
        <v>0</v>
      </c>
      <c r="F250" s="3">
        <f t="shared" si="0"/>
        <v>11846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Direct Labor</v>
      </c>
      <c r="J250" t="str">
        <f>_xlfn.XLOOKUP($A250,Map!$A:$A,Map!F:F)</f>
        <v>Medical insurance</v>
      </c>
    </row>
    <row r="251" spans="1:10" hidden="1" x14ac:dyDescent="0.25">
      <c r="A251" s="1">
        <v>520006</v>
      </c>
      <c r="B251" s="1" t="s">
        <v>732</v>
      </c>
      <c r="D251" s="1">
        <v>12340</v>
      </c>
      <c r="E251" s="1">
        <v>0</v>
      </c>
      <c r="F251" s="3">
        <f t="shared" si="0"/>
        <v>12340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Direct Labor</v>
      </c>
      <c r="J251" t="str">
        <f>_xlfn.XLOOKUP($A251,Map!$A:$A,Map!F:F)</f>
        <v>Medical insurance</v>
      </c>
    </row>
    <row r="252" spans="1:10" hidden="1" x14ac:dyDescent="0.25">
      <c r="A252" s="1">
        <v>520006</v>
      </c>
      <c r="B252" s="1" t="s">
        <v>732</v>
      </c>
      <c r="D252" s="1">
        <v>14114</v>
      </c>
      <c r="E252" s="1">
        <v>0</v>
      </c>
      <c r="F252" s="3">
        <f t="shared" si="0"/>
        <v>14114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Direct Labor</v>
      </c>
      <c r="J252" t="str">
        <f>_xlfn.XLOOKUP($A252,Map!$A:$A,Map!F:F)</f>
        <v>Medical insurance</v>
      </c>
    </row>
    <row r="253" spans="1:10" hidden="1" x14ac:dyDescent="0.25">
      <c r="A253" s="1">
        <v>520006</v>
      </c>
      <c r="B253" s="1" t="s">
        <v>732</v>
      </c>
      <c r="D253" s="1">
        <v>7674</v>
      </c>
      <c r="E253" s="1">
        <v>0</v>
      </c>
      <c r="F253" s="3">
        <f t="shared" si="0"/>
        <v>7674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Direct Labor</v>
      </c>
      <c r="J253" t="str">
        <f>_xlfn.XLOOKUP($A253,Map!$A:$A,Map!F:F)</f>
        <v>Medical insurance</v>
      </c>
    </row>
    <row r="254" spans="1:10" hidden="1" x14ac:dyDescent="0.25">
      <c r="A254" s="1">
        <v>520006</v>
      </c>
      <c r="B254" s="1" t="s">
        <v>732</v>
      </c>
      <c r="D254" s="1">
        <v>4354</v>
      </c>
      <c r="E254" s="1">
        <v>0</v>
      </c>
      <c r="F254" s="3">
        <f t="shared" ref="F254:F298" si="1">D254-E254</f>
        <v>4354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Direct Labor</v>
      </c>
      <c r="J254" t="str">
        <f>_xlfn.XLOOKUP($A254,Map!$A:$A,Map!F:F)</f>
        <v>Medical insurance</v>
      </c>
    </row>
    <row r="255" spans="1:10" hidden="1" x14ac:dyDescent="0.25">
      <c r="A255" s="1">
        <v>520005</v>
      </c>
      <c r="B255" s="1" t="s">
        <v>732</v>
      </c>
      <c r="D255" s="1">
        <v>2175</v>
      </c>
      <c r="E255" s="1">
        <v>0</v>
      </c>
      <c r="F255" s="3">
        <f t="shared" si="1"/>
        <v>2175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Direct Labor</v>
      </c>
      <c r="J255" t="str">
        <f>_xlfn.XLOOKUP($A255,Map!$A:$A,Map!F:F)</f>
        <v>Leave pay</v>
      </c>
    </row>
    <row r="256" spans="1:10" hidden="1" x14ac:dyDescent="0.25">
      <c r="A256" s="1">
        <v>520004</v>
      </c>
      <c r="B256" s="1" t="s">
        <v>732</v>
      </c>
      <c r="D256" s="1">
        <v>30980</v>
      </c>
      <c r="E256" s="1">
        <v>0</v>
      </c>
      <c r="F256" s="3">
        <f t="shared" si="1"/>
        <v>30980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Direct Labor</v>
      </c>
      <c r="J256" t="str">
        <f>_xlfn.XLOOKUP($A256,Map!$A:$A,Map!F:F)</f>
        <v>Food and housing</v>
      </c>
    </row>
    <row r="257" spans="1:10" hidden="1" x14ac:dyDescent="0.25">
      <c r="A257" s="1">
        <v>520004</v>
      </c>
      <c r="B257" s="1" t="s">
        <v>732</v>
      </c>
      <c r="D257" s="1">
        <v>10913.119000000001</v>
      </c>
      <c r="E257" s="1">
        <v>0</v>
      </c>
      <c r="F257" s="3">
        <f t="shared" si="1"/>
        <v>10913.119000000001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Direct Labor</v>
      </c>
      <c r="J257" t="str">
        <f>_xlfn.XLOOKUP($A257,Map!$A:$A,Map!F:F)</f>
        <v>Food and housing</v>
      </c>
    </row>
    <row r="258" spans="1:10" hidden="1" x14ac:dyDescent="0.25">
      <c r="A258" s="1">
        <v>520004</v>
      </c>
      <c r="B258" s="1" t="s">
        <v>732</v>
      </c>
      <c r="D258" s="1">
        <v>100</v>
      </c>
      <c r="E258" s="1">
        <v>0</v>
      </c>
      <c r="F258" s="3">
        <f t="shared" si="1"/>
        <v>100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Direct Labor</v>
      </c>
      <c r="J258" t="str">
        <f>_xlfn.XLOOKUP($A258,Map!$A:$A,Map!F:F)</f>
        <v>Food and housing</v>
      </c>
    </row>
    <row r="259" spans="1:10" hidden="1" x14ac:dyDescent="0.25">
      <c r="A259" s="1">
        <v>520004</v>
      </c>
      <c r="B259" s="1" t="s">
        <v>732</v>
      </c>
      <c r="D259" s="1">
        <v>253</v>
      </c>
      <c r="E259" s="1">
        <v>0</v>
      </c>
      <c r="F259" s="3">
        <f t="shared" si="1"/>
        <v>253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Direct Labor</v>
      </c>
      <c r="J259" t="str">
        <f>_xlfn.XLOOKUP($A259,Map!$A:$A,Map!F:F)</f>
        <v>Food and housing</v>
      </c>
    </row>
    <row r="260" spans="1:10" hidden="1" x14ac:dyDescent="0.25">
      <c r="A260" s="1">
        <v>520003</v>
      </c>
      <c r="B260" s="1" t="s">
        <v>732</v>
      </c>
      <c r="D260" s="1">
        <v>17047</v>
      </c>
      <c r="E260" s="1">
        <v>0</v>
      </c>
      <c r="F260" s="3">
        <f t="shared" si="1"/>
        <v>17047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Direct Labor</v>
      </c>
      <c r="J260" t="str">
        <f>_xlfn.XLOOKUP($A260,Map!$A:$A,Map!F:F)</f>
        <v>Transportation allowance</v>
      </c>
    </row>
    <row r="261" spans="1:10" hidden="1" x14ac:dyDescent="0.25">
      <c r="A261" s="1">
        <v>520002</v>
      </c>
      <c r="B261" s="1" t="s">
        <v>732</v>
      </c>
      <c r="D261" s="1">
        <v>743</v>
      </c>
      <c r="E261" s="1">
        <v>0</v>
      </c>
      <c r="F261" s="3">
        <f t="shared" si="1"/>
        <v>743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Direct Labor</v>
      </c>
      <c r="J261" t="str">
        <f>_xlfn.XLOOKUP($A261,Map!$A:$A,Map!F:F)</f>
        <v>Overtime pay</v>
      </c>
    </row>
    <row r="262" spans="1:10" hidden="1" x14ac:dyDescent="0.25">
      <c r="A262" s="1">
        <v>520001</v>
      </c>
      <c r="B262" s="1" t="s">
        <v>732</v>
      </c>
      <c r="D262" s="1">
        <v>270058</v>
      </c>
      <c r="E262" s="1">
        <v>0</v>
      </c>
      <c r="F262" s="3">
        <f t="shared" si="1"/>
        <v>270058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Direct Labor</v>
      </c>
      <c r="J262" t="str">
        <f>_xlfn.XLOOKUP($A262,Map!$A:$A,Map!F:F)</f>
        <v>Salaries and wages</v>
      </c>
    </row>
    <row r="263" spans="1:10" hidden="1" x14ac:dyDescent="0.25">
      <c r="A263" s="1">
        <v>520001</v>
      </c>
      <c r="B263" s="1" t="s">
        <v>732</v>
      </c>
      <c r="D263" s="1">
        <v>74330</v>
      </c>
      <c r="E263" s="1">
        <v>0</v>
      </c>
      <c r="F263" s="3">
        <f t="shared" si="1"/>
        <v>74330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Direct Labor</v>
      </c>
      <c r="J263" t="str">
        <f>_xlfn.XLOOKUP($A263,Map!$A:$A,Map!F:F)</f>
        <v>Salaries and wages</v>
      </c>
    </row>
    <row r="264" spans="1:10" hidden="1" x14ac:dyDescent="0.25">
      <c r="A264" s="1">
        <v>520001</v>
      </c>
      <c r="B264" s="1" t="s">
        <v>732</v>
      </c>
      <c r="D264" s="1">
        <v>321424.88</v>
      </c>
      <c r="E264" s="1">
        <v>0</v>
      </c>
      <c r="F264" s="3">
        <f t="shared" si="1"/>
        <v>321424.88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Direct Labor</v>
      </c>
      <c r="J264" t="str">
        <f>_xlfn.XLOOKUP($A264,Map!$A:$A,Map!F:F)</f>
        <v>Salaries and wages</v>
      </c>
    </row>
    <row r="265" spans="1:10" hidden="1" x14ac:dyDescent="0.25">
      <c r="A265" s="1">
        <v>520001</v>
      </c>
      <c r="B265" s="1" t="s">
        <v>732</v>
      </c>
      <c r="D265" s="1">
        <v>90155</v>
      </c>
      <c r="E265" s="1">
        <v>0</v>
      </c>
      <c r="F265" s="3">
        <f t="shared" si="1"/>
        <v>90155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Direct Labor</v>
      </c>
      <c r="J265" t="str">
        <f>_xlfn.XLOOKUP($A265,Map!$A:$A,Map!F:F)</f>
        <v>Salaries and wages</v>
      </c>
    </row>
    <row r="266" spans="1:10" hidden="1" x14ac:dyDescent="0.25">
      <c r="A266" s="1">
        <v>520001</v>
      </c>
      <c r="B266" s="1" t="s">
        <v>732</v>
      </c>
      <c r="D266" s="1">
        <v>2545</v>
      </c>
      <c r="E266" s="1">
        <v>0</v>
      </c>
      <c r="F266" s="3">
        <f t="shared" si="1"/>
        <v>2545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Direct Labor</v>
      </c>
      <c r="J266" t="str">
        <f>_xlfn.XLOOKUP($A266,Map!$A:$A,Map!F:F)</f>
        <v>Salaries and wages</v>
      </c>
    </row>
    <row r="267" spans="1:10" hidden="1" x14ac:dyDescent="0.25">
      <c r="A267" s="1">
        <v>520001</v>
      </c>
      <c r="B267" s="1" t="s">
        <v>732</v>
      </c>
      <c r="D267" s="1">
        <v>35433</v>
      </c>
      <c r="E267" s="1">
        <v>0</v>
      </c>
      <c r="F267" s="3">
        <f t="shared" si="1"/>
        <v>35433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Direct Labor</v>
      </c>
      <c r="J267" t="str">
        <f>_xlfn.XLOOKUP($A267,Map!$A:$A,Map!F:F)</f>
        <v>Salaries and wages</v>
      </c>
    </row>
    <row r="268" spans="1:10" x14ac:dyDescent="0.25">
      <c r="A268" s="1">
        <v>510005</v>
      </c>
      <c r="B268" s="1" t="s">
        <v>732</v>
      </c>
      <c r="D268" s="1">
        <v>132934.236</v>
      </c>
      <c r="E268" s="1">
        <v>0</v>
      </c>
      <c r="F268" s="3">
        <f t="shared" si="1"/>
        <v>132934.236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Raw materials</v>
      </c>
      <c r="J268" t="str">
        <f>_xlfn.XLOOKUP($A268,Map!$A:$A,Map!F:F)</f>
        <v>Other expenses</v>
      </c>
    </row>
    <row r="269" spans="1:10" x14ac:dyDescent="0.25">
      <c r="A269" s="1">
        <v>510005</v>
      </c>
      <c r="B269" s="1" t="s">
        <v>732</v>
      </c>
      <c r="D269" s="1">
        <v>0</v>
      </c>
      <c r="E269" s="1">
        <v>330057.05900000001</v>
      </c>
      <c r="F269" s="3">
        <f t="shared" si="1"/>
        <v>-330057.05900000001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Raw materials</v>
      </c>
      <c r="J269" t="str">
        <f>_xlfn.XLOOKUP($A269,Map!$A:$A,Map!F:F)</f>
        <v>Other expenses</v>
      </c>
    </row>
    <row r="270" spans="1:10" x14ac:dyDescent="0.25">
      <c r="A270" s="1">
        <v>510004</v>
      </c>
      <c r="B270" s="1" t="s">
        <v>732</v>
      </c>
      <c r="D270" s="1">
        <v>1817175.1310000001</v>
      </c>
      <c r="E270" s="1">
        <v>0</v>
      </c>
      <c r="F270" s="3">
        <f t="shared" si="1"/>
        <v>1817175.1310000001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Raw materials</v>
      </c>
      <c r="J270" t="str">
        <f>_xlfn.XLOOKUP($A270,Map!$A:$A,Map!F:F)</f>
        <v>Other expenses</v>
      </c>
    </row>
    <row r="271" spans="1:10" x14ac:dyDescent="0.25">
      <c r="A271" s="1">
        <v>510004</v>
      </c>
      <c r="B271" s="1" t="s">
        <v>732</v>
      </c>
      <c r="D271" s="1">
        <v>505252.462</v>
      </c>
      <c r="E271" s="1">
        <v>0</v>
      </c>
      <c r="F271" s="3">
        <f t="shared" si="1"/>
        <v>505252.462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Raw materials</v>
      </c>
      <c r="J271" t="str">
        <f>_xlfn.XLOOKUP($A271,Map!$A:$A,Map!F:F)</f>
        <v>Other expenses</v>
      </c>
    </row>
    <row r="272" spans="1:10" x14ac:dyDescent="0.25">
      <c r="A272" s="1">
        <v>510004</v>
      </c>
      <c r="B272" s="1" t="s">
        <v>732</v>
      </c>
      <c r="D272" s="1">
        <v>236445.97899999999</v>
      </c>
      <c r="E272" s="1">
        <v>0</v>
      </c>
      <c r="F272" s="3">
        <f t="shared" si="1"/>
        <v>236445.97899999999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Raw materials</v>
      </c>
      <c r="J272" t="str">
        <f>_xlfn.XLOOKUP($A272,Map!$A:$A,Map!F:F)</f>
        <v>Other expenses</v>
      </c>
    </row>
    <row r="273" spans="1:10" x14ac:dyDescent="0.25">
      <c r="A273" s="1">
        <v>510004</v>
      </c>
      <c r="B273" s="1" t="s">
        <v>732</v>
      </c>
      <c r="D273" s="1">
        <v>873939.63199999998</v>
      </c>
      <c r="E273" s="1">
        <v>0</v>
      </c>
      <c r="F273" s="3">
        <f t="shared" si="1"/>
        <v>873939.63199999998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Raw materials</v>
      </c>
      <c r="J273" t="str">
        <f>_xlfn.XLOOKUP($A273,Map!$A:$A,Map!F:F)</f>
        <v>Other expenses</v>
      </c>
    </row>
    <row r="274" spans="1:10" x14ac:dyDescent="0.25">
      <c r="A274" s="1">
        <v>510004</v>
      </c>
      <c r="B274" s="1" t="s">
        <v>732</v>
      </c>
      <c r="D274" s="1">
        <v>1314431.9480000001</v>
      </c>
      <c r="E274" s="1">
        <v>0</v>
      </c>
      <c r="F274" s="3">
        <f t="shared" si="1"/>
        <v>1314431.9480000001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Raw materials</v>
      </c>
      <c r="J274" t="str">
        <f>_xlfn.XLOOKUP($A274,Map!$A:$A,Map!F:F)</f>
        <v>Other expenses</v>
      </c>
    </row>
    <row r="275" spans="1:10" x14ac:dyDescent="0.25">
      <c r="A275" s="1">
        <v>510004</v>
      </c>
      <c r="B275" s="1" t="s">
        <v>732</v>
      </c>
      <c r="D275" s="1">
        <v>229138.74799999999</v>
      </c>
      <c r="E275" s="1">
        <v>0</v>
      </c>
      <c r="F275" s="3">
        <f t="shared" si="1"/>
        <v>229138.74799999999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Raw materials</v>
      </c>
      <c r="J275" t="str">
        <f>_xlfn.XLOOKUP($A275,Map!$A:$A,Map!F:F)</f>
        <v>Other expenses</v>
      </c>
    </row>
    <row r="276" spans="1:10" x14ac:dyDescent="0.25">
      <c r="A276" s="1">
        <v>510004</v>
      </c>
      <c r="B276" s="1" t="s">
        <v>732</v>
      </c>
      <c r="D276" s="1">
        <v>90913.673999999999</v>
      </c>
      <c r="E276" s="1">
        <v>0</v>
      </c>
      <c r="F276" s="3">
        <f t="shared" si="1"/>
        <v>90913.673999999999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Raw materials</v>
      </c>
      <c r="J276" t="str">
        <f>_xlfn.XLOOKUP($A276,Map!$A:$A,Map!F:F)</f>
        <v>Other expenses</v>
      </c>
    </row>
    <row r="277" spans="1:10" x14ac:dyDescent="0.25">
      <c r="A277" s="1">
        <v>510004</v>
      </c>
      <c r="B277" s="1" t="s">
        <v>732</v>
      </c>
      <c r="D277" s="1">
        <v>130354.931</v>
      </c>
      <c r="E277" s="1">
        <v>0</v>
      </c>
      <c r="F277" s="3">
        <f t="shared" si="1"/>
        <v>130354.931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Raw materials</v>
      </c>
      <c r="J277" t="str">
        <f>_xlfn.XLOOKUP($A277,Map!$A:$A,Map!F:F)</f>
        <v>Other expenses</v>
      </c>
    </row>
    <row r="278" spans="1:10" x14ac:dyDescent="0.25">
      <c r="A278" s="1">
        <v>510004</v>
      </c>
      <c r="B278" s="1" t="s">
        <v>732</v>
      </c>
      <c r="D278" s="1">
        <v>1135067.5549999999</v>
      </c>
      <c r="E278" s="1">
        <v>0</v>
      </c>
      <c r="F278" s="3">
        <f t="shared" si="1"/>
        <v>1135067.5549999999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Raw materials</v>
      </c>
      <c r="J278" t="str">
        <f>_xlfn.XLOOKUP($A278,Map!$A:$A,Map!F:F)</f>
        <v>Other expenses</v>
      </c>
    </row>
    <row r="279" spans="1:10" x14ac:dyDescent="0.25">
      <c r="A279" s="1">
        <v>510004</v>
      </c>
      <c r="B279" s="1" t="s">
        <v>732</v>
      </c>
      <c r="D279" s="1">
        <v>94027.423999999999</v>
      </c>
      <c r="E279" s="1">
        <v>0</v>
      </c>
      <c r="F279" s="3">
        <f t="shared" si="1"/>
        <v>94027.423999999999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Raw materials</v>
      </c>
      <c r="J279" t="str">
        <f>_xlfn.XLOOKUP($A279,Map!$A:$A,Map!F:F)</f>
        <v>Other expenses</v>
      </c>
    </row>
    <row r="280" spans="1:10" x14ac:dyDescent="0.25">
      <c r="A280" s="1">
        <v>510003</v>
      </c>
      <c r="B280" s="1" t="s">
        <v>732</v>
      </c>
      <c r="D280" s="1">
        <v>0</v>
      </c>
      <c r="E280" s="1">
        <v>4511790.9249999998</v>
      </c>
      <c r="F280" s="3">
        <f t="shared" si="1"/>
        <v>-4511790.9249999998</v>
      </c>
      <c r="G280" t="str">
        <f>_xlfn.XLOOKUP($A280,Map!$A:$A,Map!C:C)</f>
        <v>IS</v>
      </c>
      <c r="H280" t="str">
        <f>_xlfn.XLOOKUP($A280,Map!$A:$A,Map!D:D)</f>
        <v>Cost of sales</v>
      </c>
      <c r="I280" t="str">
        <f>_xlfn.XLOOKUP($A280,Map!$A:$A,Map!E:E)</f>
        <v>Raw materials</v>
      </c>
      <c r="J280" t="str">
        <f>_xlfn.XLOOKUP($A280,Map!$A:$A,Map!F:F)</f>
        <v>Raw materials</v>
      </c>
    </row>
    <row r="281" spans="1:10" x14ac:dyDescent="0.25">
      <c r="A281" s="1">
        <v>510003</v>
      </c>
      <c r="B281" s="1" t="s">
        <v>732</v>
      </c>
      <c r="D281" s="1">
        <v>0</v>
      </c>
      <c r="E281" s="1">
        <v>1254470.983</v>
      </c>
      <c r="F281" s="3">
        <f t="shared" si="1"/>
        <v>-1254470.983</v>
      </c>
      <c r="G281" t="str">
        <f>_xlfn.XLOOKUP($A281,Map!$A:$A,Map!C:C)</f>
        <v>IS</v>
      </c>
      <c r="H281" t="str">
        <f>_xlfn.XLOOKUP($A281,Map!$A:$A,Map!D:D)</f>
        <v>Cost of sales</v>
      </c>
      <c r="I281" t="str">
        <f>_xlfn.XLOOKUP($A281,Map!$A:$A,Map!E:E)</f>
        <v>Raw materials</v>
      </c>
      <c r="J281" t="str">
        <f>_xlfn.XLOOKUP($A281,Map!$A:$A,Map!F:F)</f>
        <v>Raw materials</v>
      </c>
    </row>
    <row r="282" spans="1:10" x14ac:dyDescent="0.25">
      <c r="A282" s="1">
        <v>510003</v>
      </c>
      <c r="B282" s="1" t="s">
        <v>732</v>
      </c>
      <c r="D282" s="1">
        <v>0</v>
      </c>
      <c r="E282" s="1">
        <v>587062.196</v>
      </c>
      <c r="F282" s="3">
        <f t="shared" si="1"/>
        <v>-587062.196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Raw materials</v>
      </c>
      <c r="J282" t="str">
        <f>_xlfn.XLOOKUP($A282,Map!$A:$A,Map!F:F)</f>
        <v>Raw materials</v>
      </c>
    </row>
    <row r="283" spans="1:10" x14ac:dyDescent="0.25">
      <c r="A283" s="1">
        <v>510003</v>
      </c>
      <c r="B283" s="1" t="s">
        <v>732</v>
      </c>
      <c r="D283" s="1">
        <v>0</v>
      </c>
      <c r="E283" s="1">
        <v>2169869.5040000002</v>
      </c>
      <c r="F283" s="3">
        <f t="shared" si="1"/>
        <v>-2169869.5040000002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Raw materials</v>
      </c>
      <c r="J283" t="str">
        <f>_xlfn.XLOOKUP($A283,Map!$A:$A,Map!F:F)</f>
        <v>Raw materials</v>
      </c>
    </row>
    <row r="284" spans="1:10" x14ac:dyDescent="0.25">
      <c r="A284" s="1">
        <v>510003</v>
      </c>
      <c r="B284" s="1" t="s">
        <v>732</v>
      </c>
      <c r="D284" s="1">
        <v>0</v>
      </c>
      <c r="E284" s="1">
        <v>3263550.13</v>
      </c>
      <c r="F284" s="3">
        <f t="shared" si="1"/>
        <v>-3263550.13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Raw materials</v>
      </c>
      <c r="J284" t="str">
        <f>_xlfn.XLOOKUP($A284,Map!$A:$A,Map!F:F)</f>
        <v>Raw materials</v>
      </c>
    </row>
    <row r="285" spans="1:10" x14ac:dyDescent="0.25">
      <c r="A285" s="1">
        <v>510003</v>
      </c>
      <c r="B285" s="1" t="s">
        <v>732</v>
      </c>
      <c r="D285" s="1">
        <v>0</v>
      </c>
      <c r="E285" s="1">
        <v>568919.36600000004</v>
      </c>
      <c r="F285" s="3">
        <f t="shared" si="1"/>
        <v>-568919.36600000004</v>
      </c>
      <c r="G285" t="str">
        <f>_xlfn.XLOOKUP($A285,Map!$A:$A,Map!C:C)</f>
        <v>IS</v>
      </c>
      <c r="H285" t="str">
        <f>_xlfn.XLOOKUP($A285,Map!$A:$A,Map!D:D)</f>
        <v>Cost of sales</v>
      </c>
      <c r="I285" t="str">
        <f>_xlfn.XLOOKUP($A285,Map!$A:$A,Map!E:E)</f>
        <v>Raw materials</v>
      </c>
      <c r="J285" t="str">
        <f>_xlfn.XLOOKUP($A285,Map!$A:$A,Map!F:F)</f>
        <v>Raw materials</v>
      </c>
    </row>
    <row r="286" spans="1:10" x14ac:dyDescent="0.25">
      <c r="A286" s="1">
        <v>510003</v>
      </c>
      <c r="B286" s="1" t="s">
        <v>732</v>
      </c>
      <c r="D286" s="1">
        <v>0</v>
      </c>
      <c r="E286" s="1">
        <v>225725.89799999999</v>
      </c>
      <c r="F286" s="3">
        <f t="shared" si="1"/>
        <v>-225725.89799999999</v>
      </c>
      <c r="G286" t="str">
        <f>_xlfn.XLOOKUP($A286,Map!$A:$A,Map!C:C)</f>
        <v>IS</v>
      </c>
      <c r="H286" t="str">
        <f>_xlfn.XLOOKUP($A286,Map!$A:$A,Map!D:D)</f>
        <v>Cost of sales</v>
      </c>
      <c r="I286" t="str">
        <f>_xlfn.XLOOKUP($A286,Map!$A:$A,Map!E:E)</f>
        <v>Raw materials</v>
      </c>
      <c r="J286" t="str">
        <f>_xlfn.XLOOKUP($A286,Map!$A:$A,Map!F:F)</f>
        <v>Raw materials</v>
      </c>
    </row>
    <row r="287" spans="1:10" x14ac:dyDescent="0.25">
      <c r="A287" s="1">
        <v>510003</v>
      </c>
      <c r="B287" s="1" t="s">
        <v>732</v>
      </c>
      <c r="D287" s="1">
        <v>0</v>
      </c>
      <c r="E287" s="1">
        <v>323653.00699999998</v>
      </c>
      <c r="F287" s="3">
        <f t="shared" si="1"/>
        <v>-323653.00699999998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Raw materials</v>
      </c>
      <c r="J287" t="str">
        <f>_xlfn.XLOOKUP($A287,Map!$A:$A,Map!F:F)</f>
        <v>Raw materials</v>
      </c>
    </row>
    <row r="288" spans="1:10" x14ac:dyDescent="0.25">
      <c r="A288" s="1">
        <v>510003</v>
      </c>
      <c r="B288" s="1" t="s">
        <v>732</v>
      </c>
      <c r="D288" s="1">
        <v>0</v>
      </c>
      <c r="E288" s="1">
        <v>2818213.5040000002</v>
      </c>
      <c r="F288" s="3">
        <f t="shared" si="1"/>
        <v>-2818213.5040000002</v>
      </c>
      <c r="G288" t="str">
        <f>_xlfn.XLOOKUP($A288,Map!$A:$A,Map!C:C)</f>
        <v>IS</v>
      </c>
      <c r="H288" t="str">
        <f>_xlfn.XLOOKUP($A288,Map!$A:$A,Map!D:D)</f>
        <v>Cost of sales</v>
      </c>
      <c r="I288" t="str">
        <f>_xlfn.XLOOKUP($A288,Map!$A:$A,Map!E:E)</f>
        <v>Raw materials</v>
      </c>
      <c r="J288" t="str">
        <f>_xlfn.XLOOKUP($A288,Map!$A:$A,Map!F:F)</f>
        <v>Raw materials</v>
      </c>
    </row>
    <row r="289" spans="1:10" x14ac:dyDescent="0.25">
      <c r="A289" s="1">
        <v>510003</v>
      </c>
      <c r="B289" s="1" t="s">
        <v>732</v>
      </c>
      <c r="D289" s="1">
        <v>0</v>
      </c>
      <c r="E289" s="1">
        <v>233456.90400000001</v>
      </c>
      <c r="F289" s="3">
        <f t="shared" si="1"/>
        <v>-233456.90400000001</v>
      </c>
      <c r="G289" t="str">
        <f>_xlfn.XLOOKUP($A289,Map!$A:$A,Map!C:C)</f>
        <v>IS</v>
      </c>
      <c r="H289" t="str">
        <f>_xlfn.XLOOKUP($A289,Map!$A:$A,Map!D:D)</f>
        <v>Cost of sales</v>
      </c>
      <c r="I289" t="str">
        <f>_xlfn.XLOOKUP($A289,Map!$A:$A,Map!E:E)</f>
        <v>Raw materials</v>
      </c>
      <c r="J289" t="str">
        <f>_xlfn.XLOOKUP($A289,Map!$A:$A,Map!F:F)</f>
        <v>Raw materials</v>
      </c>
    </row>
    <row r="290" spans="1:10" hidden="1" x14ac:dyDescent="0.25">
      <c r="A290" s="1">
        <v>510002</v>
      </c>
      <c r="B290" s="1" t="s">
        <v>732</v>
      </c>
      <c r="D290" s="1">
        <v>0</v>
      </c>
      <c r="E290" s="1">
        <v>144209.364</v>
      </c>
      <c r="F290" s="3">
        <f t="shared" si="1"/>
        <v>-144209.364</v>
      </c>
      <c r="G290" t="str">
        <f>_xlfn.XLOOKUP($A290,Map!$A:$A,Map!C:C)</f>
        <v>IS</v>
      </c>
      <c r="H290" t="str">
        <f>_xlfn.XLOOKUP($A290,Map!$A:$A,Map!D:D)</f>
        <v>Cost of sales</v>
      </c>
      <c r="I290" t="str">
        <f>_xlfn.XLOOKUP($A290,Map!$A:$A,Map!E:E)</f>
        <v>Direct Labor</v>
      </c>
      <c r="J290" t="str">
        <f>_xlfn.XLOOKUP($A290,Map!$A:$A,Map!F:F)</f>
        <v>Direct Labor</v>
      </c>
    </row>
    <row r="291" spans="1:10" hidden="1" x14ac:dyDescent="0.25">
      <c r="A291" s="1">
        <v>510002</v>
      </c>
      <c r="B291" s="1" t="s">
        <v>732</v>
      </c>
      <c r="D291" s="1">
        <v>0</v>
      </c>
      <c r="E291" s="1">
        <v>46842.752</v>
      </c>
      <c r="F291" s="3">
        <f t="shared" si="1"/>
        <v>-46842.752</v>
      </c>
      <c r="G291" t="str">
        <f>_xlfn.XLOOKUP($A291,Map!$A:$A,Map!C:C)</f>
        <v>IS</v>
      </c>
      <c r="H291" t="str">
        <f>_xlfn.XLOOKUP($A291,Map!$A:$A,Map!D:D)</f>
        <v>Cost of sales</v>
      </c>
      <c r="I291" t="str">
        <f>_xlfn.XLOOKUP($A291,Map!$A:$A,Map!E:E)</f>
        <v>Direct Labor</v>
      </c>
      <c r="J291" t="str">
        <f>_xlfn.XLOOKUP($A291,Map!$A:$A,Map!F:F)</f>
        <v>Direct Labor</v>
      </c>
    </row>
    <row r="292" spans="1:10" hidden="1" x14ac:dyDescent="0.25">
      <c r="A292" s="1">
        <v>510002</v>
      </c>
      <c r="B292" s="1" t="s">
        <v>732</v>
      </c>
      <c r="D292" s="1">
        <v>0</v>
      </c>
      <c r="E292" s="1">
        <v>104152.148</v>
      </c>
      <c r="F292" s="3">
        <f t="shared" si="1"/>
        <v>-104152.148</v>
      </c>
      <c r="G292" t="str">
        <f>_xlfn.XLOOKUP($A292,Map!$A:$A,Map!C:C)</f>
        <v>IS</v>
      </c>
      <c r="H292" t="str">
        <f>_xlfn.XLOOKUP($A292,Map!$A:$A,Map!D:D)</f>
        <v>Cost of sales</v>
      </c>
      <c r="I292" t="str">
        <f>_xlfn.XLOOKUP($A292,Map!$A:$A,Map!E:E)</f>
        <v>Direct Labor</v>
      </c>
      <c r="J292" t="str">
        <f>_xlfn.XLOOKUP($A292,Map!$A:$A,Map!F:F)</f>
        <v>Direct Labor</v>
      </c>
    </row>
    <row r="293" spans="1:10" hidden="1" x14ac:dyDescent="0.25">
      <c r="A293" s="1">
        <v>510002</v>
      </c>
      <c r="B293" s="1" t="s">
        <v>732</v>
      </c>
      <c r="D293" s="1">
        <v>0</v>
      </c>
      <c r="E293" s="1">
        <v>73.727000000000004</v>
      </c>
      <c r="F293" s="3">
        <f t="shared" si="1"/>
        <v>-73.727000000000004</v>
      </c>
      <c r="G293" t="str">
        <f>_xlfn.XLOOKUP($A293,Map!$A:$A,Map!C:C)</f>
        <v>IS</v>
      </c>
      <c r="H293" t="str">
        <f>_xlfn.XLOOKUP($A293,Map!$A:$A,Map!D:D)</f>
        <v>Cost of sales</v>
      </c>
      <c r="I293" t="str">
        <f>_xlfn.XLOOKUP($A293,Map!$A:$A,Map!E:E)</f>
        <v>Direct Labor</v>
      </c>
      <c r="J293" t="str">
        <f>_xlfn.XLOOKUP($A293,Map!$A:$A,Map!F:F)</f>
        <v>Direct Labor</v>
      </c>
    </row>
    <row r="294" spans="1:10" hidden="1" x14ac:dyDescent="0.25">
      <c r="A294" s="1">
        <v>510002</v>
      </c>
      <c r="B294" s="1" t="s">
        <v>732</v>
      </c>
      <c r="D294" s="1">
        <v>0</v>
      </c>
      <c r="E294" s="1">
        <v>29325.814999999999</v>
      </c>
      <c r="F294" s="3">
        <f t="shared" si="1"/>
        <v>-29325.814999999999</v>
      </c>
      <c r="G294" t="str">
        <f>_xlfn.XLOOKUP($A294,Map!$A:$A,Map!C:C)</f>
        <v>IS</v>
      </c>
      <c r="H294" t="str">
        <f>_xlfn.XLOOKUP($A294,Map!$A:$A,Map!D:D)</f>
        <v>Cost of sales</v>
      </c>
      <c r="I294" t="str">
        <f>_xlfn.XLOOKUP($A294,Map!$A:$A,Map!E:E)</f>
        <v>Direct Labor</v>
      </c>
      <c r="J294" t="str">
        <f>_xlfn.XLOOKUP($A294,Map!$A:$A,Map!F:F)</f>
        <v>Direct Labor</v>
      </c>
    </row>
    <row r="295" spans="1:10" hidden="1" x14ac:dyDescent="0.25">
      <c r="A295" s="1">
        <v>510002</v>
      </c>
      <c r="B295" s="1" t="s">
        <v>732</v>
      </c>
      <c r="D295" s="1">
        <v>0</v>
      </c>
      <c r="E295" s="1">
        <v>6823.9430000000002</v>
      </c>
      <c r="F295" s="3">
        <f t="shared" si="1"/>
        <v>-6823.9430000000002</v>
      </c>
      <c r="G295" t="str">
        <f>_xlfn.XLOOKUP($A295,Map!$A:$A,Map!C:C)</f>
        <v>IS</v>
      </c>
      <c r="H295" t="str">
        <f>_xlfn.XLOOKUP($A295,Map!$A:$A,Map!D:D)</f>
        <v>Cost of sales</v>
      </c>
      <c r="I295" t="str">
        <f>_xlfn.XLOOKUP($A295,Map!$A:$A,Map!E:E)</f>
        <v>Direct Labor</v>
      </c>
      <c r="J295" t="str">
        <f>_xlfn.XLOOKUP($A295,Map!$A:$A,Map!F:F)</f>
        <v>Direct Labor</v>
      </c>
    </row>
    <row r="296" spans="1:10" hidden="1" x14ac:dyDescent="0.25">
      <c r="A296" s="1">
        <v>510002</v>
      </c>
      <c r="B296" s="1" t="s">
        <v>732</v>
      </c>
      <c r="D296" s="1">
        <v>0</v>
      </c>
      <c r="E296" s="1">
        <v>13563.38</v>
      </c>
      <c r="F296" s="3">
        <f t="shared" si="1"/>
        <v>-13563.38</v>
      </c>
      <c r="G296" t="str">
        <f>_xlfn.XLOOKUP($A296,Map!$A:$A,Map!C:C)</f>
        <v>IS</v>
      </c>
      <c r="H296" t="str">
        <f>_xlfn.XLOOKUP($A296,Map!$A:$A,Map!D:D)</f>
        <v>Cost of sales</v>
      </c>
      <c r="I296" t="str">
        <f>_xlfn.XLOOKUP($A296,Map!$A:$A,Map!E:E)</f>
        <v>Direct Labor</v>
      </c>
      <c r="J296" t="str">
        <f>_xlfn.XLOOKUP($A296,Map!$A:$A,Map!F:F)</f>
        <v>Direct Labor</v>
      </c>
    </row>
    <row r="297" spans="1:10" hidden="1" x14ac:dyDescent="0.25">
      <c r="A297" s="1">
        <v>510002</v>
      </c>
      <c r="B297" s="1" t="s">
        <v>732</v>
      </c>
      <c r="D297" s="1">
        <v>0</v>
      </c>
      <c r="E297" s="1">
        <v>0</v>
      </c>
      <c r="F297" s="3">
        <f t="shared" si="1"/>
        <v>0</v>
      </c>
      <c r="G297" t="str">
        <f>_xlfn.XLOOKUP($A297,Map!$A:$A,Map!C:C)</f>
        <v>IS</v>
      </c>
      <c r="H297" t="str">
        <f>_xlfn.XLOOKUP($A297,Map!$A:$A,Map!D:D)</f>
        <v>Cost of sales</v>
      </c>
      <c r="I297" t="str">
        <f>_xlfn.XLOOKUP($A297,Map!$A:$A,Map!E:E)</f>
        <v>Direct Labor</v>
      </c>
      <c r="J297" t="str">
        <f>_xlfn.XLOOKUP($A297,Map!$A:$A,Map!F:F)</f>
        <v>Direct Labor</v>
      </c>
    </row>
    <row r="298" spans="1:10" hidden="1" x14ac:dyDescent="0.25">
      <c r="A298" s="1">
        <v>510002</v>
      </c>
      <c r="B298" s="1" t="s">
        <v>732</v>
      </c>
      <c r="D298" s="1">
        <v>0</v>
      </c>
      <c r="E298" s="1">
        <v>0</v>
      </c>
      <c r="F298" s="3">
        <f t="shared" si="1"/>
        <v>0</v>
      </c>
      <c r="G298" t="str">
        <f>_xlfn.XLOOKUP($A298,Map!$A:$A,Map!C:C)</f>
        <v>IS</v>
      </c>
      <c r="H298" t="str">
        <f>_xlfn.XLOOKUP($A298,Map!$A:$A,Map!D:D)</f>
        <v>Cost of sales</v>
      </c>
      <c r="I298" t="str">
        <f>_xlfn.XLOOKUP($A298,Map!$A:$A,Map!E:E)</f>
        <v>Direct Labor</v>
      </c>
      <c r="J298" t="str">
        <f>_xlfn.XLOOKUP($A298,Map!$A:$A,Map!F:F)</f>
        <v>Direct Labor</v>
      </c>
    </row>
    <row r="299" spans="1:10" hidden="1" x14ac:dyDescent="0.25">
      <c r="A299" s="1">
        <v>600031</v>
      </c>
      <c r="B299" s="1" t="s">
        <v>733</v>
      </c>
      <c r="D299" s="1">
        <v>0</v>
      </c>
      <c r="E299" s="1">
        <v>0</v>
      </c>
      <c r="F299" s="3">
        <f t="shared" ref="F299:F362" si="2">D299-E299</f>
        <v>0</v>
      </c>
      <c r="G299" t="str">
        <f>_xlfn.XLOOKUP($A299,Map!$A:$A,Map!C:C)</f>
        <v>IS</v>
      </c>
      <c r="H299" t="str">
        <f>_xlfn.XLOOKUP($A299,Map!$A:$A,Map!D:D)</f>
        <v>Depreciation expenses</v>
      </c>
      <c r="I299" t="str">
        <f>_xlfn.XLOOKUP($A299,Map!$A:$A,Map!E:E)</f>
        <v>Depreciation expenses</v>
      </c>
      <c r="J299" t="str">
        <f>_xlfn.XLOOKUP($A299,Map!$A:$A,Map!F:F)</f>
        <v>Depreciation of property, plant and equipment</v>
      </c>
    </row>
    <row r="300" spans="1:10" hidden="1" x14ac:dyDescent="0.25">
      <c r="A300" s="1">
        <v>600031</v>
      </c>
      <c r="B300" s="1" t="s">
        <v>733</v>
      </c>
      <c r="D300" s="1">
        <v>19983.34</v>
      </c>
      <c r="E300" s="1">
        <v>0</v>
      </c>
      <c r="F300" s="3">
        <f t="shared" si="2"/>
        <v>19983.34</v>
      </c>
      <c r="G300" t="str">
        <f>_xlfn.XLOOKUP($A300,Map!$A:$A,Map!C:C)</f>
        <v>IS</v>
      </c>
      <c r="H300" t="str">
        <f>_xlfn.XLOOKUP($A300,Map!$A:$A,Map!D:D)</f>
        <v>Depreciation expenses</v>
      </c>
      <c r="I300" t="str">
        <f>_xlfn.XLOOKUP($A300,Map!$A:$A,Map!E:E)</f>
        <v>Depreciation expenses</v>
      </c>
      <c r="J300" t="str">
        <f>_xlfn.XLOOKUP($A300,Map!$A:$A,Map!F:F)</f>
        <v>Depreciation of property, plant and equipment</v>
      </c>
    </row>
    <row r="301" spans="1:10" hidden="1" x14ac:dyDescent="0.25">
      <c r="A301" s="1">
        <v>600030</v>
      </c>
      <c r="B301" s="1" t="s">
        <v>733</v>
      </c>
      <c r="D301" s="1">
        <v>1845.88</v>
      </c>
      <c r="E301" s="1">
        <v>0</v>
      </c>
      <c r="F301" s="3">
        <f t="shared" si="2"/>
        <v>1845.88</v>
      </c>
      <c r="G301" t="str">
        <f>_xlfn.XLOOKUP($A301,Map!$A:$A,Map!C:C)</f>
        <v>IS</v>
      </c>
      <c r="H301" t="str">
        <f>_xlfn.XLOOKUP($A301,Map!$A:$A,Map!D:D)</f>
        <v>Depreciation expenses</v>
      </c>
      <c r="I301" t="str">
        <f>_xlfn.XLOOKUP($A301,Map!$A:$A,Map!E:E)</f>
        <v>Depreciation expenses</v>
      </c>
      <c r="J301" t="str">
        <f>_xlfn.XLOOKUP($A301,Map!$A:$A,Map!F:F)</f>
        <v>Depreciation of property, plant and equipment</v>
      </c>
    </row>
    <row r="302" spans="1:10" hidden="1" x14ac:dyDescent="0.25">
      <c r="A302" s="1">
        <v>600029</v>
      </c>
      <c r="B302" s="1" t="s">
        <v>733</v>
      </c>
      <c r="D302" s="1">
        <v>574710.03</v>
      </c>
      <c r="E302" s="1">
        <v>0</v>
      </c>
      <c r="F302" s="3">
        <f t="shared" si="2"/>
        <v>574710.03</v>
      </c>
      <c r="G302" t="str">
        <f>_xlfn.XLOOKUP($A302,Map!$A:$A,Map!C:C)</f>
        <v>IS</v>
      </c>
      <c r="H302" t="str">
        <f>_xlfn.XLOOKUP($A302,Map!$A:$A,Map!D:D)</f>
        <v>Cost of sales</v>
      </c>
      <c r="I302" t="str">
        <f>_xlfn.XLOOKUP($A302,Map!$A:$A,Map!E:E)</f>
        <v>Depreciation - Machines</v>
      </c>
      <c r="J302" t="str">
        <f>_xlfn.XLOOKUP($A302,Map!$A:$A,Map!F:F)</f>
        <v>Depreciation of property, plant and equipment</v>
      </c>
    </row>
    <row r="303" spans="1:10" hidden="1" x14ac:dyDescent="0.25">
      <c r="A303" s="1">
        <v>600028</v>
      </c>
      <c r="B303" s="1" t="s">
        <v>733</v>
      </c>
      <c r="D303" s="1">
        <v>2078</v>
      </c>
      <c r="E303" s="1">
        <v>0</v>
      </c>
      <c r="F303" s="3">
        <f t="shared" si="2"/>
        <v>2078</v>
      </c>
      <c r="G303" t="str">
        <f>_xlfn.XLOOKUP($A303,Map!$A:$A,Map!C:C)</f>
        <v>IS</v>
      </c>
      <c r="H303" t="str">
        <f>_xlfn.XLOOKUP($A303,Map!$A:$A,Map!D:D)</f>
        <v>Cost of sales</v>
      </c>
      <c r="I303" t="str">
        <f>_xlfn.XLOOKUP($A303,Map!$A:$A,Map!E:E)</f>
        <v>Overhead - Consumables &amp; SP</v>
      </c>
      <c r="J303" t="str">
        <f>_xlfn.XLOOKUP($A303,Map!$A:$A,Map!F:F)</f>
        <v xml:space="preserve">Education &amp; Furniture Allowances </v>
      </c>
    </row>
    <row r="304" spans="1:10" hidden="1" x14ac:dyDescent="0.25">
      <c r="A304" s="1">
        <v>600028</v>
      </c>
      <c r="B304" s="1" t="s">
        <v>733</v>
      </c>
      <c r="D304" s="1">
        <v>0</v>
      </c>
      <c r="E304" s="1">
        <v>0</v>
      </c>
      <c r="F304" s="3">
        <f t="shared" si="2"/>
        <v>0</v>
      </c>
      <c r="G304" t="str">
        <f>_xlfn.XLOOKUP($A304,Map!$A:$A,Map!C:C)</f>
        <v>IS</v>
      </c>
      <c r="H304" t="str">
        <f>_xlfn.XLOOKUP($A304,Map!$A:$A,Map!D:D)</f>
        <v>Cost of sales</v>
      </c>
      <c r="I304" t="str">
        <f>_xlfn.XLOOKUP($A304,Map!$A:$A,Map!E:E)</f>
        <v>Overhead - Consumables &amp; SP</v>
      </c>
      <c r="J304" t="str">
        <f>_xlfn.XLOOKUP($A304,Map!$A:$A,Map!F:F)</f>
        <v xml:space="preserve">Education &amp; Furniture Allowances </v>
      </c>
    </row>
    <row r="305" spans="1:10" hidden="1" x14ac:dyDescent="0.25">
      <c r="A305" s="1">
        <v>600028</v>
      </c>
      <c r="B305" s="1" t="s">
        <v>733</v>
      </c>
      <c r="D305" s="1">
        <v>0</v>
      </c>
      <c r="E305" s="1">
        <v>0</v>
      </c>
      <c r="F305" s="3">
        <f t="shared" si="2"/>
        <v>0</v>
      </c>
      <c r="G305" t="str">
        <f>_xlfn.XLOOKUP($A305,Map!$A:$A,Map!C:C)</f>
        <v>IS</v>
      </c>
      <c r="H305" t="str">
        <f>_xlfn.XLOOKUP($A305,Map!$A:$A,Map!D:D)</f>
        <v>Cost of sales</v>
      </c>
      <c r="I305" t="str">
        <f>_xlfn.XLOOKUP($A305,Map!$A:$A,Map!E:E)</f>
        <v>Overhead - Consumables &amp; SP</v>
      </c>
      <c r="J305" t="str">
        <f>_xlfn.XLOOKUP($A305,Map!$A:$A,Map!F:F)</f>
        <v xml:space="preserve">Education &amp; Furniture Allowances </v>
      </c>
    </row>
    <row r="306" spans="1:10" hidden="1" x14ac:dyDescent="0.25">
      <c r="A306" s="1">
        <v>600027</v>
      </c>
      <c r="B306" s="1" t="s">
        <v>733</v>
      </c>
      <c r="D306" s="1">
        <v>105740</v>
      </c>
      <c r="E306" s="1">
        <v>0</v>
      </c>
      <c r="F306" s="3">
        <f t="shared" si="2"/>
        <v>105740</v>
      </c>
      <c r="G306" t="str">
        <f>_xlfn.XLOOKUP($A306,Map!$A:$A,Map!C:C)</f>
        <v>IS</v>
      </c>
      <c r="H306" t="str">
        <f>_xlfn.XLOOKUP($A306,Map!$A:$A,Map!D:D)</f>
        <v>Cost of sales</v>
      </c>
      <c r="I306" t="str">
        <f>_xlfn.XLOOKUP($A306,Map!$A:$A,Map!E:E)</f>
        <v>Overhead - Rent</v>
      </c>
      <c r="J306" t="str">
        <f>_xlfn.XLOOKUP($A306,Map!$A:$A,Map!F:F)</f>
        <v>Production hall rental</v>
      </c>
    </row>
    <row r="307" spans="1:10" hidden="1" x14ac:dyDescent="0.25">
      <c r="A307" s="1">
        <v>600024</v>
      </c>
      <c r="B307" s="1" t="s">
        <v>733</v>
      </c>
      <c r="D307" s="1">
        <v>12952</v>
      </c>
      <c r="E307" s="1">
        <v>0</v>
      </c>
      <c r="F307" s="3">
        <f t="shared" si="2"/>
        <v>12952</v>
      </c>
      <c r="G307" t="str">
        <f>_xlfn.XLOOKUP($A307,Map!$A:$A,Map!C:C)</f>
        <v>IS</v>
      </c>
      <c r="H307" t="str">
        <f>_xlfn.XLOOKUP($A307,Map!$A:$A,Map!D:D)</f>
        <v>Cost of sales</v>
      </c>
      <c r="I307" t="str">
        <f>_xlfn.XLOOKUP($A307,Map!$A:$A,Map!E:E)</f>
        <v>Overhead - Rent</v>
      </c>
      <c r="J307" t="str">
        <f>_xlfn.XLOOKUP($A307,Map!$A:$A,Map!F:F)</f>
        <v>Pump rental expenses</v>
      </c>
    </row>
    <row r="308" spans="1:10" hidden="1" x14ac:dyDescent="0.25">
      <c r="A308" s="1">
        <v>600024</v>
      </c>
      <c r="B308" s="1" t="s">
        <v>733</v>
      </c>
      <c r="D308" s="1">
        <v>25403.5</v>
      </c>
      <c r="E308" s="1">
        <v>0</v>
      </c>
      <c r="F308" s="3">
        <f t="shared" si="2"/>
        <v>25403.5</v>
      </c>
      <c r="G308" t="str">
        <f>_xlfn.XLOOKUP($A308,Map!$A:$A,Map!C:C)</f>
        <v>IS</v>
      </c>
      <c r="H308" t="str">
        <f>_xlfn.XLOOKUP($A308,Map!$A:$A,Map!D:D)</f>
        <v>Cost of sales</v>
      </c>
      <c r="I308" t="str">
        <f>_xlfn.XLOOKUP($A308,Map!$A:$A,Map!E:E)</f>
        <v>Overhead - Rent</v>
      </c>
      <c r="J308" t="str">
        <f>_xlfn.XLOOKUP($A308,Map!$A:$A,Map!F:F)</f>
        <v>Pump rental expenses</v>
      </c>
    </row>
    <row r="309" spans="1:10" hidden="1" x14ac:dyDescent="0.25">
      <c r="A309" s="1">
        <v>600021</v>
      </c>
      <c r="B309" s="1" t="s">
        <v>733</v>
      </c>
      <c r="D309" s="1">
        <v>7009</v>
      </c>
      <c r="E309" s="1">
        <v>0</v>
      </c>
      <c r="F309" s="3">
        <f t="shared" si="2"/>
        <v>7009</v>
      </c>
      <c r="G309" t="str">
        <f>_xlfn.XLOOKUP($A309,Map!$A:$A,Map!C:C)</f>
        <v>IS</v>
      </c>
      <c r="H309" t="str">
        <f>_xlfn.XLOOKUP($A309,Map!$A:$A,Map!D:D)</f>
        <v>Cost of sales</v>
      </c>
      <c r="I309" t="str">
        <f>_xlfn.XLOOKUP($A309,Map!$A:$A,Map!E:E)</f>
        <v>Overhead - R&amp;M</v>
      </c>
      <c r="J309" t="str">
        <f>_xlfn.XLOOKUP($A309,Map!$A:$A,Map!F:F)</f>
        <v>Vehicle maintenance</v>
      </c>
    </row>
    <row r="310" spans="1:10" hidden="1" x14ac:dyDescent="0.25">
      <c r="A310" s="1">
        <v>600020</v>
      </c>
      <c r="B310" s="1" t="s">
        <v>733</v>
      </c>
      <c r="D310" s="1">
        <v>14000</v>
      </c>
      <c r="E310" s="1">
        <v>0</v>
      </c>
      <c r="F310" s="3">
        <f t="shared" si="2"/>
        <v>14000</v>
      </c>
      <c r="G310" t="str">
        <f>_xlfn.XLOOKUP($A310,Map!$A:$A,Map!C:C)</f>
        <v>IS</v>
      </c>
      <c r="H310" t="str">
        <f>_xlfn.XLOOKUP($A310,Map!$A:$A,Map!D:D)</f>
        <v>Cost of sales</v>
      </c>
      <c r="I310" t="str">
        <f>_xlfn.XLOOKUP($A310,Map!$A:$A,Map!E:E)</f>
        <v>Overhead - R&amp;M</v>
      </c>
      <c r="J310" t="str">
        <f>_xlfn.XLOOKUP($A310,Map!$A:$A,Map!F:F)</f>
        <v>Machine and equipment</v>
      </c>
    </row>
    <row r="311" spans="1:10" hidden="1" x14ac:dyDescent="0.25">
      <c r="A311" s="1">
        <v>600020</v>
      </c>
      <c r="B311" s="1" t="s">
        <v>733</v>
      </c>
      <c r="D311" s="1">
        <v>0</v>
      </c>
      <c r="E311" s="1">
        <v>0</v>
      </c>
      <c r="F311" s="3">
        <f t="shared" si="2"/>
        <v>0</v>
      </c>
      <c r="G311" t="str">
        <f>_xlfn.XLOOKUP($A311,Map!$A:$A,Map!C:C)</f>
        <v>IS</v>
      </c>
      <c r="H311" t="str">
        <f>_xlfn.XLOOKUP($A311,Map!$A:$A,Map!D:D)</f>
        <v>Cost of sales</v>
      </c>
      <c r="I311" t="str">
        <f>_xlfn.XLOOKUP($A311,Map!$A:$A,Map!E:E)</f>
        <v>Overhead - R&amp;M</v>
      </c>
      <c r="J311" t="str">
        <f>_xlfn.XLOOKUP($A311,Map!$A:$A,Map!F:F)</f>
        <v>Machine and equipment</v>
      </c>
    </row>
    <row r="312" spans="1:10" hidden="1" x14ac:dyDescent="0.25">
      <c r="A312" s="1">
        <v>600019</v>
      </c>
      <c r="B312" s="1" t="s">
        <v>733</v>
      </c>
      <c r="D312" s="1">
        <v>0</v>
      </c>
      <c r="E312" s="1">
        <v>0</v>
      </c>
      <c r="F312" s="3">
        <f t="shared" si="2"/>
        <v>0</v>
      </c>
      <c r="G312" t="str">
        <f>_xlfn.XLOOKUP($A312,Map!$A:$A,Map!C:C)</f>
        <v>IS</v>
      </c>
      <c r="H312" t="str">
        <f>_xlfn.XLOOKUP($A312,Map!$A:$A,Map!D:D)</f>
        <v>Cost of sales</v>
      </c>
      <c r="I312" t="str">
        <f>_xlfn.XLOOKUP($A312,Map!$A:$A,Map!E:E)</f>
        <v>Overhead - Utility</v>
      </c>
      <c r="J312" t="str">
        <f>_xlfn.XLOOKUP($A312,Map!$A:$A,Map!F:F)</f>
        <v>Fuel and oil</v>
      </c>
    </row>
    <row r="313" spans="1:10" hidden="1" x14ac:dyDescent="0.25">
      <c r="A313" s="1">
        <v>600018</v>
      </c>
      <c r="B313" s="1" t="s">
        <v>733</v>
      </c>
      <c r="D313" s="1">
        <v>21046</v>
      </c>
      <c r="E313" s="1">
        <v>0</v>
      </c>
      <c r="F313" s="3">
        <f t="shared" si="2"/>
        <v>21046</v>
      </c>
      <c r="G313" t="str">
        <f>_xlfn.XLOOKUP($A313,Map!$A:$A,Map!C:C)</f>
        <v>IS</v>
      </c>
      <c r="H313" t="str">
        <f>_xlfn.XLOOKUP($A313,Map!$A:$A,Map!D:D)</f>
        <v>Cost of sales</v>
      </c>
      <c r="I313" t="str">
        <f>_xlfn.XLOOKUP($A313,Map!$A:$A,Map!E:E)</f>
        <v>Overhead - Utility</v>
      </c>
      <c r="J313" t="str">
        <f>_xlfn.XLOOKUP($A313,Map!$A:$A,Map!F:F)</f>
        <v>Water expenses</v>
      </c>
    </row>
    <row r="314" spans="1:10" hidden="1" x14ac:dyDescent="0.25">
      <c r="A314" s="1">
        <v>600018</v>
      </c>
      <c r="B314" s="1" t="s">
        <v>733</v>
      </c>
      <c r="D314" s="1">
        <v>0</v>
      </c>
      <c r="E314" s="1">
        <v>0</v>
      </c>
      <c r="F314" s="3">
        <f t="shared" si="2"/>
        <v>0</v>
      </c>
      <c r="G314" t="str">
        <f>_xlfn.XLOOKUP($A314,Map!$A:$A,Map!C:C)</f>
        <v>IS</v>
      </c>
      <c r="H314" t="str">
        <f>_xlfn.XLOOKUP($A314,Map!$A:$A,Map!D:D)</f>
        <v>Cost of sales</v>
      </c>
      <c r="I314" t="str">
        <f>_xlfn.XLOOKUP($A314,Map!$A:$A,Map!E:E)</f>
        <v>Overhead - Utility</v>
      </c>
      <c r="J314" t="str">
        <f>_xlfn.XLOOKUP($A314,Map!$A:$A,Map!F:F)</f>
        <v>Water expenses</v>
      </c>
    </row>
    <row r="315" spans="1:10" hidden="1" x14ac:dyDescent="0.25">
      <c r="A315" s="1">
        <v>600017</v>
      </c>
      <c r="B315" s="1" t="s">
        <v>733</v>
      </c>
      <c r="D315" s="1">
        <v>293375.03000000003</v>
      </c>
      <c r="E315" s="1">
        <v>0</v>
      </c>
      <c r="F315" s="3">
        <f t="shared" si="2"/>
        <v>293375.03000000003</v>
      </c>
      <c r="G315" t="str">
        <f>_xlfn.XLOOKUP($A315,Map!$A:$A,Map!C:C)</f>
        <v>IS</v>
      </c>
      <c r="H315" t="str">
        <f>_xlfn.XLOOKUP($A315,Map!$A:$A,Map!D:D)</f>
        <v>Cost of sales</v>
      </c>
      <c r="I315" t="str">
        <f>_xlfn.XLOOKUP($A315,Map!$A:$A,Map!E:E)</f>
        <v>Overhead - Utility</v>
      </c>
      <c r="J315" t="str">
        <f>_xlfn.XLOOKUP($A315,Map!$A:$A,Map!F:F)</f>
        <v>Electricity expenses</v>
      </c>
    </row>
    <row r="316" spans="1:10" hidden="1" x14ac:dyDescent="0.25">
      <c r="A316" s="1">
        <v>600016</v>
      </c>
      <c r="B316" s="1" t="s">
        <v>733</v>
      </c>
      <c r="D316" s="1">
        <v>334447.24</v>
      </c>
      <c r="E316" s="1">
        <v>0</v>
      </c>
      <c r="F316" s="3">
        <f t="shared" si="2"/>
        <v>334447.24</v>
      </c>
      <c r="G316" t="str">
        <f>_xlfn.XLOOKUP($A316,Map!$A:$A,Map!C:C)</f>
        <v>IS</v>
      </c>
      <c r="H316" t="str">
        <f>_xlfn.XLOOKUP($A316,Map!$A:$A,Map!D:D)</f>
        <v>Cost of sales</v>
      </c>
      <c r="I316" t="str">
        <f>_xlfn.XLOOKUP($A316,Map!$A:$A,Map!E:E)</f>
        <v>Overhead - Consumables &amp; SP</v>
      </c>
      <c r="J316" t="str">
        <f>_xlfn.XLOOKUP($A316,Map!$A:$A,Map!F:F)</f>
        <v>Tools</v>
      </c>
    </row>
    <row r="317" spans="1:10" hidden="1" x14ac:dyDescent="0.25">
      <c r="A317" s="1">
        <v>600016</v>
      </c>
      <c r="B317" s="1" t="s">
        <v>733</v>
      </c>
      <c r="D317" s="1">
        <v>18443.54</v>
      </c>
      <c r="E317" s="1">
        <v>0</v>
      </c>
      <c r="F317" s="3">
        <f t="shared" si="2"/>
        <v>18443.54</v>
      </c>
      <c r="G317" t="str">
        <f>_xlfn.XLOOKUP($A317,Map!$A:$A,Map!C:C)</f>
        <v>IS</v>
      </c>
      <c r="H317" t="str">
        <f>_xlfn.XLOOKUP($A317,Map!$A:$A,Map!D:D)</f>
        <v>Cost of sales</v>
      </c>
      <c r="I317" t="str">
        <f>_xlfn.XLOOKUP($A317,Map!$A:$A,Map!E:E)</f>
        <v>Overhead - Consumables &amp; SP</v>
      </c>
      <c r="J317" t="str">
        <f>_xlfn.XLOOKUP($A317,Map!$A:$A,Map!F:F)</f>
        <v>Tools</v>
      </c>
    </row>
    <row r="318" spans="1:10" hidden="1" x14ac:dyDescent="0.25">
      <c r="A318" s="1">
        <v>600016</v>
      </c>
      <c r="B318" s="1" t="s">
        <v>733</v>
      </c>
      <c r="D318" s="1">
        <v>36887.08</v>
      </c>
      <c r="E318" s="1">
        <v>0</v>
      </c>
      <c r="F318" s="3">
        <f t="shared" si="2"/>
        <v>36887.08</v>
      </c>
      <c r="G318" t="str">
        <f>_xlfn.XLOOKUP($A318,Map!$A:$A,Map!C:C)</f>
        <v>IS</v>
      </c>
      <c r="H318" t="str">
        <f>_xlfn.XLOOKUP($A318,Map!$A:$A,Map!D:D)</f>
        <v>Cost of sales</v>
      </c>
      <c r="I318" t="str">
        <f>_xlfn.XLOOKUP($A318,Map!$A:$A,Map!E:E)</f>
        <v>Overhead - Consumables &amp; SP</v>
      </c>
      <c r="J318" t="str">
        <f>_xlfn.XLOOKUP($A318,Map!$A:$A,Map!F:F)</f>
        <v>Tools</v>
      </c>
    </row>
    <row r="319" spans="1:10" hidden="1" x14ac:dyDescent="0.25">
      <c r="A319" s="1">
        <v>600016</v>
      </c>
      <c r="B319" s="1" t="s">
        <v>733</v>
      </c>
      <c r="D319" s="1">
        <v>0</v>
      </c>
      <c r="E319" s="1">
        <v>0</v>
      </c>
      <c r="F319" s="3">
        <f t="shared" si="2"/>
        <v>0</v>
      </c>
      <c r="G319" t="str">
        <f>_xlfn.XLOOKUP($A319,Map!$A:$A,Map!C:C)</f>
        <v>IS</v>
      </c>
      <c r="H319" t="str">
        <f>_xlfn.XLOOKUP($A319,Map!$A:$A,Map!D:D)</f>
        <v>Cost of sales</v>
      </c>
      <c r="I319" t="str">
        <f>_xlfn.XLOOKUP($A319,Map!$A:$A,Map!E:E)</f>
        <v>Overhead - Consumables &amp; SP</v>
      </c>
      <c r="J319" t="str">
        <f>_xlfn.XLOOKUP($A319,Map!$A:$A,Map!F:F)</f>
        <v>Tools</v>
      </c>
    </row>
    <row r="320" spans="1:10" hidden="1" x14ac:dyDescent="0.25">
      <c r="A320" s="1">
        <v>600016</v>
      </c>
      <c r="B320" s="1" t="s">
        <v>733</v>
      </c>
      <c r="D320" s="1">
        <v>83269.64</v>
      </c>
      <c r="E320" s="1">
        <v>0</v>
      </c>
      <c r="F320" s="3">
        <f t="shared" si="2"/>
        <v>83269.64</v>
      </c>
      <c r="G320" t="str">
        <f>_xlfn.XLOOKUP($A320,Map!$A:$A,Map!C:C)</f>
        <v>IS</v>
      </c>
      <c r="H320" t="str">
        <f>_xlfn.XLOOKUP($A320,Map!$A:$A,Map!D:D)</f>
        <v>Cost of sales</v>
      </c>
      <c r="I320" t="str">
        <f>_xlfn.XLOOKUP($A320,Map!$A:$A,Map!E:E)</f>
        <v>Overhead - Consumables &amp; SP</v>
      </c>
      <c r="J320" t="str">
        <f>_xlfn.XLOOKUP($A320,Map!$A:$A,Map!F:F)</f>
        <v>Tools</v>
      </c>
    </row>
    <row r="321" spans="1:10" hidden="1" x14ac:dyDescent="0.25">
      <c r="A321" s="1">
        <v>600016</v>
      </c>
      <c r="B321" s="1" t="s">
        <v>733</v>
      </c>
      <c r="D321" s="1">
        <v>0</v>
      </c>
      <c r="E321" s="1">
        <v>377100.63</v>
      </c>
      <c r="F321" s="3">
        <f t="shared" si="2"/>
        <v>-377100.63</v>
      </c>
      <c r="G321" t="str">
        <f>_xlfn.XLOOKUP($A321,Map!$A:$A,Map!C:C)</f>
        <v>IS</v>
      </c>
      <c r="H321" t="str">
        <f>_xlfn.XLOOKUP($A321,Map!$A:$A,Map!D:D)</f>
        <v>Cost of sales</v>
      </c>
      <c r="I321" t="str">
        <f>_xlfn.XLOOKUP($A321,Map!$A:$A,Map!E:E)</f>
        <v>Overhead - Consumables &amp; SP</v>
      </c>
      <c r="J321" t="str">
        <f>_xlfn.XLOOKUP($A321,Map!$A:$A,Map!F:F)</f>
        <v>Tools</v>
      </c>
    </row>
    <row r="322" spans="1:10" hidden="1" x14ac:dyDescent="0.25">
      <c r="A322" s="1">
        <v>600016</v>
      </c>
      <c r="B322" s="1" t="s">
        <v>733</v>
      </c>
      <c r="D322" s="1">
        <v>0</v>
      </c>
      <c r="E322" s="1">
        <v>0</v>
      </c>
      <c r="F322" s="3">
        <f t="shared" si="2"/>
        <v>0</v>
      </c>
      <c r="G322" t="str">
        <f>_xlfn.XLOOKUP($A322,Map!$A:$A,Map!C:C)</f>
        <v>IS</v>
      </c>
      <c r="H322" t="str">
        <f>_xlfn.XLOOKUP($A322,Map!$A:$A,Map!D:D)</f>
        <v>Cost of sales</v>
      </c>
      <c r="I322" t="str">
        <f>_xlfn.XLOOKUP($A322,Map!$A:$A,Map!E:E)</f>
        <v>Overhead - Consumables &amp; SP</v>
      </c>
      <c r="J322" t="str">
        <f>_xlfn.XLOOKUP($A322,Map!$A:$A,Map!F:F)</f>
        <v>Tools</v>
      </c>
    </row>
    <row r="323" spans="1:10" hidden="1" x14ac:dyDescent="0.25">
      <c r="A323" s="1">
        <v>600015</v>
      </c>
      <c r="B323" s="1" t="s">
        <v>733</v>
      </c>
      <c r="D323" s="1">
        <v>36799.18</v>
      </c>
      <c r="E323" s="1">
        <v>0</v>
      </c>
      <c r="F323" s="3">
        <f t="shared" si="2"/>
        <v>36799.18</v>
      </c>
      <c r="G323" t="str">
        <f>_xlfn.XLOOKUP($A323,Map!$A:$A,Map!C:C)</f>
        <v>IS</v>
      </c>
      <c r="H323" t="str">
        <f>_xlfn.XLOOKUP($A323,Map!$A:$A,Map!D:D)</f>
        <v>Cost of sales</v>
      </c>
      <c r="I323" t="str">
        <f>_xlfn.XLOOKUP($A323,Map!$A:$A,Map!E:E)</f>
        <v>Overhead - Consumables &amp; SP</v>
      </c>
      <c r="J323" t="str">
        <f>_xlfn.XLOOKUP($A323,Map!$A:$A,Map!F:F)</f>
        <v>Consumables</v>
      </c>
    </row>
    <row r="324" spans="1:10" hidden="1" x14ac:dyDescent="0.25">
      <c r="A324" s="1">
        <v>600015</v>
      </c>
      <c r="B324" s="1" t="s">
        <v>733</v>
      </c>
      <c r="D324" s="1">
        <v>0</v>
      </c>
      <c r="E324" s="1">
        <v>0</v>
      </c>
      <c r="F324" s="3">
        <f t="shared" si="2"/>
        <v>0</v>
      </c>
      <c r="G324" t="str">
        <f>_xlfn.XLOOKUP($A324,Map!$A:$A,Map!C:C)</f>
        <v>IS</v>
      </c>
      <c r="H324" t="str">
        <f>_xlfn.XLOOKUP($A324,Map!$A:$A,Map!D:D)</f>
        <v>Cost of sales</v>
      </c>
      <c r="I324" t="str">
        <f>_xlfn.XLOOKUP($A324,Map!$A:$A,Map!E:E)</f>
        <v>Overhead - Consumables &amp; SP</v>
      </c>
      <c r="J324" t="str">
        <f>_xlfn.XLOOKUP($A324,Map!$A:$A,Map!F:F)</f>
        <v>Consumables</v>
      </c>
    </row>
    <row r="325" spans="1:10" hidden="1" x14ac:dyDescent="0.25">
      <c r="A325" s="1">
        <v>600014</v>
      </c>
      <c r="B325" s="1" t="s">
        <v>733</v>
      </c>
      <c r="D325" s="1">
        <v>204579.25</v>
      </c>
      <c r="E325" s="1">
        <v>0</v>
      </c>
      <c r="F325" s="3">
        <f t="shared" si="2"/>
        <v>204579.25</v>
      </c>
      <c r="G325" t="str">
        <f>_xlfn.XLOOKUP($A325,Map!$A:$A,Map!C:C)</f>
        <v>IS</v>
      </c>
      <c r="H325" t="str">
        <f>_xlfn.XLOOKUP($A325,Map!$A:$A,Map!D:D)</f>
        <v>Cost of sales</v>
      </c>
      <c r="I325" t="str">
        <f>_xlfn.XLOOKUP($A325,Map!$A:$A,Map!E:E)</f>
        <v>Overhead - Consumables &amp; SP</v>
      </c>
      <c r="J325" t="str">
        <f>_xlfn.XLOOKUP($A325,Map!$A:$A,Map!F:F)</f>
        <v>Consumables</v>
      </c>
    </row>
    <row r="326" spans="1:10" hidden="1" x14ac:dyDescent="0.25">
      <c r="A326" s="1">
        <v>600014</v>
      </c>
      <c r="B326" s="1" t="s">
        <v>733</v>
      </c>
      <c r="D326" s="1">
        <v>0</v>
      </c>
      <c r="E326" s="1">
        <v>0</v>
      </c>
      <c r="F326" s="3">
        <f t="shared" si="2"/>
        <v>0</v>
      </c>
      <c r="G326" t="str">
        <f>_xlfn.XLOOKUP($A326,Map!$A:$A,Map!C:C)</f>
        <v>IS</v>
      </c>
      <c r="H326" t="str">
        <f>_xlfn.XLOOKUP($A326,Map!$A:$A,Map!D:D)</f>
        <v>Cost of sales</v>
      </c>
      <c r="I326" t="str">
        <f>_xlfn.XLOOKUP($A326,Map!$A:$A,Map!E:E)</f>
        <v>Overhead - Consumables &amp; SP</v>
      </c>
      <c r="J326" t="str">
        <f>_xlfn.XLOOKUP($A326,Map!$A:$A,Map!F:F)</f>
        <v>Consumables</v>
      </c>
    </row>
    <row r="327" spans="1:10" hidden="1" x14ac:dyDescent="0.25">
      <c r="A327" s="1">
        <v>600014</v>
      </c>
      <c r="B327" s="1" t="s">
        <v>733</v>
      </c>
      <c r="D327" s="1">
        <v>0</v>
      </c>
      <c r="E327" s="1">
        <v>0</v>
      </c>
      <c r="F327" s="3">
        <f t="shared" si="2"/>
        <v>0</v>
      </c>
      <c r="G327" t="str">
        <f>_xlfn.XLOOKUP($A327,Map!$A:$A,Map!C:C)</f>
        <v>IS</v>
      </c>
      <c r="H327" t="str">
        <f>_xlfn.XLOOKUP($A327,Map!$A:$A,Map!D:D)</f>
        <v>Cost of sales</v>
      </c>
      <c r="I327" t="str">
        <f>_xlfn.XLOOKUP($A327,Map!$A:$A,Map!E:E)</f>
        <v>Overhead - Consumables &amp; SP</v>
      </c>
      <c r="J327" t="str">
        <f>_xlfn.XLOOKUP($A327,Map!$A:$A,Map!F:F)</f>
        <v>Consumables</v>
      </c>
    </row>
    <row r="328" spans="1:10" hidden="1" x14ac:dyDescent="0.25">
      <c r="A328" s="1">
        <v>600013</v>
      </c>
      <c r="B328" s="1" t="s">
        <v>733</v>
      </c>
      <c r="D328" s="1">
        <v>150</v>
      </c>
      <c r="E328" s="1">
        <v>0</v>
      </c>
      <c r="F328" s="3">
        <f t="shared" si="2"/>
        <v>150</v>
      </c>
      <c r="G328" t="str">
        <f>_xlfn.XLOOKUP($A328,Map!$A:$A,Map!C:C)</f>
        <v>IS</v>
      </c>
      <c r="H328" t="str">
        <f>_xlfn.XLOOKUP($A328,Map!$A:$A,Map!D:D)</f>
        <v>Cost of sales</v>
      </c>
      <c r="I328" t="str">
        <f>_xlfn.XLOOKUP($A328,Map!$A:$A,Map!E:E)</f>
        <v>Overhead - Labor Cost</v>
      </c>
      <c r="J328" t="str">
        <f>_xlfn.XLOOKUP($A328,Map!$A:$A,Map!F:F)</f>
        <v>Telephone allowance</v>
      </c>
    </row>
    <row r="329" spans="1:10" hidden="1" x14ac:dyDescent="0.25">
      <c r="A329" s="1">
        <v>600011</v>
      </c>
      <c r="B329" s="1" t="s">
        <v>733</v>
      </c>
      <c r="D329" s="1">
        <v>2000</v>
      </c>
      <c r="E329" s="1">
        <v>0</v>
      </c>
      <c r="F329" s="3">
        <f t="shared" si="2"/>
        <v>2000</v>
      </c>
      <c r="G329" t="str">
        <f>_xlfn.XLOOKUP($A329,Map!$A:$A,Map!C:C)</f>
        <v>IS</v>
      </c>
      <c r="H329" t="str">
        <f>_xlfn.XLOOKUP($A329,Map!$A:$A,Map!D:D)</f>
        <v>Cost of sales</v>
      </c>
      <c r="I329" t="str">
        <f>_xlfn.XLOOKUP($A329,Map!$A:$A,Map!E:E)</f>
        <v>Overhead - Labor Cost</v>
      </c>
      <c r="J329" t="str">
        <f>_xlfn.XLOOKUP($A329,Map!$A:$A,Map!F:F)</f>
        <v>Air tickets</v>
      </c>
    </row>
    <row r="330" spans="1:10" hidden="1" x14ac:dyDescent="0.25">
      <c r="A330" s="1">
        <v>600009</v>
      </c>
      <c r="B330" s="1" t="s">
        <v>733</v>
      </c>
      <c r="D330" s="1">
        <v>35600</v>
      </c>
      <c r="E330" s="1">
        <v>0</v>
      </c>
      <c r="F330" s="3">
        <f t="shared" si="2"/>
        <v>35600</v>
      </c>
      <c r="G330" t="str">
        <f>_xlfn.XLOOKUP($A330,Map!$A:$A,Map!C:C)</f>
        <v>IS</v>
      </c>
      <c r="H330" t="str">
        <f>_xlfn.XLOOKUP($A330,Map!$A:$A,Map!D:D)</f>
        <v>Cost of sales</v>
      </c>
      <c r="I330" t="str">
        <f>_xlfn.XLOOKUP($A330,Map!$A:$A,Map!E:E)</f>
        <v>Overhead - Labor Cost</v>
      </c>
      <c r="J330" t="str">
        <f>_xlfn.XLOOKUP($A330,Map!$A:$A,Map!F:F)</f>
        <v>Vacation pay</v>
      </c>
    </row>
    <row r="331" spans="1:10" hidden="1" x14ac:dyDescent="0.25">
      <c r="A331" s="1">
        <v>600009</v>
      </c>
      <c r="B331" s="1" t="s">
        <v>733</v>
      </c>
      <c r="D331" s="1">
        <v>0</v>
      </c>
      <c r="E331" s="1">
        <v>0</v>
      </c>
      <c r="F331" s="3">
        <f t="shared" si="2"/>
        <v>0</v>
      </c>
      <c r="G331" t="str">
        <f>_xlfn.XLOOKUP($A331,Map!$A:$A,Map!C:C)</f>
        <v>IS</v>
      </c>
      <c r="H331" t="str">
        <f>_xlfn.XLOOKUP($A331,Map!$A:$A,Map!D:D)</f>
        <v>Cost of sales</v>
      </c>
      <c r="I331" t="str">
        <f>_xlfn.XLOOKUP($A331,Map!$A:$A,Map!E:E)</f>
        <v>Overhead - Labor Cost</v>
      </c>
      <c r="J331" t="str">
        <f>_xlfn.XLOOKUP($A331,Map!$A:$A,Map!F:F)</f>
        <v>Vacation pay</v>
      </c>
    </row>
    <row r="332" spans="1:10" hidden="1" x14ac:dyDescent="0.25">
      <c r="A332" s="1">
        <v>600008</v>
      </c>
      <c r="B332" s="1" t="s">
        <v>733</v>
      </c>
      <c r="D332" s="1">
        <v>22830</v>
      </c>
      <c r="E332" s="1">
        <v>0</v>
      </c>
      <c r="F332" s="3">
        <f t="shared" si="2"/>
        <v>22830</v>
      </c>
      <c r="G332" t="str">
        <f>_xlfn.XLOOKUP($A332,Map!$A:$A,Map!C:C)</f>
        <v>IS</v>
      </c>
      <c r="H332" t="str">
        <f>_xlfn.XLOOKUP($A332,Map!$A:$A,Map!D:D)</f>
        <v>Cost of sales</v>
      </c>
      <c r="I332" t="str">
        <f>_xlfn.XLOOKUP($A332,Map!$A:$A,Map!E:E)</f>
        <v>Overhead - Labor Cost</v>
      </c>
      <c r="J332" t="str">
        <f>_xlfn.XLOOKUP($A332,Map!$A:$A,Map!F:F)</f>
        <v>Air tickets</v>
      </c>
    </row>
    <row r="333" spans="1:10" hidden="1" x14ac:dyDescent="0.25">
      <c r="A333" s="1">
        <v>600007</v>
      </c>
      <c r="B333" s="1" t="s">
        <v>733</v>
      </c>
      <c r="D333" s="1">
        <v>1540</v>
      </c>
      <c r="E333" s="1">
        <v>0</v>
      </c>
      <c r="F333" s="3">
        <f t="shared" si="2"/>
        <v>1540</v>
      </c>
      <c r="G333" t="str">
        <f>_xlfn.XLOOKUP($A333,Map!$A:$A,Map!C:C)</f>
        <v>IS</v>
      </c>
      <c r="H333" t="str">
        <f>_xlfn.XLOOKUP($A333,Map!$A:$A,Map!D:D)</f>
        <v>Cost of sales</v>
      </c>
      <c r="I333" t="str">
        <f>_xlfn.XLOOKUP($A333,Map!$A:$A,Map!E:E)</f>
        <v>Overhead - Labor Cost</v>
      </c>
      <c r="J333" t="str">
        <f>_xlfn.XLOOKUP($A333,Map!$A:$A,Map!F:F)</f>
        <v>Transportation allowance</v>
      </c>
    </row>
    <row r="334" spans="1:10" hidden="1" x14ac:dyDescent="0.25">
      <c r="A334" s="1">
        <v>600007</v>
      </c>
      <c r="B334" s="1" t="s">
        <v>733</v>
      </c>
      <c r="D334" s="1">
        <v>0</v>
      </c>
      <c r="E334" s="1">
        <v>0</v>
      </c>
      <c r="F334" s="3">
        <f t="shared" si="2"/>
        <v>0</v>
      </c>
      <c r="G334" t="str">
        <f>_xlfn.XLOOKUP($A334,Map!$A:$A,Map!C:C)</f>
        <v>IS</v>
      </c>
      <c r="H334" t="str">
        <f>_xlfn.XLOOKUP($A334,Map!$A:$A,Map!D:D)</f>
        <v>Cost of sales</v>
      </c>
      <c r="I334" t="str">
        <f>_xlfn.XLOOKUP($A334,Map!$A:$A,Map!E:E)</f>
        <v>Overhead - Labor Cost</v>
      </c>
      <c r="J334" t="str">
        <f>_xlfn.XLOOKUP($A334,Map!$A:$A,Map!F:F)</f>
        <v>Transportation allowance</v>
      </c>
    </row>
    <row r="335" spans="1:10" hidden="1" x14ac:dyDescent="0.25">
      <c r="A335" s="1">
        <v>600006</v>
      </c>
      <c r="B335" s="1" t="s">
        <v>733</v>
      </c>
      <c r="D335" s="1">
        <v>48346.9</v>
      </c>
      <c r="E335" s="1">
        <v>0</v>
      </c>
      <c r="F335" s="3">
        <f t="shared" si="2"/>
        <v>48346.9</v>
      </c>
      <c r="G335" t="str">
        <f>_xlfn.XLOOKUP($A335,Map!$A:$A,Map!C:C)</f>
        <v>IS</v>
      </c>
      <c r="H335" t="str">
        <f>_xlfn.XLOOKUP($A335,Map!$A:$A,Map!D:D)</f>
        <v>Cost of sales</v>
      </c>
      <c r="I335" t="str">
        <f>_xlfn.XLOOKUP($A335,Map!$A:$A,Map!E:E)</f>
        <v>Overhead - Labor Cost</v>
      </c>
      <c r="J335" t="str">
        <f>_xlfn.XLOOKUP($A335,Map!$A:$A,Map!F:F)</f>
        <v xml:space="preserve">Food &amp; Housing </v>
      </c>
    </row>
    <row r="336" spans="1:10" hidden="1" x14ac:dyDescent="0.25">
      <c r="A336" s="1">
        <v>600005</v>
      </c>
      <c r="B336" s="1" t="s">
        <v>733</v>
      </c>
      <c r="D336" s="1">
        <v>15500</v>
      </c>
      <c r="E336" s="1">
        <v>0</v>
      </c>
      <c r="F336" s="3">
        <f t="shared" si="2"/>
        <v>15500</v>
      </c>
      <c r="G336" t="str">
        <f>_xlfn.XLOOKUP($A336,Map!$A:$A,Map!C:C)</f>
        <v>IS</v>
      </c>
      <c r="H336" t="str">
        <f>_xlfn.XLOOKUP($A336,Map!$A:$A,Map!D:D)</f>
        <v>General and Admin</v>
      </c>
      <c r="I336" t="str">
        <f>_xlfn.XLOOKUP($A336,Map!$A:$A,Map!E:E)</f>
        <v>Govt license and fees (including modon)</v>
      </c>
      <c r="J336" t="str">
        <f>_xlfn.XLOOKUP($A336,Map!$A:$A,Map!F:F)</f>
        <v>Government fees</v>
      </c>
    </row>
    <row r="337" spans="1:10" hidden="1" x14ac:dyDescent="0.25">
      <c r="A337" s="1">
        <v>600004</v>
      </c>
      <c r="B337" s="1" t="s">
        <v>733</v>
      </c>
      <c r="D337" s="1">
        <v>0</v>
      </c>
      <c r="E337" s="1">
        <v>6313.54</v>
      </c>
      <c r="F337" s="3">
        <f t="shared" si="2"/>
        <v>-6313.54</v>
      </c>
      <c r="G337" t="str">
        <f>_xlfn.XLOOKUP($A337,Map!$A:$A,Map!C:C)</f>
        <v>IS</v>
      </c>
      <c r="H337" t="str">
        <f>_xlfn.XLOOKUP($A337,Map!$A:$A,Map!D:D)</f>
        <v>Cost of sales</v>
      </c>
      <c r="I337" t="str">
        <f>_xlfn.XLOOKUP($A337,Map!$A:$A,Map!E:E)</f>
        <v>Overhead - Labor Cost</v>
      </c>
      <c r="J337" t="str">
        <f>_xlfn.XLOOKUP($A337,Map!$A:$A,Map!F:F)</f>
        <v>Medical insurance</v>
      </c>
    </row>
    <row r="338" spans="1:10" hidden="1" x14ac:dyDescent="0.25">
      <c r="A338" s="1">
        <v>600004</v>
      </c>
      <c r="B338" s="1" t="s">
        <v>733</v>
      </c>
      <c r="D338" s="1">
        <v>0</v>
      </c>
      <c r="E338" s="1">
        <v>0</v>
      </c>
      <c r="F338" s="3">
        <f t="shared" si="2"/>
        <v>0</v>
      </c>
      <c r="G338" t="str">
        <f>_xlfn.XLOOKUP($A338,Map!$A:$A,Map!C:C)</f>
        <v>IS</v>
      </c>
      <c r="H338" t="str">
        <f>_xlfn.XLOOKUP($A338,Map!$A:$A,Map!D:D)</f>
        <v>Cost of sales</v>
      </c>
      <c r="I338" t="str">
        <f>_xlfn.XLOOKUP($A338,Map!$A:$A,Map!E:E)</f>
        <v>Overhead - Labor Cost</v>
      </c>
      <c r="J338" t="str">
        <f>_xlfn.XLOOKUP($A338,Map!$A:$A,Map!F:F)</f>
        <v>Medical insurance</v>
      </c>
    </row>
    <row r="339" spans="1:10" hidden="1" x14ac:dyDescent="0.25">
      <c r="A339" s="1">
        <v>600004</v>
      </c>
      <c r="B339" s="1" t="s">
        <v>733</v>
      </c>
      <c r="D339" s="1">
        <v>0</v>
      </c>
      <c r="E339" s="1">
        <v>0</v>
      </c>
      <c r="F339" s="3">
        <f t="shared" si="2"/>
        <v>0</v>
      </c>
      <c r="G339" t="str">
        <f>_xlfn.XLOOKUP($A339,Map!$A:$A,Map!C:C)</f>
        <v>IS</v>
      </c>
      <c r="H339" t="str">
        <f>_xlfn.XLOOKUP($A339,Map!$A:$A,Map!D:D)</f>
        <v>Cost of sales</v>
      </c>
      <c r="I339" t="str">
        <f>_xlfn.XLOOKUP($A339,Map!$A:$A,Map!E:E)</f>
        <v>Overhead - Labor Cost</v>
      </c>
      <c r="J339" t="str">
        <f>_xlfn.XLOOKUP($A339,Map!$A:$A,Map!F:F)</f>
        <v>Medical insurance</v>
      </c>
    </row>
    <row r="340" spans="1:10" hidden="1" x14ac:dyDescent="0.25">
      <c r="A340" s="1">
        <v>600003</v>
      </c>
      <c r="B340" s="1" t="s">
        <v>733</v>
      </c>
      <c r="D340" s="1">
        <v>16120</v>
      </c>
      <c r="E340" s="1">
        <v>0</v>
      </c>
      <c r="F340" s="3">
        <f t="shared" si="2"/>
        <v>16120</v>
      </c>
      <c r="G340" t="str">
        <f>_xlfn.XLOOKUP($A340,Map!$A:$A,Map!C:C)</f>
        <v>IS</v>
      </c>
      <c r="H340" t="str">
        <f>_xlfn.XLOOKUP($A340,Map!$A:$A,Map!D:D)</f>
        <v>Cost of sales</v>
      </c>
      <c r="I340" t="str">
        <f>_xlfn.XLOOKUP($A340,Map!$A:$A,Map!E:E)</f>
        <v>Overhead - Labor Cost</v>
      </c>
      <c r="J340" t="str">
        <f>_xlfn.XLOOKUP($A340,Map!$A:$A,Map!F:F)</f>
        <v xml:space="preserve">Food &amp; Housing </v>
      </c>
    </row>
    <row r="341" spans="1:10" hidden="1" x14ac:dyDescent="0.25">
      <c r="A341" s="1">
        <v>600003</v>
      </c>
      <c r="B341" s="1" t="s">
        <v>733</v>
      </c>
      <c r="D341" s="1">
        <v>0</v>
      </c>
      <c r="E341" s="1">
        <v>0</v>
      </c>
      <c r="F341" s="3">
        <f t="shared" si="2"/>
        <v>0</v>
      </c>
      <c r="G341" t="str">
        <f>_xlfn.XLOOKUP($A341,Map!$A:$A,Map!C:C)</f>
        <v>IS</v>
      </c>
      <c r="H341" t="str">
        <f>_xlfn.XLOOKUP($A341,Map!$A:$A,Map!D:D)</f>
        <v>Cost of sales</v>
      </c>
      <c r="I341" t="str">
        <f>_xlfn.XLOOKUP($A341,Map!$A:$A,Map!E:E)</f>
        <v>Overhead - Labor Cost</v>
      </c>
      <c r="J341" t="str">
        <f>_xlfn.XLOOKUP($A341,Map!$A:$A,Map!F:F)</f>
        <v xml:space="preserve">Food &amp; Housing </v>
      </c>
    </row>
    <row r="342" spans="1:10" hidden="1" x14ac:dyDescent="0.25">
      <c r="A342" s="1">
        <v>600002</v>
      </c>
      <c r="B342" s="1" t="s">
        <v>733</v>
      </c>
      <c r="D342" s="1">
        <v>65934</v>
      </c>
      <c r="E342" s="1">
        <v>0</v>
      </c>
      <c r="F342" s="3">
        <f t="shared" si="2"/>
        <v>65934</v>
      </c>
      <c r="G342" t="str">
        <f>_xlfn.XLOOKUP($A342,Map!$A:$A,Map!C:C)</f>
        <v>IS</v>
      </c>
      <c r="H342" t="str">
        <f>_xlfn.XLOOKUP($A342,Map!$A:$A,Map!D:D)</f>
        <v>Cost of sales</v>
      </c>
      <c r="I342" t="str">
        <f>_xlfn.XLOOKUP($A342,Map!$A:$A,Map!E:E)</f>
        <v>Overhead - Labor Cost</v>
      </c>
      <c r="J342" t="str">
        <f>_xlfn.XLOOKUP($A342,Map!$A:$A,Map!F:F)</f>
        <v>Overtime pay</v>
      </c>
    </row>
    <row r="343" spans="1:10" hidden="1" x14ac:dyDescent="0.25">
      <c r="A343" s="1">
        <v>600002</v>
      </c>
      <c r="B343" s="1" t="s">
        <v>733</v>
      </c>
      <c r="D343" s="1">
        <v>0</v>
      </c>
      <c r="E343" s="1">
        <v>0</v>
      </c>
      <c r="F343" s="3">
        <f t="shared" si="2"/>
        <v>0</v>
      </c>
      <c r="G343" t="str">
        <f>_xlfn.XLOOKUP($A343,Map!$A:$A,Map!C:C)</f>
        <v>IS</v>
      </c>
      <c r="H343" t="str">
        <f>_xlfn.XLOOKUP($A343,Map!$A:$A,Map!D:D)</f>
        <v>Cost of sales</v>
      </c>
      <c r="I343" t="str">
        <f>_xlfn.XLOOKUP($A343,Map!$A:$A,Map!E:E)</f>
        <v>Overhead - Labor Cost</v>
      </c>
      <c r="J343" t="str">
        <f>_xlfn.XLOOKUP($A343,Map!$A:$A,Map!F:F)</f>
        <v>Overtime pay</v>
      </c>
    </row>
    <row r="344" spans="1:10" hidden="1" x14ac:dyDescent="0.25">
      <c r="A344" s="1">
        <v>600001</v>
      </c>
      <c r="B344" s="1" t="s">
        <v>733</v>
      </c>
      <c r="D344" s="1">
        <v>0</v>
      </c>
      <c r="E344" s="1">
        <v>0</v>
      </c>
      <c r="F344" s="3">
        <f t="shared" si="2"/>
        <v>0</v>
      </c>
      <c r="G344" t="str">
        <f>_xlfn.XLOOKUP($A344,Map!$A:$A,Map!C:C)</f>
        <v>IS</v>
      </c>
      <c r="H344" t="str">
        <f>_xlfn.XLOOKUP($A344,Map!$A:$A,Map!D:D)</f>
        <v>Cost of sales</v>
      </c>
      <c r="I344" t="str">
        <f>_xlfn.XLOOKUP($A344,Map!$A:$A,Map!E:E)</f>
        <v>Overhead - Labor Cost</v>
      </c>
      <c r="J344" t="str">
        <f>_xlfn.XLOOKUP($A344,Map!$A:$A,Map!F:F)</f>
        <v>Salaries and wages</v>
      </c>
    </row>
    <row r="345" spans="1:10" hidden="1" x14ac:dyDescent="0.25">
      <c r="A345" s="1">
        <v>600001</v>
      </c>
      <c r="B345" s="1" t="s">
        <v>733</v>
      </c>
      <c r="D345" s="1">
        <v>0</v>
      </c>
      <c r="E345" s="1">
        <v>0</v>
      </c>
      <c r="F345" s="3">
        <f t="shared" si="2"/>
        <v>0</v>
      </c>
      <c r="G345" t="str">
        <f>_xlfn.XLOOKUP($A345,Map!$A:$A,Map!C:C)</f>
        <v>IS</v>
      </c>
      <c r="H345" t="str">
        <f>_xlfn.XLOOKUP($A345,Map!$A:$A,Map!D:D)</f>
        <v>Cost of sales</v>
      </c>
      <c r="I345" t="str">
        <f>_xlfn.XLOOKUP($A345,Map!$A:$A,Map!E:E)</f>
        <v>Overhead - Labor Cost</v>
      </c>
      <c r="J345" t="str">
        <f>_xlfn.XLOOKUP($A345,Map!$A:$A,Map!F:F)</f>
        <v>Salaries and wages</v>
      </c>
    </row>
    <row r="346" spans="1:10" hidden="1" x14ac:dyDescent="0.25">
      <c r="A346" s="1">
        <v>600001</v>
      </c>
      <c r="B346" s="1" t="s">
        <v>733</v>
      </c>
      <c r="D346" s="1">
        <v>305588.5</v>
      </c>
      <c r="E346" s="1">
        <v>0</v>
      </c>
      <c r="F346" s="3">
        <f t="shared" si="2"/>
        <v>305588.5</v>
      </c>
      <c r="G346" t="str">
        <f>_xlfn.XLOOKUP($A346,Map!$A:$A,Map!C:C)</f>
        <v>IS</v>
      </c>
      <c r="H346" t="str">
        <f>_xlfn.XLOOKUP($A346,Map!$A:$A,Map!D:D)</f>
        <v>Cost of sales</v>
      </c>
      <c r="I346" t="str">
        <f>_xlfn.XLOOKUP($A346,Map!$A:$A,Map!E:E)</f>
        <v>Overhead - Labor Cost</v>
      </c>
      <c r="J346" t="str">
        <f>_xlfn.XLOOKUP($A346,Map!$A:$A,Map!F:F)</f>
        <v>Salaries and wages</v>
      </c>
    </row>
    <row r="347" spans="1:10" hidden="1" x14ac:dyDescent="0.25">
      <c r="A347" s="1">
        <v>600001</v>
      </c>
      <c r="B347" s="1" t="s">
        <v>733</v>
      </c>
      <c r="D347" s="1">
        <v>0</v>
      </c>
      <c r="E347" s="1">
        <v>0</v>
      </c>
      <c r="F347" s="3">
        <f t="shared" si="2"/>
        <v>0</v>
      </c>
      <c r="G347" t="str">
        <f>_xlfn.XLOOKUP($A347,Map!$A:$A,Map!C:C)</f>
        <v>IS</v>
      </c>
      <c r="H347" t="str">
        <f>_xlfn.XLOOKUP($A347,Map!$A:$A,Map!D:D)</f>
        <v>Cost of sales</v>
      </c>
      <c r="I347" t="str">
        <f>_xlfn.XLOOKUP($A347,Map!$A:$A,Map!E:E)</f>
        <v>Overhead - Labor Cost</v>
      </c>
      <c r="J347" t="str">
        <f>_xlfn.XLOOKUP($A347,Map!$A:$A,Map!F:F)</f>
        <v>Salaries and wages</v>
      </c>
    </row>
    <row r="348" spans="1:10" hidden="1" x14ac:dyDescent="0.25">
      <c r="A348" s="1">
        <v>600001</v>
      </c>
      <c r="B348" s="1" t="s">
        <v>733</v>
      </c>
      <c r="D348" s="1">
        <v>0</v>
      </c>
      <c r="E348" s="1">
        <v>0</v>
      </c>
      <c r="F348" s="3">
        <f t="shared" si="2"/>
        <v>0</v>
      </c>
      <c r="G348" t="str">
        <f>_xlfn.XLOOKUP($A348,Map!$A:$A,Map!C:C)</f>
        <v>IS</v>
      </c>
      <c r="H348" t="str">
        <f>_xlfn.XLOOKUP($A348,Map!$A:$A,Map!D:D)</f>
        <v>Cost of sales</v>
      </c>
      <c r="I348" t="str">
        <f>_xlfn.XLOOKUP($A348,Map!$A:$A,Map!E:E)</f>
        <v>Overhead - Labor Cost</v>
      </c>
      <c r="J348" t="str">
        <f>_xlfn.XLOOKUP($A348,Map!$A:$A,Map!F:F)</f>
        <v>Salaries and wages</v>
      </c>
    </row>
    <row r="349" spans="1:10" x14ac:dyDescent="0.25">
      <c r="A349" s="1">
        <v>520042</v>
      </c>
      <c r="B349" s="1" t="s">
        <v>733</v>
      </c>
      <c r="D349" s="1">
        <v>0</v>
      </c>
      <c r="E349" s="1">
        <v>323645.56</v>
      </c>
      <c r="F349" s="3">
        <f t="shared" si="2"/>
        <v>-323645.56</v>
      </c>
      <c r="G349" t="str">
        <f>_xlfn.XLOOKUP($A349,Map!$A:$A,Map!C:C)</f>
        <v>IS</v>
      </c>
      <c r="H349" t="str">
        <f>_xlfn.XLOOKUP($A349,Map!$A:$A,Map!D:D)</f>
        <v>Cost of sales</v>
      </c>
      <c r="I349" t="str">
        <f>_xlfn.XLOOKUP($A349,Map!$A:$A,Map!E:E)</f>
        <v>Raw materials</v>
      </c>
      <c r="J349" t="str">
        <f>_xlfn.XLOOKUP($A349,Map!$A:$A,Map!F:F)</f>
        <v>Inventory Adjustment</v>
      </c>
    </row>
    <row r="350" spans="1:10" x14ac:dyDescent="0.25">
      <c r="A350" s="1">
        <v>520041</v>
      </c>
      <c r="B350" s="1" t="s">
        <v>733</v>
      </c>
      <c r="D350" s="1">
        <v>0</v>
      </c>
      <c r="E350" s="1">
        <v>3191902.21</v>
      </c>
      <c r="F350" s="3">
        <f t="shared" si="2"/>
        <v>-3191902.21</v>
      </c>
      <c r="G350" t="str">
        <f>_xlfn.XLOOKUP($A350,Map!$A:$A,Map!C:C)</f>
        <v>IS</v>
      </c>
      <c r="H350" t="str">
        <f>_xlfn.XLOOKUP($A350,Map!$A:$A,Map!D:D)</f>
        <v>Cost of sales</v>
      </c>
      <c r="I350" t="str">
        <f>_xlfn.XLOOKUP($A350,Map!$A:$A,Map!E:E)</f>
        <v>Raw materials</v>
      </c>
      <c r="J350" t="str">
        <f>_xlfn.XLOOKUP($A350,Map!$A:$A,Map!F:F)</f>
        <v>Other expenses</v>
      </c>
    </row>
    <row r="351" spans="1:10" x14ac:dyDescent="0.25">
      <c r="A351" s="1">
        <v>520040</v>
      </c>
      <c r="B351" s="1" t="s">
        <v>733</v>
      </c>
      <c r="D351" s="1">
        <v>0</v>
      </c>
      <c r="E351" s="1">
        <v>44940.3</v>
      </c>
      <c r="F351" s="3">
        <f t="shared" si="2"/>
        <v>-44940.3</v>
      </c>
      <c r="G351" t="str">
        <f>_xlfn.XLOOKUP($A351,Map!$A:$A,Map!C:C)</f>
        <v>IS</v>
      </c>
      <c r="H351" t="str">
        <f>_xlfn.XLOOKUP($A351,Map!$A:$A,Map!D:D)</f>
        <v>Cost of sales</v>
      </c>
      <c r="I351" t="str">
        <f>_xlfn.XLOOKUP($A351,Map!$A:$A,Map!E:E)</f>
        <v>Raw materials</v>
      </c>
      <c r="J351" t="str">
        <f>_xlfn.XLOOKUP($A351,Map!$A:$A,Map!F:F)</f>
        <v>Other expenses</v>
      </c>
    </row>
    <row r="352" spans="1:10" x14ac:dyDescent="0.25">
      <c r="A352" s="1">
        <v>520037</v>
      </c>
      <c r="B352" s="1" t="s">
        <v>733</v>
      </c>
      <c r="D352" s="1">
        <v>41329.160000000003</v>
      </c>
      <c r="E352" s="1">
        <v>0</v>
      </c>
      <c r="F352" s="3">
        <f t="shared" si="2"/>
        <v>41329.160000000003</v>
      </c>
      <c r="G352" t="str">
        <f>_xlfn.XLOOKUP($A352,Map!$A:$A,Map!C:C)</f>
        <v>IS</v>
      </c>
      <c r="H352" t="str">
        <f>_xlfn.XLOOKUP($A352,Map!$A:$A,Map!D:D)</f>
        <v>Cost of sales</v>
      </c>
      <c r="I352" t="str">
        <f>_xlfn.XLOOKUP($A352,Map!$A:$A,Map!E:E)</f>
        <v>Raw materials</v>
      </c>
      <c r="J352" t="str">
        <f>_xlfn.XLOOKUP($A352,Map!$A:$A,Map!F:F)</f>
        <v>Raw materials</v>
      </c>
    </row>
    <row r="353" spans="1:10" hidden="1" x14ac:dyDescent="0.25">
      <c r="A353" s="1">
        <v>520021</v>
      </c>
      <c r="B353" s="1" t="s">
        <v>733</v>
      </c>
      <c r="D353" s="1">
        <v>4233.49</v>
      </c>
      <c r="E353" s="1">
        <v>0</v>
      </c>
      <c r="F353" s="3">
        <f t="shared" si="2"/>
        <v>4233.49</v>
      </c>
      <c r="G353" t="str">
        <f>_xlfn.XLOOKUP($A353,Map!$A:$A,Map!C:C)</f>
        <v>IS</v>
      </c>
      <c r="H353" t="str">
        <f>_xlfn.XLOOKUP($A353,Map!$A:$A,Map!D:D)</f>
        <v>Cost of sales</v>
      </c>
      <c r="I353" t="str">
        <f>_xlfn.XLOOKUP($A353,Map!$A:$A,Map!E:E)</f>
        <v>Direct Labor</v>
      </c>
      <c r="J353" t="str">
        <f>_xlfn.XLOOKUP($A353,Map!$A:$A,Map!F:F)</f>
        <v>Medical insurance</v>
      </c>
    </row>
    <row r="354" spans="1:10" hidden="1" x14ac:dyDescent="0.25">
      <c r="A354" s="1">
        <v>520011</v>
      </c>
      <c r="B354" s="1" t="s">
        <v>733</v>
      </c>
      <c r="D354" s="1">
        <v>31012.5</v>
      </c>
      <c r="E354" s="1">
        <v>0</v>
      </c>
      <c r="F354" s="3">
        <f t="shared" si="2"/>
        <v>31012.5</v>
      </c>
      <c r="G354" t="str">
        <f>_xlfn.XLOOKUP($A354,Map!$A:$A,Map!C:C)</f>
        <v>IS</v>
      </c>
      <c r="H354" t="str">
        <f>_xlfn.XLOOKUP($A354,Map!$A:$A,Map!D:D)</f>
        <v>Cost of sales</v>
      </c>
      <c r="I354" t="str">
        <f>_xlfn.XLOOKUP($A354,Map!$A:$A,Map!E:E)</f>
        <v>Direct Labor</v>
      </c>
      <c r="J354" t="str">
        <f>_xlfn.XLOOKUP($A354,Map!$A:$A,Map!F:F)</f>
        <v>Overtime pay</v>
      </c>
    </row>
    <row r="355" spans="1:10" hidden="1" x14ac:dyDescent="0.25">
      <c r="A355" s="1">
        <v>520011</v>
      </c>
      <c r="B355" s="1" t="s">
        <v>733</v>
      </c>
      <c r="D355" s="1">
        <v>10065</v>
      </c>
      <c r="E355" s="1">
        <v>0</v>
      </c>
      <c r="F355" s="3">
        <f t="shared" si="2"/>
        <v>10065</v>
      </c>
      <c r="G355" t="str">
        <f>_xlfn.XLOOKUP($A355,Map!$A:$A,Map!C:C)</f>
        <v>IS</v>
      </c>
      <c r="H355" t="str">
        <f>_xlfn.XLOOKUP($A355,Map!$A:$A,Map!D:D)</f>
        <v>Cost of sales</v>
      </c>
      <c r="I355" t="str">
        <f>_xlfn.XLOOKUP($A355,Map!$A:$A,Map!E:E)</f>
        <v>Direct Labor</v>
      </c>
      <c r="J355" t="str">
        <f>_xlfn.XLOOKUP($A355,Map!$A:$A,Map!F:F)</f>
        <v>Overtime pay</v>
      </c>
    </row>
    <row r="356" spans="1:10" hidden="1" x14ac:dyDescent="0.25">
      <c r="A356" s="1">
        <v>520011</v>
      </c>
      <c r="B356" s="1" t="s">
        <v>733</v>
      </c>
      <c r="D356" s="1">
        <v>0</v>
      </c>
      <c r="E356" s="1">
        <v>0</v>
      </c>
      <c r="F356" s="3">
        <f t="shared" si="2"/>
        <v>0</v>
      </c>
      <c r="G356" t="str">
        <f>_xlfn.XLOOKUP($A356,Map!$A:$A,Map!C:C)</f>
        <v>IS</v>
      </c>
      <c r="H356" t="str">
        <f>_xlfn.XLOOKUP($A356,Map!$A:$A,Map!D:D)</f>
        <v>Cost of sales</v>
      </c>
      <c r="I356" t="str">
        <f>_xlfn.XLOOKUP($A356,Map!$A:$A,Map!E:E)</f>
        <v>Direct Labor</v>
      </c>
      <c r="J356" t="str">
        <f>_xlfn.XLOOKUP($A356,Map!$A:$A,Map!F:F)</f>
        <v>Overtime pay</v>
      </c>
    </row>
    <row r="357" spans="1:10" hidden="1" x14ac:dyDescent="0.25">
      <c r="A357" s="1">
        <v>520011</v>
      </c>
      <c r="B357" s="1" t="s">
        <v>733</v>
      </c>
      <c r="D357" s="1">
        <v>0</v>
      </c>
      <c r="E357" s="1">
        <v>0</v>
      </c>
      <c r="F357" s="3">
        <f t="shared" si="2"/>
        <v>0</v>
      </c>
      <c r="G357" t="str">
        <f>_xlfn.XLOOKUP($A357,Map!$A:$A,Map!C:C)</f>
        <v>IS</v>
      </c>
      <c r="H357" t="str">
        <f>_xlfn.XLOOKUP($A357,Map!$A:$A,Map!D:D)</f>
        <v>Cost of sales</v>
      </c>
      <c r="I357" t="str">
        <f>_xlfn.XLOOKUP($A357,Map!$A:$A,Map!E:E)</f>
        <v>Direct Labor</v>
      </c>
      <c r="J357" t="str">
        <f>_xlfn.XLOOKUP($A357,Map!$A:$A,Map!F:F)</f>
        <v>Overtime pay</v>
      </c>
    </row>
    <row r="358" spans="1:10" hidden="1" x14ac:dyDescent="0.25">
      <c r="A358" s="1">
        <v>520011</v>
      </c>
      <c r="B358" s="1" t="s">
        <v>733</v>
      </c>
      <c r="D358" s="1">
        <v>0</v>
      </c>
      <c r="E358" s="1">
        <v>0</v>
      </c>
      <c r="F358" s="3">
        <f t="shared" si="2"/>
        <v>0</v>
      </c>
      <c r="G358" t="str">
        <f>_xlfn.XLOOKUP($A358,Map!$A:$A,Map!C:C)</f>
        <v>IS</v>
      </c>
      <c r="H358" t="str">
        <f>_xlfn.XLOOKUP($A358,Map!$A:$A,Map!D:D)</f>
        <v>Cost of sales</v>
      </c>
      <c r="I358" t="str">
        <f>_xlfn.XLOOKUP($A358,Map!$A:$A,Map!E:E)</f>
        <v>Direct Labor</v>
      </c>
      <c r="J358" t="str">
        <f>_xlfn.XLOOKUP($A358,Map!$A:$A,Map!F:F)</f>
        <v>Overtime pay</v>
      </c>
    </row>
    <row r="359" spans="1:10" hidden="1" x14ac:dyDescent="0.25">
      <c r="A359" s="1">
        <v>520006</v>
      </c>
      <c r="B359" s="1" t="s">
        <v>733</v>
      </c>
      <c r="D359" s="1">
        <v>15926</v>
      </c>
      <c r="E359" s="1">
        <v>0</v>
      </c>
      <c r="F359" s="3">
        <f t="shared" si="2"/>
        <v>15926</v>
      </c>
      <c r="G359" t="str">
        <f>_xlfn.XLOOKUP($A359,Map!$A:$A,Map!C:C)</f>
        <v>IS</v>
      </c>
      <c r="H359" t="str">
        <f>_xlfn.XLOOKUP($A359,Map!$A:$A,Map!D:D)</f>
        <v>Cost of sales</v>
      </c>
      <c r="I359" t="str">
        <f>_xlfn.XLOOKUP($A359,Map!$A:$A,Map!E:E)</f>
        <v>Direct Labor</v>
      </c>
      <c r="J359" t="str">
        <f>_xlfn.XLOOKUP($A359,Map!$A:$A,Map!F:F)</f>
        <v>Medical insurance</v>
      </c>
    </row>
    <row r="360" spans="1:10" hidden="1" x14ac:dyDescent="0.25">
      <c r="A360" s="1">
        <v>520006</v>
      </c>
      <c r="B360" s="1" t="s">
        <v>733</v>
      </c>
      <c r="D360" s="1">
        <v>5064</v>
      </c>
      <c r="E360" s="1">
        <v>0</v>
      </c>
      <c r="F360" s="3">
        <f t="shared" si="2"/>
        <v>5064</v>
      </c>
      <c r="G360" t="str">
        <f>_xlfn.XLOOKUP($A360,Map!$A:$A,Map!C:C)</f>
        <v>IS</v>
      </c>
      <c r="H360" t="str">
        <f>_xlfn.XLOOKUP($A360,Map!$A:$A,Map!D:D)</f>
        <v>Cost of sales</v>
      </c>
      <c r="I360" t="str">
        <f>_xlfn.XLOOKUP($A360,Map!$A:$A,Map!E:E)</f>
        <v>Direct Labor</v>
      </c>
      <c r="J360" t="str">
        <f>_xlfn.XLOOKUP($A360,Map!$A:$A,Map!F:F)</f>
        <v>Medical insurance</v>
      </c>
    </row>
    <row r="361" spans="1:10" hidden="1" x14ac:dyDescent="0.25">
      <c r="A361" s="1">
        <v>520006</v>
      </c>
      <c r="B361" s="1" t="s">
        <v>733</v>
      </c>
      <c r="D361" s="1">
        <v>7286</v>
      </c>
      <c r="E361" s="1">
        <v>0</v>
      </c>
      <c r="F361" s="3">
        <f t="shared" si="2"/>
        <v>7286</v>
      </c>
      <c r="G361" t="str">
        <f>_xlfn.XLOOKUP($A361,Map!$A:$A,Map!C:C)</f>
        <v>IS</v>
      </c>
      <c r="H361" t="str">
        <f>_xlfn.XLOOKUP($A361,Map!$A:$A,Map!D:D)</f>
        <v>Cost of sales</v>
      </c>
      <c r="I361" t="str">
        <f>_xlfn.XLOOKUP($A361,Map!$A:$A,Map!E:E)</f>
        <v>Direct Labor</v>
      </c>
      <c r="J361" t="str">
        <f>_xlfn.XLOOKUP($A361,Map!$A:$A,Map!F:F)</f>
        <v>Medical insurance</v>
      </c>
    </row>
    <row r="362" spans="1:10" hidden="1" x14ac:dyDescent="0.25">
      <c r="A362" s="1">
        <v>520006</v>
      </c>
      <c r="B362" s="1" t="s">
        <v>733</v>
      </c>
      <c r="D362" s="1">
        <v>5629</v>
      </c>
      <c r="E362" s="1">
        <v>0</v>
      </c>
      <c r="F362" s="3">
        <f t="shared" si="2"/>
        <v>5629</v>
      </c>
      <c r="G362" t="str">
        <f>_xlfn.XLOOKUP($A362,Map!$A:$A,Map!C:C)</f>
        <v>IS</v>
      </c>
      <c r="H362" t="str">
        <f>_xlfn.XLOOKUP($A362,Map!$A:$A,Map!D:D)</f>
        <v>Cost of sales</v>
      </c>
      <c r="I362" t="str">
        <f>_xlfn.XLOOKUP($A362,Map!$A:$A,Map!E:E)</f>
        <v>Direct Labor</v>
      </c>
      <c r="J362" t="str">
        <f>_xlfn.XLOOKUP($A362,Map!$A:$A,Map!F:F)</f>
        <v>Medical insurance</v>
      </c>
    </row>
    <row r="363" spans="1:10" hidden="1" x14ac:dyDescent="0.25">
      <c r="A363" s="1">
        <v>520006</v>
      </c>
      <c r="B363" s="1" t="s">
        <v>733</v>
      </c>
      <c r="D363" s="1">
        <v>4019</v>
      </c>
      <c r="E363" s="1">
        <v>0</v>
      </c>
      <c r="F363" s="3">
        <f t="shared" ref="F363:F416" si="3">D363-E363</f>
        <v>4019</v>
      </c>
      <c r="G363" t="str">
        <f>_xlfn.XLOOKUP($A363,Map!$A:$A,Map!C:C)</f>
        <v>IS</v>
      </c>
      <c r="H363" t="str">
        <f>_xlfn.XLOOKUP($A363,Map!$A:$A,Map!D:D)</f>
        <v>Cost of sales</v>
      </c>
      <c r="I363" t="str">
        <f>_xlfn.XLOOKUP($A363,Map!$A:$A,Map!E:E)</f>
        <v>Direct Labor</v>
      </c>
      <c r="J363" t="str">
        <f>_xlfn.XLOOKUP($A363,Map!$A:$A,Map!F:F)</f>
        <v>Medical insurance</v>
      </c>
    </row>
    <row r="364" spans="1:10" hidden="1" x14ac:dyDescent="0.25">
      <c r="A364" s="1">
        <v>520006</v>
      </c>
      <c r="B364" s="1" t="s">
        <v>733</v>
      </c>
      <c r="D364" s="1">
        <v>3188.34</v>
      </c>
      <c r="E364" s="1">
        <v>0</v>
      </c>
      <c r="F364" s="3">
        <f t="shared" si="3"/>
        <v>3188.34</v>
      </c>
      <c r="G364" t="str">
        <f>_xlfn.XLOOKUP($A364,Map!$A:$A,Map!C:C)</f>
        <v>IS</v>
      </c>
      <c r="H364" t="str">
        <f>_xlfn.XLOOKUP($A364,Map!$A:$A,Map!D:D)</f>
        <v>Cost of sales</v>
      </c>
      <c r="I364" t="str">
        <f>_xlfn.XLOOKUP($A364,Map!$A:$A,Map!E:E)</f>
        <v>Direct Labor</v>
      </c>
      <c r="J364" t="str">
        <f>_xlfn.XLOOKUP($A364,Map!$A:$A,Map!F:F)</f>
        <v>Medical insurance</v>
      </c>
    </row>
    <row r="365" spans="1:10" hidden="1" x14ac:dyDescent="0.25">
      <c r="A365" s="1">
        <v>520006</v>
      </c>
      <c r="B365" s="1" t="s">
        <v>733</v>
      </c>
      <c r="D365" s="1">
        <v>0</v>
      </c>
      <c r="E365" s="1">
        <v>3822.49</v>
      </c>
      <c r="F365" s="3">
        <f t="shared" si="3"/>
        <v>-3822.49</v>
      </c>
      <c r="G365" t="str">
        <f>_xlfn.XLOOKUP($A365,Map!$A:$A,Map!C:C)</f>
        <v>IS</v>
      </c>
      <c r="H365" t="str">
        <f>_xlfn.XLOOKUP($A365,Map!$A:$A,Map!D:D)</f>
        <v>Cost of sales</v>
      </c>
      <c r="I365" t="str">
        <f>_xlfn.XLOOKUP($A365,Map!$A:$A,Map!E:E)</f>
        <v>Direct Labor</v>
      </c>
      <c r="J365" t="str">
        <f>_xlfn.XLOOKUP($A365,Map!$A:$A,Map!F:F)</f>
        <v>Medical insurance</v>
      </c>
    </row>
    <row r="366" spans="1:10" hidden="1" x14ac:dyDescent="0.25">
      <c r="A366" s="1">
        <v>520004</v>
      </c>
      <c r="B366" s="1" t="s">
        <v>733</v>
      </c>
      <c r="D366" s="1">
        <v>9707</v>
      </c>
      <c r="E366" s="1">
        <v>0</v>
      </c>
      <c r="F366" s="3">
        <f t="shared" si="3"/>
        <v>9707</v>
      </c>
      <c r="G366" t="str">
        <f>_xlfn.XLOOKUP($A366,Map!$A:$A,Map!C:C)</f>
        <v>IS</v>
      </c>
      <c r="H366" t="str">
        <f>_xlfn.XLOOKUP($A366,Map!$A:$A,Map!D:D)</f>
        <v>Cost of sales</v>
      </c>
      <c r="I366" t="str">
        <f>_xlfn.XLOOKUP($A366,Map!$A:$A,Map!E:E)</f>
        <v>Direct Labor</v>
      </c>
      <c r="J366" t="str">
        <f>_xlfn.XLOOKUP($A366,Map!$A:$A,Map!F:F)</f>
        <v>Food and housing</v>
      </c>
    </row>
    <row r="367" spans="1:10" hidden="1" x14ac:dyDescent="0.25">
      <c r="A367" s="1">
        <v>520004</v>
      </c>
      <c r="B367" s="1" t="s">
        <v>733</v>
      </c>
      <c r="D367" s="1">
        <v>2127</v>
      </c>
      <c r="E367" s="1">
        <v>0</v>
      </c>
      <c r="F367" s="3">
        <f t="shared" si="3"/>
        <v>2127</v>
      </c>
      <c r="G367" t="str">
        <f>_xlfn.XLOOKUP($A367,Map!$A:$A,Map!C:C)</f>
        <v>IS</v>
      </c>
      <c r="H367" t="str">
        <f>_xlfn.XLOOKUP($A367,Map!$A:$A,Map!D:D)</f>
        <v>Cost of sales</v>
      </c>
      <c r="I367" t="str">
        <f>_xlfn.XLOOKUP($A367,Map!$A:$A,Map!E:E)</f>
        <v>Direct Labor</v>
      </c>
      <c r="J367" t="str">
        <f>_xlfn.XLOOKUP($A367,Map!$A:$A,Map!F:F)</f>
        <v>Food and housing</v>
      </c>
    </row>
    <row r="368" spans="1:10" hidden="1" x14ac:dyDescent="0.25">
      <c r="A368" s="1">
        <v>520004</v>
      </c>
      <c r="B368" s="1" t="s">
        <v>733</v>
      </c>
      <c r="D368" s="1">
        <v>0</v>
      </c>
      <c r="E368" s="1">
        <v>0</v>
      </c>
      <c r="F368" s="3">
        <f t="shared" si="3"/>
        <v>0</v>
      </c>
      <c r="G368" t="str">
        <f>_xlfn.XLOOKUP($A368,Map!$A:$A,Map!C:C)</f>
        <v>IS</v>
      </c>
      <c r="H368" t="str">
        <f>_xlfn.XLOOKUP($A368,Map!$A:$A,Map!D:D)</f>
        <v>Cost of sales</v>
      </c>
      <c r="I368" t="str">
        <f>_xlfn.XLOOKUP($A368,Map!$A:$A,Map!E:E)</f>
        <v>Direct Labor</v>
      </c>
      <c r="J368" t="str">
        <f>_xlfn.XLOOKUP($A368,Map!$A:$A,Map!F:F)</f>
        <v>Food and housing</v>
      </c>
    </row>
    <row r="369" spans="1:10" hidden="1" x14ac:dyDescent="0.25">
      <c r="A369" s="1">
        <v>520004</v>
      </c>
      <c r="B369" s="1" t="s">
        <v>733</v>
      </c>
      <c r="D369" s="1">
        <v>0</v>
      </c>
      <c r="E369" s="1">
        <v>0</v>
      </c>
      <c r="F369" s="3">
        <f t="shared" si="3"/>
        <v>0</v>
      </c>
      <c r="G369" t="str">
        <f>_xlfn.XLOOKUP($A369,Map!$A:$A,Map!C:C)</f>
        <v>IS</v>
      </c>
      <c r="H369" t="str">
        <f>_xlfn.XLOOKUP($A369,Map!$A:$A,Map!D:D)</f>
        <v>Cost of sales</v>
      </c>
      <c r="I369" t="str">
        <f>_xlfn.XLOOKUP($A369,Map!$A:$A,Map!E:E)</f>
        <v>Direct Labor</v>
      </c>
      <c r="J369" t="str">
        <f>_xlfn.XLOOKUP($A369,Map!$A:$A,Map!F:F)</f>
        <v>Food and housing</v>
      </c>
    </row>
    <row r="370" spans="1:10" hidden="1" x14ac:dyDescent="0.25">
      <c r="A370" s="1">
        <v>520003</v>
      </c>
      <c r="B370" s="1" t="s">
        <v>733</v>
      </c>
      <c r="D370" s="1">
        <v>4575</v>
      </c>
      <c r="E370" s="1">
        <v>0</v>
      </c>
      <c r="F370" s="3">
        <f t="shared" si="3"/>
        <v>4575</v>
      </c>
      <c r="G370" t="str">
        <f>_xlfn.XLOOKUP($A370,Map!$A:$A,Map!C:C)</f>
        <v>IS</v>
      </c>
      <c r="H370" t="str">
        <f>_xlfn.XLOOKUP($A370,Map!$A:$A,Map!D:D)</f>
        <v>Cost of sales</v>
      </c>
      <c r="I370" t="str">
        <f>_xlfn.XLOOKUP($A370,Map!$A:$A,Map!E:E)</f>
        <v>Direct Labor</v>
      </c>
      <c r="J370" t="str">
        <f>_xlfn.XLOOKUP($A370,Map!$A:$A,Map!F:F)</f>
        <v>Transportation allowance</v>
      </c>
    </row>
    <row r="371" spans="1:10" hidden="1" x14ac:dyDescent="0.25">
      <c r="A371" s="1">
        <v>520002</v>
      </c>
      <c r="B371" s="1" t="s">
        <v>733</v>
      </c>
      <c r="D371" s="1">
        <v>0</v>
      </c>
      <c r="E371" s="1">
        <v>0</v>
      </c>
      <c r="F371" s="3">
        <f t="shared" si="3"/>
        <v>0</v>
      </c>
      <c r="G371" t="str">
        <f>_xlfn.XLOOKUP($A371,Map!$A:$A,Map!C:C)</f>
        <v>IS</v>
      </c>
      <c r="H371" t="str">
        <f>_xlfn.XLOOKUP($A371,Map!$A:$A,Map!D:D)</f>
        <v>Cost of sales</v>
      </c>
      <c r="I371" t="str">
        <f>_xlfn.XLOOKUP($A371,Map!$A:$A,Map!E:E)</f>
        <v>Direct Labor</v>
      </c>
      <c r="J371" t="str">
        <f>_xlfn.XLOOKUP($A371,Map!$A:$A,Map!F:F)</f>
        <v>Overtime pay</v>
      </c>
    </row>
    <row r="372" spans="1:10" hidden="1" x14ac:dyDescent="0.25">
      <c r="A372" s="1">
        <v>520001</v>
      </c>
      <c r="B372" s="1" t="s">
        <v>733</v>
      </c>
      <c r="D372" s="1">
        <v>72126</v>
      </c>
      <c r="E372" s="1">
        <v>0</v>
      </c>
      <c r="F372" s="3">
        <f t="shared" si="3"/>
        <v>72126</v>
      </c>
      <c r="G372" t="str">
        <f>_xlfn.XLOOKUP($A372,Map!$A:$A,Map!C:C)</f>
        <v>IS</v>
      </c>
      <c r="H372" t="str">
        <f>_xlfn.XLOOKUP($A372,Map!$A:$A,Map!D:D)</f>
        <v>Cost of sales</v>
      </c>
      <c r="I372" t="str">
        <f>_xlfn.XLOOKUP($A372,Map!$A:$A,Map!E:E)</f>
        <v>Direct Labor</v>
      </c>
      <c r="J372" t="str">
        <f>_xlfn.XLOOKUP($A372,Map!$A:$A,Map!F:F)</f>
        <v>Salaries and wages</v>
      </c>
    </row>
    <row r="373" spans="1:10" hidden="1" x14ac:dyDescent="0.25">
      <c r="A373" s="1">
        <v>520001</v>
      </c>
      <c r="B373" s="1" t="s">
        <v>733</v>
      </c>
      <c r="D373" s="1">
        <v>15507</v>
      </c>
      <c r="E373" s="1">
        <v>0</v>
      </c>
      <c r="F373" s="3">
        <f t="shared" si="3"/>
        <v>15507</v>
      </c>
      <c r="G373" t="str">
        <f>_xlfn.XLOOKUP($A373,Map!$A:$A,Map!C:C)</f>
        <v>IS</v>
      </c>
      <c r="H373" t="str">
        <f>_xlfn.XLOOKUP($A373,Map!$A:$A,Map!D:D)</f>
        <v>Cost of sales</v>
      </c>
      <c r="I373" t="str">
        <f>_xlfn.XLOOKUP($A373,Map!$A:$A,Map!E:E)</f>
        <v>Direct Labor</v>
      </c>
      <c r="J373" t="str">
        <f>_xlfn.XLOOKUP($A373,Map!$A:$A,Map!F:F)</f>
        <v>Salaries and wages</v>
      </c>
    </row>
    <row r="374" spans="1:10" hidden="1" x14ac:dyDescent="0.25">
      <c r="A374" s="1">
        <v>520001</v>
      </c>
      <c r="B374" s="1" t="s">
        <v>733</v>
      </c>
      <c r="D374" s="1">
        <v>74037.5</v>
      </c>
      <c r="E374" s="1">
        <v>0</v>
      </c>
      <c r="F374" s="3">
        <f t="shared" si="3"/>
        <v>74037.5</v>
      </c>
      <c r="G374" t="str">
        <f>_xlfn.XLOOKUP($A374,Map!$A:$A,Map!C:C)</f>
        <v>IS</v>
      </c>
      <c r="H374" t="str">
        <f>_xlfn.XLOOKUP($A374,Map!$A:$A,Map!D:D)</f>
        <v>Cost of sales</v>
      </c>
      <c r="I374" t="str">
        <f>_xlfn.XLOOKUP($A374,Map!$A:$A,Map!E:E)</f>
        <v>Direct Labor</v>
      </c>
      <c r="J374" t="str">
        <f>_xlfn.XLOOKUP($A374,Map!$A:$A,Map!F:F)</f>
        <v>Salaries and wages</v>
      </c>
    </row>
    <row r="375" spans="1:10" hidden="1" x14ac:dyDescent="0.25">
      <c r="A375" s="1">
        <v>520001</v>
      </c>
      <c r="B375" s="1" t="s">
        <v>733</v>
      </c>
      <c r="D375" s="1">
        <v>5348</v>
      </c>
      <c r="E375" s="1">
        <v>0</v>
      </c>
      <c r="F375" s="3">
        <f t="shared" si="3"/>
        <v>5348</v>
      </c>
      <c r="G375" t="str">
        <f>_xlfn.XLOOKUP($A375,Map!$A:$A,Map!C:C)</f>
        <v>IS</v>
      </c>
      <c r="H375" t="str">
        <f>_xlfn.XLOOKUP($A375,Map!$A:$A,Map!D:D)</f>
        <v>Cost of sales</v>
      </c>
      <c r="I375" t="str">
        <f>_xlfn.XLOOKUP($A375,Map!$A:$A,Map!E:E)</f>
        <v>Direct Labor</v>
      </c>
      <c r="J375" t="str">
        <f>_xlfn.XLOOKUP($A375,Map!$A:$A,Map!F:F)</f>
        <v>Salaries and wages</v>
      </c>
    </row>
    <row r="376" spans="1:10" hidden="1" x14ac:dyDescent="0.25">
      <c r="A376" s="1">
        <v>520001</v>
      </c>
      <c r="B376" s="1" t="s">
        <v>733</v>
      </c>
      <c r="D376" s="1">
        <v>0</v>
      </c>
      <c r="E376" s="1">
        <v>0</v>
      </c>
      <c r="F376" s="3">
        <f t="shared" si="3"/>
        <v>0</v>
      </c>
      <c r="G376" t="str">
        <f>_xlfn.XLOOKUP($A376,Map!$A:$A,Map!C:C)</f>
        <v>IS</v>
      </c>
      <c r="H376" t="str">
        <f>_xlfn.XLOOKUP($A376,Map!$A:$A,Map!D:D)</f>
        <v>Cost of sales</v>
      </c>
      <c r="I376" t="str">
        <f>_xlfn.XLOOKUP($A376,Map!$A:$A,Map!E:E)</f>
        <v>Direct Labor</v>
      </c>
      <c r="J376" t="str">
        <f>_xlfn.XLOOKUP($A376,Map!$A:$A,Map!F:F)</f>
        <v>Salaries and wages</v>
      </c>
    </row>
    <row r="377" spans="1:10" hidden="1" x14ac:dyDescent="0.25">
      <c r="A377" s="1">
        <v>520001</v>
      </c>
      <c r="B377" s="1" t="s">
        <v>733</v>
      </c>
      <c r="D377" s="1">
        <v>5566</v>
      </c>
      <c r="E377" s="1">
        <v>0</v>
      </c>
      <c r="F377" s="3">
        <f t="shared" si="3"/>
        <v>5566</v>
      </c>
      <c r="G377" t="str">
        <f>_xlfn.XLOOKUP($A377,Map!$A:$A,Map!C:C)</f>
        <v>IS</v>
      </c>
      <c r="H377" t="str">
        <f>_xlfn.XLOOKUP($A377,Map!$A:$A,Map!D:D)</f>
        <v>Cost of sales</v>
      </c>
      <c r="I377" t="str">
        <f>_xlfn.XLOOKUP($A377,Map!$A:$A,Map!E:E)</f>
        <v>Direct Labor</v>
      </c>
      <c r="J377" t="str">
        <f>_xlfn.XLOOKUP($A377,Map!$A:$A,Map!F:F)</f>
        <v>Salaries and wages</v>
      </c>
    </row>
    <row r="378" spans="1:10" x14ac:dyDescent="0.25">
      <c r="A378" s="1">
        <v>510005</v>
      </c>
      <c r="B378" s="1" t="s">
        <v>733</v>
      </c>
      <c r="D378" s="1">
        <v>0</v>
      </c>
      <c r="E378" s="1">
        <v>9343.81</v>
      </c>
      <c r="F378" s="3">
        <f t="shared" si="3"/>
        <v>-9343.81</v>
      </c>
      <c r="G378" t="str">
        <f>_xlfn.XLOOKUP($A378,Map!$A:$A,Map!C:C)</f>
        <v>IS</v>
      </c>
      <c r="H378" t="str">
        <f>_xlfn.XLOOKUP($A378,Map!$A:$A,Map!D:D)</f>
        <v>Cost of sales</v>
      </c>
      <c r="I378" t="str">
        <f>_xlfn.XLOOKUP($A378,Map!$A:$A,Map!E:E)</f>
        <v>Raw materials</v>
      </c>
      <c r="J378" t="str">
        <f>_xlfn.XLOOKUP($A378,Map!$A:$A,Map!F:F)</f>
        <v>Other expenses</v>
      </c>
    </row>
    <row r="379" spans="1:10" x14ac:dyDescent="0.25">
      <c r="A379" s="1">
        <v>510005</v>
      </c>
      <c r="B379" s="1" t="s">
        <v>733</v>
      </c>
      <c r="D379" s="1">
        <v>4505.59</v>
      </c>
      <c r="E379" s="1">
        <v>0</v>
      </c>
      <c r="F379" s="3">
        <f t="shared" si="3"/>
        <v>4505.59</v>
      </c>
      <c r="G379" t="str">
        <f>_xlfn.XLOOKUP($A379,Map!$A:$A,Map!C:C)</f>
        <v>IS</v>
      </c>
      <c r="H379" t="str">
        <f>_xlfn.XLOOKUP($A379,Map!$A:$A,Map!D:D)</f>
        <v>Cost of sales</v>
      </c>
      <c r="I379" t="str">
        <f>_xlfn.XLOOKUP($A379,Map!$A:$A,Map!E:E)</f>
        <v>Raw materials</v>
      </c>
      <c r="J379" t="str">
        <f>_xlfn.XLOOKUP($A379,Map!$A:$A,Map!F:F)</f>
        <v>Other expenses</v>
      </c>
    </row>
    <row r="380" spans="1:10" x14ac:dyDescent="0.25">
      <c r="A380" s="1">
        <v>510004</v>
      </c>
      <c r="B380" s="1" t="s">
        <v>733</v>
      </c>
      <c r="D380" s="1">
        <v>391966.36</v>
      </c>
      <c r="E380" s="1">
        <v>0</v>
      </c>
      <c r="F380" s="3">
        <f t="shared" si="3"/>
        <v>391966.36</v>
      </c>
      <c r="G380" t="str">
        <f>_xlfn.XLOOKUP($A380,Map!$A:$A,Map!C:C)</f>
        <v>IS</v>
      </c>
      <c r="H380" t="str">
        <f>_xlfn.XLOOKUP($A380,Map!$A:$A,Map!D:D)</f>
        <v>Cost of sales</v>
      </c>
      <c r="I380" t="str">
        <f>_xlfn.XLOOKUP($A380,Map!$A:$A,Map!E:E)</f>
        <v>Raw materials</v>
      </c>
      <c r="J380" t="str">
        <f>_xlfn.XLOOKUP($A380,Map!$A:$A,Map!F:F)</f>
        <v>Other expenses</v>
      </c>
    </row>
    <row r="381" spans="1:10" x14ac:dyDescent="0.25">
      <c r="A381" s="1">
        <v>510004</v>
      </c>
      <c r="B381" s="1" t="s">
        <v>733</v>
      </c>
      <c r="D381" s="1">
        <v>120596.54</v>
      </c>
      <c r="E381" s="1">
        <v>0</v>
      </c>
      <c r="F381" s="3">
        <f t="shared" si="3"/>
        <v>120596.54</v>
      </c>
      <c r="G381" t="str">
        <f>_xlfn.XLOOKUP($A381,Map!$A:$A,Map!C:C)</f>
        <v>IS</v>
      </c>
      <c r="H381" t="str">
        <f>_xlfn.XLOOKUP($A381,Map!$A:$A,Map!D:D)</f>
        <v>Cost of sales</v>
      </c>
      <c r="I381" t="str">
        <f>_xlfn.XLOOKUP($A381,Map!$A:$A,Map!E:E)</f>
        <v>Raw materials</v>
      </c>
      <c r="J381" t="str">
        <f>_xlfn.XLOOKUP($A381,Map!$A:$A,Map!F:F)</f>
        <v>Other expenses</v>
      </c>
    </row>
    <row r="382" spans="1:10" x14ac:dyDescent="0.25">
      <c r="A382" s="1">
        <v>510004</v>
      </c>
      <c r="B382" s="1" t="s">
        <v>733</v>
      </c>
      <c r="D382" s="1">
        <v>19838.349999999999</v>
      </c>
      <c r="E382" s="1">
        <v>0</v>
      </c>
      <c r="F382" s="3">
        <f t="shared" si="3"/>
        <v>19838.349999999999</v>
      </c>
      <c r="G382" t="str">
        <f>_xlfn.XLOOKUP($A382,Map!$A:$A,Map!C:C)</f>
        <v>IS</v>
      </c>
      <c r="H382" t="str">
        <f>_xlfn.XLOOKUP($A382,Map!$A:$A,Map!D:D)</f>
        <v>Cost of sales</v>
      </c>
      <c r="I382" t="str">
        <f>_xlfn.XLOOKUP($A382,Map!$A:$A,Map!E:E)</f>
        <v>Raw materials</v>
      </c>
      <c r="J382" t="str">
        <f>_xlfn.XLOOKUP($A382,Map!$A:$A,Map!F:F)</f>
        <v>Other expenses</v>
      </c>
    </row>
    <row r="383" spans="1:10" x14ac:dyDescent="0.25">
      <c r="A383" s="1">
        <v>510004</v>
      </c>
      <c r="B383" s="1" t="s">
        <v>733</v>
      </c>
      <c r="D383" s="1">
        <v>154127.85999999999</v>
      </c>
      <c r="E383" s="1">
        <v>0</v>
      </c>
      <c r="F383" s="3">
        <f t="shared" si="3"/>
        <v>154127.85999999999</v>
      </c>
      <c r="G383" t="str">
        <f>_xlfn.XLOOKUP($A383,Map!$A:$A,Map!C:C)</f>
        <v>IS</v>
      </c>
      <c r="H383" t="str">
        <f>_xlfn.XLOOKUP($A383,Map!$A:$A,Map!D:D)</f>
        <v>Cost of sales</v>
      </c>
      <c r="I383" t="str">
        <f>_xlfn.XLOOKUP($A383,Map!$A:$A,Map!E:E)</f>
        <v>Raw materials</v>
      </c>
      <c r="J383" t="str">
        <f>_xlfn.XLOOKUP($A383,Map!$A:$A,Map!F:F)</f>
        <v>Other expenses</v>
      </c>
    </row>
    <row r="384" spans="1:10" x14ac:dyDescent="0.25">
      <c r="A384" s="1">
        <v>510004</v>
      </c>
      <c r="B384" s="1" t="s">
        <v>733</v>
      </c>
      <c r="D384" s="1">
        <v>233417.69</v>
      </c>
      <c r="E384" s="1">
        <v>0</v>
      </c>
      <c r="F384" s="3">
        <f t="shared" si="3"/>
        <v>233417.69</v>
      </c>
      <c r="G384" t="str">
        <f>_xlfn.XLOOKUP($A384,Map!$A:$A,Map!C:C)</f>
        <v>IS</v>
      </c>
      <c r="H384" t="str">
        <f>_xlfn.XLOOKUP($A384,Map!$A:$A,Map!D:D)</f>
        <v>Cost of sales</v>
      </c>
      <c r="I384" t="str">
        <f>_xlfn.XLOOKUP($A384,Map!$A:$A,Map!E:E)</f>
        <v>Raw materials</v>
      </c>
      <c r="J384" t="str">
        <f>_xlfn.XLOOKUP($A384,Map!$A:$A,Map!F:F)</f>
        <v>Other expenses</v>
      </c>
    </row>
    <row r="385" spans="1:10" x14ac:dyDescent="0.25">
      <c r="A385" s="1">
        <v>510004</v>
      </c>
      <c r="B385" s="1" t="s">
        <v>733</v>
      </c>
      <c r="D385" s="1">
        <v>52309.38</v>
      </c>
      <c r="E385" s="1">
        <v>0</v>
      </c>
      <c r="F385" s="3">
        <f t="shared" si="3"/>
        <v>52309.38</v>
      </c>
      <c r="G385" t="str">
        <f>_xlfn.XLOOKUP($A385,Map!$A:$A,Map!C:C)</f>
        <v>IS</v>
      </c>
      <c r="H385" t="str">
        <f>_xlfn.XLOOKUP($A385,Map!$A:$A,Map!D:D)</f>
        <v>Cost of sales</v>
      </c>
      <c r="I385" t="str">
        <f>_xlfn.XLOOKUP($A385,Map!$A:$A,Map!E:E)</f>
        <v>Raw materials</v>
      </c>
      <c r="J385" t="str">
        <f>_xlfn.XLOOKUP($A385,Map!$A:$A,Map!F:F)</f>
        <v>Other expenses</v>
      </c>
    </row>
    <row r="386" spans="1:10" x14ac:dyDescent="0.25">
      <c r="A386" s="1">
        <v>510004</v>
      </c>
      <c r="B386" s="1" t="s">
        <v>733</v>
      </c>
      <c r="D386" s="1">
        <v>45409.69</v>
      </c>
      <c r="E386" s="1">
        <v>0</v>
      </c>
      <c r="F386" s="3">
        <f t="shared" si="3"/>
        <v>45409.69</v>
      </c>
      <c r="G386" t="str">
        <f>_xlfn.XLOOKUP($A386,Map!$A:$A,Map!C:C)</f>
        <v>IS</v>
      </c>
      <c r="H386" t="str">
        <f>_xlfn.XLOOKUP($A386,Map!$A:$A,Map!D:D)</f>
        <v>Cost of sales</v>
      </c>
      <c r="I386" t="str">
        <f>_xlfn.XLOOKUP($A386,Map!$A:$A,Map!E:E)</f>
        <v>Raw materials</v>
      </c>
      <c r="J386" t="str">
        <f>_xlfn.XLOOKUP($A386,Map!$A:$A,Map!F:F)</f>
        <v>Other expenses</v>
      </c>
    </row>
    <row r="387" spans="1:10" x14ac:dyDescent="0.25">
      <c r="A387" s="1">
        <v>510004</v>
      </c>
      <c r="B387" s="1" t="s">
        <v>733</v>
      </c>
      <c r="D387" s="1">
        <v>58972.81</v>
      </c>
      <c r="E387" s="1">
        <v>0</v>
      </c>
      <c r="F387" s="3">
        <f t="shared" si="3"/>
        <v>58972.81</v>
      </c>
      <c r="G387" t="str">
        <f>_xlfn.XLOOKUP($A387,Map!$A:$A,Map!C:C)</f>
        <v>IS</v>
      </c>
      <c r="H387" t="str">
        <f>_xlfn.XLOOKUP($A387,Map!$A:$A,Map!D:D)</f>
        <v>Cost of sales</v>
      </c>
      <c r="I387" t="str">
        <f>_xlfn.XLOOKUP($A387,Map!$A:$A,Map!E:E)</f>
        <v>Raw materials</v>
      </c>
      <c r="J387" t="str">
        <f>_xlfn.XLOOKUP($A387,Map!$A:$A,Map!F:F)</f>
        <v>Other expenses</v>
      </c>
    </row>
    <row r="388" spans="1:10" x14ac:dyDescent="0.25">
      <c r="A388" s="1">
        <v>510004</v>
      </c>
      <c r="B388" s="1" t="s">
        <v>733</v>
      </c>
      <c r="D388" s="1">
        <v>691496.03</v>
      </c>
      <c r="E388" s="1">
        <v>0</v>
      </c>
      <c r="F388" s="3">
        <f t="shared" si="3"/>
        <v>691496.03</v>
      </c>
      <c r="G388" t="str">
        <f>_xlfn.XLOOKUP($A388,Map!$A:$A,Map!C:C)</f>
        <v>IS</v>
      </c>
      <c r="H388" t="str">
        <f>_xlfn.XLOOKUP($A388,Map!$A:$A,Map!D:D)</f>
        <v>Cost of sales</v>
      </c>
      <c r="I388" t="str">
        <f>_xlfn.XLOOKUP($A388,Map!$A:$A,Map!E:E)</f>
        <v>Raw materials</v>
      </c>
      <c r="J388" t="str">
        <f>_xlfn.XLOOKUP($A388,Map!$A:$A,Map!F:F)</f>
        <v>Other expenses</v>
      </c>
    </row>
    <row r="389" spans="1:10" x14ac:dyDescent="0.25">
      <c r="A389" s="1">
        <v>510004</v>
      </c>
      <c r="B389" s="1" t="s">
        <v>733</v>
      </c>
      <c r="D389" s="1">
        <v>17934.37</v>
      </c>
      <c r="E389" s="1">
        <v>0</v>
      </c>
      <c r="F389" s="3">
        <f t="shared" si="3"/>
        <v>17934.37</v>
      </c>
      <c r="G389" t="str">
        <f>_xlfn.XLOOKUP($A389,Map!$A:$A,Map!C:C)</f>
        <v>IS</v>
      </c>
      <c r="H389" t="str">
        <f>_xlfn.XLOOKUP($A389,Map!$A:$A,Map!D:D)</f>
        <v>Cost of sales</v>
      </c>
      <c r="I389" t="str">
        <f>_xlfn.XLOOKUP($A389,Map!$A:$A,Map!E:E)</f>
        <v>Raw materials</v>
      </c>
      <c r="J389" t="str">
        <f>_xlfn.XLOOKUP($A389,Map!$A:$A,Map!F:F)</f>
        <v>Other expenses</v>
      </c>
    </row>
    <row r="390" spans="1:10" x14ac:dyDescent="0.25">
      <c r="A390" s="1">
        <v>510003</v>
      </c>
      <c r="B390" s="1" t="s">
        <v>733</v>
      </c>
      <c r="D390" s="1">
        <v>0</v>
      </c>
      <c r="E390" s="1">
        <v>812869.66</v>
      </c>
      <c r="F390" s="3">
        <f t="shared" si="3"/>
        <v>-812869.66</v>
      </c>
      <c r="G390" t="str">
        <f>_xlfn.XLOOKUP($A390,Map!$A:$A,Map!C:C)</f>
        <v>IS</v>
      </c>
      <c r="H390" t="str">
        <f>_xlfn.XLOOKUP($A390,Map!$A:$A,Map!D:D)</f>
        <v>Cost of sales</v>
      </c>
      <c r="I390" t="str">
        <f>_xlfn.XLOOKUP($A390,Map!$A:$A,Map!E:E)</f>
        <v>Raw materials</v>
      </c>
      <c r="J390" t="str">
        <f>_xlfn.XLOOKUP($A390,Map!$A:$A,Map!F:F)</f>
        <v>Raw materials</v>
      </c>
    </row>
    <row r="391" spans="1:10" x14ac:dyDescent="0.25">
      <c r="A391" s="1">
        <v>510003</v>
      </c>
      <c r="B391" s="1" t="s">
        <v>733</v>
      </c>
      <c r="D391" s="1">
        <v>0</v>
      </c>
      <c r="E391" s="1">
        <v>250096.13</v>
      </c>
      <c r="F391" s="3">
        <f t="shared" si="3"/>
        <v>-250096.13</v>
      </c>
      <c r="G391" t="str">
        <f>_xlfn.XLOOKUP($A391,Map!$A:$A,Map!C:C)</f>
        <v>IS</v>
      </c>
      <c r="H391" t="str">
        <f>_xlfn.XLOOKUP($A391,Map!$A:$A,Map!D:D)</f>
        <v>Cost of sales</v>
      </c>
      <c r="I391" t="str">
        <f>_xlfn.XLOOKUP($A391,Map!$A:$A,Map!E:E)</f>
        <v>Raw materials</v>
      </c>
      <c r="J391" t="str">
        <f>_xlfn.XLOOKUP($A391,Map!$A:$A,Map!F:F)</f>
        <v>Raw materials</v>
      </c>
    </row>
    <row r="392" spans="1:10" x14ac:dyDescent="0.25">
      <c r="A392" s="1">
        <v>510003</v>
      </c>
      <c r="B392" s="1" t="s">
        <v>733</v>
      </c>
      <c r="D392" s="1">
        <v>0</v>
      </c>
      <c r="E392" s="1">
        <v>41141.269999999997</v>
      </c>
      <c r="F392" s="3">
        <f t="shared" si="3"/>
        <v>-41141.269999999997</v>
      </c>
      <c r="G392" t="str">
        <f>_xlfn.XLOOKUP($A392,Map!$A:$A,Map!C:C)</f>
        <v>IS</v>
      </c>
      <c r="H392" t="str">
        <f>_xlfn.XLOOKUP($A392,Map!$A:$A,Map!D:D)</f>
        <v>Cost of sales</v>
      </c>
      <c r="I392" t="str">
        <f>_xlfn.XLOOKUP($A392,Map!$A:$A,Map!E:E)</f>
        <v>Raw materials</v>
      </c>
      <c r="J392" t="str">
        <f>_xlfn.XLOOKUP($A392,Map!$A:$A,Map!F:F)</f>
        <v>Raw materials</v>
      </c>
    </row>
    <row r="393" spans="1:10" x14ac:dyDescent="0.25">
      <c r="A393" s="1">
        <v>510003</v>
      </c>
      <c r="B393" s="1" t="s">
        <v>733</v>
      </c>
      <c r="D393" s="1">
        <v>0</v>
      </c>
      <c r="E393" s="1">
        <v>319634.21999999997</v>
      </c>
      <c r="F393" s="3">
        <f t="shared" si="3"/>
        <v>-319634.21999999997</v>
      </c>
      <c r="G393" t="str">
        <f>_xlfn.XLOOKUP($A393,Map!$A:$A,Map!C:C)</f>
        <v>IS</v>
      </c>
      <c r="H393" t="str">
        <f>_xlfn.XLOOKUP($A393,Map!$A:$A,Map!D:D)</f>
        <v>Cost of sales</v>
      </c>
      <c r="I393" t="str">
        <f>_xlfn.XLOOKUP($A393,Map!$A:$A,Map!E:E)</f>
        <v>Raw materials</v>
      </c>
      <c r="J393" t="str">
        <f>_xlfn.XLOOKUP($A393,Map!$A:$A,Map!F:F)</f>
        <v>Raw materials</v>
      </c>
    </row>
    <row r="394" spans="1:10" x14ac:dyDescent="0.25">
      <c r="A394" s="1">
        <v>510003</v>
      </c>
      <c r="B394" s="1" t="s">
        <v>733</v>
      </c>
      <c r="D394" s="1">
        <v>0</v>
      </c>
      <c r="E394" s="1">
        <v>484067.45</v>
      </c>
      <c r="F394" s="3">
        <f t="shared" si="3"/>
        <v>-484067.45</v>
      </c>
      <c r="G394" t="str">
        <f>_xlfn.XLOOKUP($A394,Map!$A:$A,Map!C:C)</f>
        <v>IS</v>
      </c>
      <c r="H394" t="str">
        <f>_xlfn.XLOOKUP($A394,Map!$A:$A,Map!D:D)</f>
        <v>Cost of sales</v>
      </c>
      <c r="I394" t="str">
        <f>_xlfn.XLOOKUP($A394,Map!$A:$A,Map!E:E)</f>
        <v>Raw materials</v>
      </c>
      <c r="J394" t="str">
        <f>_xlfn.XLOOKUP($A394,Map!$A:$A,Map!F:F)</f>
        <v>Raw materials</v>
      </c>
    </row>
    <row r="395" spans="1:10" x14ac:dyDescent="0.25">
      <c r="A395" s="1">
        <v>510003</v>
      </c>
      <c r="B395" s="1" t="s">
        <v>733</v>
      </c>
      <c r="D395" s="1">
        <v>0</v>
      </c>
      <c r="E395" s="1">
        <v>108480.5</v>
      </c>
      <c r="F395" s="3">
        <f t="shared" si="3"/>
        <v>-108480.5</v>
      </c>
      <c r="G395" t="str">
        <f>_xlfn.XLOOKUP($A395,Map!$A:$A,Map!C:C)</f>
        <v>IS</v>
      </c>
      <c r="H395" t="str">
        <f>_xlfn.XLOOKUP($A395,Map!$A:$A,Map!D:D)</f>
        <v>Cost of sales</v>
      </c>
      <c r="I395" t="str">
        <f>_xlfn.XLOOKUP($A395,Map!$A:$A,Map!E:E)</f>
        <v>Raw materials</v>
      </c>
      <c r="J395" t="str">
        <f>_xlfn.XLOOKUP($A395,Map!$A:$A,Map!F:F)</f>
        <v>Raw materials</v>
      </c>
    </row>
    <row r="396" spans="1:10" x14ac:dyDescent="0.25">
      <c r="A396" s="1">
        <v>510003</v>
      </c>
      <c r="B396" s="1" t="s">
        <v>733</v>
      </c>
      <c r="D396" s="1">
        <v>0</v>
      </c>
      <c r="E396" s="1">
        <v>94171.75</v>
      </c>
      <c r="F396" s="3">
        <f t="shared" si="3"/>
        <v>-94171.75</v>
      </c>
      <c r="G396" t="str">
        <f>_xlfn.XLOOKUP($A396,Map!$A:$A,Map!C:C)</f>
        <v>IS</v>
      </c>
      <c r="H396" t="str">
        <f>_xlfn.XLOOKUP($A396,Map!$A:$A,Map!D:D)</f>
        <v>Cost of sales</v>
      </c>
      <c r="I396" t="str">
        <f>_xlfn.XLOOKUP($A396,Map!$A:$A,Map!E:E)</f>
        <v>Raw materials</v>
      </c>
      <c r="J396" t="str">
        <f>_xlfn.XLOOKUP($A396,Map!$A:$A,Map!F:F)</f>
        <v>Raw materials</v>
      </c>
    </row>
    <row r="397" spans="1:10" x14ac:dyDescent="0.25">
      <c r="A397" s="1">
        <v>510003</v>
      </c>
      <c r="B397" s="1" t="s">
        <v>733</v>
      </c>
      <c r="D397" s="1">
        <v>0</v>
      </c>
      <c r="E397" s="1">
        <v>122299.29</v>
      </c>
      <c r="F397" s="3">
        <f t="shared" si="3"/>
        <v>-122299.29</v>
      </c>
      <c r="G397" t="str">
        <f>_xlfn.XLOOKUP($A397,Map!$A:$A,Map!C:C)</f>
        <v>IS</v>
      </c>
      <c r="H397" t="str">
        <f>_xlfn.XLOOKUP($A397,Map!$A:$A,Map!D:D)</f>
        <v>Cost of sales</v>
      </c>
      <c r="I397" t="str">
        <f>_xlfn.XLOOKUP($A397,Map!$A:$A,Map!E:E)</f>
        <v>Raw materials</v>
      </c>
      <c r="J397" t="str">
        <f>_xlfn.XLOOKUP($A397,Map!$A:$A,Map!F:F)</f>
        <v>Raw materials</v>
      </c>
    </row>
    <row r="398" spans="1:10" x14ac:dyDescent="0.25">
      <c r="A398" s="1">
        <v>510003</v>
      </c>
      <c r="B398" s="1" t="s">
        <v>733</v>
      </c>
      <c r="D398" s="1">
        <v>0</v>
      </c>
      <c r="E398" s="1">
        <v>1434041.79</v>
      </c>
      <c r="F398" s="3">
        <f t="shared" si="3"/>
        <v>-1434041.79</v>
      </c>
      <c r="G398" t="str">
        <f>_xlfn.XLOOKUP($A398,Map!$A:$A,Map!C:C)</f>
        <v>IS</v>
      </c>
      <c r="H398" t="str">
        <f>_xlfn.XLOOKUP($A398,Map!$A:$A,Map!D:D)</f>
        <v>Cost of sales</v>
      </c>
      <c r="I398" t="str">
        <f>_xlfn.XLOOKUP($A398,Map!$A:$A,Map!E:E)</f>
        <v>Raw materials</v>
      </c>
      <c r="J398" t="str">
        <f>_xlfn.XLOOKUP($A398,Map!$A:$A,Map!F:F)</f>
        <v>Raw materials</v>
      </c>
    </row>
    <row r="399" spans="1:10" x14ac:dyDescent="0.25">
      <c r="A399" s="1">
        <v>510003</v>
      </c>
      <c r="B399" s="1" t="s">
        <v>733</v>
      </c>
      <c r="D399" s="1">
        <v>0</v>
      </c>
      <c r="E399" s="1">
        <v>37192.75</v>
      </c>
      <c r="F399" s="3">
        <f t="shared" si="3"/>
        <v>-37192.75</v>
      </c>
      <c r="G399" t="str">
        <f>_xlfn.XLOOKUP($A399,Map!$A:$A,Map!C:C)</f>
        <v>IS</v>
      </c>
      <c r="H399" t="str">
        <f>_xlfn.XLOOKUP($A399,Map!$A:$A,Map!D:D)</f>
        <v>Cost of sales</v>
      </c>
      <c r="I399" t="str">
        <f>_xlfn.XLOOKUP($A399,Map!$A:$A,Map!E:E)</f>
        <v>Raw materials</v>
      </c>
      <c r="J399" t="str">
        <f>_xlfn.XLOOKUP($A399,Map!$A:$A,Map!F:F)</f>
        <v>Raw materials</v>
      </c>
    </row>
    <row r="400" spans="1:10" hidden="1" x14ac:dyDescent="0.25">
      <c r="A400" s="1">
        <v>510002</v>
      </c>
      <c r="B400" s="1" t="s">
        <v>733</v>
      </c>
      <c r="D400" s="1">
        <v>220191.3</v>
      </c>
      <c r="E400" s="1">
        <v>0</v>
      </c>
      <c r="F400" s="3">
        <f t="shared" si="3"/>
        <v>220191.3</v>
      </c>
      <c r="G400" t="str">
        <f>_xlfn.XLOOKUP($A400,Map!$A:$A,Map!C:C)</f>
        <v>IS</v>
      </c>
      <c r="H400" t="str">
        <f>_xlfn.XLOOKUP($A400,Map!$A:$A,Map!D:D)</f>
        <v>Cost of sales</v>
      </c>
      <c r="I400" t="str">
        <f>_xlfn.XLOOKUP($A400,Map!$A:$A,Map!E:E)</f>
        <v>Direct Labor</v>
      </c>
      <c r="J400" t="str">
        <f>_xlfn.XLOOKUP($A400,Map!$A:$A,Map!F:F)</f>
        <v>Direct Labor</v>
      </c>
    </row>
    <row r="401" spans="1:10" hidden="1" x14ac:dyDescent="0.25">
      <c r="A401" s="1">
        <v>510002</v>
      </c>
      <c r="B401" s="1" t="s">
        <v>733</v>
      </c>
      <c r="D401" s="1">
        <v>698244.79</v>
      </c>
      <c r="E401" s="1">
        <v>0</v>
      </c>
      <c r="F401" s="3">
        <f t="shared" si="3"/>
        <v>698244.79</v>
      </c>
      <c r="G401" t="str">
        <f>_xlfn.XLOOKUP($A401,Map!$A:$A,Map!C:C)</f>
        <v>IS</v>
      </c>
      <c r="H401" t="str">
        <f>_xlfn.XLOOKUP($A401,Map!$A:$A,Map!D:D)</f>
        <v>Cost of sales</v>
      </c>
      <c r="I401" t="str">
        <f>_xlfn.XLOOKUP($A401,Map!$A:$A,Map!E:E)</f>
        <v>Direct Labor</v>
      </c>
      <c r="J401" t="str">
        <f>_xlfn.XLOOKUP($A401,Map!$A:$A,Map!F:F)</f>
        <v>Direct Labor</v>
      </c>
    </row>
    <row r="402" spans="1:10" hidden="1" x14ac:dyDescent="0.25">
      <c r="A402" s="1">
        <v>510002</v>
      </c>
      <c r="B402" s="1" t="s">
        <v>733</v>
      </c>
      <c r="D402" s="1">
        <v>69427.33</v>
      </c>
      <c r="E402" s="1">
        <v>0</v>
      </c>
      <c r="F402" s="3">
        <f t="shared" si="3"/>
        <v>69427.33</v>
      </c>
      <c r="G402" t="str">
        <f>_xlfn.XLOOKUP($A402,Map!$A:$A,Map!C:C)</f>
        <v>IS</v>
      </c>
      <c r="H402" t="str">
        <f>_xlfn.XLOOKUP($A402,Map!$A:$A,Map!D:D)</f>
        <v>Cost of sales</v>
      </c>
      <c r="I402" t="str">
        <f>_xlfn.XLOOKUP($A402,Map!$A:$A,Map!E:E)</f>
        <v>Direct Labor</v>
      </c>
      <c r="J402" t="str">
        <f>_xlfn.XLOOKUP($A402,Map!$A:$A,Map!F:F)</f>
        <v>Direct Labor</v>
      </c>
    </row>
    <row r="403" spans="1:10" hidden="1" x14ac:dyDescent="0.25">
      <c r="A403" s="1">
        <v>510002</v>
      </c>
      <c r="B403" s="1" t="s">
        <v>733</v>
      </c>
      <c r="D403" s="1">
        <v>495013.53</v>
      </c>
      <c r="E403" s="1">
        <v>0</v>
      </c>
      <c r="F403" s="3">
        <f t="shared" si="3"/>
        <v>495013.53</v>
      </c>
      <c r="G403" t="str">
        <f>_xlfn.XLOOKUP($A403,Map!$A:$A,Map!C:C)</f>
        <v>IS</v>
      </c>
      <c r="H403" t="str">
        <f>_xlfn.XLOOKUP($A403,Map!$A:$A,Map!D:D)</f>
        <v>Cost of sales</v>
      </c>
      <c r="I403" t="str">
        <f>_xlfn.XLOOKUP($A403,Map!$A:$A,Map!E:E)</f>
        <v>Direct Labor</v>
      </c>
      <c r="J403" t="str">
        <f>_xlfn.XLOOKUP($A403,Map!$A:$A,Map!F:F)</f>
        <v>Direct Labor</v>
      </c>
    </row>
    <row r="404" spans="1:10" hidden="1" x14ac:dyDescent="0.25">
      <c r="A404" s="1">
        <v>510002</v>
      </c>
      <c r="B404" s="1" t="s">
        <v>733</v>
      </c>
      <c r="D404" s="1">
        <v>107980.16</v>
      </c>
      <c r="E404" s="1">
        <v>0</v>
      </c>
      <c r="F404" s="3">
        <f t="shared" si="3"/>
        <v>107980.16</v>
      </c>
      <c r="G404" t="str">
        <f>_xlfn.XLOOKUP($A404,Map!$A:$A,Map!C:C)</f>
        <v>IS</v>
      </c>
      <c r="H404" t="str">
        <f>_xlfn.XLOOKUP($A404,Map!$A:$A,Map!D:D)</f>
        <v>Cost of sales</v>
      </c>
      <c r="I404" t="str">
        <f>_xlfn.XLOOKUP($A404,Map!$A:$A,Map!E:E)</f>
        <v>Direct Labor</v>
      </c>
      <c r="J404" t="str">
        <f>_xlfn.XLOOKUP($A404,Map!$A:$A,Map!F:F)</f>
        <v>Direct Labor</v>
      </c>
    </row>
    <row r="405" spans="1:10" hidden="1" x14ac:dyDescent="0.25">
      <c r="A405" s="1">
        <v>510002</v>
      </c>
      <c r="B405" s="1" t="s">
        <v>733</v>
      </c>
      <c r="D405" s="1">
        <v>838747.91</v>
      </c>
      <c r="E405" s="1">
        <v>0</v>
      </c>
      <c r="F405" s="3">
        <f t="shared" si="3"/>
        <v>838747.91</v>
      </c>
      <c r="G405" t="str">
        <f>_xlfn.XLOOKUP($A405,Map!$A:$A,Map!C:C)</f>
        <v>IS</v>
      </c>
      <c r="H405" t="str">
        <f>_xlfn.XLOOKUP($A405,Map!$A:$A,Map!D:D)</f>
        <v>Cost of sales</v>
      </c>
      <c r="I405" t="str">
        <f>_xlfn.XLOOKUP($A405,Map!$A:$A,Map!E:E)</f>
        <v>Direct Labor</v>
      </c>
      <c r="J405" t="str">
        <f>_xlfn.XLOOKUP($A405,Map!$A:$A,Map!F:F)</f>
        <v>Direct Labor</v>
      </c>
    </row>
    <row r="406" spans="1:10" hidden="1" x14ac:dyDescent="0.25">
      <c r="A406" s="1">
        <v>510002</v>
      </c>
      <c r="B406" s="1" t="s">
        <v>733</v>
      </c>
      <c r="D406" s="1">
        <v>5793.07</v>
      </c>
      <c r="E406" s="1">
        <v>0</v>
      </c>
      <c r="F406" s="3">
        <f t="shared" si="3"/>
        <v>5793.07</v>
      </c>
      <c r="G406" t="str">
        <f>_xlfn.XLOOKUP($A406,Map!$A:$A,Map!C:C)</f>
        <v>IS</v>
      </c>
      <c r="H406" t="str">
        <f>_xlfn.XLOOKUP($A406,Map!$A:$A,Map!D:D)</f>
        <v>Cost of sales</v>
      </c>
      <c r="I406" t="str">
        <f>_xlfn.XLOOKUP($A406,Map!$A:$A,Map!E:E)</f>
        <v>Direct Labor</v>
      </c>
      <c r="J406" t="str">
        <f>_xlfn.XLOOKUP($A406,Map!$A:$A,Map!F:F)</f>
        <v>Direct Labor</v>
      </c>
    </row>
    <row r="407" spans="1:10" hidden="1" x14ac:dyDescent="0.25">
      <c r="A407" s="1">
        <v>510002</v>
      </c>
      <c r="B407" s="1" t="s">
        <v>733</v>
      </c>
      <c r="D407" s="1">
        <v>45971.28</v>
      </c>
      <c r="E407" s="1">
        <v>0</v>
      </c>
      <c r="F407" s="3">
        <f t="shared" si="3"/>
        <v>45971.28</v>
      </c>
      <c r="G407" t="str">
        <f>_xlfn.XLOOKUP($A407,Map!$A:$A,Map!C:C)</f>
        <v>IS</v>
      </c>
      <c r="H407" t="str">
        <f>_xlfn.XLOOKUP($A407,Map!$A:$A,Map!D:D)</f>
        <v>Cost of sales</v>
      </c>
      <c r="I407" t="str">
        <f>_xlfn.XLOOKUP($A407,Map!$A:$A,Map!E:E)</f>
        <v>Direct Labor</v>
      </c>
      <c r="J407" t="str">
        <f>_xlfn.XLOOKUP($A407,Map!$A:$A,Map!F:F)</f>
        <v>Direct Labor</v>
      </c>
    </row>
    <row r="408" spans="1:10" hidden="1" x14ac:dyDescent="0.25">
      <c r="A408" s="1">
        <v>510002</v>
      </c>
      <c r="B408" s="1" t="s">
        <v>733</v>
      </c>
      <c r="D408" s="1">
        <v>55157.78</v>
      </c>
      <c r="E408" s="1">
        <v>0</v>
      </c>
      <c r="F408" s="3">
        <f t="shared" si="3"/>
        <v>55157.78</v>
      </c>
      <c r="G408" t="str">
        <f>_xlfn.XLOOKUP($A408,Map!$A:$A,Map!C:C)</f>
        <v>IS</v>
      </c>
      <c r="H408" t="str">
        <f>_xlfn.XLOOKUP($A408,Map!$A:$A,Map!D:D)</f>
        <v>Cost of sales</v>
      </c>
      <c r="I408" t="str">
        <f>_xlfn.XLOOKUP($A408,Map!$A:$A,Map!E:E)</f>
        <v>Direct Labor</v>
      </c>
      <c r="J408" t="str">
        <f>_xlfn.XLOOKUP($A408,Map!$A:$A,Map!F:F)</f>
        <v>Direct Labor</v>
      </c>
    </row>
    <row r="409" spans="1:10" hidden="1" x14ac:dyDescent="0.25">
      <c r="A409" s="1">
        <v>510002</v>
      </c>
      <c r="B409" s="1" t="s">
        <v>733</v>
      </c>
      <c r="D409" s="1">
        <v>6965.84</v>
      </c>
      <c r="E409" s="1">
        <v>0</v>
      </c>
      <c r="F409" s="3">
        <f t="shared" si="3"/>
        <v>6965.84</v>
      </c>
      <c r="G409" t="str">
        <f>_xlfn.XLOOKUP($A409,Map!$A:$A,Map!C:C)</f>
        <v>IS</v>
      </c>
      <c r="H409" t="str">
        <f>_xlfn.XLOOKUP($A409,Map!$A:$A,Map!D:D)</f>
        <v>Cost of sales</v>
      </c>
      <c r="I409" t="str">
        <f>_xlfn.XLOOKUP($A409,Map!$A:$A,Map!E:E)</f>
        <v>Direct Labor</v>
      </c>
      <c r="J409" t="str">
        <f>_xlfn.XLOOKUP($A409,Map!$A:$A,Map!F:F)</f>
        <v>Direct Labor</v>
      </c>
    </row>
    <row r="410" spans="1:10" hidden="1" x14ac:dyDescent="0.25">
      <c r="A410" s="1">
        <v>510002</v>
      </c>
      <c r="B410" s="1" t="s">
        <v>733</v>
      </c>
      <c r="D410" s="1">
        <v>316041.21000000002</v>
      </c>
      <c r="E410" s="1">
        <v>0</v>
      </c>
      <c r="F410" s="3">
        <f t="shared" si="3"/>
        <v>316041.21000000002</v>
      </c>
      <c r="G410" t="str">
        <f>_xlfn.XLOOKUP($A410,Map!$A:$A,Map!C:C)</f>
        <v>IS</v>
      </c>
      <c r="H410" t="str">
        <f>_xlfn.XLOOKUP($A410,Map!$A:$A,Map!D:D)</f>
        <v>Cost of sales</v>
      </c>
      <c r="I410" t="str">
        <f>_xlfn.XLOOKUP($A410,Map!$A:$A,Map!E:E)</f>
        <v>Direct Labor</v>
      </c>
      <c r="J410" t="str">
        <f>_xlfn.XLOOKUP($A410,Map!$A:$A,Map!F:F)</f>
        <v>Direct Labor</v>
      </c>
    </row>
    <row r="411" spans="1:10" hidden="1" x14ac:dyDescent="0.25">
      <c r="A411" s="1">
        <v>510002</v>
      </c>
      <c r="B411" s="1" t="s">
        <v>733</v>
      </c>
      <c r="D411" s="1">
        <v>21646.15</v>
      </c>
      <c r="E411" s="1">
        <v>0</v>
      </c>
      <c r="F411" s="3">
        <f t="shared" si="3"/>
        <v>21646.15</v>
      </c>
      <c r="G411" t="str">
        <f>_xlfn.XLOOKUP($A411,Map!$A:$A,Map!C:C)</f>
        <v>IS</v>
      </c>
      <c r="H411" t="str">
        <f>_xlfn.XLOOKUP($A411,Map!$A:$A,Map!D:D)</f>
        <v>Cost of sales</v>
      </c>
      <c r="I411" t="str">
        <f>_xlfn.XLOOKUP($A411,Map!$A:$A,Map!E:E)</f>
        <v>Direct Labor</v>
      </c>
      <c r="J411" t="str">
        <f>_xlfn.XLOOKUP($A411,Map!$A:$A,Map!F:F)</f>
        <v>Direct Labor</v>
      </c>
    </row>
    <row r="412" spans="1:10" hidden="1" x14ac:dyDescent="0.25">
      <c r="A412" s="1">
        <v>510002</v>
      </c>
      <c r="B412" s="1" t="s">
        <v>733</v>
      </c>
      <c r="D412" s="1">
        <v>98857.02</v>
      </c>
      <c r="E412" s="1">
        <v>0</v>
      </c>
      <c r="F412" s="3">
        <f t="shared" si="3"/>
        <v>98857.02</v>
      </c>
      <c r="G412" t="str">
        <f>_xlfn.XLOOKUP($A412,Map!$A:$A,Map!C:C)</f>
        <v>IS</v>
      </c>
      <c r="H412" t="str">
        <f>_xlfn.XLOOKUP($A412,Map!$A:$A,Map!D:D)</f>
        <v>Cost of sales</v>
      </c>
      <c r="I412" t="str">
        <f>_xlfn.XLOOKUP($A412,Map!$A:$A,Map!E:E)</f>
        <v>Direct Labor</v>
      </c>
      <c r="J412" t="str">
        <f>_xlfn.XLOOKUP($A412,Map!$A:$A,Map!F:F)</f>
        <v>Direct Labor</v>
      </c>
    </row>
    <row r="413" spans="1:10" hidden="1" x14ac:dyDescent="0.25">
      <c r="A413" s="1">
        <v>510002</v>
      </c>
      <c r="B413" s="1" t="s">
        <v>733</v>
      </c>
      <c r="D413" s="1">
        <v>4858.04</v>
      </c>
      <c r="E413" s="1">
        <v>0</v>
      </c>
      <c r="F413" s="3">
        <f t="shared" si="3"/>
        <v>4858.04</v>
      </c>
      <c r="G413" t="str">
        <f>_xlfn.XLOOKUP($A413,Map!$A:$A,Map!C:C)</f>
        <v>IS</v>
      </c>
      <c r="H413" t="str">
        <f>_xlfn.XLOOKUP($A413,Map!$A:$A,Map!D:D)</f>
        <v>Cost of sales</v>
      </c>
      <c r="I413" t="str">
        <f>_xlfn.XLOOKUP($A413,Map!$A:$A,Map!E:E)</f>
        <v>Direct Labor</v>
      </c>
      <c r="J413" t="str">
        <f>_xlfn.XLOOKUP($A413,Map!$A:$A,Map!F:F)</f>
        <v>Direct Labor</v>
      </c>
    </row>
    <row r="414" spans="1:10" hidden="1" x14ac:dyDescent="0.25">
      <c r="A414" s="1">
        <v>510002</v>
      </c>
      <c r="B414" s="1" t="s">
        <v>733</v>
      </c>
      <c r="D414" s="1">
        <v>174561.2</v>
      </c>
      <c r="E414" s="1">
        <v>0</v>
      </c>
      <c r="F414" s="3">
        <f t="shared" si="3"/>
        <v>174561.2</v>
      </c>
      <c r="G414" t="str">
        <f>_xlfn.XLOOKUP($A414,Map!$A:$A,Map!C:C)</f>
        <v>IS</v>
      </c>
      <c r="H414" t="str">
        <f>_xlfn.XLOOKUP($A414,Map!$A:$A,Map!D:D)</f>
        <v>Cost of sales</v>
      </c>
      <c r="I414" t="str">
        <f>_xlfn.XLOOKUP($A414,Map!$A:$A,Map!E:E)</f>
        <v>Direct Labor</v>
      </c>
      <c r="J414" t="str">
        <f>_xlfn.XLOOKUP($A414,Map!$A:$A,Map!F:F)</f>
        <v>Direct Labor</v>
      </c>
    </row>
    <row r="415" spans="1:10" hidden="1" x14ac:dyDescent="0.25">
      <c r="A415" s="1">
        <v>510002</v>
      </c>
      <c r="B415" s="1" t="s">
        <v>733</v>
      </c>
      <c r="D415" s="1">
        <v>827.37</v>
      </c>
      <c r="E415" s="1">
        <v>0</v>
      </c>
      <c r="F415" s="3">
        <f t="shared" si="3"/>
        <v>827.37</v>
      </c>
      <c r="G415" t="str">
        <f>_xlfn.XLOOKUP($A415,Map!$A:$A,Map!C:C)</f>
        <v>IS</v>
      </c>
      <c r="H415" t="str">
        <f>_xlfn.XLOOKUP($A415,Map!$A:$A,Map!D:D)</f>
        <v>Cost of sales</v>
      </c>
      <c r="I415" t="str">
        <f>_xlfn.XLOOKUP($A415,Map!$A:$A,Map!E:E)</f>
        <v>Direct Labor</v>
      </c>
      <c r="J415" t="str">
        <f>_xlfn.XLOOKUP($A415,Map!$A:$A,Map!F:F)</f>
        <v>Direct Labor</v>
      </c>
    </row>
    <row r="416" spans="1:10" hidden="1" x14ac:dyDescent="0.25">
      <c r="A416" s="1">
        <v>510002</v>
      </c>
      <c r="B416" s="1" t="s">
        <v>733</v>
      </c>
      <c r="D416" s="1">
        <v>87280.6</v>
      </c>
      <c r="E416" s="1">
        <v>0</v>
      </c>
      <c r="F416" s="3">
        <f t="shared" si="3"/>
        <v>87280.6</v>
      </c>
      <c r="G416" t="str">
        <f>_xlfn.XLOOKUP($A416,Map!$A:$A,Map!C:C)</f>
        <v>IS</v>
      </c>
      <c r="H416" t="str">
        <f>_xlfn.XLOOKUP($A416,Map!$A:$A,Map!D:D)</f>
        <v>Cost of sales</v>
      </c>
      <c r="I416" t="str">
        <f>_xlfn.XLOOKUP($A416,Map!$A:$A,Map!E:E)</f>
        <v>Direct Labor</v>
      </c>
      <c r="J416" t="str">
        <f>_xlfn.XLOOKUP($A416,Map!$A:$A,Map!F:F)</f>
        <v>Direct Labor</v>
      </c>
    </row>
    <row r="417" spans="1:10" hidden="1" x14ac:dyDescent="0.25"/>
    <row r="418" spans="1:10" hidden="1" x14ac:dyDescent="0.25"/>
    <row r="419" spans="1:10" hidden="1" x14ac:dyDescent="0.25">
      <c r="A419" s="90">
        <v>170021</v>
      </c>
      <c r="B419" s="90" t="s">
        <v>535</v>
      </c>
      <c r="D419" s="161">
        <v>4501835.45</v>
      </c>
      <c r="F419" s="3">
        <f t="shared" ref="F419:F420" si="4">D419-E419</f>
        <v>4501835.45</v>
      </c>
      <c r="G419" t="str">
        <f>_xlfn.XLOOKUP($A419,Map!$A:$A,Map!C:C)</f>
        <v>BS</v>
      </c>
      <c r="H419" t="str">
        <f>_xlfn.XLOOKUP($A419,Map!$A:$A,Map!D:D)</f>
        <v>Current Assets</v>
      </c>
      <c r="I419" t="str">
        <f>_xlfn.XLOOKUP($A419,Map!$A:$A,Map!E:E)</f>
        <v>Prepaid expenses</v>
      </c>
      <c r="J419" t="str">
        <f>_xlfn.XLOOKUP($A419,Map!$A:$A,Map!F:F)</f>
        <v>Prepaid expense</v>
      </c>
    </row>
    <row r="420" spans="1:10" hidden="1" x14ac:dyDescent="0.25">
      <c r="A420" s="1">
        <v>210001</v>
      </c>
      <c r="B420" s="1" t="s">
        <v>78</v>
      </c>
      <c r="E420" s="161">
        <f>D419</f>
        <v>4501835.45</v>
      </c>
      <c r="F420" s="3">
        <f t="shared" si="4"/>
        <v>-4501835.45</v>
      </c>
      <c r="G420" t="str">
        <f>_xlfn.XLOOKUP($A420,Map!$A:$A,Map!C:C)</f>
        <v>BS</v>
      </c>
      <c r="H420" t="str">
        <f>_xlfn.XLOOKUP($A420,Map!$A:$A,Map!D:D)</f>
        <v>Current Liabilities</v>
      </c>
      <c r="I420" t="str">
        <f>_xlfn.XLOOKUP($A420,Map!$A:$A,Map!E:E)</f>
        <v>Tade payables and Accuals &amp; other credit balances</v>
      </c>
      <c r="J420" t="str">
        <f>_xlfn.XLOOKUP($A420,Map!$A:$A,Map!F:F)</f>
        <v>Trade payables - Foreign</v>
      </c>
    </row>
    <row r="422" spans="1:10" x14ac:dyDescent="0.25">
      <c r="D422" s="162"/>
      <c r="G422"/>
      <c r="H422"/>
      <c r="I422"/>
      <c r="J422"/>
    </row>
    <row r="423" spans="1:10" x14ac:dyDescent="0.25">
      <c r="A423" s="1">
        <v>410001</v>
      </c>
      <c r="B423" s="163" t="s">
        <v>737</v>
      </c>
      <c r="D423" s="164">
        <v>46398946.967131987</v>
      </c>
      <c r="E423" s="164"/>
      <c r="F423" s="3">
        <f t="shared" ref="F423:F424" si="5">D423-E423</f>
        <v>46398946.967131987</v>
      </c>
      <c r="G423" t="str">
        <f>_xlfn.XLOOKUP($A423,Map!$A:$A,Map!C:C)</f>
        <v>IS</v>
      </c>
      <c r="H423" t="str">
        <f>_xlfn.XLOOKUP($A423,Map!$A:$A,Map!D:D)</f>
        <v>Sales</v>
      </c>
      <c r="I423" t="str">
        <f>_xlfn.XLOOKUP($A423,Map!$A:$A,Map!E:E)</f>
        <v>Sales</v>
      </c>
      <c r="J423" t="str">
        <f>_xlfn.XLOOKUP($A423,Map!$A:$A,Map!F:F)</f>
        <v>Trading revenue</v>
      </c>
    </row>
    <row r="424" spans="1:10" x14ac:dyDescent="0.25">
      <c r="A424" s="1">
        <v>510001</v>
      </c>
      <c r="B424" s="163" t="s">
        <v>738</v>
      </c>
      <c r="D424" s="164"/>
      <c r="E424" s="164">
        <v>42795508.49139335</v>
      </c>
      <c r="F424" s="3">
        <f t="shared" si="5"/>
        <v>-42795508.49139335</v>
      </c>
      <c r="G424" t="str">
        <f>_xlfn.XLOOKUP($A424,Map!$A:$A,Map!C:C)</f>
        <v>IS</v>
      </c>
      <c r="H424" t="str">
        <f>_xlfn.XLOOKUP($A424,Map!$A:$A,Map!D:D)</f>
        <v>Cost of sales</v>
      </c>
      <c r="I424" t="str">
        <f>_xlfn.XLOOKUP($A424,Map!$A:$A,Map!E:E)</f>
        <v>Raw materials</v>
      </c>
      <c r="J424" t="str">
        <f>_xlfn.XLOOKUP($A424,Map!$A:$A,Map!F:F)</f>
        <v>Raw materials</v>
      </c>
    </row>
  </sheetData>
  <autoFilter ref="A4:J420" xr:uid="{9D63F95D-795D-4B2E-8D9F-7D76D2DD84FC}">
    <filterColumn colId="6">
      <filters>
        <filter val="IS"/>
      </filters>
    </filterColumn>
    <filterColumn colId="7">
      <filters>
        <filter val="Cost of sales"/>
      </filters>
    </filterColumn>
    <filterColumn colId="8">
      <filters>
        <filter val="Raw materials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6A6E-D9AB-426D-A1A7-C8023026B139}">
  <sheetPr filterMode="1"/>
  <dimension ref="A1:J287"/>
  <sheetViews>
    <sheetView zoomScale="90" zoomScaleNormal="90" workbookViewId="0">
      <pane ySplit="4" topLeftCell="A64" activePane="bottomLeft" state="frozen"/>
      <selection activeCell="G4" sqref="G4:J5"/>
      <selection pane="bottomLeft" activeCell="C297" sqref="C297"/>
    </sheetView>
  </sheetViews>
  <sheetFormatPr defaultColWidth="8.85546875" defaultRowHeight="15" x14ac:dyDescent="0.25"/>
  <cols>
    <col min="1" max="1" width="13.42578125" style="1" bestFit="1" customWidth="1"/>
    <col min="2" max="2" width="40.7109375" style="1" customWidth="1"/>
    <col min="3" max="3" width="16.7109375" style="1" bestFit="1" customWidth="1"/>
    <col min="4" max="5" width="17.85546875" style="1" bestFit="1" customWidth="1"/>
    <col min="6" max="6" width="17" style="3" bestFit="1" customWidth="1"/>
    <col min="7" max="7" width="8.5703125" style="2" bestFit="1" customWidth="1"/>
    <col min="8" max="8" width="19.5703125" style="1" bestFit="1" customWidth="1"/>
    <col min="9" max="9" width="42.7109375" style="1" bestFit="1" customWidth="1"/>
    <col min="10" max="10" width="50.7109375" style="1" bestFit="1" customWidth="1"/>
    <col min="11" max="16384" width="8.85546875" style="1"/>
  </cols>
  <sheetData>
    <row r="1" spans="1:10" x14ac:dyDescent="0.25">
      <c r="A1" s="5" t="s">
        <v>262</v>
      </c>
    </row>
    <row r="2" spans="1:10" x14ac:dyDescent="0.25">
      <c r="A2" s="97" t="s">
        <v>591</v>
      </c>
    </row>
    <row r="4" spans="1:10" x14ac:dyDescent="0.25">
      <c r="A4" s="1" t="s">
        <v>261</v>
      </c>
      <c r="B4" s="1" t="s">
        <v>260</v>
      </c>
      <c r="C4" s="1" t="s">
        <v>259</v>
      </c>
      <c r="D4" s="1" t="s">
        <v>258</v>
      </c>
      <c r="E4" s="1" t="s">
        <v>257</v>
      </c>
      <c r="F4" s="3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1">
        <v>110002</v>
      </c>
      <c r="B5" s="1" t="s">
        <v>1</v>
      </c>
      <c r="C5" s="3">
        <v>249682</v>
      </c>
      <c r="D5" s="3">
        <v>0</v>
      </c>
      <c r="E5" s="3">
        <v>0</v>
      </c>
      <c r="F5" s="3">
        <v>249682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1">
        <v>110003</v>
      </c>
      <c r="B6" s="1" t="s">
        <v>2</v>
      </c>
      <c r="C6" s="3">
        <v>1765393.75</v>
      </c>
      <c r="D6" s="3">
        <v>7840</v>
      </c>
      <c r="E6" s="3">
        <v>0</v>
      </c>
      <c r="F6" s="43">
        <v>1773233.75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1">
        <v>110004</v>
      </c>
      <c r="B7" s="1" t="s">
        <v>3</v>
      </c>
      <c r="C7" s="3">
        <v>38561940.795000002</v>
      </c>
      <c r="D7" s="3">
        <v>956871.78500000003</v>
      </c>
      <c r="E7" s="3">
        <v>1.6910000000000001</v>
      </c>
      <c r="F7" s="43">
        <v>39518810.888999999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1">
        <v>110006</v>
      </c>
      <c r="B8" s="1" t="s">
        <v>4</v>
      </c>
      <c r="C8" s="3">
        <v>1446052.15</v>
      </c>
      <c r="D8" s="3">
        <v>0</v>
      </c>
      <c r="E8" s="3">
        <v>0</v>
      </c>
      <c r="F8" s="43">
        <v>1446052.15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1">
        <v>110007</v>
      </c>
      <c r="B9" s="1" t="s">
        <v>5</v>
      </c>
      <c r="C9" s="3">
        <v>798523.45</v>
      </c>
      <c r="D9" s="3">
        <v>0</v>
      </c>
      <c r="E9" s="3">
        <v>0</v>
      </c>
      <c r="F9" s="6">
        <v>798523.45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1">
        <v>110008</v>
      </c>
      <c r="B10" s="1" t="s">
        <v>6</v>
      </c>
      <c r="C10" s="3">
        <v>191765.4</v>
      </c>
      <c r="D10" s="3">
        <v>0</v>
      </c>
      <c r="E10" s="3">
        <v>0</v>
      </c>
      <c r="F10" s="6">
        <v>191765.4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1">
        <v>111009</v>
      </c>
      <c r="B11" s="1" t="s">
        <v>7</v>
      </c>
      <c r="C11" s="3">
        <v>0</v>
      </c>
      <c r="D11" s="3">
        <v>764725</v>
      </c>
      <c r="E11" s="3">
        <v>764725</v>
      </c>
      <c r="F11" s="43">
        <v>0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Right of use</v>
      </c>
      <c r="J11" t="str">
        <f>_xlfn.XLOOKUP($A11,Map!$A:$A,Map!F:F)</f>
        <v>Leases - right of use assets</v>
      </c>
    </row>
    <row r="12" spans="1:10" hidden="1" x14ac:dyDescent="0.25">
      <c r="A12" s="1">
        <v>111013</v>
      </c>
      <c r="B12" s="1" t="s">
        <v>9</v>
      </c>
      <c r="C12" s="3">
        <v>0</v>
      </c>
      <c r="D12" s="3">
        <v>11242887.109999999</v>
      </c>
      <c r="E12" s="3">
        <v>473652.505</v>
      </c>
      <c r="F12" s="43">
        <v>10769234.605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Property, plant and equipment</v>
      </c>
      <c r="J12" t="str">
        <f>_xlfn.XLOOKUP($A12,Map!$A:$A,Map!F:F)</f>
        <v>Property, plant and equipment - Accumulated depreciation</v>
      </c>
    </row>
    <row r="13" spans="1:10" hidden="1" x14ac:dyDescent="0.25">
      <c r="A13" s="1">
        <v>120001</v>
      </c>
      <c r="B13" s="1" t="s">
        <v>11</v>
      </c>
      <c r="C13" s="3">
        <v>-227682.83</v>
      </c>
      <c r="D13" s="3">
        <v>0</v>
      </c>
      <c r="E13" s="3">
        <v>15012.481</v>
      </c>
      <c r="F13" s="6">
        <v>-242695.31099999999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1">
        <v>120002</v>
      </c>
      <c r="B14" s="1" t="s">
        <v>12</v>
      </c>
      <c r="C14" s="3">
        <v>-1715968.22</v>
      </c>
      <c r="D14" s="3">
        <v>0</v>
      </c>
      <c r="E14" s="3">
        <v>44065.754000000001</v>
      </c>
      <c r="F14" s="6">
        <v>-1760033.9739999999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1">
        <v>120003</v>
      </c>
      <c r="B15" s="1" t="s">
        <v>13</v>
      </c>
      <c r="C15" s="3">
        <v>-20403680.359999999</v>
      </c>
      <c r="D15" s="3">
        <v>3050.998</v>
      </c>
      <c r="E15" s="3">
        <v>3454341.2379999999</v>
      </c>
      <c r="F15" s="6">
        <v>-23854970.600000001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1">
        <v>120005</v>
      </c>
      <c r="B16" s="1" t="s">
        <v>14</v>
      </c>
      <c r="C16" s="3">
        <v>-1053780.57</v>
      </c>
      <c r="D16" s="3">
        <v>6718.75</v>
      </c>
      <c r="E16" s="3">
        <v>196654.16</v>
      </c>
      <c r="F16" s="6">
        <v>-1243715.98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1">
        <v>120006</v>
      </c>
      <c r="B17" s="1" t="s">
        <v>15</v>
      </c>
      <c r="C17" s="3">
        <v>-69116.08</v>
      </c>
      <c r="D17" s="3">
        <v>70.828999999999994</v>
      </c>
      <c r="E17" s="3">
        <v>186798.959</v>
      </c>
      <c r="F17" s="43">
        <v>-255844.21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1">
        <v>120007</v>
      </c>
      <c r="B18" s="1" t="s">
        <v>16</v>
      </c>
      <c r="C18" s="3">
        <v>-154323.31899999999</v>
      </c>
      <c r="D18" s="3">
        <v>6.3280000000000003</v>
      </c>
      <c r="E18" s="3">
        <v>13079.331</v>
      </c>
      <c r="F18" s="3">
        <v>-167396.32199999999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hidden="1" x14ac:dyDescent="0.25">
      <c r="A19" s="1">
        <v>121001</v>
      </c>
      <c r="B19" s="1" t="s">
        <v>18</v>
      </c>
      <c r="C19" s="3">
        <v>5363766.13</v>
      </c>
      <c r="D19" s="3">
        <v>1313357.1599999999</v>
      </c>
      <c r="E19" s="3">
        <v>7.0000000000000001E-3</v>
      </c>
      <c r="F19" s="3">
        <v>6677123.2829999998</v>
      </c>
      <c r="G19" t="str">
        <f>_xlfn.XLOOKUP($A19,Map!$A:$A,Map!C:C)</f>
        <v>BS</v>
      </c>
      <c r="H19" t="str">
        <f>_xlfn.XLOOKUP($A19,Map!$A:$A,Map!D:D)</f>
        <v>Current Assets</v>
      </c>
      <c r="I19" t="str">
        <f>_xlfn.XLOOKUP($A19,Map!$A:$A,Map!E:E)</f>
        <v>Prepaid expenses</v>
      </c>
      <c r="J19" t="str">
        <f>_xlfn.XLOOKUP($A19,Map!$A:$A,Map!F:F)</f>
        <v>Pre Operating Exps</v>
      </c>
    </row>
    <row r="20" spans="1:10" hidden="1" x14ac:dyDescent="0.25">
      <c r="A20" s="1">
        <v>121002</v>
      </c>
      <c r="B20" s="63" t="s">
        <v>19</v>
      </c>
      <c r="C20" s="3">
        <v>-3650674.13</v>
      </c>
      <c r="D20" s="3">
        <v>0</v>
      </c>
      <c r="E20" s="3">
        <v>0</v>
      </c>
      <c r="F20" s="3">
        <v>-3650674.13</v>
      </c>
      <c r="G20" t="str">
        <f>_xlfn.XLOOKUP($A20,Map!$A:$A,Map!C:C)</f>
        <v>BS</v>
      </c>
      <c r="H20" t="str">
        <f>_xlfn.XLOOKUP($A20,Map!$A:$A,Map!D:D)</f>
        <v>Current Assets</v>
      </c>
      <c r="I20" t="str">
        <f>_xlfn.XLOOKUP($A20,Map!$A:$A,Map!E:E)</f>
        <v>Prepaid expenses</v>
      </c>
      <c r="J20" t="str">
        <f>_xlfn.XLOOKUP($A20,Map!$A:$A,Map!F:F)</f>
        <v>Amortization Of Pre Operating Exps</v>
      </c>
    </row>
    <row r="21" spans="1:10" hidden="1" x14ac:dyDescent="0.25">
      <c r="A21" s="1">
        <v>130001</v>
      </c>
      <c r="B21" s="1" t="s">
        <v>20</v>
      </c>
      <c r="C21" s="3">
        <v>7283978.5010000002</v>
      </c>
      <c r="D21" s="3">
        <v>137202764.185</v>
      </c>
      <c r="E21" s="3">
        <v>142006638.40599999</v>
      </c>
      <c r="F21" s="3">
        <v>2480104.2799999998</v>
      </c>
      <c r="G21" t="str">
        <f>_xlfn.XLOOKUP($A21,Map!$A:$A,Map!C:C)</f>
        <v>BS</v>
      </c>
      <c r="H21" t="str">
        <f>_xlfn.XLOOKUP($A21,Map!$A:$A,Map!D:D)</f>
        <v>Current Assets</v>
      </c>
      <c r="I21" t="str">
        <f>_xlfn.XLOOKUP($A21,Map!$A:$A,Map!E:E)</f>
        <v>Cash and cash equivalents</v>
      </c>
      <c r="J21" t="str">
        <f>_xlfn.XLOOKUP($A21,Map!$A:$A,Map!F:F)</f>
        <v>Bank balances</v>
      </c>
    </row>
    <row r="22" spans="1:10" hidden="1" x14ac:dyDescent="0.25">
      <c r="A22" s="1">
        <v>130002</v>
      </c>
      <c r="B22" s="1" t="s">
        <v>21</v>
      </c>
      <c r="C22" s="3">
        <v>54868.49</v>
      </c>
      <c r="D22" s="3">
        <v>102401362.60699999</v>
      </c>
      <c r="E22" s="3">
        <v>102453801.99699999</v>
      </c>
      <c r="F22" s="6">
        <v>2429.1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Cash and cash equivalents</v>
      </c>
      <c r="J22" t="str">
        <f>_xlfn.XLOOKUP($A22,Map!$A:$A,Map!F:F)</f>
        <v>Bank balances</v>
      </c>
    </row>
    <row r="23" spans="1:10" hidden="1" x14ac:dyDescent="0.25">
      <c r="A23" s="1">
        <v>130004</v>
      </c>
      <c r="B23" s="1" t="s">
        <v>23</v>
      </c>
      <c r="C23" s="3">
        <v>2446274.11</v>
      </c>
      <c r="D23" s="3">
        <v>52704864.079999998</v>
      </c>
      <c r="E23" s="3">
        <v>54481178.07</v>
      </c>
      <c r="F23" s="43">
        <v>669960.12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Cash and cash equivalents</v>
      </c>
      <c r="J23" t="str">
        <f>_xlfn.XLOOKUP($A23,Map!$A:$A,Map!F:F)</f>
        <v>Bank balances</v>
      </c>
    </row>
    <row r="24" spans="1:10" hidden="1" x14ac:dyDescent="0.25">
      <c r="A24" s="1">
        <v>130005</v>
      </c>
      <c r="B24" s="1" t="s">
        <v>24</v>
      </c>
      <c r="C24" s="3">
        <v>173876.8</v>
      </c>
      <c r="D24" s="3">
        <v>2906276.16</v>
      </c>
      <c r="E24" s="3">
        <v>3008133.57</v>
      </c>
      <c r="F24" s="43">
        <v>72019.39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hidden="1" x14ac:dyDescent="0.25">
      <c r="A25" s="1">
        <v>130006</v>
      </c>
      <c r="B25" s="1" t="s">
        <v>25</v>
      </c>
      <c r="C25" s="3">
        <v>268845.77</v>
      </c>
      <c r="D25" s="3">
        <v>14002757.486</v>
      </c>
      <c r="E25" s="3">
        <v>14144081.446</v>
      </c>
      <c r="F25" s="6">
        <v>127521.81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1">
        <v>130007</v>
      </c>
      <c r="B26" s="1" t="s">
        <v>26</v>
      </c>
      <c r="C26" s="3">
        <v>530312.98</v>
      </c>
      <c r="D26" s="3">
        <v>43137711.609999999</v>
      </c>
      <c r="E26" s="3">
        <v>42625283.890000001</v>
      </c>
      <c r="F26" s="43">
        <v>1042740.7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1">
        <v>130008</v>
      </c>
      <c r="B27" s="1" t="s">
        <v>247</v>
      </c>
      <c r="C27" s="3">
        <v>272978.02</v>
      </c>
      <c r="D27" s="3">
        <v>13957954.32</v>
      </c>
      <c r="E27" s="3">
        <v>14213968.550000001</v>
      </c>
      <c r="F27" s="43">
        <v>16963.79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1">
        <v>130099</v>
      </c>
      <c r="B28" s="1" t="s">
        <v>34</v>
      </c>
      <c r="C28" s="3">
        <v>0</v>
      </c>
      <c r="D28" s="3">
        <v>195116482</v>
      </c>
      <c r="E28" s="3">
        <v>195116482</v>
      </c>
      <c r="F28" s="43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hidden="1" x14ac:dyDescent="0.25">
      <c r="A29" s="1">
        <v>140001</v>
      </c>
      <c r="B29" s="1" t="s">
        <v>35</v>
      </c>
      <c r="C29" s="3">
        <v>36187908.814999998</v>
      </c>
      <c r="D29" s="3">
        <v>252056245.27500001</v>
      </c>
      <c r="E29" s="3">
        <v>251320595.09</v>
      </c>
      <c r="F29" s="43">
        <v>36923559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Trade receivables</v>
      </c>
      <c r="J29" t="str">
        <f>_xlfn.XLOOKUP($A29,Map!$A:$A,Map!F:F)</f>
        <v>Trade receivables - current</v>
      </c>
    </row>
    <row r="30" spans="1:10" hidden="1" x14ac:dyDescent="0.25">
      <c r="A30" s="1">
        <v>140010</v>
      </c>
      <c r="B30" s="1" t="s">
        <v>36</v>
      </c>
      <c r="C30" s="3">
        <v>0</v>
      </c>
      <c r="D30" s="3">
        <v>0.20100000000000001</v>
      </c>
      <c r="E30" s="3">
        <v>0.20100000000000001</v>
      </c>
      <c r="F30" s="43">
        <v>0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Trade receivables</v>
      </c>
      <c r="J30" t="str">
        <f>_xlfn.XLOOKUP($A30,Map!$A:$A,Map!F:F)</f>
        <v>Trade receivables - current</v>
      </c>
    </row>
    <row r="31" spans="1:10" hidden="1" x14ac:dyDescent="0.25">
      <c r="A31" s="1">
        <v>150001</v>
      </c>
      <c r="B31" s="1" t="s">
        <v>37</v>
      </c>
      <c r="C31" s="3">
        <v>584170.47900000005</v>
      </c>
      <c r="D31" s="3">
        <v>618545</v>
      </c>
      <c r="E31" s="3">
        <v>746431</v>
      </c>
      <c r="F31" s="43">
        <v>456284.47899999999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Prepaid expenses</v>
      </c>
      <c r="J31" t="str">
        <f>_xlfn.XLOOKUP($A31,Map!$A:$A,Map!F:F)</f>
        <v>Advances - current</v>
      </c>
    </row>
    <row r="32" spans="1:10" hidden="1" x14ac:dyDescent="0.25">
      <c r="A32" s="1">
        <v>160001</v>
      </c>
      <c r="B32" s="1" t="s">
        <v>39</v>
      </c>
      <c r="C32" s="3">
        <v>54844.55</v>
      </c>
      <c r="D32" s="3">
        <v>1705445</v>
      </c>
      <c r="E32" s="3">
        <v>1701897.95</v>
      </c>
      <c r="F32" s="6">
        <v>58391.6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Petty cash</v>
      </c>
    </row>
    <row r="33" spans="1:10" hidden="1" x14ac:dyDescent="0.25">
      <c r="A33" s="1">
        <v>170000</v>
      </c>
      <c r="B33" s="1" t="s">
        <v>40</v>
      </c>
      <c r="C33" s="3">
        <v>88433.574999999997</v>
      </c>
      <c r="D33" s="3">
        <v>191412.8</v>
      </c>
      <c r="E33" s="3">
        <v>157209.296</v>
      </c>
      <c r="F33" s="6">
        <v>122637.079</v>
      </c>
      <c r="G33" t="str">
        <f>_xlfn.XLOOKUP($A33,Map!$A:$A,Map!C:C)</f>
        <v>BS</v>
      </c>
      <c r="H33" t="str">
        <f>_xlfn.XLOOKUP($A33,Map!$A:$A,Map!D:D)</f>
        <v>Current Liabilities</v>
      </c>
      <c r="I33" t="str">
        <f>_xlfn.XLOOKUP($A33,Map!$A:$A,Map!E:E)</f>
        <v>Short-term Murabaha loans</v>
      </c>
      <c r="J33" t="str">
        <f>_xlfn.XLOOKUP($A33,Map!$A:$A,Map!F:F)</f>
        <v>Prepayments - current</v>
      </c>
    </row>
    <row r="34" spans="1:10" hidden="1" x14ac:dyDescent="0.25">
      <c r="A34" s="1">
        <v>170001</v>
      </c>
      <c r="B34" s="1" t="s">
        <v>41</v>
      </c>
      <c r="C34" s="3">
        <v>0</v>
      </c>
      <c r="D34" s="3">
        <v>0</v>
      </c>
      <c r="E34" s="3">
        <v>0</v>
      </c>
      <c r="F34" s="6">
        <v>0</v>
      </c>
      <c r="G34" t="str">
        <f>_xlfn.XLOOKUP($A34,Map!$A:$A,Map!C:C)</f>
        <v>BS</v>
      </c>
      <c r="H34" t="str">
        <f>_xlfn.XLOOKUP($A34,Map!$A:$A,Map!D:D)</f>
        <v>Current Liabilities</v>
      </c>
      <c r="I34" t="str">
        <f>_xlfn.XLOOKUP($A34,Map!$A:$A,Map!E:E)</f>
        <v>Short-term Murabaha loans</v>
      </c>
      <c r="J34" t="str">
        <f>_xlfn.XLOOKUP($A34,Map!$A:$A,Map!F:F)</f>
        <v>Prepayments - current</v>
      </c>
    </row>
    <row r="35" spans="1:10" hidden="1" x14ac:dyDescent="0.25">
      <c r="A35" s="1">
        <v>170003</v>
      </c>
      <c r="B35" s="1" t="s">
        <v>43</v>
      </c>
      <c r="C35" s="3">
        <v>209891.57</v>
      </c>
      <c r="D35" s="3">
        <v>457851.65</v>
      </c>
      <c r="E35" s="3">
        <v>608806.81999999995</v>
      </c>
      <c r="F35" s="6">
        <v>58936.4</v>
      </c>
      <c r="G35" t="str">
        <f>_xlfn.XLOOKUP($A35,Map!$A:$A,Map!C:C)</f>
        <v>BS</v>
      </c>
      <c r="H35" t="str">
        <f>_xlfn.XLOOKUP($A35,Map!$A:$A,Map!D:D)</f>
        <v>Current Liabilities</v>
      </c>
      <c r="I35" t="str">
        <f>_xlfn.XLOOKUP($A35,Map!$A:$A,Map!E:E)</f>
        <v>Short-term Murabaha loans</v>
      </c>
      <c r="J35" t="str">
        <f>_xlfn.XLOOKUP($A35,Map!$A:$A,Map!F:F)</f>
        <v>Prepayments - current</v>
      </c>
    </row>
    <row r="36" spans="1:10" hidden="1" x14ac:dyDescent="0.25">
      <c r="A36" s="1">
        <v>170004</v>
      </c>
      <c r="B36" s="1" t="s">
        <v>244</v>
      </c>
      <c r="C36" s="3">
        <v>0</v>
      </c>
      <c r="D36" s="3">
        <v>99154.442999999999</v>
      </c>
      <c r="E36" s="3">
        <v>85325.794999999998</v>
      </c>
      <c r="F36" s="3">
        <v>13828.647999999999</v>
      </c>
      <c r="G36" t="str">
        <f>_xlfn.XLOOKUP($A36,Map!$A:$A,Map!C:C)</f>
        <v>BS</v>
      </c>
      <c r="H36" t="str">
        <f>_xlfn.XLOOKUP($A36,Map!$A:$A,Map!D:D)</f>
        <v>Current Liabilities</v>
      </c>
      <c r="I36" t="str">
        <f>_xlfn.XLOOKUP($A36,Map!$A:$A,Map!E:E)</f>
        <v>Short-term Murabaha loans</v>
      </c>
      <c r="J36" t="str">
        <f>_xlfn.XLOOKUP($A36,Map!$A:$A,Map!F:F)</f>
        <v>Prepayments - current</v>
      </c>
    </row>
    <row r="37" spans="1:10" hidden="1" x14ac:dyDescent="0.25">
      <c r="A37" s="1">
        <v>170006</v>
      </c>
      <c r="B37" s="1" t="s">
        <v>45</v>
      </c>
      <c r="C37" s="3">
        <v>190719</v>
      </c>
      <c r="D37" s="3">
        <v>1491682</v>
      </c>
      <c r="E37" s="3">
        <v>1229084.699</v>
      </c>
      <c r="F37" s="3">
        <v>453316.30099999998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Prepaid expenses</v>
      </c>
      <c r="J37" t="str">
        <f>_xlfn.XLOOKUP($A37,Map!$A:$A,Map!F:F)</f>
        <v>Deposits - current</v>
      </c>
    </row>
    <row r="38" spans="1:10" hidden="1" x14ac:dyDescent="0.25">
      <c r="A38" s="1">
        <v>170007</v>
      </c>
      <c r="B38" s="1" t="s">
        <v>46</v>
      </c>
      <c r="C38" s="3">
        <v>1274692.58</v>
      </c>
      <c r="D38" s="3">
        <v>1066427.68</v>
      </c>
      <c r="E38" s="3">
        <v>2021171.3060000001</v>
      </c>
      <c r="F38" s="43">
        <v>319948.95400000003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Prepaid expenses</v>
      </c>
      <c r="J38" t="str">
        <f>_xlfn.XLOOKUP($A38,Map!$A:$A,Map!F:F)</f>
        <v>Deposits - current</v>
      </c>
    </row>
    <row r="39" spans="1:10" hidden="1" x14ac:dyDescent="0.25">
      <c r="A39" s="1">
        <v>170008</v>
      </c>
      <c r="B39" s="1" t="s">
        <v>47</v>
      </c>
      <c r="C39" s="3">
        <v>0</v>
      </c>
      <c r="D39" s="3">
        <v>189595.19</v>
      </c>
      <c r="E39" s="3">
        <v>189595.19200000001</v>
      </c>
      <c r="F39" s="3">
        <v>-2E-3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Prepaid expenses</v>
      </c>
      <c r="J39" t="str">
        <f>_xlfn.XLOOKUP($A39,Map!$A:$A,Map!F:F)</f>
        <v>Deposits - current</v>
      </c>
    </row>
    <row r="40" spans="1:10" hidden="1" x14ac:dyDescent="0.25">
      <c r="A40" s="1">
        <v>170009</v>
      </c>
      <c r="B40" s="1" t="s">
        <v>48</v>
      </c>
      <c r="C40" s="3">
        <v>120000.1</v>
      </c>
      <c r="D40" s="3">
        <v>2428620</v>
      </c>
      <c r="E40" s="3">
        <v>2453665.1</v>
      </c>
      <c r="F40" s="3">
        <v>94955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Prepaid expenses</v>
      </c>
      <c r="J40" t="str">
        <f>_xlfn.XLOOKUP($A40,Map!$A:$A,Map!F:F)</f>
        <v>Rent</v>
      </c>
    </row>
    <row r="41" spans="1:10" hidden="1" x14ac:dyDescent="0.25">
      <c r="A41" s="1">
        <v>170010</v>
      </c>
      <c r="B41" s="1" t="s">
        <v>49</v>
      </c>
      <c r="C41" s="3">
        <v>0</v>
      </c>
      <c r="D41" s="3">
        <v>607800</v>
      </c>
      <c r="E41" s="3">
        <v>607800</v>
      </c>
      <c r="F41" s="3">
        <v>0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Prepaid expenses</v>
      </c>
      <c r="J41" t="str">
        <f>_xlfn.XLOOKUP($A41,Map!$A:$A,Map!F:F)</f>
        <v>Housing allowance</v>
      </c>
    </row>
    <row r="42" spans="1:10" hidden="1" x14ac:dyDescent="0.25">
      <c r="A42" s="1">
        <v>170011</v>
      </c>
      <c r="B42" s="1" t="s">
        <v>50</v>
      </c>
      <c r="C42" s="3">
        <v>0</v>
      </c>
      <c r="D42" s="3">
        <v>108000</v>
      </c>
      <c r="E42" s="3">
        <v>108000</v>
      </c>
      <c r="F42" s="3">
        <v>0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Prepaid expenses</v>
      </c>
      <c r="J42" t="str">
        <f>_xlfn.XLOOKUP($A42,Map!$A:$A,Map!F:F)</f>
        <v>Air tickets</v>
      </c>
    </row>
    <row r="43" spans="1:10" hidden="1" x14ac:dyDescent="0.25">
      <c r="A43" s="1">
        <v>170013</v>
      </c>
      <c r="B43" s="1" t="s">
        <v>52</v>
      </c>
      <c r="C43" s="3">
        <v>59000</v>
      </c>
      <c r="D43" s="3">
        <v>0</v>
      </c>
      <c r="E43" s="3">
        <v>0</v>
      </c>
      <c r="F43" s="43">
        <v>59000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Prepaid expenses</v>
      </c>
      <c r="J43" t="str">
        <f>_xlfn.XLOOKUP($A43,Map!$A:$A,Map!F:F)</f>
        <v>Insurance</v>
      </c>
    </row>
    <row r="44" spans="1:10" hidden="1" x14ac:dyDescent="0.25">
      <c r="A44" s="1">
        <v>170014</v>
      </c>
      <c r="B44" s="1" t="s">
        <v>53</v>
      </c>
      <c r="C44" s="3">
        <v>227199</v>
      </c>
      <c r="D44" s="3">
        <v>483911.9</v>
      </c>
      <c r="E44" s="3">
        <v>483640.359</v>
      </c>
      <c r="F44" s="3">
        <v>227470.541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Prepaid expenses</v>
      </c>
      <c r="J44" t="str">
        <f>_xlfn.XLOOKUP($A44,Map!$A:$A,Map!F:F)</f>
        <v>Insurance</v>
      </c>
    </row>
    <row r="45" spans="1:10" hidden="1" x14ac:dyDescent="0.25">
      <c r="A45" s="1">
        <v>170015</v>
      </c>
      <c r="B45" s="1" t="s">
        <v>54</v>
      </c>
      <c r="C45" s="3">
        <v>0</v>
      </c>
      <c r="D45" s="3">
        <v>11385</v>
      </c>
      <c r="E45" s="3">
        <v>11385</v>
      </c>
      <c r="F45" s="43">
        <v>0</v>
      </c>
      <c r="G45" t="str">
        <f>_xlfn.XLOOKUP($A45,Map!$A:$A,Map!C:C)</f>
        <v>BS</v>
      </c>
      <c r="H45" t="str">
        <f>_xlfn.XLOOKUP($A45,Map!$A:$A,Map!D:D)</f>
        <v>Current Assets</v>
      </c>
      <c r="I45" t="str">
        <f>_xlfn.XLOOKUP($A45,Map!$A:$A,Map!E:E)</f>
        <v>Prepaid expenses</v>
      </c>
      <c r="J45" t="str">
        <f>_xlfn.XLOOKUP($A45,Map!$A:$A,Map!F:F)</f>
        <v>Salaries and wages</v>
      </c>
    </row>
    <row r="46" spans="1:10" hidden="1" x14ac:dyDescent="0.25">
      <c r="A46" s="1">
        <v>180001</v>
      </c>
      <c r="B46" s="1" t="s">
        <v>60</v>
      </c>
      <c r="C46" s="3">
        <v>156339.99</v>
      </c>
      <c r="D46" s="3">
        <v>2140102.5150000001</v>
      </c>
      <c r="E46" s="3">
        <v>2116100.781</v>
      </c>
      <c r="F46" s="3">
        <v>180341.72399999999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Inventories</v>
      </c>
      <c r="J46" t="str">
        <f>_xlfn.XLOOKUP($A46,Map!$A:$A,Map!F:F)</f>
        <v>Raw materials - Inventory</v>
      </c>
    </row>
    <row r="47" spans="1:10" hidden="1" x14ac:dyDescent="0.25">
      <c r="A47" s="1">
        <v>180002</v>
      </c>
      <c r="B47" s="1" t="s">
        <v>61</v>
      </c>
      <c r="C47" s="3">
        <v>0</v>
      </c>
      <c r="D47" s="3">
        <v>0</v>
      </c>
      <c r="E47" s="3">
        <v>0</v>
      </c>
      <c r="F47" s="3">
        <v>0</v>
      </c>
      <c r="G47" t="str">
        <f>_xlfn.XLOOKUP($A47,Map!$A:$A,Map!C:C)</f>
        <v>BS</v>
      </c>
      <c r="H47" t="str">
        <f>_xlfn.XLOOKUP($A47,Map!$A:$A,Map!D:D)</f>
        <v>Current Assets</v>
      </c>
      <c r="I47" t="str">
        <f>_xlfn.XLOOKUP($A47,Map!$A:$A,Map!E:E)</f>
        <v>Inventories</v>
      </c>
      <c r="J47" t="str">
        <f>_xlfn.XLOOKUP($A47,Map!$A:$A,Map!F:F)</f>
        <v>Raw materials - Inventory</v>
      </c>
    </row>
    <row r="48" spans="1:10" hidden="1" x14ac:dyDescent="0.25">
      <c r="A48" s="1">
        <v>180003</v>
      </c>
      <c r="B48" s="1" t="s">
        <v>62</v>
      </c>
      <c r="C48" s="3">
        <v>653513.32999999996</v>
      </c>
      <c r="D48" s="3">
        <v>3093536.287</v>
      </c>
      <c r="E48" s="3">
        <v>2084556.074</v>
      </c>
      <c r="F48" s="3">
        <v>1662493.5430000001</v>
      </c>
      <c r="G48" t="str">
        <f>_xlfn.XLOOKUP($A48,Map!$A:$A,Map!C:C)</f>
        <v>BS</v>
      </c>
      <c r="H48" t="str">
        <f>_xlfn.XLOOKUP($A48,Map!$A:$A,Map!D:D)</f>
        <v>Current Assets</v>
      </c>
      <c r="I48" t="str">
        <f>_xlfn.XLOOKUP($A48,Map!$A:$A,Map!E:E)</f>
        <v>Inventories</v>
      </c>
      <c r="J48" t="str">
        <f>_xlfn.XLOOKUP($A48,Map!$A:$A,Map!F:F)</f>
        <v>Spare parts - Inventory</v>
      </c>
    </row>
    <row r="49" spans="1:10" hidden="1" x14ac:dyDescent="0.25">
      <c r="A49" s="1">
        <v>180004</v>
      </c>
      <c r="B49" s="1" t="s">
        <v>63</v>
      </c>
      <c r="C49" s="3">
        <v>7043113.4110000003</v>
      </c>
      <c r="D49" s="3">
        <v>13601505.934</v>
      </c>
      <c r="E49" s="3">
        <v>17298531.063999999</v>
      </c>
      <c r="F49" s="3">
        <v>3346088.281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Inventories</v>
      </c>
      <c r="J49" t="str">
        <f>_xlfn.XLOOKUP($A49,Map!$A:$A,Map!F:F)</f>
        <v>Raw materials - Inventory</v>
      </c>
    </row>
    <row r="50" spans="1:10" hidden="1" x14ac:dyDescent="0.25">
      <c r="A50" s="1">
        <v>180005</v>
      </c>
      <c r="B50" s="1" t="s">
        <v>64</v>
      </c>
      <c r="C50" s="3">
        <v>5804758.5659999996</v>
      </c>
      <c r="D50" s="3">
        <v>15483036.51</v>
      </c>
      <c r="E50" s="3">
        <v>15536214.49</v>
      </c>
      <c r="F50" s="43">
        <v>5751580.5860000001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Inventories</v>
      </c>
      <c r="J50" t="str">
        <f>_xlfn.XLOOKUP($A50,Map!$A:$A,Map!F:F)</f>
        <v>Raw materials - Inventory</v>
      </c>
    </row>
    <row r="51" spans="1:10" hidden="1" x14ac:dyDescent="0.25">
      <c r="A51" s="1">
        <v>180006</v>
      </c>
      <c r="B51" s="1" t="s">
        <v>65</v>
      </c>
      <c r="C51" s="3">
        <v>673548.34199999995</v>
      </c>
      <c r="D51" s="3">
        <v>16789257.555</v>
      </c>
      <c r="E51" s="3">
        <v>16168058.896</v>
      </c>
      <c r="F51" s="3">
        <v>1294747.0009999999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Inventories</v>
      </c>
      <c r="J51" t="str">
        <f>_xlfn.XLOOKUP($A51,Map!$A:$A,Map!F:F)</f>
        <v>Raw materials - Inventory</v>
      </c>
    </row>
    <row r="52" spans="1:10" hidden="1" x14ac:dyDescent="0.25">
      <c r="A52" s="1">
        <v>180007</v>
      </c>
      <c r="B52" s="1" t="s">
        <v>66</v>
      </c>
      <c r="C52" s="3">
        <v>2013760.004</v>
      </c>
      <c r="D52" s="72">
        <v>7777237.4239999996</v>
      </c>
      <c r="E52" s="72">
        <v>8258614.8669999996</v>
      </c>
      <c r="F52" s="73">
        <v>1532382.561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Inventories</v>
      </c>
      <c r="J52" t="str">
        <f>_xlfn.XLOOKUP($A52,Map!$A:$A,Map!F:F)</f>
        <v>Raw materials - Inventory</v>
      </c>
    </row>
    <row r="53" spans="1:10" hidden="1" x14ac:dyDescent="0.25">
      <c r="A53" s="1">
        <v>180008</v>
      </c>
      <c r="B53" s="1" t="s">
        <v>67</v>
      </c>
      <c r="C53" s="3">
        <v>1442056.1510000001</v>
      </c>
      <c r="D53" s="72">
        <v>1802589.6059999999</v>
      </c>
      <c r="E53" s="72">
        <v>1744767.98</v>
      </c>
      <c r="F53" s="72">
        <v>1499877.777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Inventories</v>
      </c>
      <c r="J53" t="str">
        <f>_xlfn.XLOOKUP($A53,Map!$A:$A,Map!F:F)</f>
        <v>Raw materials - Inventory</v>
      </c>
    </row>
    <row r="54" spans="1:10" hidden="1" x14ac:dyDescent="0.25">
      <c r="A54" s="1">
        <v>180009</v>
      </c>
      <c r="B54" s="1" t="s">
        <v>68</v>
      </c>
      <c r="C54" s="3">
        <v>1</v>
      </c>
      <c r="D54" s="3">
        <v>3474339062.6100001</v>
      </c>
      <c r="E54" s="3">
        <v>3474339063.6100001</v>
      </c>
      <c r="F54" s="3">
        <v>0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Inventories</v>
      </c>
      <c r="J54" t="str">
        <f>_xlfn.XLOOKUP($A54,Map!$A:$A,Map!F:F)</f>
        <v>Raw materials - Inventory</v>
      </c>
    </row>
    <row r="55" spans="1:10" hidden="1" x14ac:dyDescent="0.25">
      <c r="A55" s="1">
        <v>180010</v>
      </c>
      <c r="B55" s="1" t="s">
        <v>69</v>
      </c>
      <c r="C55" s="3">
        <v>1212335.835</v>
      </c>
      <c r="D55" s="3">
        <v>9876672.0730000008</v>
      </c>
      <c r="E55" s="3">
        <v>9761554.0969999991</v>
      </c>
      <c r="F55" s="3">
        <v>1327453.811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Inventories</v>
      </c>
      <c r="J55" t="str">
        <f>_xlfn.XLOOKUP($A55,Map!$A:$A,Map!F:F)</f>
        <v>Packaging materials - Inventory</v>
      </c>
    </row>
    <row r="56" spans="1:10" hidden="1" x14ac:dyDescent="0.25">
      <c r="A56" s="1">
        <v>180011</v>
      </c>
      <c r="B56" s="1" t="s">
        <v>70</v>
      </c>
      <c r="C56" s="3">
        <v>5822773.6179999998</v>
      </c>
      <c r="D56" s="3">
        <v>211363056.495</v>
      </c>
      <c r="E56" s="3">
        <v>213387373.243</v>
      </c>
      <c r="F56" s="3">
        <v>3798456.87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Inventories</v>
      </c>
      <c r="J56" t="str">
        <f>_xlfn.XLOOKUP($A56,Map!$A:$A,Map!F:F)</f>
        <v>Finished goods - Inventory</v>
      </c>
    </row>
    <row r="57" spans="1:10" hidden="1" x14ac:dyDescent="0.25">
      <c r="A57" s="1">
        <v>180012</v>
      </c>
      <c r="B57" s="1" t="s">
        <v>71</v>
      </c>
      <c r="C57" s="3">
        <v>3491023.5520000001</v>
      </c>
      <c r="D57" s="3">
        <v>421254569.71600002</v>
      </c>
      <c r="E57" s="3">
        <v>422031151.31099999</v>
      </c>
      <c r="F57" s="3">
        <v>2714441.9569999999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Inventories</v>
      </c>
      <c r="J57" t="str">
        <f>_xlfn.XLOOKUP($A57,Map!$A:$A,Map!F:F)</f>
        <v>Work in progress - Inventory</v>
      </c>
    </row>
    <row r="58" spans="1:10" hidden="1" x14ac:dyDescent="0.25">
      <c r="A58" s="1">
        <v>180013</v>
      </c>
      <c r="B58" s="1" t="s">
        <v>72</v>
      </c>
      <c r="C58" s="3">
        <v>5752152.5599999996</v>
      </c>
      <c r="D58" s="3">
        <v>26416809.077</v>
      </c>
      <c r="E58" s="3">
        <v>26864091.748</v>
      </c>
      <c r="F58" s="3">
        <v>5304869.8890000004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Inventories</v>
      </c>
      <c r="J58" t="str">
        <f>_xlfn.XLOOKUP($A58,Map!$A:$A,Map!F:F)</f>
        <v>Finished goods - Inventory</v>
      </c>
    </row>
    <row r="59" spans="1:10" hidden="1" x14ac:dyDescent="0.25">
      <c r="A59" s="1">
        <v>180014</v>
      </c>
      <c r="B59" s="1" t="s">
        <v>73</v>
      </c>
      <c r="C59" s="3">
        <v>0</v>
      </c>
      <c r="D59" s="3">
        <v>588661297.61199999</v>
      </c>
      <c r="E59" s="3">
        <v>588661297.61199999</v>
      </c>
      <c r="F59" s="3">
        <v>0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Inventories</v>
      </c>
      <c r="J59" t="str">
        <f>_xlfn.XLOOKUP($A59,Map!$A:$A,Map!F:F)</f>
        <v>Work in progress - Inventory</v>
      </c>
    </row>
    <row r="60" spans="1:10" hidden="1" x14ac:dyDescent="0.25">
      <c r="A60" s="1">
        <v>180096</v>
      </c>
      <c r="B60" s="1" t="s">
        <v>74</v>
      </c>
      <c r="C60" s="3">
        <v>0</v>
      </c>
      <c r="D60" s="3">
        <v>545324079.66999996</v>
      </c>
      <c r="E60" s="3">
        <v>545324079.66999996</v>
      </c>
      <c r="F60" s="3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Inventories</v>
      </c>
      <c r="J60" t="str">
        <f>_xlfn.XLOOKUP($A60,Map!$A:$A,Map!F:F)</f>
        <v>Work in progress - Inventory</v>
      </c>
    </row>
    <row r="61" spans="1:10" hidden="1" x14ac:dyDescent="0.25">
      <c r="A61" s="1">
        <v>180097</v>
      </c>
      <c r="B61" s="1" t="s">
        <v>75</v>
      </c>
      <c r="C61" s="3">
        <v>0</v>
      </c>
      <c r="D61" s="3">
        <v>22193344.730999999</v>
      </c>
      <c r="E61" s="3">
        <v>22193344.730999999</v>
      </c>
      <c r="F61" s="3">
        <v>0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Inventories</v>
      </c>
      <c r="J61" t="str">
        <f>_xlfn.XLOOKUP($A61,Map!$A:$A,Map!F:F)</f>
        <v>Work in progress - Inventory</v>
      </c>
    </row>
    <row r="62" spans="1:10" hidden="1" x14ac:dyDescent="0.25">
      <c r="A62" s="1">
        <v>180098</v>
      </c>
      <c r="B62" s="1" t="s">
        <v>76</v>
      </c>
      <c r="C62" s="3">
        <v>0</v>
      </c>
      <c r="D62" s="3">
        <v>0.15</v>
      </c>
      <c r="E62" s="3">
        <v>0.15</v>
      </c>
      <c r="F62" s="3">
        <v>0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Inventories</v>
      </c>
      <c r="J62" t="str">
        <f>_xlfn.XLOOKUP($A62,Map!$A:$A,Map!F:F)</f>
        <v>Work in progress - Inventory</v>
      </c>
    </row>
    <row r="63" spans="1:10" hidden="1" x14ac:dyDescent="0.25">
      <c r="A63" s="1">
        <v>180099</v>
      </c>
      <c r="B63" s="1" t="s">
        <v>77</v>
      </c>
      <c r="C63" s="3">
        <v>0</v>
      </c>
      <c r="D63" s="3">
        <v>2694439.38</v>
      </c>
      <c r="E63" s="3">
        <v>2694439.38</v>
      </c>
      <c r="F63" s="3">
        <v>0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Goods in transit - Inventory</v>
      </c>
    </row>
    <row r="64" spans="1:10" x14ac:dyDescent="0.25">
      <c r="A64" s="1">
        <v>210001</v>
      </c>
      <c r="B64" s="1" t="s">
        <v>78</v>
      </c>
      <c r="C64" s="3">
        <v>1484072.36</v>
      </c>
      <c r="D64" s="3">
        <v>89163438.696999997</v>
      </c>
      <c r="E64" s="3">
        <v>90429692.657000005</v>
      </c>
      <c r="F64" s="3">
        <v>217818.4</v>
      </c>
      <c r="G64" t="str">
        <f>_xlfn.XLOOKUP($A64,Map!$A:$A,Map!C:C)</f>
        <v>BS</v>
      </c>
      <c r="H64" t="str">
        <f>_xlfn.XLOOKUP($A64,Map!$A:$A,Map!D:D)</f>
        <v>Current Liabilities</v>
      </c>
      <c r="I64" t="str">
        <f>_xlfn.XLOOKUP($A64,Map!$A:$A,Map!E:E)</f>
        <v>Tade payables and Accuals &amp; other credit balances</v>
      </c>
      <c r="J64" t="str">
        <f>_xlfn.XLOOKUP($A64,Map!$A:$A,Map!F:F)</f>
        <v>Trade payables - Foreign</v>
      </c>
    </row>
    <row r="65" spans="1:10" x14ac:dyDescent="0.25">
      <c r="A65" s="1">
        <v>210002</v>
      </c>
      <c r="B65" s="1" t="s">
        <v>79</v>
      </c>
      <c r="C65" s="3">
        <v>1910502.09</v>
      </c>
      <c r="D65" s="3">
        <v>54221905.254000001</v>
      </c>
      <c r="E65" s="3">
        <v>59287773.744000003</v>
      </c>
      <c r="F65" s="3">
        <v>-3155366.4</v>
      </c>
      <c r="G65" t="str">
        <f>_xlfn.XLOOKUP($A65,Map!$A:$A,Map!C:C)</f>
        <v>BS</v>
      </c>
      <c r="H65" t="str">
        <f>_xlfn.XLOOKUP($A65,Map!$A:$A,Map!D:D)</f>
        <v>Current Liabilities</v>
      </c>
      <c r="I65" t="str">
        <f>_xlfn.XLOOKUP($A65,Map!$A:$A,Map!E:E)</f>
        <v>Tade payables and Accuals &amp; other credit balances</v>
      </c>
      <c r="J65" t="str">
        <f>_xlfn.XLOOKUP($A65,Map!$A:$A,Map!F:F)</f>
        <v>Trade payables - Local</v>
      </c>
    </row>
    <row r="66" spans="1:10" hidden="1" x14ac:dyDescent="0.25">
      <c r="A66" s="1">
        <v>220001</v>
      </c>
      <c r="B66" s="1" t="s">
        <v>80</v>
      </c>
      <c r="C66" s="3">
        <v>0</v>
      </c>
      <c r="D66" s="3">
        <v>0</v>
      </c>
      <c r="E66" s="3">
        <v>0</v>
      </c>
      <c r="F66" s="3">
        <v>0</v>
      </c>
      <c r="G66" t="str">
        <f>_xlfn.XLOOKUP($A66,Map!$A:$A,Map!C:C)</f>
        <v>BS</v>
      </c>
      <c r="H66" t="str">
        <f>_xlfn.XLOOKUP($A66,Map!$A:$A,Map!D:D)</f>
        <v>Current Liabilities</v>
      </c>
      <c r="I66" t="str">
        <f>_xlfn.XLOOKUP($A66,Map!$A:$A,Map!E:E)</f>
        <v>Short-term Murabaha loans</v>
      </c>
      <c r="J66" t="str">
        <f>_xlfn.XLOOKUP($A66,Map!$A:$A,Map!F:F)</f>
        <v>Other loans - current</v>
      </c>
    </row>
    <row r="67" spans="1:10" hidden="1" x14ac:dyDescent="0.25">
      <c r="A67" s="1">
        <v>220002</v>
      </c>
      <c r="B67" s="1" t="s">
        <v>81</v>
      </c>
      <c r="C67" s="3">
        <v>-15001098.75</v>
      </c>
      <c r="D67" s="3">
        <v>33024247.451000001</v>
      </c>
      <c r="E67" s="3">
        <v>21566058.340999998</v>
      </c>
      <c r="F67" s="3">
        <v>-3542909.64</v>
      </c>
      <c r="G67" t="str">
        <f>_xlfn.XLOOKUP($A67,Map!$A:$A,Map!C:C)</f>
        <v>BS</v>
      </c>
      <c r="H67" t="str">
        <f>_xlfn.XLOOKUP($A67,Map!$A:$A,Map!D:D)</f>
        <v>Current Liabilities</v>
      </c>
      <c r="I67" t="str">
        <f>_xlfn.XLOOKUP($A67,Map!$A:$A,Map!E:E)</f>
        <v>Short-term Murabaha loans</v>
      </c>
      <c r="J67" t="str">
        <f>_xlfn.XLOOKUP($A67,Map!$A:$A,Map!F:F)</f>
        <v>Other loans - current</v>
      </c>
    </row>
    <row r="68" spans="1:10" hidden="1" x14ac:dyDescent="0.25">
      <c r="A68" s="1">
        <v>220003</v>
      </c>
      <c r="B68" s="1" t="s">
        <v>82</v>
      </c>
      <c r="C68" s="3">
        <v>0</v>
      </c>
      <c r="D68" s="3">
        <v>8350420.5499999998</v>
      </c>
      <c r="E68" s="3">
        <v>8350420.5499999998</v>
      </c>
      <c r="F68" s="3">
        <v>0</v>
      </c>
      <c r="G68" t="str">
        <f>_xlfn.XLOOKUP($A68,Map!$A:$A,Map!C:C)</f>
        <v>BS</v>
      </c>
      <c r="H68" t="str">
        <f>_xlfn.XLOOKUP($A68,Map!$A:$A,Map!D:D)</f>
        <v>Current Liabilities</v>
      </c>
      <c r="I68" t="str">
        <f>_xlfn.XLOOKUP($A68,Map!$A:$A,Map!E:E)</f>
        <v>Short-term Murabaha loans</v>
      </c>
      <c r="J68" t="str">
        <f>_xlfn.XLOOKUP($A68,Map!$A:$A,Map!F:F)</f>
        <v>Other loans - current</v>
      </c>
    </row>
    <row r="69" spans="1:10" hidden="1" x14ac:dyDescent="0.25">
      <c r="A69" s="1">
        <v>220004</v>
      </c>
      <c r="B69" s="1" t="s">
        <v>83</v>
      </c>
      <c r="C69" s="3">
        <v>-10194888.789999999</v>
      </c>
      <c r="D69" s="3">
        <v>13152463.632999999</v>
      </c>
      <c r="E69" s="3">
        <v>11586065.842</v>
      </c>
      <c r="F69" s="3">
        <v>-8628490.9989999998</v>
      </c>
      <c r="G69" t="str">
        <f>_xlfn.XLOOKUP($A69,Map!$A:$A,Map!C:C)</f>
        <v>BS</v>
      </c>
      <c r="H69" t="str">
        <f>_xlfn.XLOOKUP($A69,Map!$A:$A,Map!D:D)</f>
        <v>Current Liabilities</v>
      </c>
      <c r="I69" t="str">
        <f>_xlfn.XLOOKUP($A69,Map!$A:$A,Map!E:E)</f>
        <v>Short-term Murabaha loans</v>
      </c>
      <c r="J69" t="str">
        <f>_xlfn.XLOOKUP($A69,Map!$A:$A,Map!F:F)</f>
        <v>Other loans - current</v>
      </c>
    </row>
    <row r="70" spans="1:10" x14ac:dyDescent="0.25">
      <c r="A70" s="1">
        <v>230001</v>
      </c>
      <c r="B70" s="1" t="s">
        <v>86</v>
      </c>
      <c r="C70" s="3">
        <v>0</v>
      </c>
      <c r="D70" s="3">
        <v>2979866280.7919998</v>
      </c>
      <c r="E70" s="3">
        <v>2979866280.7919998</v>
      </c>
      <c r="F70" s="3">
        <v>0</v>
      </c>
      <c r="G70" t="str">
        <f>_xlfn.XLOOKUP($A70,Map!$A:$A,Map!C:C)</f>
        <v>BS</v>
      </c>
      <c r="H70" t="str">
        <f>_xlfn.XLOOKUP($A70,Map!$A:$A,Map!D:D)</f>
        <v>Current Liabilities</v>
      </c>
      <c r="I70" t="str">
        <f>_xlfn.XLOOKUP($A70,Map!$A:$A,Map!E:E)</f>
        <v>Tade payables and Accuals &amp; other credit balances</v>
      </c>
      <c r="J70" t="str">
        <f>_xlfn.XLOOKUP($A70,Map!$A:$A,Map!F:F)</f>
        <v>Clearing account</v>
      </c>
    </row>
    <row r="71" spans="1:10" x14ac:dyDescent="0.25">
      <c r="A71" s="1">
        <v>240001</v>
      </c>
      <c r="B71" s="1" t="s">
        <v>87</v>
      </c>
      <c r="C71" s="3">
        <v>4.0000000000000001E-3</v>
      </c>
      <c r="D71" s="3">
        <v>5183816.574</v>
      </c>
      <c r="E71" s="3">
        <v>5183816.5779999997</v>
      </c>
      <c r="F71" s="3">
        <v>0</v>
      </c>
      <c r="G71" t="str">
        <f>_xlfn.XLOOKUP($A71,Map!$A:$A,Map!C:C)</f>
        <v>BS</v>
      </c>
      <c r="H71" t="str">
        <f>_xlfn.XLOOKUP($A71,Map!$A:$A,Map!D:D)</f>
        <v>Current Liabilities</v>
      </c>
      <c r="I71" t="str">
        <f>_xlfn.XLOOKUP($A71,Map!$A:$A,Map!E:E)</f>
        <v>Tade payables and Accuals &amp; other credit balances</v>
      </c>
      <c r="J71" t="str">
        <f>_xlfn.XLOOKUP($A71,Map!$A:$A,Map!F:F)</f>
        <v>Overhead</v>
      </c>
    </row>
    <row r="72" spans="1:10" x14ac:dyDescent="0.25">
      <c r="A72" s="1">
        <v>240002</v>
      </c>
      <c r="B72" s="1" t="s">
        <v>88</v>
      </c>
      <c r="C72" s="3">
        <v>0</v>
      </c>
      <c r="D72" s="3">
        <v>872637</v>
      </c>
      <c r="E72" s="3">
        <v>223910</v>
      </c>
      <c r="F72" s="3">
        <v>648727</v>
      </c>
      <c r="G72" t="str">
        <f>_xlfn.XLOOKUP($A72,Map!$A:$A,Map!C:C)</f>
        <v>BS</v>
      </c>
      <c r="H72" t="str">
        <f>_xlfn.XLOOKUP($A72,Map!$A:$A,Map!D:D)</f>
        <v>Current Liabilities</v>
      </c>
      <c r="I72" t="str">
        <f>_xlfn.XLOOKUP($A72,Map!$A:$A,Map!E:E)</f>
        <v>Tade payables and Accuals &amp; other credit balances</v>
      </c>
      <c r="J72" t="str">
        <f>_xlfn.XLOOKUP($A72,Map!$A:$A,Map!F:F)</f>
        <v>Landed Cost - Customs</v>
      </c>
    </row>
    <row r="73" spans="1:10" x14ac:dyDescent="0.25">
      <c r="A73" s="1">
        <v>250001</v>
      </c>
      <c r="B73" s="1" t="s">
        <v>90</v>
      </c>
      <c r="C73" s="3">
        <v>0</v>
      </c>
      <c r="D73" s="3">
        <v>6482704.1900000004</v>
      </c>
      <c r="E73" s="3">
        <v>6482704.1900000004</v>
      </c>
      <c r="F73" s="3">
        <v>0</v>
      </c>
      <c r="G73" t="str">
        <f>_xlfn.XLOOKUP($A73,Map!$A:$A,Map!C:C)</f>
        <v>BS</v>
      </c>
      <c r="H73" t="str">
        <f>_xlfn.XLOOKUP($A73,Map!$A:$A,Map!D:D)</f>
        <v>Current Liabilities</v>
      </c>
      <c r="I73" t="str">
        <f>_xlfn.XLOOKUP($A73,Map!$A:$A,Map!E:E)</f>
        <v>Tade payables and Accuals &amp; other credit balances</v>
      </c>
      <c r="J73" t="str">
        <f>_xlfn.XLOOKUP($A73,Map!$A:$A,Map!F:F)</f>
        <v>Accrued salaries and wages</v>
      </c>
    </row>
    <row r="74" spans="1:10" x14ac:dyDescent="0.25">
      <c r="A74" s="1">
        <v>250002</v>
      </c>
      <c r="B74" s="1" t="s">
        <v>91</v>
      </c>
      <c r="C74" s="3">
        <v>-150000</v>
      </c>
      <c r="D74" s="3">
        <v>1919328.22</v>
      </c>
      <c r="E74" s="3">
        <v>1919328.22</v>
      </c>
      <c r="F74" s="3">
        <v>-150000</v>
      </c>
      <c r="G74" t="str">
        <f>_xlfn.XLOOKUP($A74,Map!$A:$A,Map!C:C)</f>
        <v>BS</v>
      </c>
      <c r="H74" t="str">
        <f>_xlfn.XLOOKUP($A74,Map!$A:$A,Map!D:D)</f>
        <v>Current Liabilities</v>
      </c>
      <c r="I74" t="str">
        <f>_xlfn.XLOOKUP($A74,Map!$A:$A,Map!E:E)</f>
        <v>Tade payables and Accuals &amp; other credit balances</v>
      </c>
      <c r="J74" t="str">
        <f>_xlfn.XLOOKUP($A74,Map!$A:$A,Map!F:F)</f>
        <v>Accrued utilities</v>
      </c>
    </row>
    <row r="75" spans="1:10" hidden="1" x14ac:dyDescent="0.25">
      <c r="A75" s="1">
        <v>250003</v>
      </c>
      <c r="B75" s="1" t="s">
        <v>92</v>
      </c>
      <c r="C75" s="3">
        <v>-1537200</v>
      </c>
      <c r="D75" s="3">
        <v>1677654</v>
      </c>
      <c r="E75" s="3">
        <v>1505564</v>
      </c>
      <c r="F75" s="3">
        <v>-1365110</v>
      </c>
      <c r="G75" t="str">
        <f>_xlfn.XLOOKUP($A75,Map!$A:$A,Map!C:C)</f>
        <v>BS</v>
      </c>
      <c r="H75" t="str">
        <f>_xlfn.XLOOKUP($A75,Map!$A:$A,Map!D:D)</f>
        <v>Current Liabilities</v>
      </c>
      <c r="I75" t="str">
        <f>_xlfn.XLOOKUP($A75,Map!$A:$A,Map!E:E)</f>
        <v>Zakat provision</v>
      </c>
      <c r="J75" t="str">
        <f>_xlfn.XLOOKUP($A75,Map!$A:$A,Map!F:F)</f>
        <v>Zakat provision</v>
      </c>
    </row>
    <row r="76" spans="1:10" x14ac:dyDescent="0.25">
      <c r="A76" s="1">
        <v>250004</v>
      </c>
      <c r="B76" s="1" t="s">
        <v>93</v>
      </c>
      <c r="C76" s="3">
        <v>-1200000</v>
      </c>
      <c r="D76" s="3">
        <v>1686053.0009999999</v>
      </c>
      <c r="E76" s="3">
        <v>1206053.0009999999</v>
      </c>
      <c r="F76" s="3">
        <v>-720000</v>
      </c>
      <c r="G76" t="str">
        <f>_xlfn.XLOOKUP($A76,Map!$A:$A,Map!C:C)</f>
        <v>BS</v>
      </c>
      <c r="H76" t="str">
        <f>_xlfn.XLOOKUP($A76,Map!$A:$A,Map!D:D)</f>
        <v>Current Liabilities</v>
      </c>
      <c r="I76" t="str">
        <f>_xlfn.XLOOKUP($A76,Map!$A:$A,Map!E:E)</f>
        <v>Tade payables and Accuals &amp; other credit balances</v>
      </c>
      <c r="J76" t="str">
        <f>_xlfn.XLOOKUP($A76,Map!$A:$A,Map!F:F)</f>
        <v>Accrued bonus</v>
      </c>
    </row>
    <row r="77" spans="1:10" x14ac:dyDescent="0.25">
      <c r="A77" s="1">
        <v>250005</v>
      </c>
      <c r="B77" s="1" t="s">
        <v>94</v>
      </c>
      <c r="C77" s="3">
        <v>-50000</v>
      </c>
      <c r="D77" s="3">
        <v>50000</v>
      </c>
      <c r="E77" s="3">
        <v>62000</v>
      </c>
      <c r="F77" s="3">
        <v>-62000</v>
      </c>
      <c r="G77" t="str">
        <f>_xlfn.XLOOKUP($A77,Map!$A:$A,Map!C:C)</f>
        <v>BS</v>
      </c>
      <c r="H77" t="str">
        <f>_xlfn.XLOOKUP($A77,Map!$A:$A,Map!D:D)</f>
        <v>Current Liabilities</v>
      </c>
      <c r="I77" t="str">
        <f>_xlfn.XLOOKUP($A77,Map!$A:$A,Map!E:E)</f>
        <v>Tade payables and Accuals &amp; other credit balances</v>
      </c>
      <c r="J77" t="str">
        <f>_xlfn.XLOOKUP($A77,Map!$A:$A,Map!F:F)</f>
        <v>Accrued expenses</v>
      </c>
    </row>
    <row r="78" spans="1:10" hidden="1" x14ac:dyDescent="0.25">
      <c r="A78" s="1">
        <v>260001</v>
      </c>
      <c r="B78" s="1" t="s">
        <v>96</v>
      </c>
      <c r="C78" s="3">
        <v>-3512480</v>
      </c>
      <c r="D78" s="3">
        <v>1056.6400000000001</v>
      </c>
      <c r="E78" s="3">
        <v>1344903.64</v>
      </c>
      <c r="F78" s="3">
        <v>-4856327</v>
      </c>
      <c r="G78" t="str">
        <f>_xlfn.XLOOKUP($A78,Map!$A:$A,Map!C:C)</f>
        <v>BS</v>
      </c>
      <c r="H78" t="str">
        <f>_xlfn.XLOOKUP($A78,Map!$A:$A,Map!D:D)</f>
        <v>Stockholder's equity</v>
      </c>
      <c r="I78" t="str">
        <f>_xlfn.XLOOKUP($A78,Map!$A:$A,Map!E:E)</f>
        <v>Statutory reserve</v>
      </c>
      <c r="J78" t="str">
        <f>_xlfn.XLOOKUP($A78,Map!$A:$A,Map!F:F)</f>
        <v>Statutory reserve</v>
      </c>
    </row>
    <row r="79" spans="1:10" hidden="1" x14ac:dyDescent="0.25">
      <c r="A79" s="1">
        <v>260002</v>
      </c>
      <c r="B79" s="1" t="s">
        <v>97</v>
      </c>
      <c r="C79" s="3">
        <v>-2925857.71</v>
      </c>
      <c r="D79" s="3">
        <v>1039050.43</v>
      </c>
      <c r="E79" s="3">
        <v>1105880.662</v>
      </c>
      <c r="F79" s="3">
        <v>-2992687.9419999998</v>
      </c>
      <c r="G79" t="str">
        <f>_xlfn.XLOOKUP($A79,Map!$A:$A,Map!C:C)</f>
        <v>BS</v>
      </c>
      <c r="H79" t="str">
        <f>_xlfn.XLOOKUP($A79,Map!$A:$A,Map!D:D)</f>
        <v>Non-Current Liabilities</v>
      </c>
      <c r="I79" t="str">
        <f>_xlfn.XLOOKUP($A79,Map!$A:$A,Map!E:E)</f>
        <v xml:space="preserve">End-of-service indemnities </v>
      </c>
      <c r="J79" t="str">
        <f>_xlfn.XLOOKUP($A79,Map!$A:$A,Map!F:F)</f>
        <v xml:space="preserve">End-of-service indemnities </v>
      </c>
    </row>
    <row r="80" spans="1:10" hidden="1" x14ac:dyDescent="0.25">
      <c r="A80" s="1">
        <v>260003</v>
      </c>
      <c r="B80" s="1" t="s">
        <v>98</v>
      </c>
      <c r="C80" s="3">
        <v>-1409581.54</v>
      </c>
      <c r="D80" s="3">
        <v>443612.50099999999</v>
      </c>
      <c r="E80" s="3">
        <v>443612.50099999999</v>
      </c>
      <c r="F80" s="3">
        <v>-1409581.54</v>
      </c>
      <c r="G80" t="str">
        <f>_xlfn.XLOOKUP($A80,Map!$A:$A,Map!C:C)</f>
        <v>BS</v>
      </c>
      <c r="H80" t="str">
        <f>_xlfn.XLOOKUP($A80,Map!$A:$A,Map!D:D)</f>
        <v>Current Assets</v>
      </c>
      <c r="I80" t="str">
        <f>_xlfn.XLOOKUP($A80,Map!$A:$A,Map!E:E)</f>
        <v>Trade receivables</v>
      </c>
      <c r="J80" t="str">
        <f>_xlfn.XLOOKUP($A80,Map!$A:$A,Map!F:F)</f>
        <v>Provisions</v>
      </c>
    </row>
    <row r="81" spans="1:10" hidden="1" x14ac:dyDescent="0.25">
      <c r="A81" s="1">
        <v>310001</v>
      </c>
      <c r="B81" s="1" t="s">
        <v>106</v>
      </c>
      <c r="C81" s="3">
        <v>-37273736.528999999</v>
      </c>
      <c r="D81" s="3">
        <v>10202296.85</v>
      </c>
      <c r="E81" s="3">
        <v>1055.3900000000001</v>
      </c>
      <c r="F81" s="3">
        <v>-27072495.068999998</v>
      </c>
      <c r="G81" t="str">
        <f>_xlfn.XLOOKUP($A81,Map!$A:$A,Map!C:C)</f>
        <v>BS</v>
      </c>
      <c r="H81" t="str">
        <f>_xlfn.XLOOKUP($A81,Map!$A:$A,Map!D:D)</f>
        <v>Stockholder's equity</v>
      </c>
      <c r="I81" t="str">
        <f>_xlfn.XLOOKUP($A81,Map!$A:$A,Map!E:E)</f>
        <v>Retained earnings</v>
      </c>
      <c r="J81" t="str">
        <f>_xlfn.XLOOKUP($A81,Map!$A:$A,Map!F:F)</f>
        <v>Retained earnings</v>
      </c>
    </row>
    <row r="82" spans="1:10" hidden="1" x14ac:dyDescent="0.25">
      <c r="A82" s="1">
        <v>330001</v>
      </c>
      <c r="B82" s="1" t="s">
        <v>107</v>
      </c>
      <c r="C82" s="3">
        <v>-1766750</v>
      </c>
      <c r="D82" s="3">
        <v>0</v>
      </c>
      <c r="E82" s="3">
        <v>0</v>
      </c>
      <c r="F82" s="3">
        <v>-1766750</v>
      </c>
      <c r="G82" t="str">
        <f>_xlfn.XLOOKUP($A82,Map!$A:$A,Map!C:C)</f>
        <v>BS</v>
      </c>
      <c r="H82" t="str">
        <f>_xlfn.XLOOKUP($A82,Map!$A:$A,Map!D:D)</f>
        <v>Stockholder's equity</v>
      </c>
      <c r="I82" t="str">
        <f>_xlfn.XLOOKUP($A82,Map!$A:$A,Map!E:E)</f>
        <v>Retained earnings</v>
      </c>
      <c r="J82" t="str">
        <f>_xlfn.XLOOKUP($A82,Map!$A:$A,Map!F:F)</f>
        <v>Retained earnings</v>
      </c>
    </row>
    <row r="83" spans="1:10" hidden="1" x14ac:dyDescent="0.25">
      <c r="A83" s="1">
        <v>330002</v>
      </c>
      <c r="B83" s="1" t="s">
        <v>108</v>
      </c>
      <c r="C83" s="3">
        <v>-33568250</v>
      </c>
      <c r="D83" s="3">
        <v>0</v>
      </c>
      <c r="E83" s="3">
        <v>0</v>
      </c>
      <c r="F83" s="3">
        <v>-33568250</v>
      </c>
      <c r="G83" t="str">
        <f>_xlfn.XLOOKUP($A83,Map!$A:$A,Map!C:C)</f>
        <v>BS</v>
      </c>
      <c r="H83" t="str">
        <f>_xlfn.XLOOKUP($A83,Map!$A:$A,Map!D:D)</f>
        <v>Stockholder's equity</v>
      </c>
      <c r="I83" t="str">
        <f>_xlfn.XLOOKUP($A83,Map!$A:$A,Map!E:E)</f>
        <v>Share capital</v>
      </c>
      <c r="J83" t="str">
        <f>_xlfn.XLOOKUP($A83,Map!$A:$A,Map!F:F)</f>
        <v>Share capital</v>
      </c>
    </row>
    <row r="84" spans="1:10" hidden="1" x14ac:dyDescent="0.25">
      <c r="A84" s="1">
        <v>410001</v>
      </c>
      <c r="B84" s="1" t="s">
        <v>110</v>
      </c>
      <c r="C84" s="3">
        <v>0</v>
      </c>
      <c r="D84" s="3">
        <v>53015605.498999998</v>
      </c>
      <c r="E84" s="3">
        <v>207954296.998</v>
      </c>
      <c r="F84" s="3">
        <v>-154938691.49900001</v>
      </c>
      <c r="G84" t="str">
        <f>_xlfn.XLOOKUP($A84,Map!$A:$A,Map!C:C)</f>
        <v>IS</v>
      </c>
      <c r="H84" t="str">
        <f>_xlfn.XLOOKUP($A84,Map!$A:$A,Map!D:D)</f>
        <v>Sales</v>
      </c>
      <c r="I84" t="str">
        <f>_xlfn.XLOOKUP($A84,Map!$A:$A,Map!E:E)</f>
        <v>Sales</v>
      </c>
      <c r="J84" t="str">
        <f>_xlfn.XLOOKUP($A84,Map!$A:$A,Map!F:F)</f>
        <v>Trading revenue</v>
      </c>
    </row>
    <row r="85" spans="1:10" hidden="1" x14ac:dyDescent="0.25">
      <c r="A85" s="1">
        <v>410002</v>
      </c>
      <c r="B85" s="1" t="s">
        <v>111</v>
      </c>
      <c r="C85" s="3">
        <v>0</v>
      </c>
      <c r="D85" s="3">
        <v>1315627.1070000001</v>
      </c>
      <c r="E85" s="3">
        <v>899767.72</v>
      </c>
      <c r="F85" s="3">
        <v>415859.38699999999</v>
      </c>
      <c r="G85" t="str">
        <f>_xlfn.XLOOKUP($A85,Map!$A:$A,Map!C:C)</f>
        <v>IS</v>
      </c>
      <c r="H85" t="str">
        <f>_xlfn.XLOOKUP($A85,Map!$A:$A,Map!D:D)</f>
        <v>Sales</v>
      </c>
      <c r="I85" t="str">
        <f>_xlfn.XLOOKUP($A85,Map!$A:$A,Map!E:E)</f>
        <v>Sales</v>
      </c>
      <c r="J85" t="str">
        <f>_xlfn.XLOOKUP($A85,Map!$A:$A,Map!F:F)</f>
        <v>Trading revenue</v>
      </c>
    </row>
    <row r="86" spans="1:10" hidden="1" x14ac:dyDescent="0.25">
      <c r="A86" s="1">
        <v>410003</v>
      </c>
      <c r="B86" s="1" t="s">
        <v>112</v>
      </c>
      <c r="C86" s="3">
        <v>0</v>
      </c>
      <c r="D86" s="3">
        <v>27318.399000000001</v>
      </c>
      <c r="E86" s="3">
        <v>7072</v>
      </c>
      <c r="F86" s="3">
        <v>20246.399000000001</v>
      </c>
      <c r="G86" t="str">
        <f>_xlfn.XLOOKUP($A86,Map!$A:$A,Map!C:C)</f>
        <v>IS</v>
      </c>
      <c r="H86" t="str">
        <f>_xlfn.XLOOKUP($A86,Map!$A:$A,Map!D:D)</f>
        <v>Sales</v>
      </c>
      <c r="I86" t="str">
        <f>_xlfn.XLOOKUP($A86,Map!$A:$A,Map!E:E)</f>
        <v>Sales</v>
      </c>
      <c r="J86" t="str">
        <f>_xlfn.XLOOKUP($A86,Map!$A:$A,Map!F:F)</f>
        <v>Trading revenue</v>
      </c>
    </row>
    <row r="87" spans="1:10" hidden="1" x14ac:dyDescent="0.25">
      <c r="A87" s="1">
        <v>410004</v>
      </c>
      <c r="B87" s="1" t="s">
        <v>113</v>
      </c>
      <c r="C87" s="3">
        <v>0</v>
      </c>
      <c r="D87" s="3">
        <v>0</v>
      </c>
      <c r="E87" s="3">
        <v>0</v>
      </c>
      <c r="F87" s="3">
        <v>0</v>
      </c>
      <c r="G87" t="str">
        <f>_xlfn.XLOOKUP($A87,Map!$A:$A,Map!C:C)</f>
        <v>IS</v>
      </c>
      <c r="H87" t="str">
        <f>_xlfn.XLOOKUP($A87,Map!$A:$A,Map!D:D)</f>
        <v>Sales</v>
      </c>
      <c r="I87" t="str">
        <f>_xlfn.XLOOKUP($A87,Map!$A:$A,Map!E:E)</f>
        <v>Sales</v>
      </c>
      <c r="J87" t="str">
        <f>_xlfn.XLOOKUP($A87,Map!$A:$A,Map!F:F)</f>
        <v>Scrap sales</v>
      </c>
    </row>
    <row r="88" spans="1:10" hidden="1" x14ac:dyDescent="0.25">
      <c r="A88" s="1">
        <v>420003</v>
      </c>
      <c r="B88" s="1" t="s">
        <v>115</v>
      </c>
      <c r="C88" s="3">
        <v>0</v>
      </c>
      <c r="D88" s="3">
        <v>0.55200000000000005</v>
      </c>
      <c r="E88" s="3">
        <v>0.59899999999999998</v>
      </c>
      <c r="F88" s="3">
        <v>-4.7E-2</v>
      </c>
      <c r="G88" t="str">
        <f>_xlfn.XLOOKUP($A88,Map!$A:$A,Map!C:C)</f>
        <v>IS</v>
      </c>
      <c r="H88" t="str">
        <f>_xlfn.XLOOKUP($A88,Map!$A:$A,Map!D:D)</f>
        <v>Sales</v>
      </c>
      <c r="I88" t="str">
        <f>_xlfn.XLOOKUP($A88,Map!$A:$A,Map!E:E)</f>
        <v>Sales</v>
      </c>
      <c r="J88" t="str">
        <f>_xlfn.XLOOKUP($A88,Map!$A:$A,Map!F:F)</f>
        <v>Scrap sales</v>
      </c>
    </row>
    <row r="89" spans="1:10" hidden="1" x14ac:dyDescent="0.25">
      <c r="A89" s="1">
        <v>510001</v>
      </c>
      <c r="B89" s="1" t="s">
        <v>116</v>
      </c>
      <c r="C89" s="3">
        <v>0</v>
      </c>
      <c r="D89" s="3">
        <v>175962242.678</v>
      </c>
      <c r="E89" s="3">
        <v>61589722.020000003</v>
      </c>
      <c r="F89" s="3">
        <v>114372520.65800001</v>
      </c>
      <c r="G89" t="str">
        <f>_xlfn.XLOOKUP($A89,Map!$A:$A,Map!C:C)</f>
        <v>IS</v>
      </c>
      <c r="H89" t="str">
        <f>_xlfn.XLOOKUP($A89,Map!$A:$A,Map!D:D)</f>
        <v>Cost of sales</v>
      </c>
      <c r="I89" t="str">
        <f>_xlfn.XLOOKUP($A89,Map!$A:$A,Map!E:E)</f>
        <v>Raw materials</v>
      </c>
      <c r="J89" t="str">
        <f>_xlfn.XLOOKUP($A89,Map!$A:$A,Map!F:F)</f>
        <v>Raw materials</v>
      </c>
    </row>
    <row r="90" spans="1:10" hidden="1" x14ac:dyDescent="0.25">
      <c r="A90" s="1">
        <v>510002</v>
      </c>
      <c r="B90" s="1" t="s">
        <v>117</v>
      </c>
      <c r="C90" s="3">
        <v>0</v>
      </c>
      <c r="D90" s="3">
        <v>5475102.4270000001</v>
      </c>
      <c r="E90" s="3">
        <v>510517.85499999998</v>
      </c>
      <c r="F90" s="3">
        <v>4964584.5719999997</v>
      </c>
      <c r="G90" t="str">
        <f>_xlfn.XLOOKUP($A90,Map!$A:$A,Map!C:C)</f>
        <v>IS</v>
      </c>
      <c r="H90" t="str">
        <f>_xlfn.XLOOKUP($A90,Map!$A:$A,Map!D:D)</f>
        <v>Cost of sales</v>
      </c>
      <c r="I90" t="str">
        <f>_xlfn.XLOOKUP($A90,Map!$A:$A,Map!E:E)</f>
        <v>Direct Labor</v>
      </c>
      <c r="J90" t="str">
        <f>_xlfn.XLOOKUP($A90,Map!$A:$A,Map!F:F)</f>
        <v>Direct Labor</v>
      </c>
    </row>
    <row r="91" spans="1:10" hidden="1" x14ac:dyDescent="0.25">
      <c r="A91" s="1">
        <v>510003</v>
      </c>
      <c r="B91" s="1" t="s">
        <v>118</v>
      </c>
      <c r="C91" s="3">
        <v>0</v>
      </c>
      <c r="D91" s="3">
        <v>6433825.5999999996</v>
      </c>
      <c r="E91" s="3">
        <v>5108577.0219999999</v>
      </c>
      <c r="F91" s="3">
        <v>1325248.578</v>
      </c>
      <c r="G91" t="str">
        <f>_xlfn.XLOOKUP($A91,Map!$A:$A,Map!C:C)</f>
        <v>IS</v>
      </c>
      <c r="H91" t="str">
        <f>_xlfn.XLOOKUP($A91,Map!$A:$A,Map!D:D)</f>
        <v>Cost of sales</v>
      </c>
      <c r="I91" t="str">
        <f>_xlfn.XLOOKUP($A91,Map!$A:$A,Map!E:E)</f>
        <v>Raw materials</v>
      </c>
      <c r="J91" t="str">
        <f>_xlfn.XLOOKUP($A91,Map!$A:$A,Map!F:F)</f>
        <v>Raw materials</v>
      </c>
    </row>
    <row r="92" spans="1:10" hidden="1" x14ac:dyDescent="0.25">
      <c r="A92" s="1">
        <v>510004</v>
      </c>
      <c r="B92" s="1" t="s">
        <v>119</v>
      </c>
      <c r="C92" s="3">
        <v>0</v>
      </c>
      <c r="D92" s="3">
        <v>31117195.221000001</v>
      </c>
      <c r="E92" s="3">
        <v>24459434.291000001</v>
      </c>
      <c r="F92" s="3">
        <v>6657760.9299999997</v>
      </c>
      <c r="G92" t="str">
        <f>_xlfn.XLOOKUP($A92,Map!$A:$A,Map!C:C)</f>
        <v>IS</v>
      </c>
      <c r="H92" t="str">
        <f>_xlfn.XLOOKUP($A92,Map!$A:$A,Map!D:D)</f>
        <v>Cost of sales</v>
      </c>
      <c r="I92" t="str">
        <f>_xlfn.XLOOKUP($A92,Map!$A:$A,Map!E:E)</f>
        <v>Raw materials</v>
      </c>
      <c r="J92" t="str">
        <f>_xlfn.XLOOKUP($A92,Map!$A:$A,Map!F:F)</f>
        <v>Other expenses</v>
      </c>
    </row>
    <row r="93" spans="1:10" hidden="1" x14ac:dyDescent="0.25">
      <c r="A93" s="1">
        <v>510005</v>
      </c>
      <c r="B93" s="1" t="s">
        <v>120</v>
      </c>
      <c r="C93" s="3">
        <v>0</v>
      </c>
      <c r="D93" s="3">
        <v>285940.07299999997</v>
      </c>
      <c r="E93" s="3">
        <v>285940.07299999997</v>
      </c>
      <c r="F93" s="3">
        <v>0</v>
      </c>
      <c r="G93" t="str">
        <f>_xlfn.XLOOKUP($A93,Map!$A:$A,Map!C:C)</f>
        <v>IS</v>
      </c>
      <c r="H93" t="str">
        <f>_xlfn.XLOOKUP($A93,Map!$A:$A,Map!D:D)</f>
        <v>Cost of sales</v>
      </c>
      <c r="I93" t="str">
        <f>_xlfn.XLOOKUP($A93,Map!$A:$A,Map!E:E)</f>
        <v>Raw materials</v>
      </c>
      <c r="J93" t="str">
        <f>_xlfn.XLOOKUP($A93,Map!$A:$A,Map!F:F)</f>
        <v>Other expenses</v>
      </c>
    </row>
    <row r="94" spans="1:10" hidden="1" x14ac:dyDescent="0.25">
      <c r="A94" s="1">
        <v>520001</v>
      </c>
      <c r="B94" s="1" t="s">
        <v>121</v>
      </c>
      <c r="C94" s="3">
        <v>0</v>
      </c>
      <c r="D94" s="3">
        <v>2233134.798</v>
      </c>
      <c r="E94" s="3">
        <v>2233134.798</v>
      </c>
      <c r="F94" s="3">
        <v>0</v>
      </c>
      <c r="G94" t="str">
        <f>_xlfn.XLOOKUP($A94,Map!$A:$A,Map!C:C)</f>
        <v>IS</v>
      </c>
      <c r="H94" t="str">
        <f>_xlfn.XLOOKUP($A94,Map!$A:$A,Map!D:D)</f>
        <v>Cost of sales</v>
      </c>
      <c r="I94" t="str">
        <f>_xlfn.XLOOKUP($A94,Map!$A:$A,Map!E:E)</f>
        <v>Direct Labor</v>
      </c>
      <c r="J94" t="str">
        <f>_xlfn.XLOOKUP($A94,Map!$A:$A,Map!F:F)</f>
        <v>Salaries and wages</v>
      </c>
    </row>
    <row r="95" spans="1:10" hidden="1" x14ac:dyDescent="0.25">
      <c r="A95" s="1">
        <v>520002</v>
      </c>
      <c r="B95" s="1" t="s">
        <v>122</v>
      </c>
      <c r="C95" s="3">
        <v>0</v>
      </c>
      <c r="D95" s="3">
        <v>0</v>
      </c>
      <c r="E95" s="3">
        <v>0</v>
      </c>
      <c r="F95" s="3">
        <v>0</v>
      </c>
      <c r="G95" t="str">
        <f>_xlfn.XLOOKUP($A95,Map!$A:$A,Map!C:C)</f>
        <v>IS</v>
      </c>
      <c r="H95" t="str">
        <f>_xlfn.XLOOKUP($A95,Map!$A:$A,Map!D:D)</f>
        <v>Cost of sales</v>
      </c>
      <c r="I95" t="str">
        <f>_xlfn.XLOOKUP($A95,Map!$A:$A,Map!E:E)</f>
        <v>Direct Labor</v>
      </c>
      <c r="J95" t="str">
        <f>_xlfn.XLOOKUP($A95,Map!$A:$A,Map!F:F)</f>
        <v>Overtime pay</v>
      </c>
    </row>
    <row r="96" spans="1:10" hidden="1" x14ac:dyDescent="0.25">
      <c r="A96" s="1">
        <v>520003</v>
      </c>
      <c r="B96" s="1" t="s">
        <v>123</v>
      </c>
      <c r="C96" s="3">
        <v>0</v>
      </c>
      <c r="D96" s="3">
        <v>47900</v>
      </c>
      <c r="E96" s="3">
        <v>47900</v>
      </c>
      <c r="F96" s="3">
        <v>0</v>
      </c>
      <c r="G96" t="str">
        <f>_xlfn.XLOOKUP($A96,Map!$A:$A,Map!C:C)</f>
        <v>IS</v>
      </c>
      <c r="H96" t="str">
        <f>_xlfn.XLOOKUP($A96,Map!$A:$A,Map!D:D)</f>
        <v>Cost of sales</v>
      </c>
      <c r="I96" t="str">
        <f>_xlfn.XLOOKUP($A96,Map!$A:$A,Map!E:E)</f>
        <v>Direct Labor</v>
      </c>
      <c r="J96" t="str">
        <f>_xlfn.XLOOKUP($A96,Map!$A:$A,Map!F:F)</f>
        <v>Transportation allowance</v>
      </c>
    </row>
    <row r="97" spans="1:10" hidden="1" x14ac:dyDescent="0.25">
      <c r="A97" s="1">
        <v>520004</v>
      </c>
      <c r="B97" s="1" t="s">
        <v>124</v>
      </c>
      <c r="C97" s="3">
        <v>0</v>
      </c>
      <c r="D97" s="3">
        <v>112439</v>
      </c>
      <c r="E97" s="3">
        <v>112439</v>
      </c>
      <c r="F97" s="3">
        <v>0</v>
      </c>
      <c r="G97" t="str">
        <f>_xlfn.XLOOKUP($A97,Map!$A:$A,Map!C:C)</f>
        <v>IS</v>
      </c>
      <c r="H97" t="str">
        <f>_xlfn.XLOOKUP($A97,Map!$A:$A,Map!D:D)</f>
        <v>Cost of sales</v>
      </c>
      <c r="I97" t="str">
        <f>_xlfn.XLOOKUP($A97,Map!$A:$A,Map!E:E)</f>
        <v>Direct Labor</v>
      </c>
      <c r="J97" t="str">
        <f>_xlfn.XLOOKUP($A97,Map!$A:$A,Map!F:F)</f>
        <v>Food and housing</v>
      </c>
    </row>
    <row r="98" spans="1:10" hidden="1" x14ac:dyDescent="0.25">
      <c r="A98" s="1">
        <v>520005</v>
      </c>
      <c r="B98" s="1" t="s">
        <v>125</v>
      </c>
      <c r="C98" s="3">
        <v>0</v>
      </c>
      <c r="D98" s="3">
        <v>0</v>
      </c>
      <c r="E98" s="3">
        <v>0</v>
      </c>
      <c r="F98" s="3">
        <v>0</v>
      </c>
      <c r="G98" t="str">
        <f>_xlfn.XLOOKUP($A98,Map!$A:$A,Map!C:C)</f>
        <v>IS</v>
      </c>
      <c r="H98" t="str">
        <f>_xlfn.XLOOKUP($A98,Map!$A:$A,Map!D:D)</f>
        <v>Cost of sales</v>
      </c>
      <c r="I98" t="str">
        <f>_xlfn.XLOOKUP($A98,Map!$A:$A,Map!E:E)</f>
        <v>Direct Labor</v>
      </c>
      <c r="J98" t="str">
        <f>_xlfn.XLOOKUP($A98,Map!$A:$A,Map!F:F)</f>
        <v>Leave pay</v>
      </c>
    </row>
    <row r="99" spans="1:10" hidden="1" x14ac:dyDescent="0.25">
      <c r="A99" s="1">
        <v>520006</v>
      </c>
      <c r="B99" s="1" t="s">
        <v>126</v>
      </c>
      <c r="C99" s="3">
        <v>0</v>
      </c>
      <c r="D99" s="3">
        <v>325213.766</v>
      </c>
      <c r="E99" s="3">
        <v>325213.766</v>
      </c>
      <c r="F99" s="3">
        <v>0</v>
      </c>
      <c r="G99" t="str">
        <f>_xlfn.XLOOKUP($A99,Map!$A:$A,Map!C:C)</f>
        <v>IS</v>
      </c>
      <c r="H99" t="str">
        <f>_xlfn.XLOOKUP($A99,Map!$A:$A,Map!D:D)</f>
        <v>Cost of sales</v>
      </c>
      <c r="I99" t="str">
        <f>_xlfn.XLOOKUP($A99,Map!$A:$A,Map!E:E)</f>
        <v>Direct Labor</v>
      </c>
      <c r="J99" t="str">
        <f>_xlfn.XLOOKUP($A99,Map!$A:$A,Map!F:F)</f>
        <v>Medical insurance</v>
      </c>
    </row>
    <row r="100" spans="1:10" hidden="1" x14ac:dyDescent="0.25">
      <c r="A100" s="1">
        <v>520010</v>
      </c>
      <c r="B100" s="1" t="s">
        <v>127</v>
      </c>
      <c r="C100" s="3">
        <v>0</v>
      </c>
      <c r="D100" s="3">
        <v>102134</v>
      </c>
      <c r="E100" s="3">
        <v>102134</v>
      </c>
      <c r="F100" s="3">
        <v>0</v>
      </c>
      <c r="G100" t="str">
        <f>_xlfn.XLOOKUP($A100,Map!$A:$A,Map!C:C)</f>
        <v>IS</v>
      </c>
      <c r="H100" t="str">
        <f>_xlfn.XLOOKUP($A100,Map!$A:$A,Map!D:D)</f>
        <v>Cost of sales</v>
      </c>
      <c r="I100" t="str">
        <f>_xlfn.XLOOKUP($A100,Map!$A:$A,Map!E:E)</f>
        <v>Direct Labor</v>
      </c>
      <c r="J100" t="str">
        <f>_xlfn.XLOOKUP($A100,Map!$A:$A,Map!F:F)</f>
        <v>Salaries and wages</v>
      </c>
    </row>
    <row r="101" spans="1:10" hidden="1" x14ac:dyDescent="0.25">
      <c r="A101" s="1">
        <v>520011</v>
      </c>
      <c r="B101" s="1" t="s">
        <v>122</v>
      </c>
      <c r="C101" s="3">
        <v>0</v>
      </c>
      <c r="D101" s="3">
        <v>295565</v>
      </c>
      <c r="E101" s="3">
        <v>295565</v>
      </c>
      <c r="F101" s="3">
        <v>0</v>
      </c>
      <c r="G101" t="str">
        <f>_xlfn.XLOOKUP($A101,Map!$A:$A,Map!C:C)</f>
        <v>IS</v>
      </c>
      <c r="H101" t="str">
        <f>_xlfn.XLOOKUP($A101,Map!$A:$A,Map!D:D)</f>
        <v>Cost of sales</v>
      </c>
      <c r="I101" t="str">
        <f>_xlfn.XLOOKUP($A101,Map!$A:$A,Map!E:E)</f>
        <v>Direct Labor</v>
      </c>
      <c r="J101" t="str">
        <f>_xlfn.XLOOKUP($A101,Map!$A:$A,Map!F:F)</f>
        <v>Overtime pay</v>
      </c>
    </row>
    <row r="102" spans="1:10" hidden="1" x14ac:dyDescent="0.25">
      <c r="A102" s="1">
        <v>520013</v>
      </c>
      <c r="B102" s="1" t="s">
        <v>124</v>
      </c>
      <c r="C102" s="3">
        <v>0</v>
      </c>
      <c r="D102" s="3">
        <v>0</v>
      </c>
      <c r="E102" s="3">
        <v>0</v>
      </c>
      <c r="F102" s="3">
        <v>0</v>
      </c>
      <c r="G102" t="str">
        <f>_xlfn.XLOOKUP($A102,Map!$A:$A,Map!C:C)</f>
        <v>IS</v>
      </c>
      <c r="H102" t="str">
        <f>_xlfn.XLOOKUP($A102,Map!$A:$A,Map!D:D)</f>
        <v>Cost of sales</v>
      </c>
      <c r="I102" t="str">
        <f>_xlfn.XLOOKUP($A102,Map!$A:$A,Map!E:E)</f>
        <v>Direct Labor</v>
      </c>
      <c r="J102" t="str">
        <f>_xlfn.XLOOKUP($A102,Map!$A:$A,Map!F:F)</f>
        <v>Food and housing</v>
      </c>
    </row>
    <row r="103" spans="1:10" hidden="1" x14ac:dyDescent="0.25">
      <c r="A103" s="1">
        <v>520014</v>
      </c>
      <c r="B103" s="1" t="s">
        <v>125</v>
      </c>
      <c r="C103" s="3">
        <v>0</v>
      </c>
      <c r="D103" s="3">
        <v>0</v>
      </c>
      <c r="E103" s="3">
        <v>0</v>
      </c>
      <c r="F103" s="3">
        <v>0</v>
      </c>
      <c r="G103" t="str">
        <f>_xlfn.XLOOKUP($A103,Map!$A:$A,Map!C:C)</f>
        <v>IS</v>
      </c>
      <c r="H103" t="str">
        <f>_xlfn.XLOOKUP($A103,Map!$A:$A,Map!D:D)</f>
        <v>Cost of sales</v>
      </c>
      <c r="I103" t="str">
        <f>_xlfn.XLOOKUP($A103,Map!$A:$A,Map!E:E)</f>
        <v>Direct Labor</v>
      </c>
      <c r="J103" t="str">
        <f>_xlfn.XLOOKUP($A103,Map!$A:$A,Map!F:F)</f>
        <v>Leave pay</v>
      </c>
    </row>
    <row r="104" spans="1:10" hidden="1" x14ac:dyDescent="0.25">
      <c r="A104" s="1">
        <v>520021</v>
      </c>
      <c r="B104" s="1" t="s">
        <v>129</v>
      </c>
      <c r="C104" s="3">
        <v>0</v>
      </c>
      <c r="D104" s="3">
        <v>36855.410000000003</v>
      </c>
      <c r="E104" s="3">
        <v>36855.410000000003</v>
      </c>
      <c r="F104" s="3">
        <v>0</v>
      </c>
      <c r="G104" t="str">
        <f>_xlfn.XLOOKUP($A104,Map!$A:$A,Map!C:C)</f>
        <v>IS</v>
      </c>
      <c r="H104" t="str">
        <f>_xlfn.XLOOKUP($A104,Map!$A:$A,Map!D:D)</f>
        <v>Cost of sales</v>
      </c>
      <c r="I104" t="str">
        <f>_xlfn.XLOOKUP($A104,Map!$A:$A,Map!E:E)</f>
        <v>Direct Labor</v>
      </c>
      <c r="J104" t="str">
        <f>_xlfn.XLOOKUP($A104,Map!$A:$A,Map!F:F)</f>
        <v>Medical insurance</v>
      </c>
    </row>
    <row r="105" spans="1:10" hidden="1" x14ac:dyDescent="0.25">
      <c r="A105" s="1">
        <v>520022</v>
      </c>
      <c r="B105" s="1" t="s">
        <v>130</v>
      </c>
      <c r="C105" s="3">
        <v>0</v>
      </c>
      <c r="D105" s="3">
        <v>0</v>
      </c>
      <c r="E105" s="3">
        <v>0</v>
      </c>
      <c r="F105" s="3">
        <v>0</v>
      </c>
      <c r="G105" t="str">
        <f>_xlfn.XLOOKUP($A105,Map!$A:$A,Map!C:C)</f>
        <v>IS</v>
      </c>
      <c r="H105" t="str">
        <f>_xlfn.XLOOKUP($A105,Map!$A:$A,Map!D:D)</f>
        <v>Cost of sales</v>
      </c>
      <c r="I105" t="str">
        <f>_xlfn.XLOOKUP($A105,Map!$A:$A,Map!E:E)</f>
        <v>Direct Labor</v>
      </c>
      <c r="J105" t="str">
        <f>_xlfn.XLOOKUP($A105,Map!$A:$A,Map!F:F)</f>
        <v>Iqama renewal</v>
      </c>
    </row>
    <row r="106" spans="1:10" hidden="1" x14ac:dyDescent="0.25">
      <c r="A106" s="1">
        <v>520023</v>
      </c>
      <c r="B106" s="1" t="s">
        <v>255</v>
      </c>
      <c r="C106" s="3">
        <v>0</v>
      </c>
      <c r="D106" s="3">
        <v>719.75</v>
      </c>
      <c r="E106" s="3">
        <v>719.75</v>
      </c>
      <c r="F106" s="3">
        <v>0</v>
      </c>
      <c r="G106" t="str">
        <f>_xlfn.XLOOKUP($A106,Map!$A:$A,Map!C:C)</f>
        <v>IS</v>
      </c>
      <c r="H106" t="str">
        <f>_xlfn.XLOOKUP($A106,Map!$A:$A,Map!D:D)</f>
        <v>Cost of sales</v>
      </c>
      <c r="I106" t="str">
        <f>_xlfn.XLOOKUP($A106,Map!$A:$A,Map!E:E)</f>
        <v>Direct Labor</v>
      </c>
      <c r="J106" t="str">
        <f>_xlfn.XLOOKUP($A106,Map!$A:$A,Map!F:F)</f>
        <v>Medical insurance</v>
      </c>
    </row>
    <row r="107" spans="1:10" hidden="1" x14ac:dyDescent="0.25">
      <c r="A107" s="1">
        <v>520032</v>
      </c>
      <c r="B107" s="1" t="s">
        <v>131</v>
      </c>
      <c r="C107" s="3">
        <v>0</v>
      </c>
      <c r="D107" s="3">
        <v>0</v>
      </c>
      <c r="E107" s="3">
        <v>0</v>
      </c>
      <c r="F107" s="3">
        <v>0</v>
      </c>
      <c r="G107" t="str">
        <f>_xlfn.XLOOKUP($A107,Map!$A:$A,Map!C:C)</f>
        <v>IS</v>
      </c>
      <c r="H107" t="str">
        <f>_xlfn.XLOOKUP($A107,Map!$A:$A,Map!D:D)</f>
        <v>Cost of sales</v>
      </c>
      <c r="I107" t="str">
        <f>_xlfn.XLOOKUP($A107,Map!$A:$A,Map!E:E)</f>
        <v>Raw materials</v>
      </c>
      <c r="J107" t="str">
        <f>_xlfn.XLOOKUP($A107,Map!$A:$A,Map!F:F)</f>
        <v>Consumables</v>
      </c>
    </row>
    <row r="108" spans="1:10" hidden="1" x14ac:dyDescent="0.25">
      <c r="A108" s="1">
        <v>520037</v>
      </c>
      <c r="B108" s="1" t="s">
        <v>133</v>
      </c>
      <c r="C108" s="3">
        <v>0</v>
      </c>
      <c r="D108" s="3">
        <v>6094074.2300000004</v>
      </c>
      <c r="E108" s="3">
        <v>6094074.2300000004</v>
      </c>
      <c r="F108" s="3">
        <v>0</v>
      </c>
      <c r="G108" t="str">
        <f>_xlfn.XLOOKUP($A108,Map!$A:$A,Map!C:C)</f>
        <v>IS</v>
      </c>
      <c r="H108" t="str">
        <f>_xlfn.XLOOKUP($A108,Map!$A:$A,Map!D:D)</f>
        <v>Cost of sales</v>
      </c>
      <c r="I108" t="str">
        <f>_xlfn.XLOOKUP($A108,Map!$A:$A,Map!E:E)</f>
        <v>Raw materials</v>
      </c>
      <c r="J108" t="str">
        <f>_xlfn.XLOOKUP($A108,Map!$A:$A,Map!F:F)</f>
        <v>Raw materials</v>
      </c>
    </row>
    <row r="109" spans="1:10" hidden="1" x14ac:dyDescent="0.25">
      <c r="A109" s="1">
        <v>520040</v>
      </c>
      <c r="B109" s="1" t="s">
        <v>134</v>
      </c>
      <c r="C109" s="3">
        <v>0</v>
      </c>
      <c r="D109" s="3">
        <v>1282331.0889999999</v>
      </c>
      <c r="E109" s="3">
        <v>1282331.0889999999</v>
      </c>
      <c r="F109" s="3">
        <v>0</v>
      </c>
      <c r="G109" t="str">
        <f>_xlfn.XLOOKUP($A109,Map!$A:$A,Map!C:C)</f>
        <v>IS</v>
      </c>
      <c r="H109" t="str">
        <f>_xlfn.XLOOKUP($A109,Map!$A:$A,Map!D:D)</f>
        <v>Cost of sales</v>
      </c>
      <c r="I109" t="str">
        <f>_xlfn.XLOOKUP($A109,Map!$A:$A,Map!E:E)</f>
        <v>Raw materials</v>
      </c>
      <c r="J109" t="str">
        <f>_xlfn.XLOOKUP($A109,Map!$A:$A,Map!F:F)</f>
        <v>Other expenses</v>
      </c>
    </row>
    <row r="110" spans="1:10" hidden="1" x14ac:dyDescent="0.25">
      <c r="A110" s="40">
        <v>520041</v>
      </c>
      <c r="B110" s="40" t="s">
        <v>135</v>
      </c>
      <c r="C110" s="3">
        <v>0</v>
      </c>
      <c r="D110" s="6">
        <v>10567193.213</v>
      </c>
      <c r="E110" s="6">
        <v>10567193.213</v>
      </c>
      <c r="F110" s="6">
        <v>0</v>
      </c>
      <c r="G110" t="str">
        <f>_xlfn.XLOOKUP($A110,Map!$A:$A,Map!C:C)</f>
        <v>IS</v>
      </c>
      <c r="H110" t="str">
        <f>_xlfn.XLOOKUP($A110,Map!$A:$A,Map!D:D)</f>
        <v>Cost of sales</v>
      </c>
      <c r="I110" t="str">
        <f>_xlfn.XLOOKUP($A110,Map!$A:$A,Map!E:E)</f>
        <v>Raw materials</v>
      </c>
      <c r="J110" t="str">
        <f>_xlfn.XLOOKUP($A110,Map!$A:$A,Map!F:F)</f>
        <v>Other expenses</v>
      </c>
    </row>
    <row r="111" spans="1:10" hidden="1" x14ac:dyDescent="0.25">
      <c r="A111" s="40">
        <v>520042</v>
      </c>
      <c r="B111" s="40" t="s">
        <v>136</v>
      </c>
      <c r="C111" s="3">
        <v>0</v>
      </c>
      <c r="D111" s="6">
        <v>184483448.25600001</v>
      </c>
      <c r="E111" s="6">
        <v>184483448.25600001</v>
      </c>
      <c r="F111" s="6">
        <v>0</v>
      </c>
      <c r="G111" t="str">
        <f>_xlfn.XLOOKUP($A111,Map!$A:$A,Map!C:C)</f>
        <v>IS</v>
      </c>
      <c r="H111" t="str">
        <f>_xlfn.XLOOKUP($A111,Map!$A:$A,Map!D:D)</f>
        <v>Cost of sales</v>
      </c>
      <c r="I111" t="str">
        <f>_xlfn.XLOOKUP($A111,Map!$A:$A,Map!E:E)</f>
        <v>Raw materials</v>
      </c>
      <c r="J111" t="str">
        <f>_xlfn.XLOOKUP($A111,Map!$A:$A,Map!F:F)</f>
        <v>Inventory Adjustment</v>
      </c>
    </row>
    <row r="112" spans="1:10" hidden="1" x14ac:dyDescent="0.25">
      <c r="A112" s="40">
        <v>600001</v>
      </c>
      <c r="B112" s="40" t="s">
        <v>137</v>
      </c>
      <c r="C112" s="3">
        <v>0</v>
      </c>
      <c r="D112" s="6">
        <v>1477158.29</v>
      </c>
      <c r="E112" s="6">
        <v>1477158.29</v>
      </c>
      <c r="F112" s="6">
        <v>0</v>
      </c>
      <c r="G112" t="str">
        <f>_xlfn.XLOOKUP($A112,Map!$A:$A,Map!C:C)</f>
        <v>IS</v>
      </c>
      <c r="H112" t="str">
        <f>_xlfn.XLOOKUP($A112,Map!$A:$A,Map!D:D)</f>
        <v>Cost of sales</v>
      </c>
      <c r="I112" t="str">
        <f>_xlfn.XLOOKUP($A112,Map!$A:$A,Map!E:E)</f>
        <v>Overhead - Labor Cost</v>
      </c>
      <c r="J112" t="str">
        <f>_xlfn.XLOOKUP($A112,Map!$A:$A,Map!F:F)</f>
        <v>Salaries and wages</v>
      </c>
    </row>
    <row r="113" spans="1:10" hidden="1" x14ac:dyDescent="0.25">
      <c r="A113" s="40">
        <v>600002</v>
      </c>
      <c r="B113" s="40" t="s">
        <v>138</v>
      </c>
      <c r="C113" s="3">
        <v>0</v>
      </c>
      <c r="D113" s="6">
        <v>310728</v>
      </c>
      <c r="E113" s="6">
        <v>310728</v>
      </c>
      <c r="F113" s="6">
        <v>0</v>
      </c>
      <c r="G113" t="str">
        <f>_xlfn.XLOOKUP($A113,Map!$A:$A,Map!C:C)</f>
        <v>IS</v>
      </c>
      <c r="H113" t="str">
        <f>_xlfn.XLOOKUP($A113,Map!$A:$A,Map!D:D)</f>
        <v>Cost of sales</v>
      </c>
      <c r="I113" t="str">
        <f>_xlfn.XLOOKUP($A113,Map!$A:$A,Map!E:E)</f>
        <v>Overhead - Labor Cost</v>
      </c>
      <c r="J113" t="str">
        <f>_xlfn.XLOOKUP($A113,Map!$A:$A,Map!F:F)</f>
        <v>Overtime pay</v>
      </c>
    </row>
    <row r="114" spans="1:10" hidden="1" x14ac:dyDescent="0.25">
      <c r="A114" s="40">
        <v>600003</v>
      </c>
      <c r="B114" s="40" t="s">
        <v>139</v>
      </c>
      <c r="C114" s="3">
        <v>0</v>
      </c>
      <c r="D114" s="6">
        <v>81602</v>
      </c>
      <c r="E114" s="6">
        <v>81602</v>
      </c>
      <c r="F114" s="6">
        <v>0</v>
      </c>
      <c r="G114" t="str">
        <f>_xlfn.XLOOKUP($A114,Map!$A:$A,Map!C:C)</f>
        <v>IS</v>
      </c>
      <c r="H114" t="str">
        <f>_xlfn.XLOOKUP($A114,Map!$A:$A,Map!D:D)</f>
        <v>Cost of sales</v>
      </c>
      <c r="I114" t="str">
        <f>_xlfn.XLOOKUP($A114,Map!$A:$A,Map!E:E)</f>
        <v>Overhead - Labor Cost</v>
      </c>
      <c r="J114" t="str">
        <f>_xlfn.XLOOKUP($A114,Map!$A:$A,Map!F:F)</f>
        <v xml:space="preserve">Food &amp; Housing </v>
      </c>
    </row>
    <row r="115" spans="1:10" hidden="1" x14ac:dyDescent="0.25">
      <c r="A115" s="40">
        <v>600004</v>
      </c>
      <c r="B115" s="40" t="s">
        <v>140</v>
      </c>
      <c r="C115" s="3">
        <v>0</v>
      </c>
      <c r="D115" s="6">
        <v>142643.06099999999</v>
      </c>
      <c r="E115" s="6">
        <v>142643.06099999999</v>
      </c>
      <c r="F115" s="6">
        <v>0</v>
      </c>
      <c r="G115" t="str">
        <f>_xlfn.XLOOKUP($A115,Map!$A:$A,Map!C:C)</f>
        <v>IS</v>
      </c>
      <c r="H115" t="str">
        <f>_xlfn.XLOOKUP($A115,Map!$A:$A,Map!D:D)</f>
        <v>Cost of sales</v>
      </c>
      <c r="I115" t="str">
        <f>_xlfn.XLOOKUP($A115,Map!$A:$A,Map!E:E)</f>
        <v>Overhead - Labor Cost</v>
      </c>
      <c r="J115" t="str">
        <f>_xlfn.XLOOKUP($A115,Map!$A:$A,Map!F:F)</f>
        <v>Medical insurance</v>
      </c>
    </row>
    <row r="116" spans="1:10" hidden="1" x14ac:dyDescent="0.25">
      <c r="A116" s="40">
        <v>600005</v>
      </c>
      <c r="B116" s="40" t="s">
        <v>141</v>
      </c>
      <c r="C116" s="3">
        <v>0</v>
      </c>
      <c r="D116" s="6">
        <v>261005.22</v>
      </c>
      <c r="E116" s="6">
        <v>261005.22</v>
      </c>
      <c r="F116" s="6">
        <v>0</v>
      </c>
      <c r="G116" t="str">
        <f>_xlfn.XLOOKUP($A116,Map!$A:$A,Map!C:C)</f>
        <v>IS</v>
      </c>
      <c r="H116" t="str">
        <f>_xlfn.XLOOKUP($A116,Map!$A:$A,Map!D:D)</f>
        <v>General and Admin</v>
      </c>
      <c r="I116" t="str">
        <f>_xlfn.XLOOKUP($A116,Map!$A:$A,Map!E:E)</f>
        <v>Govt license and fees (including modon)</v>
      </c>
      <c r="J116" t="str">
        <f>_xlfn.XLOOKUP($A116,Map!$A:$A,Map!F:F)</f>
        <v>Government fees</v>
      </c>
    </row>
    <row r="117" spans="1:10" hidden="1" x14ac:dyDescent="0.25">
      <c r="A117" s="1">
        <v>600006</v>
      </c>
      <c r="B117" s="1" t="s">
        <v>142</v>
      </c>
      <c r="C117" s="3">
        <v>0</v>
      </c>
      <c r="D117" s="3">
        <v>302865.14</v>
      </c>
      <c r="E117" s="3">
        <v>302865.14</v>
      </c>
      <c r="F117" s="3">
        <v>0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Overhead - Labor Cost</v>
      </c>
      <c r="J117" t="str">
        <f>_xlfn.XLOOKUP($A117,Map!$A:$A,Map!F:F)</f>
        <v xml:space="preserve">Food &amp; Housing </v>
      </c>
    </row>
    <row r="118" spans="1:10" hidden="1" x14ac:dyDescent="0.25">
      <c r="A118" s="1">
        <v>600007</v>
      </c>
      <c r="B118" s="1" t="s">
        <v>143</v>
      </c>
      <c r="C118" s="3">
        <v>0</v>
      </c>
      <c r="D118" s="3">
        <v>2540</v>
      </c>
      <c r="E118" s="3">
        <v>2540</v>
      </c>
      <c r="F118" s="3">
        <v>0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Overhead - Labor Cost</v>
      </c>
      <c r="J118" t="str">
        <f>_xlfn.XLOOKUP($A118,Map!$A:$A,Map!F:F)</f>
        <v>Transportation allowance</v>
      </c>
    </row>
    <row r="119" spans="1:10" hidden="1" x14ac:dyDescent="0.25">
      <c r="A119" s="1">
        <v>600008</v>
      </c>
      <c r="B119" s="1" t="s">
        <v>144</v>
      </c>
      <c r="C119" s="3">
        <v>0</v>
      </c>
      <c r="D119" s="3">
        <v>180132</v>
      </c>
      <c r="E119" s="3">
        <v>180132</v>
      </c>
      <c r="F119" s="3">
        <v>0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Overhead - Labor Cost</v>
      </c>
      <c r="J119" t="str">
        <f>_xlfn.XLOOKUP($A119,Map!$A:$A,Map!F:F)</f>
        <v>Air tickets</v>
      </c>
    </row>
    <row r="120" spans="1:10" hidden="1" x14ac:dyDescent="0.25">
      <c r="A120" s="40">
        <v>600009</v>
      </c>
      <c r="B120" s="40" t="s">
        <v>145</v>
      </c>
      <c r="C120" s="3">
        <v>0</v>
      </c>
      <c r="D120" s="6">
        <v>194183</v>
      </c>
      <c r="E120" s="6">
        <v>194183</v>
      </c>
      <c r="F120" s="6">
        <v>0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Overhead - Labor Cost</v>
      </c>
      <c r="J120" t="str">
        <f>_xlfn.XLOOKUP($A120,Map!$A:$A,Map!F:F)</f>
        <v>Vacation pay</v>
      </c>
    </row>
    <row r="121" spans="1:10" hidden="1" x14ac:dyDescent="0.25">
      <c r="A121" s="40">
        <v>600011</v>
      </c>
      <c r="B121" s="40" t="s">
        <v>147</v>
      </c>
      <c r="C121" s="3">
        <v>0</v>
      </c>
      <c r="D121" s="6">
        <v>12000</v>
      </c>
      <c r="E121" s="6">
        <v>12000</v>
      </c>
      <c r="F121" s="6">
        <v>0</v>
      </c>
      <c r="G121" t="str">
        <f>_xlfn.XLOOKUP($A121,Map!$A:$A,Map!C:C)</f>
        <v>IS</v>
      </c>
      <c r="H121" t="str">
        <f>_xlfn.XLOOKUP($A121,Map!$A:$A,Map!D:D)</f>
        <v>Cost of sales</v>
      </c>
      <c r="I121" t="str">
        <f>_xlfn.XLOOKUP($A121,Map!$A:$A,Map!E:E)</f>
        <v>Overhead - Labor Cost</v>
      </c>
      <c r="J121" t="str">
        <f>_xlfn.XLOOKUP($A121,Map!$A:$A,Map!F:F)</f>
        <v>Air tickets</v>
      </c>
    </row>
    <row r="122" spans="1:10" hidden="1" x14ac:dyDescent="0.25">
      <c r="A122" s="40">
        <v>600013</v>
      </c>
      <c r="B122" s="40" t="s">
        <v>149</v>
      </c>
      <c r="C122" s="3">
        <v>0</v>
      </c>
      <c r="D122" s="6">
        <v>300</v>
      </c>
      <c r="E122" s="6">
        <v>300</v>
      </c>
      <c r="F122" s="6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Overhead - Labor Cost</v>
      </c>
      <c r="J122" t="str">
        <f>_xlfn.XLOOKUP($A122,Map!$A:$A,Map!F:F)</f>
        <v>Telephone allowance</v>
      </c>
    </row>
    <row r="123" spans="1:10" hidden="1" x14ac:dyDescent="0.25">
      <c r="A123" s="40">
        <v>600014</v>
      </c>
      <c r="B123" s="40" t="s">
        <v>60</v>
      </c>
      <c r="C123" s="3">
        <v>0</v>
      </c>
      <c r="D123" s="6">
        <v>2013919.2350000001</v>
      </c>
      <c r="E123" s="6">
        <v>2013919.2350000001</v>
      </c>
      <c r="F123" s="6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Overhead - Consumables &amp; SP</v>
      </c>
      <c r="J123" t="str">
        <f>_xlfn.XLOOKUP($A123,Map!$A:$A,Map!F:F)</f>
        <v>Consumables</v>
      </c>
    </row>
    <row r="124" spans="1:10" hidden="1" x14ac:dyDescent="0.25">
      <c r="A124" s="40">
        <v>600015</v>
      </c>
      <c r="B124" s="40" t="s">
        <v>150</v>
      </c>
      <c r="C124" s="3">
        <v>0</v>
      </c>
      <c r="D124" s="6">
        <v>50982.184999999998</v>
      </c>
      <c r="E124" s="6">
        <v>50982.184999999998</v>
      </c>
      <c r="F124" s="6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Overhead - Consumables &amp; SP</v>
      </c>
      <c r="J124" t="str">
        <f>_xlfn.XLOOKUP($A124,Map!$A:$A,Map!F:F)</f>
        <v>Consumables</v>
      </c>
    </row>
    <row r="125" spans="1:10" hidden="1" x14ac:dyDescent="0.25">
      <c r="A125" s="40">
        <v>600016</v>
      </c>
      <c r="B125" s="40" t="s">
        <v>151</v>
      </c>
      <c r="C125" s="3">
        <v>0</v>
      </c>
      <c r="D125" s="6">
        <v>3330805.4440000001</v>
      </c>
      <c r="E125" s="6">
        <v>3330805.4440000001</v>
      </c>
      <c r="F125" s="6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Overhead - Consumables &amp; SP</v>
      </c>
      <c r="J125" t="str">
        <f>_xlfn.XLOOKUP($A125,Map!$A:$A,Map!F:F)</f>
        <v>Tools</v>
      </c>
    </row>
    <row r="126" spans="1:10" hidden="1" x14ac:dyDescent="0.25">
      <c r="A126" s="40">
        <v>600017</v>
      </c>
      <c r="B126" s="40" t="s">
        <v>152</v>
      </c>
      <c r="C126" s="3">
        <v>0</v>
      </c>
      <c r="D126" s="6">
        <v>1993172.12</v>
      </c>
      <c r="E126" s="6">
        <v>1993172.12</v>
      </c>
      <c r="F126" s="6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Overhead - Utility</v>
      </c>
      <c r="J126" t="str">
        <f>_xlfn.XLOOKUP($A126,Map!$A:$A,Map!F:F)</f>
        <v>Electricity expenses</v>
      </c>
    </row>
    <row r="127" spans="1:10" hidden="1" x14ac:dyDescent="0.25">
      <c r="A127" s="40">
        <v>600018</v>
      </c>
      <c r="B127" s="40" t="s">
        <v>153</v>
      </c>
      <c r="C127" s="3">
        <v>0</v>
      </c>
      <c r="D127" s="6">
        <v>75450</v>
      </c>
      <c r="E127" s="6">
        <v>75450</v>
      </c>
      <c r="F127" s="6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Overhead - Utility</v>
      </c>
      <c r="J127" t="str">
        <f>_xlfn.XLOOKUP($A127,Map!$A:$A,Map!F:F)</f>
        <v>Water expenses</v>
      </c>
    </row>
    <row r="128" spans="1:10" hidden="1" x14ac:dyDescent="0.25">
      <c r="A128" s="40">
        <v>600019</v>
      </c>
      <c r="B128" s="40" t="s">
        <v>154</v>
      </c>
      <c r="C128" s="3">
        <v>0</v>
      </c>
      <c r="D128" s="6">
        <v>73676</v>
      </c>
      <c r="E128" s="6">
        <v>73676</v>
      </c>
      <c r="F128" s="6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Overhead - Utility</v>
      </c>
      <c r="J128" t="str">
        <f>_xlfn.XLOOKUP($A128,Map!$A:$A,Map!F:F)</f>
        <v>Fuel and oil</v>
      </c>
    </row>
    <row r="129" spans="1:10" hidden="1" x14ac:dyDescent="0.25">
      <c r="A129" s="40">
        <v>600020</v>
      </c>
      <c r="B129" s="40" t="s">
        <v>155</v>
      </c>
      <c r="C129" s="3">
        <v>0</v>
      </c>
      <c r="D129" s="6">
        <v>225766.03200000001</v>
      </c>
      <c r="E129" s="6">
        <v>225766.03200000001</v>
      </c>
      <c r="F129" s="6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Overhead - R&amp;M</v>
      </c>
      <c r="J129" t="str">
        <f>_xlfn.XLOOKUP($A129,Map!$A:$A,Map!F:F)</f>
        <v>Machine and equipment</v>
      </c>
    </row>
    <row r="130" spans="1:10" hidden="1" x14ac:dyDescent="0.25">
      <c r="A130" s="1">
        <v>600021</v>
      </c>
      <c r="B130" s="1" t="s">
        <v>156</v>
      </c>
      <c r="C130" s="3">
        <v>0</v>
      </c>
      <c r="D130" s="3">
        <v>0</v>
      </c>
      <c r="E130" s="3">
        <v>0</v>
      </c>
      <c r="F130" s="3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Overhead - R&amp;M</v>
      </c>
      <c r="J130" t="str">
        <f>_xlfn.XLOOKUP($A130,Map!$A:$A,Map!F:F)</f>
        <v>Vehicle maintenance</v>
      </c>
    </row>
    <row r="131" spans="1:10" hidden="1" x14ac:dyDescent="0.25">
      <c r="A131" s="1">
        <v>600022</v>
      </c>
      <c r="B131" s="1" t="s">
        <v>157</v>
      </c>
      <c r="C131" s="3">
        <v>0</v>
      </c>
      <c r="D131" s="3">
        <v>700</v>
      </c>
      <c r="E131" s="3">
        <v>700</v>
      </c>
      <c r="F131" s="3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Overhead - R&amp;M</v>
      </c>
      <c r="J131" t="str">
        <f>_xlfn.XLOOKUP($A131,Map!$A:$A,Map!F:F)</f>
        <v>Building maintenance</v>
      </c>
    </row>
    <row r="132" spans="1:10" hidden="1" x14ac:dyDescent="0.25">
      <c r="A132" s="1">
        <v>600023</v>
      </c>
      <c r="B132" s="1" t="s">
        <v>158</v>
      </c>
      <c r="C132" s="3">
        <v>0</v>
      </c>
      <c r="D132" s="3">
        <v>3377</v>
      </c>
      <c r="E132" s="3">
        <v>3377</v>
      </c>
      <c r="F132" s="3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Overhead - R&amp;M</v>
      </c>
      <c r="J132" t="str">
        <f>_xlfn.XLOOKUP($A132,Map!$A:$A,Map!F:F)</f>
        <v>Office equipment maintenance</v>
      </c>
    </row>
    <row r="133" spans="1:10" hidden="1" x14ac:dyDescent="0.25">
      <c r="A133" s="1">
        <v>600024</v>
      </c>
      <c r="B133" s="1" t="s">
        <v>159</v>
      </c>
      <c r="C133" s="3">
        <v>0</v>
      </c>
      <c r="D133" s="3">
        <v>121728</v>
      </c>
      <c r="E133" s="3">
        <v>121728</v>
      </c>
      <c r="F133" s="3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Overhead - Rent</v>
      </c>
      <c r="J133" t="str">
        <f>_xlfn.XLOOKUP($A133,Map!$A:$A,Map!F:F)</f>
        <v>Pump rental expenses</v>
      </c>
    </row>
    <row r="134" spans="1:10" hidden="1" x14ac:dyDescent="0.25">
      <c r="A134" s="1">
        <v>600027</v>
      </c>
      <c r="B134" s="1" t="s">
        <v>162</v>
      </c>
      <c r="C134" s="3">
        <v>0</v>
      </c>
      <c r="D134" s="3">
        <v>659485</v>
      </c>
      <c r="E134" s="3">
        <v>659485</v>
      </c>
      <c r="F134" s="3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Overhead - Rent</v>
      </c>
      <c r="J134" t="str">
        <f>_xlfn.XLOOKUP($A134,Map!$A:$A,Map!F:F)</f>
        <v>Production hall rental</v>
      </c>
    </row>
    <row r="135" spans="1:10" hidden="1" x14ac:dyDescent="0.25">
      <c r="A135" s="1">
        <v>600028</v>
      </c>
      <c r="B135" s="1" t="s">
        <v>163</v>
      </c>
      <c r="C135" s="3">
        <v>0</v>
      </c>
      <c r="D135" s="3">
        <v>38974</v>
      </c>
      <c r="E135" s="3">
        <v>38974</v>
      </c>
      <c r="F135" s="3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Overhead - Consumables &amp; SP</v>
      </c>
      <c r="J135" t="str">
        <f>_xlfn.XLOOKUP($A135,Map!$A:$A,Map!F:F)</f>
        <v xml:space="preserve">Education &amp; Furniture Allowances </v>
      </c>
    </row>
    <row r="136" spans="1:10" hidden="1" x14ac:dyDescent="0.25">
      <c r="A136" s="1">
        <v>600029</v>
      </c>
      <c r="B136" s="1" t="s">
        <v>164</v>
      </c>
      <c r="C136" s="3">
        <v>0</v>
      </c>
      <c r="D136" s="3">
        <v>3454341.2489999998</v>
      </c>
      <c r="E136" s="3">
        <v>3454341.2489999998</v>
      </c>
      <c r="F136" s="3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Depreciation - Machines</v>
      </c>
      <c r="J136" t="str">
        <f>_xlfn.XLOOKUP($A136,Map!$A:$A,Map!F:F)</f>
        <v>Depreciation of property, plant and equipment</v>
      </c>
    </row>
    <row r="137" spans="1:10" hidden="1" x14ac:dyDescent="0.25">
      <c r="A137" s="1">
        <v>600030</v>
      </c>
      <c r="B137" s="1" t="s">
        <v>165</v>
      </c>
      <c r="C137" s="3">
        <v>0</v>
      </c>
      <c r="D137" s="3">
        <v>13079.331</v>
      </c>
      <c r="E137" s="3">
        <v>13079.331</v>
      </c>
      <c r="F137" s="3">
        <v>0</v>
      </c>
      <c r="G137" t="str">
        <f>_xlfn.XLOOKUP($A137,Map!$A:$A,Map!C:C)</f>
        <v>IS</v>
      </c>
      <c r="H137" t="str">
        <f>_xlfn.XLOOKUP($A137,Map!$A:$A,Map!D:D)</f>
        <v>Depreciation expenses</v>
      </c>
      <c r="I137" t="str">
        <f>_xlfn.XLOOKUP($A137,Map!$A:$A,Map!E:E)</f>
        <v>Depreciation expenses</v>
      </c>
      <c r="J137" t="str">
        <f>_xlfn.XLOOKUP($A137,Map!$A:$A,Map!F:F)</f>
        <v>Depreciation of property, plant and equipment</v>
      </c>
    </row>
    <row r="138" spans="1:10" hidden="1" x14ac:dyDescent="0.25">
      <c r="A138" s="1">
        <v>600031</v>
      </c>
      <c r="B138" s="1" t="s">
        <v>166</v>
      </c>
      <c r="C138" s="3">
        <v>0</v>
      </c>
      <c r="D138" s="3">
        <v>57698.555999999997</v>
      </c>
      <c r="E138" s="3">
        <v>57698.555999999997</v>
      </c>
      <c r="F138" s="3">
        <v>0</v>
      </c>
      <c r="G138" t="str">
        <f>_xlfn.XLOOKUP($A138,Map!$A:$A,Map!C:C)</f>
        <v>IS</v>
      </c>
      <c r="H138" t="str">
        <f>_xlfn.XLOOKUP($A138,Map!$A:$A,Map!D:D)</f>
        <v>Depreciation expenses</v>
      </c>
      <c r="I138" t="str">
        <f>_xlfn.XLOOKUP($A138,Map!$A:$A,Map!E:E)</f>
        <v>Depreciation expenses</v>
      </c>
      <c r="J138" t="str">
        <f>_xlfn.XLOOKUP($A138,Map!$A:$A,Map!F:F)</f>
        <v>Depreciation of property, plant and equipment</v>
      </c>
    </row>
    <row r="139" spans="1:10" hidden="1" x14ac:dyDescent="0.25">
      <c r="A139" s="1">
        <v>700001</v>
      </c>
      <c r="B139" s="1" t="s">
        <v>171</v>
      </c>
      <c r="C139" s="3">
        <v>0</v>
      </c>
      <c r="D139" s="3">
        <v>2480961</v>
      </c>
      <c r="E139" s="3">
        <v>0</v>
      </c>
      <c r="F139" s="3">
        <v>2480961</v>
      </c>
      <c r="G139" t="str">
        <f>_xlfn.XLOOKUP($A139,Map!$A:$A,Map!C:C)</f>
        <v>IS</v>
      </c>
      <c r="H139" t="str">
        <f>_xlfn.XLOOKUP($A139,Map!$A:$A,Map!D:D)</f>
        <v>General and Admin</v>
      </c>
      <c r="I139" t="str">
        <f>_xlfn.XLOOKUP($A139,Map!$A:$A,Map!E:E)</f>
        <v>Salaries and wages</v>
      </c>
      <c r="J139" t="str">
        <f>_xlfn.XLOOKUP($A139,Map!$A:$A,Map!F:F)</f>
        <v>Salaries and wages</v>
      </c>
    </row>
    <row r="140" spans="1:10" hidden="1" x14ac:dyDescent="0.25">
      <c r="A140" s="1">
        <v>700002</v>
      </c>
      <c r="B140" s="1" t="s">
        <v>172</v>
      </c>
      <c r="C140" s="3">
        <v>0</v>
      </c>
      <c r="D140" s="3">
        <v>108666</v>
      </c>
      <c r="E140" s="3">
        <v>0</v>
      </c>
      <c r="F140" s="3">
        <v>108666</v>
      </c>
      <c r="G140" t="str">
        <f>_xlfn.XLOOKUP($A140,Map!$A:$A,Map!C:C)</f>
        <v>IS</v>
      </c>
      <c r="H140" t="str">
        <f>_xlfn.XLOOKUP($A140,Map!$A:$A,Map!D:D)</f>
        <v>General and Admin</v>
      </c>
      <c r="I140" t="str">
        <f>_xlfn.XLOOKUP($A140,Map!$A:$A,Map!E:E)</f>
        <v>Salaries and wages</v>
      </c>
      <c r="J140" t="str">
        <f>_xlfn.XLOOKUP($A140,Map!$A:$A,Map!F:F)</f>
        <v>Overtime pay</v>
      </c>
    </row>
    <row r="141" spans="1:10" hidden="1" x14ac:dyDescent="0.25">
      <c r="A141" s="1">
        <v>700003</v>
      </c>
      <c r="B141" s="1" t="s">
        <v>173</v>
      </c>
      <c r="C141" s="3">
        <v>0</v>
      </c>
      <c r="D141" s="3">
        <v>26420</v>
      </c>
      <c r="E141" s="3">
        <v>0</v>
      </c>
      <c r="F141" s="3">
        <v>26420</v>
      </c>
      <c r="G141" t="str">
        <f>_xlfn.XLOOKUP($A141,Map!$A:$A,Map!C:C)</f>
        <v>IS</v>
      </c>
      <c r="H141" t="str">
        <f>_xlfn.XLOOKUP($A141,Map!$A:$A,Map!D:D)</f>
        <v>General and Admin</v>
      </c>
      <c r="I141" t="str">
        <f>_xlfn.XLOOKUP($A141,Map!$A:$A,Map!E:E)</f>
        <v>Salaries and wages</v>
      </c>
      <c r="J141" t="str">
        <f>_xlfn.XLOOKUP($A141,Map!$A:$A,Map!F:F)</f>
        <v xml:space="preserve">Food &amp; Housing </v>
      </c>
    </row>
    <row r="142" spans="1:10" hidden="1" x14ac:dyDescent="0.25">
      <c r="A142" s="1">
        <v>700004</v>
      </c>
      <c r="B142" s="1" t="s">
        <v>174</v>
      </c>
      <c r="C142" s="3">
        <v>0</v>
      </c>
      <c r="D142" s="3">
        <v>145379.53200000001</v>
      </c>
      <c r="E142" s="3">
        <v>8400</v>
      </c>
      <c r="F142" s="3">
        <v>136979.53200000001</v>
      </c>
      <c r="G142" t="str">
        <f>_xlfn.XLOOKUP($A142,Map!$A:$A,Map!C:C)</f>
        <v>IS</v>
      </c>
      <c r="H142" t="str">
        <f>_xlfn.XLOOKUP($A142,Map!$A:$A,Map!D:D)</f>
        <v>General and Admin</v>
      </c>
      <c r="I142" t="str">
        <f>_xlfn.XLOOKUP($A142,Map!$A:$A,Map!E:E)</f>
        <v>Salaries and wages</v>
      </c>
      <c r="J142" t="str">
        <f>_xlfn.XLOOKUP($A142,Map!$A:$A,Map!F:F)</f>
        <v>Medical insurance</v>
      </c>
    </row>
    <row r="143" spans="1:10" hidden="1" x14ac:dyDescent="0.25">
      <c r="A143" s="1">
        <v>700005</v>
      </c>
      <c r="B143" s="1" t="s">
        <v>175</v>
      </c>
      <c r="C143" s="3">
        <v>0</v>
      </c>
      <c r="D143" s="3">
        <v>356238.51</v>
      </c>
      <c r="E143" s="3">
        <v>40300</v>
      </c>
      <c r="F143" s="3">
        <v>315938.51</v>
      </c>
      <c r="G143" t="str">
        <f>_xlfn.XLOOKUP($A143,Map!$A:$A,Map!C:C)</f>
        <v>IS</v>
      </c>
      <c r="H143" t="str">
        <f>_xlfn.XLOOKUP($A143,Map!$A:$A,Map!D:D)</f>
        <v>General and Admin</v>
      </c>
      <c r="I143" t="str">
        <f>_xlfn.XLOOKUP($A143,Map!$A:$A,Map!E:E)</f>
        <v>Govt license and fees (including modon)</v>
      </c>
      <c r="J143" t="str">
        <f>_xlfn.XLOOKUP($A143,Map!$A:$A,Map!F:F)</f>
        <v>Government fees</v>
      </c>
    </row>
    <row r="144" spans="1:10" hidden="1" x14ac:dyDescent="0.25">
      <c r="A144" s="1">
        <v>700006</v>
      </c>
      <c r="B144" s="1" t="s">
        <v>176</v>
      </c>
      <c r="C144" s="3">
        <v>0</v>
      </c>
      <c r="D144" s="3">
        <v>621595.56099999999</v>
      </c>
      <c r="E144" s="3">
        <v>10500</v>
      </c>
      <c r="F144" s="3">
        <v>611095.56099999999</v>
      </c>
      <c r="G144" t="str">
        <f>_xlfn.XLOOKUP($A144,Map!$A:$A,Map!C:C)</f>
        <v>IS</v>
      </c>
      <c r="H144" t="str">
        <f>_xlfn.XLOOKUP($A144,Map!$A:$A,Map!D:D)</f>
        <v>General and Admin</v>
      </c>
      <c r="I144" t="str">
        <f>_xlfn.XLOOKUP($A144,Map!$A:$A,Map!E:E)</f>
        <v>Salaries and wages</v>
      </c>
      <c r="J144" t="str">
        <f>_xlfn.XLOOKUP($A144,Map!$A:$A,Map!F:F)</f>
        <v xml:space="preserve">Food &amp; Housing </v>
      </c>
    </row>
    <row r="145" spans="1:10" hidden="1" x14ac:dyDescent="0.25">
      <c r="A145" s="1">
        <v>700007</v>
      </c>
      <c r="B145" s="1" t="s">
        <v>177</v>
      </c>
      <c r="C145" s="3">
        <v>0</v>
      </c>
      <c r="D145" s="3">
        <v>320415.255</v>
      </c>
      <c r="E145" s="3">
        <v>0</v>
      </c>
      <c r="F145" s="3">
        <v>320415.255</v>
      </c>
      <c r="G145" t="str">
        <f>_xlfn.XLOOKUP($A145,Map!$A:$A,Map!C:C)</f>
        <v>IS</v>
      </c>
      <c r="H145" t="str">
        <f>_xlfn.XLOOKUP($A145,Map!$A:$A,Map!D:D)</f>
        <v>General and Admin</v>
      </c>
      <c r="I145" t="str">
        <f>_xlfn.XLOOKUP($A145,Map!$A:$A,Map!E:E)</f>
        <v>Salaries and wages</v>
      </c>
      <c r="J145" t="str">
        <f>_xlfn.XLOOKUP($A145,Map!$A:$A,Map!F:F)</f>
        <v>Transportation allowance</v>
      </c>
    </row>
    <row r="146" spans="1:10" hidden="1" x14ac:dyDescent="0.25">
      <c r="A146" s="1">
        <v>700008</v>
      </c>
      <c r="B146" s="1" t="s">
        <v>178</v>
      </c>
      <c r="C146" s="3">
        <v>0</v>
      </c>
      <c r="D146" s="3">
        <v>94500</v>
      </c>
      <c r="E146" s="3">
        <v>10290</v>
      </c>
      <c r="F146" s="3">
        <v>84210</v>
      </c>
      <c r="G146" t="str">
        <f>_xlfn.XLOOKUP($A146,Map!$A:$A,Map!C:C)</f>
        <v>IS</v>
      </c>
      <c r="H146" t="str">
        <f>_xlfn.XLOOKUP($A146,Map!$A:$A,Map!D:D)</f>
        <v>General and Admin</v>
      </c>
      <c r="I146" t="str">
        <f>_xlfn.XLOOKUP($A146,Map!$A:$A,Map!E:E)</f>
        <v>Salaries and wages</v>
      </c>
      <c r="J146" t="str">
        <f>_xlfn.XLOOKUP($A146,Map!$A:$A,Map!F:F)</f>
        <v>Air tickets</v>
      </c>
    </row>
    <row r="147" spans="1:10" hidden="1" x14ac:dyDescent="0.25">
      <c r="A147" s="1">
        <v>700009</v>
      </c>
      <c r="B147" s="1" t="s">
        <v>179</v>
      </c>
      <c r="C147" s="3">
        <v>0</v>
      </c>
      <c r="D147" s="3">
        <v>180400</v>
      </c>
      <c r="E147" s="3">
        <v>0</v>
      </c>
      <c r="F147" s="3">
        <v>180400</v>
      </c>
      <c r="G147" t="str">
        <f>_xlfn.XLOOKUP($A147,Map!$A:$A,Map!C:C)</f>
        <v>IS</v>
      </c>
      <c r="H147" t="str">
        <f>_xlfn.XLOOKUP($A147,Map!$A:$A,Map!D:D)</f>
        <v>General and Admin</v>
      </c>
      <c r="I147" t="str">
        <f>_xlfn.XLOOKUP($A147,Map!$A:$A,Map!E:E)</f>
        <v>Salaries and wages</v>
      </c>
      <c r="J147" t="str">
        <f>_xlfn.XLOOKUP($A147,Map!$A:$A,Map!F:F)</f>
        <v>Leave pay</v>
      </c>
    </row>
    <row r="148" spans="1:10" hidden="1" x14ac:dyDescent="0.25">
      <c r="A148" s="1">
        <v>700010</v>
      </c>
      <c r="B148" s="1" t="s">
        <v>180</v>
      </c>
      <c r="C148" s="3">
        <v>0</v>
      </c>
      <c r="D148" s="3">
        <v>1698187.9110000001</v>
      </c>
      <c r="E148" s="3">
        <v>1264123.1499999999</v>
      </c>
      <c r="F148" s="3">
        <v>434064.761</v>
      </c>
      <c r="G148" t="str">
        <f>_xlfn.XLOOKUP($A148,Map!$A:$A,Map!C:C)</f>
        <v>IS</v>
      </c>
      <c r="H148" t="str">
        <f>_xlfn.XLOOKUP($A148,Map!$A:$A,Map!D:D)</f>
        <v>General and Admin</v>
      </c>
      <c r="I148" t="str">
        <f>_xlfn.XLOOKUP($A148,Map!$A:$A,Map!E:E)</f>
        <v>Salaries and wages</v>
      </c>
      <c r="J148" t="str">
        <f>_xlfn.XLOOKUP($A148,Map!$A:$A,Map!F:F)</f>
        <v>Indemnities</v>
      </c>
    </row>
    <row r="149" spans="1:10" hidden="1" x14ac:dyDescent="0.25">
      <c r="A149" s="1">
        <v>700011</v>
      </c>
      <c r="B149" s="1" t="s">
        <v>181</v>
      </c>
      <c r="C149" s="3">
        <v>0</v>
      </c>
      <c r="D149" s="3">
        <v>105050</v>
      </c>
      <c r="E149" s="3">
        <v>5000</v>
      </c>
      <c r="F149" s="3">
        <v>100050</v>
      </c>
      <c r="G149" t="str">
        <f>_xlfn.XLOOKUP($A149,Map!$A:$A,Map!C:C)</f>
        <v>IS</v>
      </c>
      <c r="H149" t="str">
        <f>_xlfn.XLOOKUP($A149,Map!$A:$A,Map!D:D)</f>
        <v>General and Admin</v>
      </c>
      <c r="I149" t="str">
        <f>_xlfn.XLOOKUP($A149,Map!$A:$A,Map!E:E)</f>
        <v>Salaries and wages</v>
      </c>
      <c r="J149" t="str">
        <f>_xlfn.XLOOKUP($A149,Map!$A:$A,Map!F:F)</f>
        <v>Air tickets</v>
      </c>
    </row>
    <row r="150" spans="1:10" hidden="1" x14ac:dyDescent="0.25">
      <c r="A150" s="1">
        <v>700012</v>
      </c>
      <c r="B150" s="1" t="s">
        <v>182</v>
      </c>
      <c r="C150" s="3">
        <v>0</v>
      </c>
      <c r="D150" s="3">
        <v>102203</v>
      </c>
      <c r="E150" s="3">
        <v>0</v>
      </c>
      <c r="F150" s="3">
        <v>102203</v>
      </c>
      <c r="G150" t="str">
        <f>_xlfn.XLOOKUP($A150,Map!$A:$A,Map!C:C)</f>
        <v>IS</v>
      </c>
      <c r="H150" t="str">
        <f>_xlfn.XLOOKUP($A150,Map!$A:$A,Map!D:D)</f>
        <v>General and Admin</v>
      </c>
      <c r="I150" t="str">
        <f>_xlfn.XLOOKUP($A150,Map!$A:$A,Map!E:E)</f>
        <v>Salaries and wages</v>
      </c>
      <c r="J150" t="str">
        <f>_xlfn.XLOOKUP($A150,Map!$A:$A,Map!F:F)</f>
        <v xml:space="preserve">Education &amp; Furniture Allowances </v>
      </c>
    </row>
    <row r="151" spans="1:10" hidden="1" x14ac:dyDescent="0.25">
      <c r="A151" s="1">
        <v>700013</v>
      </c>
      <c r="B151" s="1" t="s">
        <v>183</v>
      </c>
      <c r="C151" s="3">
        <v>0</v>
      </c>
      <c r="D151" s="3">
        <v>87875</v>
      </c>
      <c r="E151" s="3">
        <v>0</v>
      </c>
      <c r="F151" s="3">
        <v>87875</v>
      </c>
      <c r="G151" t="str">
        <f>_xlfn.XLOOKUP($A151,Map!$A:$A,Map!C:C)</f>
        <v>IS</v>
      </c>
      <c r="H151" t="str">
        <f>_xlfn.XLOOKUP($A151,Map!$A:$A,Map!D:D)</f>
        <v>General and Admin</v>
      </c>
      <c r="I151" t="str">
        <f>_xlfn.XLOOKUP($A151,Map!$A:$A,Map!E:E)</f>
        <v>Utilities</v>
      </c>
      <c r="J151" t="str">
        <f>_xlfn.XLOOKUP($A151,Map!$A:$A,Map!F:F)</f>
        <v>Other general and administrative expenses</v>
      </c>
    </row>
    <row r="152" spans="1:10" hidden="1" x14ac:dyDescent="0.25">
      <c r="A152" s="1">
        <v>700014</v>
      </c>
      <c r="B152" s="1" t="s">
        <v>184</v>
      </c>
      <c r="C152" s="3">
        <v>0</v>
      </c>
      <c r="D152" s="3">
        <v>20500</v>
      </c>
      <c r="E152" s="3">
        <v>0</v>
      </c>
      <c r="F152" s="3">
        <v>20500</v>
      </c>
      <c r="G152" t="str">
        <f>_xlfn.XLOOKUP($A152,Map!$A:$A,Map!C:C)</f>
        <v>IS</v>
      </c>
      <c r="H152" t="str">
        <f>_xlfn.XLOOKUP($A152,Map!$A:$A,Map!D:D)</f>
        <v>General and Admin</v>
      </c>
      <c r="I152" t="str">
        <f>_xlfn.XLOOKUP($A152,Map!$A:$A,Map!E:E)</f>
        <v>Salaries and wages</v>
      </c>
      <c r="J152" t="str">
        <f>_xlfn.XLOOKUP($A152,Map!$A:$A,Map!F:F)</f>
        <v xml:space="preserve">Education &amp; Furniture Allowances </v>
      </c>
    </row>
    <row r="153" spans="1:10" hidden="1" x14ac:dyDescent="0.25">
      <c r="A153" s="1">
        <v>700015</v>
      </c>
      <c r="B153" s="1" t="s">
        <v>185</v>
      </c>
      <c r="C153" s="3">
        <v>0</v>
      </c>
      <c r="D153" s="3">
        <v>13446</v>
      </c>
      <c r="E153" s="3">
        <v>0</v>
      </c>
      <c r="F153" s="3">
        <v>13446</v>
      </c>
      <c r="G153" t="str">
        <f>_xlfn.XLOOKUP($A153,Map!$A:$A,Map!C:C)</f>
        <v>IS</v>
      </c>
      <c r="H153" t="str">
        <f>_xlfn.XLOOKUP($A153,Map!$A:$A,Map!D:D)</f>
        <v>General and Admin</v>
      </c>
      <c r="I153" t="str">
        <f>_xlfn.XLOOKUP($A153,Map!$A:$A,Map!E:E)</f>
        <v>Business travel</v>
      </c>
      <c r="J153" t="str">
        <f>_xlfn.XLOOKUP($A153,Map!$A:$A,Map!F:F)</f>
        <v>Transportation expenses</v>
      </c>
    </row>
    <row r="154" spans="1:10" hidden="1" x14ac:dyDescent="0.25">
      <c r="A154" s="1">
        <v>700016</v>
      </c>
      <c r="B154" s="1" t="s">
        <v>186</v>
      </c>
      <c r="C154" s="3">
        <v>0</v>
      </c>
      <c r="D154" s="3">
        <v>27389</v>
      </c>
      <c r="E154" s="3">
        <v>0</v>
      </c>
      <c r="F154" s="3">
        <v>27389</v>
      </c>
      <c r="G154" t="str">
        <f>_xlfn.XLOOKUP($A154,Map!$A:$A,Map!C:C)</f>
        <v>IS</v>
      </c>
      <c r="H154" t="str">
        <f>_xlfn.XLOOKUP($A154,Map!$A:$A,Map!D:D)</f>
        <v>Selling and Marketing</v>
      </c>
      <c r="I154" t="str">
        <f>_xlfn.XLOOKUP($A154,Map!$A:$A,Map!E:E)</f>
        <v>Buffet expenses</v>
      </c>
      <c r="J154" t="str">
        <f>_xlfn.XLOOKUP($A154,Map!$A:$A,Map!F:F)</f>
        <v>Food expenses</v>
      </c>
    </row>
    <row r="155" spans="1:10" hidden="1" x14ac:dyDescent="0.25">
      <c r="A155" s="1">
        <v>700017</v>
      </c>
      <c r="B155" s="1" t="s">
        <v>187</v>
      </c>
      <c r="C155" s="3">
        <v>0</v>
      </c>
      <c r="D155" s="3">
        <v>323</v>
      </c>
      <c r="E155" s="3">
        <v>0</v>
      </c>
      <c r="F155" s="3">
        <v>323</v>
      </c>
      <c r="G155" t="str">
        <f>_xlfn.XLOOKUP($A155,Map!$A:$A,Map!C:C)</f>
        <v>IS</v>
      </c>
      <c r="H155" t="str">
        <f>_xlfn.XLOOKUP($A155,Map!$A:$A,Map!D:D)</f>
        <v>General and Admin</v>
      </c>
      <c r="I155" t="str">
        <f>_xlfn.XLOOKUP($A155,Map!$A:$A,Map!E:E)</f>
        <v>Salaries and wages</v>
      </c>
      <c r="J155" t="str">
        <f>_xlfn.XLOOKUP($A155,Map!$A:$A,Map!F:F)</f>
        <v>Accommodation expenses</v>
      </c>
    </row>
    <row r="156" spans="1:10" hidden="1" x14ac:dyDescent="0.25">
      <c r="A156" s="1">
        <v>700018</v>
      </c>
      <c r="B156" s="1" t="s">
        <v>188</v>
      </c>
      <c r="C156" s="3">
        <v>0</v>
      </c>
      <c r="D156" s="3">
        <v>70561.89</v>
      </c>
      <c r="E156" s="3">
        <v>12454.84</v>
      </c>
      <c r="F156" s="3">
        <v>58107.05</v>
      </c>
      <c r="G156" t="str">
        <f>_xlfn.XLOOKUP($A156,Map!$A:$A,Map!C:C)</f>
        <v>IS</v>
      </c>
      <c r="H156" t="str">
        <f>_xlfn.XLOOKUP($A156,Map!$A:$A,Map!D:D)</f>
        <v>General and Admin</v>
      </c>
      <c r="I156" t="str">
        <f>_xlfn.XLOOKUP($A156,Map!$A:$A,Map!E:E)</f>
        <v>Salaries and wages</v>
      </c>
      <c r="J156" t="str">
        <f>_xlfn.XLOOKUP($A156,Map!$A:$A,Map!F:F)</f>
        <v xml:space="preserve">Employee Medical Emergency Expenses </v>
      </c>
    </row>
    <row r="157" spans="1:10" hidden="1" x14ac:dyDescent="0.25">
      <c r="A157" s="1">
        <v>700019</v>
      </c>
      <c r="B157" s="1" t="s">
        <v>189</v>
      </c>
      <c r="C157" s="3">
        <v>0</v>
      </c>
      <c r="D157" s="3">
        <v>1200000.0009999999</v>
      </c>
      <c r="E157" s="3">
        <v>671128.00100000005</v>
      </c>
      <c r="F157" s="3">
        <v>528872</v>
      </c>
      <c r="G157" t="str">
        <f>_xlfn.XLOOKUP($A157,Map!$A:$A,Map!C:C)</f>
        <v>IS</v>
      </c>
      <c r="H157" t="str">
        <f>_xlfn.XLOOKUP($A157,Map!$A:$A,Map!D:D)</f>
        <v>General and Admin</v>
      </c>
      <c r="I157" t="str">
        <f>_xlfn.XLOOKUP($A157,Map!$A:$A,Map!E:E)</f>
        <v>Salaries and wages</v>
      </c>
      <c r="J157" t="str">
        <f>_xlfn.XLOOKUP($A157,Map!$A:$A,Map!F:F)</f>
        <v xml:space="preserve">Incentives </v>
      </c>
    </row>
    <row r="158" spans="1:10" hidden="1" x14ac:dyDescent="0.25">
      <c r="A158" s="1">
        <v>700020</v>
      </c>
      <c r="B158" s="1" t="s">
        <v>190</v>
      </c>
      <c r="C158" s="3">
        <v>0</v>
      </c>
      <c r="D158" s="3">
        <v>21065.21</v>
      </c>
      <c r="E158" s="3">
        <v>0</v>
      </c>
      <c r="F158" s="3">
        <v>21065.21</v>
      </c>
      <c r="G158" t="str">
        <f>_xlfn.XLOOKUP($A158,Map!$A:$A,Map!C:C)</f>
        <v>IS</v>
      </c>
      <c r="H158" t="str">
        <f>_xlfn.XLOOKUP($A158,Map!$A:$A,Map!D:D)</f>
        <v>General and Admin</v>
      </c>
      <c r="I158" t="str">
        <f>_xlfn.XLOOKUP($A158,Map!$A:$A,Map!E:E)</f>
        <v>Utilities</v>
      </c>
      <c r="J158" t="str">
        <f>_xlfn.XLOOKUP($A158,Map!$A:$A,Map!F:F)</f>
        <v>Electricity expenses</v>
      </c>
    </row>
    <row r="159" spans="1:10" hidden="1" x14ac:dyDescent="0.25">
      <c r="A159" s="1">
        <v>700021</v>
      </c>
      <c r="B159" s="1" t="s">
        <v>191</v>
      </c>
      <c r="C159" s="3">
        <v>0</v>
      </c>
      <c r="D159" s="3">
        <v>415</v>
      </c>
      <c r="E159" s="3">
        <v>0</v>
      </c>
      <c r="F159" s="3">
        <v>415</v>
      </c>
      <c r="G159" t="str">
        <f>_xlfn.XLOOKUP($A159,Map!$A:$A,Map!C:C)</f>
        <v>IS</v>
      </c>
      <c r="H159" t="str">
        <f>_xlfn.XLOOKUP($A159,Map!$A:$A,Map!D:D)</f>
        <v>General and Admin</v>
      </c>
      <c r="I159" t="str">
        <f>_xlfn.XLOOKUP($A159,Map!$A:$A,Map!E:E)</f>
        <v>Utilities</v>
      </c>
      <c r="J159" t="str">
        <f>_xlfn.XLOOKUP($A159,Map!$A:$A,Map!F:F)</f>
        <v>Other general and administrative expenses</v>
      </c>
    </row>
    <row r="160" spans="1:10" hidden="1" x14ac:dyDescent="0.25">
      <c r="A160" s="1">
        <v>700022</v>
      </c>
      <c r="B160" s="1" t="s">
        <v>192</v>
      </c>
      <c r="C160" s="3">
        <v>0</v>
      </c>
      <c r="D160" s="3">
        <v>64036.05</v>
      </c>
      <c r="E160" s="3">
        <v>1231</v>
      </c>
      <c r="F160" s="3">
        <v>62805.05</v>
      </c>
      <c r="G160" t="str">
        <f>_xlfn.XLOOKUP($A160,Map!$A:$A,Map!C:C)</f>
        <v>IS</v>
      </c>
      <c r="H160" t="str">
        <f>_xlfn.XLOOKUP($A160,Map!$A:$A,Map!D:D)</f>
        <v>General and Admin</v>
      </c>
      <c r="I160" t="str">
        <f>_xlfn.XLOOKUP($A160,Map!$A:$A,Map!E:E)</f>
        <v>Utilities</v>
      </c>
      <c r="J160" t="str">
        <f>_xlfn.XLOOKUP($A160,Map!$A:$A,Map!F:F)</f>
        <v>Other general and administrative expenses</v>
      </c>
    </row>
    <row r="161" spans="1:10" hidden="1" x14ac:dyDescent="0.25">
      <c r="A161" s="1">
        <v>700023</v>
      </c>
      <c r="B161" s="1" t="s">
        <v>193</v>
      </c>
      <c r="C161" s="3">
        <v>0</v>
      </c>
      <c r="D161" s="3">
        <v>21419.25</v>
      </c>
      <c r="E161" s="3">
        <v>0</v>
      </c>
      <c r="F161" s="3">
        <v>21419.25</v>
      </c>
      <c r="G161" t="str">
        <f>_xlfn.XLOOKUP($A161,Map!$A:$A,Map!C:C)</f>
        <v>IS</v>
      </c>
      <c r="H161" t="str">
        <f>_xlfn.XLOOKUP($A161,Map!$A:$A,Map!D:D)</f>
        <v>General and Admin</v>
      </c>
      <c r="I161" t="str">
        <f>_xlfn.XLOOKUP($A161,Map!$A:$A,Map!E:E)</f>
        <v>Utilities</v>
      </c>
      <c r="J161" t="str">
        <f>_xlfn.XLOOKUP($A161,Map!$A:$A,Map!F:F)</f>
        <v xml:space="preserve">Postage &amp; Printing </v>
      </c>
    </row>
    <row r="162" spans="1:10" hidden="1" x14ac:dyDescent="0.25">
      <c r="A162" s="1">
        <v>700024</v>
      </c>
      <c r="B162" s="1" t="s">
        <v>194</v>
      </c>
      <c r="C162" s="3">
        <v>0</v>
      </c>
      <c r="D162" s="3">
        <v>61858.550999999999</v>
      </c>
      <c r="E162" s="3">
        <v>0</v>
      </c>
      <c r="F162" s="3">
        <v>61858.550999999999</v>
      </c>
      <c r="G162" t="str">
        <f>_xlfn.XLOOKUP($A162,Map!$A:$A,Map!C:C)</f>
        <v>IS</v>
      </c>
      <c r="H162" t="str">
        <f>_xlfn.XLOOKUP($A162,Map!$A:$A,Map!D:D)</f>
        <v>General and Admin</v>
      </c>
      <c r="I162" t="str">
        <f>_xlfn.XLOOKUP($A162,Map!$A:$A,Map!E:E)</f>
        <v>IT expenses</v>
      </c>
      <c r="J162" t="str">
        <f>_xlfn.XLOOKUP($A162,Map!$A:$A,Map!F:F)</f>
        <v>Other general and administrative expenses</v>
      </c>
    </row>
    <row r="163" spans="1:10" hidden="1" x14ac:dyDescent="0.25">
      <c r="A163" s="1">
        <v>700025</v>
      </c>
      <c r="B163" s="1" t="s">
        <v>195</v>
      </c>
      <c r="C163" s="3">
        <v>0</v>
      </c>
      <c r="D163" s="3">
        <v>91324</v>
      </c>
      <c r="E163" s="3">
        <v>5000</v>
      </c>
      <c r="F163" s="3">
        <v>86324</v>
      </c>
      <c r="G163" t="str">
        <f>_xlfn.XLOOKUP($A163,Map!$A:$A,Map!C:C)</f>
        <v>IS</v>
      </c>
      <c r="H163" t="str">
        <f>_xlfn.XLOOKUP($A163,Map!$A:$A,Map!D:D)</f>
        <v>General and Admin</v>
      </c>
      <c r="I163" t="str">
        <f>_xlfn.XLOOKUP($A163,Map!$A:$A,Map!E:E)</f>
        <v>Salaries and wages</v>
      </c>
      <c r="J163" t="str">
        <f>_xlfn.XLOOKUP($A163,Map!$A:$A,Map!F:F)</f>
        <v>Salaries and wages</v>
      </c>
    </row>
    <row r="164" spans="1:10" hidden="1" x14ac:dyDescent="0.25">
      <c r="A164" s="1">
        <v>700026</v>
      </c>
      <c r="B164" s="1" t="s">
        <v>196</v>
      </c>
      <c r="C164" s="3">
        <v>0</v>
      </c>
      <c r="D164" s="3">
        <v>596</v>
      </c>
      <c r="E164" s="3">
        <v>0</v>
      </c>
      <c r="F164" s="3">
        <v>596</v>
      </c>
      <c r="G164" t="str">
        <f>_xlfn.XLOOKUP($A164,Map!$A:$A,Map!C:C)</f>
        <v>IS</v>
      </c>
      <c r="H164" t="str">
        <f>_xlfn.XLOOKUP($A164,Map!$A:$A,Map!D:D)</f>
        <v>General and Admin</v>
      </c>
      <c r="I164" t="str">
        <f>_xlfn.XLOOKUP($A164,Map!$A:$A,Map!E:E)</f>
        <v>Utilities</v>
      </c>
      <c r="J164" t="str">
        <f>_xlfn.XLOOKUP($A164,Map!$A:$A,Map!F:F)</f>
        <v>Magazines &amp; News Papers Exp.</v>
      </c>
    </row>
    <row r="165" spans="1:10" hidden="1" x14ac:dyDescent="0.25">
      <c r="A165" s="1">
        <v>700027</v>
      </c>
      <c r="B165" s="1" t="s">
        <v>197</v>
      </c>
      <c r="C165" s="3">
        <v>0</v>
      </c>
      <c r="D165" s="3">
        <v>5707.643</v>
      </c>
      <c r="E165" s="3">
        <v>0</v>
      </c>
      <c r="F165" s="3">
        <v>5707.643</v>
      </c>
      <c r="G165" t="str">
        <f>_xlfn.XLOOKUP($A165,Map!$A:$A,Map!C:C)</f>
        <v>IS</v>
      </c>
      <c r="H165" t="str">
        <f>_xlfn.XLOOKUP($A165,Map!$A:$A,Map!D:D)</f>
        <v>General and Admin</v>
      </c>
      <c r="I165" t="str">
        <f>_xlfn.XLOOKUP($A165,Map!$A:$A,Map!E:E)</f>
        <v>Training</v>
      </c>
      <c r="J165" t="str">
        <f>_xlfn.XLOOKUP($A165,Map!$A:$A,Map!F:F)</f>
        <v>Training</v>
      </c>
    </row>
    <row r="166" spans="1:10" hidden="1" x14ac:dyDescent="0.25">
      <c r="A166" s="1">
        <v>700028</v>
      </c>
      <c r="B166" s="1" t="s">
        <v>198</v>
      </c>
      <c r="C166" s="3">
        <v>0</v>
      </c>
      <c r="D166" s="3">
        <v>2063</v>
      </c>
      <c r="E166" s="3">
        <v>0</v>
      </c>
      <c r="F166" s="3">
        <v>2063</v>
      </c>
      <c r="G166" t="str">
        <f>_xlfn.XLOOKUP($A166,Map!$A:$A,Map!C:C)</f>
        <v>IS</v>
      </c>
      <c r="H166" t="str">
        <f>_xlfn.XLOOKUP($A166,Map!$A:$A,Map!D:D)</f>
        <v>General and Admin</v>
      </c>
      <c r="I166" t="str">
        <f>_xlfn.XLOOKUP($A166,Map!$A:$A,Map!E:E)</f>
        <v xml:space="preserve">Back office Support </v>
      </c>
      <c r="J166" t="str">
        <f>_xlfn.XLOOKUP($A166,Map!$A:$A,Map!F:F)</f>
        <v>Stationery expenses</v>
      </c>
    </row>
    <row r="167" spans="1:10" hidden="1" x14ac:dyDescent="0.25">
      <c r="A167" s="1">
        <v>700029</v>
      </c>
      <c r="B167" s="1" t="s">
        <v>199</v>
      </c>
      <c r="C167" s="3">
        <v>0</v>
      </c>
      <c r="D167" s="3">
        <v>30905</v>
      </c>
      <c r="E167" s="3">
        <v>765</v>
      </c>
      <c r="F167" s="3">
        <v>30140</v>
      </c>
      <c r="G167" t="str">
        <f>_xlfn.XLOOKUP($A167,Map!$A:$A,Map!C:C)</f>
        <v>IS</v>
      </c>
      <c r="H167" t="str">
        <f>_xlfn.XLOOKUP($A167,Map!$A:$A,Map!D:D)</f>
        <v>General and Admin</v>
      </c>
      <c r="I167" t="str">
        <f>_xlfn.XLOOKUP($A167,Map!$A:$A,Map!E:E)</f>
        <v>Utilities</v>
      </c>
      <c r="J167" t="str">
        <f>_xlfn.XLOOKUP($A167,Map!$A:$A,Map!F:F)</f>
        <v xml:space="preserve">Postage &amp; Printing </v>
      </c>
    </row>
    <row r="168" spans="1:10" hidden="1" x14ac:dyDescent="0.25">
      <c r="A168" s="1">
        <v>700030</v>
      </c>
      <c r="B168" s="1" t="s">
        <v>200</v>
      </c>
      <c r="C168" s="3">
        <v>0</v>
      </c>
      <c r="D168" s="3">
        <v>5247</v>
      </c>
      <c r="E168" s="3">
        <v>0</v>
      </c>
      <c r="F168" s="3">
        <v>5247</v>
      </c>
      <c r="G168" t="str">
        <f>_xlfn.XLOOKUP($A168,Map!$A:$A,Map!C:C)</f>
        <v>IS</v>
      </c>
      <c r="H168" t="str">
        <f>_xlfn.XLOOKUP($A168,Map!$A:$A,Map!D:D)</f>
        <v>General and Admin</v>
      </c>
      <c r="I168" t="str">
        <f>_xlfn.XLOOKUP($A168,Map!$A:$A,Map!E:E)</f>
        <v>Utilities</v>
      </c>
      <c r="J168" t="str">
        <f>_xlfn.XLOOKUP($A168,Map!$A:$A,Map!F:F)</f>
        <v>Building maintenance</v>
      </c>
    </row>
    <row r="169" spans="1:10" hidden="1" x14ac:dyDescent="0.25">
      <c r="A169" s="1">
        <v>700031</v>
      </c>
      <c r="B169" s="1" t="s">
        <v>201</v>
      </c>
      <c r="C169" s="3">
        <v>0</v>
      </c>
      <c r="D169" s="3">
        <v>56235</v>
      </c>
      <c r="E169" s="3">
        <v>0</v>
      </c>
      <c r="F169" s="3">
        <v>56235</v>
      </c>
      <c r="G169" t="str">
        <f>_xlfn.XLOOKUP($A169,Map!$A:$A,Map!C:C)</f>
        <v>IS</v>
      </c>
      <c r="H169" t="str">
        <f>_xlfn.XLOOKUP($A169,Map!$A:$A,Map!D:D)</f>
        <v>General and Admin</v>
      </c>
      <c r="I169" t="str">
        <f>_xlfn.XLOOKUP($A169,Map!$A:$A,Map!E:E)</f>
        <v>Utilities</v>
      </c>
      <c r="J169" t="str">
        <f>_xlfn.XLOOKUP($A169,Map!$A:$A,Map!F:F)</f>
        <v>Office equipment maintenance</v>
      </c>
    </row>
    <row r="170" spans="1:10" hidden="1" x14ac:dyDescent="0.25">
      <c r="A170" s="1">
        <v>700032</v>
      </c>
      <c r="B170" s="1" t="s">
        <v>202</v>
      </c>
      <c r="C170" s="3">
        <v>0</v>
      </c>
      <c r="D170" s="3">
        <v>96071</v>
      </c>
      <c r="E170" s="3">
        <v>0</v>
      </c>
      <c r="F170" s="3">
        <v>96071</v>
      </c>
      <c r="G170" t="str">
        <f>_xlfn.XLOOKUP($A170,Map!$A:$A,Map!C:C)</f>
        <v>IS</v>
      </c>
      <c r="H170" t="str">
        <f>_xlfn.XLOOKUP($A170,Map!$A:$A,Map!D:D)</f>
        <v>General and Admin</v>
      </c>
      <c r="I170" t="str">
        <f>_xlfn.XLOOKUP($A170,Map!$A:$A,Map!E:E)</f>
        <v>Utilities</v>
      </c>
      <c r="J170" t="str">
        <f>_xlfn.XLOOKUP($A170,Map!$A:$A,Map!F:F)</f>
        <v>Vehicle maintenance</v>
      </c>
    </row>
    <row r="171" spans="1:10" hidden="1" x14ac:dyDescent="0.25">
      <c r="A171" s="1">
        <v>700033</v>
      </c>
      <c r="B171" s="1" t="s">
        <v>203</v>
      </c>
      <c r="C171" s="3">
        <v>0</v>
      </c>
      <c r="D171" s="3">
        <v>27166.5</v>
      </c>
      <c r="E171" s="3">
        <v>0</v>
      </c>
      <c r="F171" s="3">
        <v>27166.5</v>
      </c>
      <c r="G171" t="str">
        <f>_xlfn.XLOOKUP($A171,Map!$A:$A,Map!C:C)</f>
        <v>IS</v>
      </c>
      <c r="H171" t="str">
        <f>_xlfn.XLOOKUP($A171,Map!$A:$A,Map!D:D)</f>
        <v>General and Admin</v>
      </c>
      <c r="I171" t="str">
        <f>_xlfn.XLOOKUP($A171,Map!$A:$A,Map!E:E)</f>
        <v>Utilities</v>
      </c>
      <c r="J171" t="str">
        <f>_xlfn.XLOOKUP($A171,Map!$A:$A,Map!F:F)</f>
        <v>Fuel and oil</v>
      </c>
    </row>
    <row r="172" spans="1:10" hidden="1" x14ac:dyDescent="0.25">
      <c r="A172" s="1">
        <v>700034</v>
      </c>
      <c r="B172" s="1" t="s">
        <v>204</v>
      </c>
      <c r="C172" s="3">
        <v>0</v>
      </c>
      <c r="D172" s="3">
        <v>3138</v>
      </c>
      <c r="E172" s="3">
        <v>0</v>
      </c>
      <c r="F172" s="6">
        <v>3138</v>
      </c>
      <c r="G172" t="str">
        <f>_xlfn.XLOOKUP($A172,Map!$A:$A,Map!C:C)</f>
        <v>IS</v>
      </c>
      <c r="H172" t="str">
        <f>_xlfn.XLOOKUP($A172,Map!$A:$A,Map!D:D)</f>
        <v>General and Admin</v>
      </c>
      <c r="I172" t="str">
        <f>_xlfn.XLOOKUP($A172,Map!$A:$A,Map!E:E)</f>
        <v xml:space="preserve">Back office Support </v>
      </c>
      <c r="J172" t="str">
        <f>_xlfn.XLOOKUP($A172,Map!$A:$A,Map!F:F)</f>
        <v>Consumables</v>
      </c>
    </row>
    <row r="173" spans="1:10" hidden="1" x14ac:dyDescent="0.25">
      <c r="A173" s="1">
        <v>700036</v>
      </c>
      <c r="B173" s="1" t="s">
        <v>206</v>
      </c>
      <c r="C173" s="3">
        <v>0</v>
      </c>
      <c r="D173" s="3">
        <v>49639.040000000001</v>
      </c>
      <c r="E173" s="3">
        <v>0</v>
      </c>
      <c r="F173" s="6">
        <v>49639.040000000001</v>
      </c>
      <c r="G173" t="str">
        <f>_xlfn.XLOOKUP($A173,Map!$A:$A,Map!C:C)</f>
        <v>IS</v>
      </c>
      <c r="H173" t="str">
        <f>_xlfn.XLOOKUP($A173,Map!$A:$A,Map!D:D)</f>
        <v>General and Admin</v>
      </c>
      <c r="I173" t="str">
        <f>_xlfn.XLOOKUP($A173,Map!$A:$A,Map!E:E)</f>
        <v>Utilities</v>
      </c>
      <c r="J173" t="str">
        <f>_xlfn.XLOOKUP($A173,Map!$A:$A,Map!F:F)</f>
        <v>Vehicle insurance</v>
      </c>
    </row>
    <row r="174" spans="1:10" hidden="1" x14ac:dyDescent="0.25">
      <c r="A174" s="1">
        <v>700037</v>
      </c>
      <c r="B174" s="1" t="s">
        <v>207</v>
      </c>
      <c r="C174" s="3">
        <v>0</v>
      </c>
      <c r="D174" s="3">
        <v>10000</v>
      </c>
      <c r="E174" s="3">
        <v>10000</v>
      </c>
      <c r="F174" s="6">
        <v>0</v>
      </c>
      <c r="G174" t="str">
        <f>_xlfn.XLOOKUP($A174,Map!$A:$A,Map!C:C)</f>
        <v>IS</v>
      </c>
      <c r="H174" t="str">
        <f>_xlfn.XLOOKUP($A174,Map!$A:$A,Map!D:D)</f>
        <v>Finance cost</v>
      </c>
      <c r="I174" t="str">
        <f>_xlfn.XLOOKUP($A174,Map!$A:$A,Map!E:E)</f>
        <v>Finance cost</v>
      </c>
      <c r="J174" t="str">
        <f>_xlfn.XLOOKUP($A174,Map!$A:$A,Map!F:F)</f>
        <v>Lease interest</v>
      </c>
    </row>
    <row r="175" spans="1:10" hidden="1" x14ac:dyDescent="0.25">
      <c r="A175" s="1">
        <v>700038</v>
      </c>
      <c r="B175" s="1" t="s">
        <v>208</v>
      </c>
      <c r="C175" s="3">
        <v>0</v>
      </c>
      <c r="D175" s="3">
        <v>310389</v>
      </c>
      <c r="E175" s="3">
        <v>110407</v>
      </c>
      <c r="F175" s="6">
        <v>199982</v>
      </c>
      <c r="G175" t="str">
        <f>_xlfn.XLOOKUP($A175,Map!$A:$A,Map!C:C)</f>
        <v>IS</v>
      </c>
      <c r="H175" t="str">
        <f>_xlfn.XLOOKUP($A175,Map!$A:$A,Map!D:D)</f>
        <v>General and Admin</v>
      </c>
      <c r="I175" t="str">
        <f>_xlfn.XLOOKUP($A175,Map!$A:$A,Map!E:E)</f>
        <v>Business travel</v>
      </c>
      <c r="J175" t="str">
        <f>_xlfn.XLOOKUP($A175,Map!$A:$A,Map!F:F)</f>
        <v>Bussiness trip expenses</v>
      </c>
    </row>
    <row r="176" spans="1:10" hidden="1" x14ac:dyDescent="0.25">
      <c r="A176" s="1">
        <v>700039</v>
      </c>
      <c r="B176" s="1" t="s">
        <v>209</v>
      </c>
      <c r="C176" s="3">
        <v>0</v>
      </c>
      <c r="D176" s="3">
        <v>22033</v>
      </c>
      <c r="E176" s="3">
        <v>0</v>
      </c>
      <c r="F176" s="6">
        <v>22033</v>
      </c>
      <c r="G176" t="str">
        <f>_xlfn.XLOOKUP($A176,Map!$A:$A,Map!C:C)</f>
        <v>IS</v>
      </c>
      <c r="H176" t="str">
        <f>_xlfn.XLOOKUP($A176,Map!$A:$A,Map!D:D)</f>
        <v>Selling and Marketing</v>
      </c>
      <c r="I176" t="str">
        <f>_xlfn.XLOOKUP($A176,Map!$A:$A,Map!E:E)</f>
        <v>Buffet expenses</v>
      </c>
      <c r="J176" t="str">
        <f>_xlfn.XLOOKUP($A176,Map!$A:$A,Map!F:F)</f>
        <v>Buffet expenses</v>
      </c>
    </row>
    <row r="177" spans="1:10" hidden="1" x14ac:dyDescent="0.25">
      <c r="A177" s="1">
        <v>700040</v>
      </c>
      <c r="B177" s="1" t="s">
        <v>210</v>
      </c>
      <c r="C177" s="3">
        <v>0</v>
      </c>
      <c r="D177" s="3">
        <v>24040</v>
      </c>
      <c r="E177" s="3">
        <v>0</v>
      </c>
      <c r="F177" s="42">
        <v>24040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Utilities</v>
      </c>
      <c r="J177" t="str">
        <f>_xlfn.XLOOKUP($A177,Map!$A:$A,Map!F:F)</f>
        <v xml:space="preserve">Cleaning Expenses </v>
      </c>
    </row>
    <row r="178" spans="1:10" hidden="1" x14ac:dyDescent="0.25">
      <c r="A178" s="1">
        <v>700041</v>
      </c>
      <c r="B178" s="1" t="s">
        <v>211</v>
      </c>
      <c r="C178" s="3">
        <v>0</v>
      </c>
      <c r="D178" s="3">
        <v>13367.25</v>
      </c>
      <c r="E178" s="3">
        <v>2165</v>
      </c>
      <c r="F178" s="41">
        <v>11202.25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>Salaries and wages</v>
      </c>
      <c r="J178" t="str">
        <f>_xlfn.XLOOKUP($A178,Map!$A:$A,Map!F:F)</f>
        <v>Recruitment</v>
      </c>
    </row>
    <row r="179" spans="1:10" hidden="1" x14ac:dyDescent="0.25">
      <c r="A179" s="1">
        <v>700043</v>
      </c>
      <c r="B179" s="1" t="s">
        <v>213</v>
      </c>
      <c r="C179" s="3">
        <v>0</v>
      </c>
      <c r="D179" s="3">
        <v>848</v>
      </c>
      <c r="E179" s="3">
        <v>0</v>
      </c>
      <c r="F179" s="42">
        <v>848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Govt license and fees (including modon)</v>
      </c>
      <c r="J179" t="str">
        <f>_xlfn.XLOOKUP($A179,Map!$A:$A,Map!F:F)</f>
        <v>Licenses and fees</v>
      </c>
    </row>
    <row r="180" spans="1:10" hidden="1" x14ac:dyDescent="0.25">
      <c r="A180" s="1">
        <v>700044</v>
      </c>
      <c r="B180" s="1" t="s">
        <v>214</v>
      </c>
      <c r="C180" s="3">
        <v>0</v>
      </c>
      <c r="D180" s="3">
        <v>16279</v>
      </c>
      <c r="E180" s="3">
        <v>0</v>
      </c>
      <c r="F180" s="41">
        <v>16279</v>
      </c>
      <c r="G180" t="str">
        <f>_xlfn.XLOOKUP($A180,Map!$A:$A,Map!C:C)</f>
        <v>IS</v>
      </c>
      <c r="H180" t="str">
        <f>_xlfn.XLOOKUP($A180,Map!$A:$A,Map!D:D)</f>
        <v>General and Admin</v>
      </c>
      <c r="I180" t="str">
        <f>_xlfn.XLOOKUP($A180,Map!$A:$A,Map!E:E)</f>
        <v>Govt license and fees (including modon)</v>
      </c>
      <c r="J180" t="str">
        <f>_xlfn.XLOOKUP($A180,Map!$A:$A,Map!F:F)</f>
        <v>Government fees</v>
      </c>
    </row>
    <row r="181" spans="1:10" hidden="1" x14ac:dyDescent="0.25">
      <c r="A181" s="1">
        <v>700045</v>
      </c>
      <c r="B181" s="1" t="s">
        <v>215</v>
      </c>
      <c r="C181" s="3">
        <v>0</v>
      </c>
      <c r="D181" s="3">
        <v>1294438.8659999999</v>
      </c>
      <c r="E181" s="3">
        <v>134884.12400000001</v>
      </c>
      <c r="F181" s="41">
        <v>1159554.7420000001</v>
      </c>
      <c r="G181" t="str">
        <f>_xlfn.XLOOKUP($A181,Map!$A:$A,Map!C:C)</f>
        <v>IS</v>
      </c>
      <c r="H181" t="str">
        <f>_xlfn.XLOOKUP($A181,Map!$A:$A,Map!D:D)</f>
        <v>Finance cost</v>
      </c>
      <c r="I181" t="str">
        <f>_xlfn.XLOOKUP($A181,Map!$A:$A,Map!E:E)</f>
        <v>Finance cost</v>
      </c>
      <c r="J181" t="str">
        <f>_xlfn.XLOOKUP($A181,Map!$A:$A,Map!F:F)</f>
        <v>Bank charges</v>
      </c>
    </row>
    <row r="182" spans="1:10" hidden="1" x14ac:dyDescent="0.25">
      <c r="A182" s="1">
        <v>700048</v>
      </c>
      <c r="B182" s="1" t="s">
        <v>216</v>
      </c>
      <c r="C182" s="3">
        <v>0</v>
      </c>
      <c r="D182" s="3">
        <v>1505563.92</v>
      </c>
      <c r="E182" s="3">
        <v>141692.92000000001</v>
      </c>
      <c r="F182" s="42">
        <v>1363871</v>
      </c>
      <c r="G182" t="str">
        <f>_xlfn.XLOOKUP($A182,Map!$A:$A,Map!C:C)</f>
        <v>IS</v>
      </c>
      <c r="H182" t="str">
        <f>_xlfn.XLOOKUP($A182,Map!$A:$A,Map!D:D)</f>
        <v>Zakat</v>
      </c>
      <c r="I182" t="str">
        <f>_xlfn.XLOOKUP($A182,Map!$A:$A,Map!E:E)</f>
        <v>Zakat expenses</v>
      </c>
      <c r="J182" t="str">
        <f>_xlfn.XLOOKUP($A182,Map!$A:$A,Map!F:F)</f>
        <v>Zakat expenses</v>
      </c>
    </row>
    <row r="183" spans="1:10" hidden="1" x14ac:dyDescent="0.25">
      <c r="A183" s="1">
        <v>700050</v>
      </c>
      <c r="B183" s="1" t="s">
        <v>218</v>
      </c>
      <c r="C183" s="3">
        <v>0</v>
      </c>
      <c r="D183" s="3">
        <v>15012.481</v>
      </c>
      <c r="E183" s="3">
        <v>0</v>
      </c>
      <c r="F183" s="41">
        <v>15012.481</v>
      </c>
      <c r="G183" t="str">
        <f>_xlfn.XLOOKUP($A183,Map!$A:$A,Map!C:C)</f>
        <v>IS</v>
      </c>
      <c r="H183" t="str">
        <f>_xlfn.XLOOKUP($A183,Map!$A:$A,Map!D:D)</f>
        <v>Depreciation expenses</v>
      </c>
      <c r="I183" t="str">
        <f>_xlfn.XLOOKUP($A183,Map!$A:$A,Map!E:E)</f>
        <v>Depreciation expenses</v>
      </c>
      <c r="J183" t="str">
        <f>_xlfn.XLOOKUP($A183,Map!$A:$A,Map!F:F)</f>
        <v>Depreciation of property, plant and equipment</v>
      </c>
    </row>
    <row r="184" spans="1:10" hidden="1" x14ac:dyDescent="0.25">
      <c r="A184" s="1">
        <v>700053</v>
      </c>
      <c r="B184" s="1" t="s">
        <v>220</v>
      </c>
      <c r="C184" s="3">
        <v>0</v>
      </c>
      <c r="D184" s="3">
        <v>0</v>
      </c>
      <c r="E184" s="3">
        <v>0</v>
      </c>
      <c r="F184" s="41">
        <v>0</v>
      </c>
      <c r="G184" t="str">
        <f>_xlfn.XLOOKUP($A184,Map!$A:$A,Map!C:C)</f>
        <v>IS</v>
      </c>
      <c r="H184" t="str">
        <f>_xlfn.XLOOKUP($A184,Map!$A:$A,Map!D:D)</f>
        <v>Depreciation expenses</v>
      </c>
      <c r="I184" t="str">
        <f>_xlfn.XLOOKUP($A184,Map!$A:$A,Map!E:E)</f>
        <v>Depreciation expenses</v>
      </c>
      <c r="J184" t="str">
        <f>_xlfn.XLOOKUP($A184,Map!$A:$A,Map!F:F)</f>
        <v>Depreciation of property, plant and equipment</v>
      </c>
    </row>
    <row r="185" spans="1:10" hidden="1" x14ac:dyDescent="0.25">
      <c r="A185" s="1">
        <v>700054</v>
      </c>
      <c r="B185" s="1" t="s">
        <v>221</v>
      </c>
      <c r="C185" s="3">
        <v>0</v>
      </c>
      <c r="D185" s="3">
        <v>196654.16</v>
      </c>
      <c r="E185" s="3">
        <v>6718.75</v>
      </c>
      <c r="F185" s="41">
        <v>189935.41</v>
      </c>
      <c r="G185" t="str">
        <f>_xlfn.XLOOKUP($A185,Map!$A:$A,Map!C:C)</f>
        <v>IS</v>
      </c>
      <c r="H185" t="str">
        <f>_xlfn.XLOOKUP($A185,Map!$A:$A,Map!D:D)</f>
        <v>Depreciation expenses</v>
      </c>
      <c r="I185" t="str">
        <f>_xlfn.XLOOKUP($A185,Map!$A:$A,Map!E:E)</f>
        <v>Depreciation expenses</v>
      </c>
      <c r="J185" t="str">
        <f>_xlfn.XLOOKUP($A185,Map!$A:$A,Map!F:F)</f>
        <v>Depreciation of property, plant and equipment</v>
      </c>
    </row>
    <row r="186" spans="1:10" hidden="1" x14ac:dyDescent="0.25">
      <c r="A186" s="1">
        <v>700055</v>
      </c>
      <c r="B186" s="1" t="s">
        <v>222</v>
      </c>
      <c r="C186" s="3">
        <v>0</v>
      </c>
      <c r="D186" s="3">
        <v>186798.959</v>
      </c>
      <c r="E186" s="3">
        <v>70.828999999999994</v>
      </c>
      <c r="F186" s="41">
        <v>186728.13</v>
      </c>
      <c r="G186" t="str">
        <f>_xlfn.XLOOKUP($A186,Map!$A:$A,Map!C:C)</f>
        <v>IS</v>
      </c>
      <c r="H186" t="str">
        <f>_xlfn.XLOOKUP($A186,Map!$A:$A,Map!D:D)</f>
        <v>Depreciation expenses</v>
      </c>
      <c r="I186" t="str">
        <f>_xlfn.XLOOKUP($A186,Map!$A:$A,Map!E:E)</f>
        <v>Depreciation expenses</v>
      </c>
      <c r="J186" t="str">
        <f>_xlfn.XLOOKUP($A186,Map!$A:$A,Map!F:F)</f>
        <v>Depreciation of property, plant and equipment</v>
      </c>
    </row>
    <row r="187" spans="1:10" hidden="1" x14ac:dyDescent="0.25">
      <c r="A187" s="1">
        <v>700056</v>
      </c>
      <c r="B187" s="1" t="s">
        <v>223</v>
      </c>
      <c r="C187" s="3">
        <v>0</v>
      </c>
      <c r="D187" s="3">
        <v>0</v>
      </c>
      <c r="E187" s="3">
        <v>0</v>
      </c>
      <c r="F187" s="42">
        <v>0</v>
      </c>
      <c r="G187" t="str">
        <f>_xlfn.XLOOKUP($A187,Map!$A:$A,Map!C:C)</f>
        <v>IS</v>
      </c>
      <c r="H187" t="str">
        <f>_xlfn.XLOOKUP($A187,Map!$A:$A,Map!D:D)</f>
        <v>Depreciation expenses</v>
      </c>
      <c r="I187" t="str">
        <f>_xlfn.XLOOKUP($A187,Map!$A:$A,Map!E:E)</f>
        <v>Depreciation expenses</v>
      </c>
      <c r="J187" t="str">
        <f>_xlfn.XLOOKUP($A187,Map!$A:$A,Map!F:F)</f>
        <v>Depreciation of property, plant and equipment</v>
      </c>
    </row>
    <row r="188" spans="1:10" hidden="1" x14ac:dyDescent="0.25">
      <c r="A188" s="1">
        <v>700057</v>
      </c>
      <c r="B188" s="1" t="s">
        <v>224</v>
      </c>
      <c r="C188" s="3">
        <v>0</v>
      </c>
      <c r="D188" s="3">
        <v>798000.4</v>
      </c>
      <c r="E188" s="3">
        <v>0</v>
      </c>
      <c r="F188" s="41">
        <v>798000.4</v>
      </c>
      <c r="G188" t="str">
        <f>_xlfn.XLOOKUP($A188,Map!$A:$A,Map!C:C)</f>
        <v>IS</v>
      </c>
      <c r="H188" t="str">
        <f>_xlfn.XLOOKUP($A188,Map!$A:$A,Map!D:D)</f>
        <v>Cost of sales</v>
      </c>
      <c r="I188" t="str">
        <f>_xlfn.XLOOKUP($A188,Map!$A:$A,Map!E:E)</f>
        <v>Overhead - Rent</v>
      </c>
      <c r="J188" t="str">
        <f>_xlfn.XLOOKUP($A188,Map!$A:$A,Map!F:F)</f>
        <v>Warehouse Rent ( Khamis, Rioyadh, Dammam)</v>
      </c>
    </row>
    <row r="189" spans="1:10" hidden="1" x14ac:dyDescent="0.25">
      <c r="A189" s="1">
        <v>700058</v>
      </c>
      <c r="B189" s="1" t="s">
        <v>225</v>
      </c>
      <c r="C189" s="3">
        <v>0</v>
      </c>
      <c r="D189" s="3">
        <v>67900</v>
      </c>
      <c r="E189" s="3">
        <v>345</v>
      </c>
      <c r="F189" s="41">
        <v>67555</v>
      </c>
      <c r="G189" t="str">
        <f>_xlfn.XLOOKUP($A189,Map!$A:$A,Map!C:C)</f>
        <v>IS</v>
      </c>
      <c r="H189" t="str">
        <f>_xlfn.XLOOKUP($A189,Map!$A:$A,Map!D:D)</f>
        <v>Selling and Marketing</v>
      </c>
      <c r="I189" t="str">
        <f>_xlfn.XLOOKUP($A189,Map!$A:$A,Map!E:E)</f>
        <v>Advertising and promotion expenses</v>
      </c>
      <c r="J189" t="str">
        <f>_xlfn.XLOOKUP($A189,Map!$A:$A,Map!F:F)</f>
        <v>Advertising and promotion expenses</v>
      </c>
    </row>
    <row r="190" spans="1:10" hidden="1" x14ac:dyDescent="0.25">
      <c r="A190" s="1">
        <v>700059</v>
      </c>
      <c r="B190" s="1" t="s">
        <v>226</v>
      </c>
      <c r="C190" s="3">
        <v>0</v>
      </c>
      <c r="D190" s="3">
        <v>690</v>
      </c>
      <c r="E190" s="3">
        <v>690</v>
      </c>
      <c r="F190" s="41">
        <v>0</v>
      </c>
      <c r="G190" t="str">
        <f>_xlfn.XLOOKUP($A190,Map!$A:$A,Map!C:C)</f>
        <v>IS</v>
      </c>
      <c r="H190" t="str">
        <f>_xlfn.XLOOKUP($A190,Map!$A:$A,Map!D:D)</f>
        <v>Selling and Marketing</v>
      </c>
      <c r="I190" t="str">
        <f>_xlfn.XLOOKUP($A190,Map!$A:$A,Map!E:E)</f>
        <v>Exhibitions</v>
      </c>
      <c r="J190" t="str">
        <f>_xlfn.XLOOKUP($A190,Map!$A:$A,Map!F:F)</f>
        <v>Exhibitions</v>
      </c>
    </row>
    <row r="191" spans="1:10" hidden="1" x14ac:dyDescent="0.25">
      <c r="A191" s="1">
        <v>700060</v>
      </c>
      <c r="B191" s="1" t="s">
        <v>227</v>
      </c>
      <c r="C191" s="3">
        <v>0</v>
      </c>
      <c r="D191" s="3">
        <v>2736184.3369999998</v>
      </c>
      <c r="E191" s="3">
        <v>1450</v>
      </c>
      <c r="F191" s="41">
        <v>2734734.3369999998</v>
      </c>
      <c r="G191" t="str">
        <f>_xlfn.XLOOKUP($A191,Map!$A:$A,Map!C:C)</f>
        <v>IS</v>
      </c>
      <c r="H191" t="str">
        <f>_xlfn.XLOOKUP($A191,Map!$A:$A,Map!D:D)</f>
        <v>Cost of sales</v>
      </c>
      <c r="I191" t="str">
        <f>_xlfn.XLOOKUP($A191,Map!$A:$A,Map!E:E)</f>
        <v>Freight expenses</v>
      </c>
      <c r="J191" t="str">
        <f>_xlfn.XLOOKUP($A191,Map!$A:$A,Map!F:F)</f>
        <v>Freight expenses</v>
      </c>
    </row>
    <row r="192" spans="1:10" hidden="1" x14ac:dyDescent="0.25">
      <c r="A192" s="1">
        <v>700061</v>
      </c>
      <c r="B192" s="1" t="s">
        <v>228</v>
      </c>
      <c r="C192" s="3">
        <v>0</v>
      </c>
      <c r="D192" s="3">
        <v>212760.23</v>
      </c>
      <c r="E192" s="3">
        <v>1285</v>
      </c>
      <c r="F192" s="42">
        <v>211475.23</v>
      </c>
      <c r="G192" t="str">
        <f>_xlfn.XLOOKUP($A192,Map!$A:$A,Map!C:C)</f>
        <v>IS</v>
      </c>
      <c r="H192" t="str">
        <f>_xlfn.XLOOKUP($A192,Map!$A:$A,Map!D:D)</f>
        <v>Selling and Marketing</v>
      </c>
      <c r="I192" t="str">
        <f>_xlfn.XLOOKUP($A192,Map!$A:$A,Map!E:E)</f>
        <v>Commission expenses</v>
      </c>
      <c r="J192" t="str">
        <f>_xlfn.XLOOKUP($A192,Map!$A:$A,Map!F:F)</f>
        <v>Commission expenses</v>
      </c>
    </row>
    <row r="193" spans="1:10" hidden="1" x14ac:dyDescent="0.25">
      <c r="A193" s="1">
        <v>700062</v>
      </c>
      <c r="B193" s="1" t="s">
        <v>229</v>
      </c>
      <c r="C193" s="3">
        <v>0</v>
      </c>
      <c r="D193" s="3">
        <v>500792.5</v>
      </c>
      <c r="E193" s="3">
        <v>366874.68099999998</v>
      </c>
      <c r="F193" s="42">
        <v>133917.81899999999</v>
      </c>
      <c r="G193" t="str">
        <f>_xlfn.XLOOKUP($A193,Map!$A:$A,Map!C:C)</f>
        <v>IS</v>
      </c>
      <c r="H193" t="str">
        <f>_xlfn.XLOOKUP($A193,Map!$A:$A,Map!D:D)</f>
        <v>Revised provision on Bad Debts</v>
      </c>
      <c r="I193" t="str">
        <f>_xlfn.XLOOKUP($A193,Map!$A:$A,Map!E:E)</f>
        <v>Bad debts expense</v>
      </c>
      <c r="J193" t="str">
        <f>_xlfn.XLOOKUP($A193,Map!$A:$A,Map!F:F)</f>
        <v>Bad debts expense</v>
      </c>
    </row>
    <row r="194" spans="1:10" hidden="1" x14ac:dyDescent="0.25">
      <c r="A194" s="1">
        <v>700063</v>
      </c>
      <c r="B194" s="1" t="s">
        <v>230</v>
      </c>
      <c r="C194" s="3">
        <v>0</v>
      </c>
      <c r="D194" s="3">
        <v>494816.91</v>
      </c>
      <c r="E194" s="3">
        <v>53793.599999999999</v>
      </c>
      <c r="F194" s="42">
        <v>441023.31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Salaries and wages</v>
      </c>
      <c r="J194" t="str">
        <f>_xlfn.XLOOKUP($A194,Map!$A:$A,Map!F:F)</f>
        <v>GOSI</v>
      </c>
    </row>
    <row r="195" spans="1:10" hidden="1" x14ac:dyDescent="0.25"/>
    <row r="196" spans="1:10" s="5" customFormat="1" hidden="1" x14ac:dyDescent="0.25">
      <c r="C196" s="92">
        <f>SUBTOTAL(9,C5:C195)</f>
        <v>1994574.4540000004</v>
      </c>
      <c r="D196" s="92">
        <f>SUBTOTAL(9,D5:D195)</f>
        <v>3139446163.7279997</v>
      </c>
      <c r="E196" s="92">
        <f>SUBTOTAL(9,E5:E195)</f>
        <v>3144661559.1819997</v>
      </c>
      <c r="F196" s="92">
        <f>SUBTOTAL(9,F5:F195)</f>
        <v>-3220821</v>
      </c>
      <c r="G196" s="147"/>
    </row>
    <row r="197" spans="1:10" hidden="1" x14ac:dyDescent="0.25">
      <c r="C197" s="3"/>
      <c r="D197" s="3"/>
      <c r="E197" s="3"/>
    </row>
    <row r="198" spans="1:10" hidden="1" x14ac:dyDescent="0.25">
      <c r="A198" s="5" t="s">
        <v>531</v>
      </c>
    </row>
    <row r="199" spans="1:10" hidden="1" x14ac:dyDescent="0.25">
      <c r="A199" s="1">
        <v>600031</v>
      </c>
      <c r="B199" s="1" t="s">
        <v>726</v>
      </c>
      <c r="D199" s="1">
        <v>43317.006000000001</v>
      </c>
      <c r="E199" s="1">
        <v>0</v>
      </c>
      <c r="F199" s="3">
        <f>D199-E199</f>
        <v>43317.006000000001</v>
      </c>
      <c r="G199" t="str">
        <f>_xlfn.XLOOKUP($A199,Map!$A:$A,Map!C:C)</f>
        <v>IS</v>
      </c>
      <c r="H199" t="str">
        <f>_xlfn.XLOOKUP($A199,Map!$A:$A,Map!D:D)</f>
        <v>Depreciation expenses</v>
      </c>
      <c r="I199" t="str">
        <f>_xlfn.XLOOKUP($A199,Map!$A:$A,Map!E:E)</f>
        <v>Depreciation expenses</v>
      </c>
      <c r="J199" t="str">
        <f>_xlfn.XLOOKUP($A199,Map!$A:$A,Map!F:F)</f>
        <v>Depreciation of property, plant and equipment</v>
      </c>
    </row>
    <row r="200" spans="1:10" hidden="1" x14ac:dyDescent="0.25">
      <c r="A200" s="1">
        <v>600030</v>
      </c>
      <c r="B200" s="1" t="s">
        <v>726</v>
      </c>
      <c r="D200" s="1">
        <v>12131.503000000001</v>
      </c>
      <c r="E200" s="1">
        <v>0</v>
      </c>
      <c r="F200" s="3">
        <f t="shared" ref="F200:F263" si="0">D200-E200</f>
        <v>12131.503000000001</v>
      </c>
      <c r="G200" t="str">
        <f>_xlfn.XLOOKUP($A200,Map!$A:$A,Map!C:C)</f>
        <v>IS</v>
      </c>
      <c r="H200" t="str">
        <f>_xlfn.XLOOKUP($A200,Map!$A:$A,Map!D:D)</f>
        <v>Depreciation expenses</v>
      </c>
      <c r="I200" t="str">
        <f>_xlfn.XLOOKUP($A200,Map!$A:$A,Map!E:E)</f>
        <v>Depreciation expenses</v>
      </c>
      <c r="J200" t="str">
        <f>_xlfn.XLOOKUP($A200,Map!$A:$A,Map!F:F)</f>
        <v>Depreciation of property, plant and equipment</v>
      </c>
    </row>
    <row r="201" spans="1:10" hidden="1" x14ac:dyDescent="0.25">
      <c r="A201" s="1">
        <v>600029</v>
      </c>
      <c r="B201" s="1" t="s">
        <v>726</v>
      </c>
      <c r="D201" s="1">
        <v>3165403.4010000001</v>
      </c>
      <c r="E201" s="1">
        <v>0</v>
      </c>
      <c r="F201" s="3">
        <f t="shared" si="0"/>
        <v>3165403.4010000001</v>
      </c>
      <c r="G201" t="str">
        <f>_xlfn.XLOOKUP($A201,Map!$A:$A,Map!C:C)</f>
        <v>IS</v>
      </c>
      <c r="H201" t="str">
        <f>_xlfn.XLOOKUP($A201,Map!$A:$A,Map!D:D)</f>
        <v>Cost of sales</v>
      </c>
      <c r="I201" t="str">
        <f>_xlfn.XLOOKUP($A201,Map!$A:$A,Map!E:E)</f>
        <v>Depreciation - Machines</v>
      </c>
      <c r="J201" t="str">
        <f>_xlfn.XLOOKUP($A201,Map!$A:$A,Map!F:F)</f>
        <v>Depreciation of property, plant and equipment</v>
      </c>
    </row>
    <row r="202" spans="1:10" hidden="1" x14ac:dyDescent="0.25">
      <c r="A202" s="1">
        <v>600028</v>
      </c>
      <c r="B202" s="1" t="s">
        <v>726</v>
      </c>
      <c r="D202" s="1">
        <v>37601</v>
      </c>
      <c r="E202" s="1">
        <v>0</v>
      </c>
      <c r="F202" s="3">
        <f t="shared" si="0"/>
        <v>37601</v>
      </c>
      <c r="G202" t="str">
        <f>_xlfn.XLOOKUP($A202,Map!$A:$A,Map!C:C)</f>
        <v>IS</v>
      </c>
      <c r="H202" t="str">
        <f>_xlfn.XLOOKUP($A202,Map!$A:$A,Map!D:D)</f>
        <v>Cost of sales</v>
      </c>
      <c r="I202" t="str">
        <f>_xlfn.XLOOKUP($A202,Map!$A:$A,Map!E:E)</f>
        <v>Overhead - Consumables &amp; SP</v>
      </c>
      <c r="J202" t="str">
        <f>_xlfn.XLOOKUP($A202,Map!$A:$A,Map!F:F)</f>
        <v xml:space="preserve">Education &amp; Furniture Allowances </v>
      </c>
    </row>
    <row r="203" spans="1:10" hidden="1" x14ac:dyDescent="0.25">
      <c r="A203" s="1">
        <v>600027</v>
      </c>
      <c r="B203" s="1" t="s">
        <v>726</v>
      </c>
      <c r="D203" s="1">
        <v>606615</v>
      </c>
      <c r="E203" s="1">
        <v>0</v>
      </c>
      <c r="F203" s="3">
        <f t="shared" si="0"/>
        <v>606615</v>
      </c>
      <c r="G203" t="str">
        <f>_xlfn.XLOOKUP($A203,Map!$A:$A,Map!C:C)</f>
        <v>IS</v>
      </c>
      <c r="H203" t="str">
        <f>_xlfn.XLOOKUP($A203,Map!$A:$A,Map!D:D)</f>
        <v>Cost of sales</v>
      </c>
      <c r="I203" t="str">
        <f>_xlfn.XLOOKUP($A203,Map!$A:$A,Map!E:E)</f>
        <v>Overhead - Rent</v>
      </c>
      <c r="J203" t="str">
        <f>_xlfn.XLOOKUP($A203,Map!$A:$A,Map!F:F)</f>
        <v>Production hall rental</v>
      </c>
    </row>
    <row r="204" spans="1:10" hidden="1" x14ac:dyDescent="0.25">
      <c r="A204" s="1">
        <v>600024</v>
      </c>
      <c r="B204" s="1" t="s">
        <v>726</v>
      </c>
      <c r="D204" s="1">
        <v>81785</v>
      </c>
      <c r="E204" s="1">
        <v>0</v>
      </c>
      <c r="F204" s="3">
        <f t="shared" si="0"/>
        <v>81785</v>
      </c>
      <c r="G204" t="str">
        <f>_xlfn.XLOOKUP($A204,Map!$A:$A,Map!C:C)</f>
        <v>IS</v>
      </c>
      <c r="H204" t="str">
        <f>_xlfn.XLOOKUP($A204,Map!$A:$A,Map!D:D)</f>
        <v>Cost of sales</v>
      </c>
      <c r="I204" t="str">
        <f>_xlfn.XLOOKUP($A204,Map!$A:$A,Map!E:E)</f>
        <v>Overhead - Rent</v>
      </c>
      <c r="J204" t="str">
        <f>_xlfn.XLOOKUP($A204,Map!$A:$A,Map!F:F)</f>
        <v>Pump rental expenses</v>
      </c>
    </row>
    <row r="205" spans="1:10" hidden="1" x14ac:dyDescent="0.25">
      <c r="A205" s="1">
        <v>600024</v>
      </c>
      <c r="B205" s="1" t="s">
        <v>726</v>
      </c>
      <c r="D205" s="1">
        <v>29340</v>
      </c>
      <c r="E205" s="1">
        <v>0</v>
      </c>
      <c r="F205" s="3">
        <f t="shared" si="0"/>
        <v>29340</v>
      </c>
      <c r="G205" t="str">
        <f>_xlfn.XLOOKUP($A205,Map!$A:$A,Map!C:C)</f>
        <v>IS</v>
      </c>
      <c r="H205" t="str">
        <f>_xlfn.XLOOKUP($A205,Map!$A:$A,Map!D:D)</f>
        <v>Cost of sales</v>
      </c>
      <c r="I205" t="str">
        <f>_xlfn.XLOOKUP($A205,Map!$A:$A,Map!E:E)</f>
        <v>Overhead - Rent</v>
      </c>
      <c r="J205" t="str">
        <f>_xlfn.XLOOKUP($A205,Map!$A:$A,Map!F:F)</f>
        <v>Pump rental expenses</v>
      </c>
    </row>
    <row r="206" spans="1:10" hidden="1" x14ac:dyDescent="0.25">
      <c r="A206" s="1">
        <v>600023</v>
      </c>
      <c r="B206" s="1" t="s">
        <v>726</v>
      </c>
      <c r="D206" s="1">
        <v>3377</v>
      </c>
      <c r="E206" s="1">
        <v>0</v>
      </c>
      <c r="F206" s="3">
        <f t="shared" si="0"/>
        <v>3377</v>
      </c>
      <c r="G206" t="str">
        <f>_xlfn.XLOOKUP($A206,Map!$A:$A,Map!C:C)</f>
        <v>IS</v>
      </c>
      <c r="H206" t="str">
        <f>_xlfn.XLOOKUP($A206,Map!$A:$A,Map!D:D)</f>
        <v>Cost of sales</v>
      </c>
      <c r="I206" t="str">
        <f>_xlfn.XLOOKUP($A206,Map!$A:$A,Map!E:E)</f>
        <v>Overhead - R&amp;M</v>
      </c>
      <c r="J206" t="str">
        <f>_xlfn.XLOOKUP($A206,Map!$A:$A,Map!F:F)</f>
        <v>Office equipment maintenance</v>
      </c>
    </row>
    <row r="207" spans="1:10" hidden="1" x14ac:dyDescent="0.25">
      <c r="A207" s="1">
        <v>600022</v>
      </c>
      <c r="B207" s="1" t="s">
        <v>726</v>
      </c>
      <c r="D207" s="1">
        <v>700</v>
      </c>
      <c r="E207" s="1">
        <v>0</v>
      </c>
      <c r="F207" s="3">
        <f t="shared" si="0"/>
        <v>700</v>
      </c>
      <c r="G207" t="str">
        <f>_xlfn.XLOOKUP($A207,Map!$A:$A,Map!C:C)</f>
        <v>IS</v>
      </c>
      <c r="H207" t="str">
        <f>_xlfn.XLOOKUP($A207,Map!$A:$A,Map!D:D)</f>
        <v>Cost of sales</v>
      </c>
      <c r="I207" t="str">
        <f>_xlfn.XLOOKUP($A207,Map!$A:$A,Map!E:E)</f>
        <v>Overhead - R&amp;M</v>
      </c>
      <c r="J207" t="str">
        <f>_xlfn.XLOOKUP($A207,Map!$A:$A,Map!F:F)</f>
        <v>Building maintenance</v>
      </c>
    </row>
    <row r="208" spans="1:10" hidden="1" x14ac:dyDescent="0.25">
      <c r="A208" s="1">
        <v>600020</v>
      </c>
      <c r="B208" s="1" t="s">
        <v>726</v>
      </c>
      <c r="D208" s="1">
        <v>134173.00200000001</v>
      </c>
      <c r="E208" s="1">
        <v>0</v>
      </c>
      <c r="F208" s="3">
        <f t="shared" si="0"/>
        <v>134173.00200000001</v>
      </c>
      <c r="G208" t="str">
        <f>_xlfn.XLOOKUP($A208,Map!$A:$A,Map!C:C)</f>
        <v>IS</v>
      </c>
      <c r="H208" t="str">
        <f>_xlfn.XLOOKUP($A208,Map!$A:$A,Map!D:D)</f>
        <v>Cost of sales</v>
      </c>
      <c r="I208" t="str">
        <f>_xlfn.XLOOKUP($A208,Map!$A:$A,Map!E:E)</f>
        <v>Overhead - R&amp;M</v>
      </c>
      <c r="J208" t="str">
        <f>_xlfn.XLOOKUP($A208,Map!$A:$A,Map!F:F)</f>
        <v>Machine and equipment</v>
      </c>
    </row>
    <row r="209" spans="1:10" hidden="1" x14ac:dyDescent="0.25">
      <c r="A209" s="1">
        <v>600019</v>
      </c>
      <c r="B209" s="1" t="s">
        <v>726</v>
      </c>
      <c r="D209" s="1">
        <v>58315.35</v>
      </c>
      <c r="E209" s="1">
        <v>0</v>
      </c>
      <c r="F209" s="3">
        <f t="shared" si="0"/>
        <v>58315.35</v>
      </c>
      <c r="G209" t="str">
        <f>_xlfn.XLOOKUP($A209,Map!$A:$A,Map!C:C)</f>
        <v>IS</v>
      </c>
      <c r="H209" t="str">
        <f>_xlfn.XLOOKUP($A209,Map!$A:$A,Map!D:D)</f>
        <v>Cost of sales</v>
      </c>
      <c r="I209" t="str">
        <f>_xlfn.XLOOKUP($A209,Map!$A:$A,Map!E:E)</f>
        <v>Overhead - Utility</v>
      </c>
      <c r="J209" t="str">
        <f>_xlfn.XLOOKUP($A209,Map!$A:$A,Map!F:F)</f>
        <v>Fuel and oil</v>
      </c>
    </row>
    <row r="210" spans="1:10" hidden="1" x14ac:dyDescent="0.25">
      <c r="A210" s="1">
        <v>600018</v>
      </c>
      <c r="B210" s="1" t="s">
        <v>726</v>
      </c>
      <c r="D210" s="1">
        <v>68770</v>
      </c>
      <c r="E210" s="1">
        <v>0</v>
      </c>
      <c r="F210" s="3">
        <f t="shared" si="0"/>
        <v>68770</v>
      </c>
      <c r="G210" t="str">
        <f>_xlfn.XLOOKUP($A210,Map!$A:$A,Map!C:C)</f>
        <v>IS</v>
      </c>
      <c r="H210" t="str">
        <f>_xlfn.XLOOKUP($A210,Map!$A:$A,Map!D:D)</f>
        <v>Cost of sales</v>
      </c>
      <c r="I210" t="str">
        <f>_xlfn.XLOOKUP($A210,Map!$A:$A,Map!E:E)</f>
        <v>Overhead - Utility</v>
      </c>
      <c r="J210" t="str">
        <f>_xlfn.XLOOKUP($A210,Map!$A:$A,Map!F:F)</f>
        <v>Water expenses</v>
      </c>
    </row>
    <row r="211" spans="1:10" hidden="1" x14ac:dyDescent="0.25">
      <c r="A211" s="1">
        <v>600017</v>
      </c>
      <c r="B211" s="1" t="s">
        <v>726</v>
      </c>
      <c r="D211" s="1">
        <v>1763155.58</v>
      </c>
      <c r="E211" s="1">
        <v>0</v>
      </c>
      <c r="F211" s="3">
        <f t="shared" si="0"/>
        <v>1763155.58</v>
      </c>
      <c r="G211" t="str">
        <f>_xlfn.XLOOKUP($A211,Map!$A:$A,Map!C:C)</f>
        <v>IS</v>
      </c>
      <c r="H211" t="str">
        <f>_xlfn.XLOOKUP($A211,Map!$A:$A,Map!D:D)</f>
        <v>Cost of sales</v>
      </c>
      <c r="I211" t="str">
        <f>_xlfn.XLOOKUP($A211,Map!$A:$A,Map!E:E)</f>
        <v>Overhead - Utility</v>
      </c>
      <c r="J211" t="str">
        <f>_xlfn.XLOOKUP($A211,Map!$A:$A,Map!F:F)</f>
        <v>Electricity expenses</v>
      </c>
    </row>
    <row r="212" spans="1:10" hidden="1" x14ac:dyDescent="0.25">
      <c r="A212" s="1">
        <v>600016</v>
      </c>
      <c r="B212" s="1" t="s">
        <v>726</v>
      </c>
      <c r="D212" s="1">
        <v>611595.16500000004</v>
      </c>
      <c r="E212" s="1">
        <v>0</v>
      </c>
      <c r="F212" s="3">
        <f t="shared" si="0"/>
        <v>611595.16500000004</v>
      </c>
      <c r="G212" t="str">
        <f>_xlfn.XLOOKUP($A212,Map!$A:$A,Map!C:C)</f>
        <v>IS</v>
      </c>
      <c r="H212" t="str">
        <f>_xlfn.XLOOKUP($A212,Map!$A:$A,Map!D:D)</f>
        <v>Cost of sales</v>
      </c>
      <c r="I212" t="str">
        <f>_xlfn.XLOOKUP($A212,Map!$A:$A,Map!E:E)</f>
        <v>Overhead - Consumables &amp; SP</v>
      </c>
      <c r="J212" t="str">
        <f>_xlfn.XLOOKUP($A212,Map!$A:$A,Map!F:F)</f>
        <v>Tools</v>
      </c>
    </row>
    <row r="213" spans="1:10" hidden="1" x14ac:dyDescent="0.25">
      <c r="A213" s="1">
        <v>600016</v>
      </c>
      <c r="B213" s="1" t="s">
        <v>726</v>
      </c>
      <c r="D213" s="1">
        <v>129325.583</v>
      </c>
      <c r="E213" s="1">
        <v>0</v>
      </c>
      <c r="F213" s="3">
        <f t="shared" si="0"/>
        <v>129325.583</v>
      </c>
      <c r="G213" t="str">
        <f>_xlfn.XLOOKUP($A213,Map!$A:$A,Map!C:C)</f>
        <v>IS</v>
      </c>
      <c r="H213" t="str">
        <f>_xlfn.XLOOKUP($A213,Map!$A:$A,Map!D:D)</f>
        <v>Cost of sales</v>
      </c>
      <c r="I213" t="str">
        <f>_xlfn.XLOOKUP($A213,Map!$A:$A,Map!E:E)</f>
        <v>Overhead - Consumables &amp; SP</v>
      </c>
      <c r="J213" t="str">
        <f>_xlfn.XLOOKUP($A213,Map!$A:$A,Map!F:F)</f>
        <v>Tools</v>
      </c>
    </row>
    <row r="214" spans="1:10" hidden="1" x14ac:dyDescent="0.25">
      <c r="A214" s="1">
        <v>600016</v>
      </c>
      <c r="B214" s="1" t="s">
        <v>726</v>
      </c>
      <c r="D214" s="1">
        <v>201686.47</v>
      </c>
      <c r="E214" s="1">
        <v>0</v>
      </c>
      <c r="F214" s="3">
        <f t="shared" si="0"/>
        <v>201686.47</v>
      </c>
      <c r="G214" t="str">
        <f>_xlfn.XLOOKUP($A214,Map!$A:$A,Map!C:C)</f>
        <v>IS</v>
      </c>
      <c r="H214" t="str">
        <f>_xlfn.XLOOKUP($A214,Map!$A:$A,Map!D:D)</f>
        <v>Cost of sales</v>
      </c>
      <c r="I214" t="str">
        <f>_xlfn.XLOOKUP($A214,Map!$A:$A,Map!E:E)</f>
        <v>Overhead - Consumables &amp; SP</v>
      </c>
      <c r="J214" t="str">
        <f>_xlfn.XLOOKUP($A214,Map!$A:$A,Map!F:F)</f>
        <v>Tools</v>
      </c>
    </row>
    <row r="215" spans="1:10" hidden="1" x14ac:dyDescent="0.25">
      <c r="A215" s="1">
        <v>600016</v>
      </c>
      <c r="B215" s="1" t="s">
        <v>726</v>
      </c>
      <c r="D215" s="1">
        <v>1334241.682</v>
      </c>
      <c r="E215" s="1">
        <v>0</v>
      </c>
      <c r="F215" s="3">
        <f t="shared" si="0"/>
        <v>1334241.682</v>
      </c>
      <c r="G215" t="str">
        <f>_xlfn.XLOOKUP($A215,Map!$A:$A,Map!C:C)</f>
        <v>IS</v>
      </c>
      <c r="H215" t="str">
        <f>_xlfn.XLOOKUP($A215,Map!$A:$A,Map!D:D)</f>
        <v>Cost of sales</v>
      </c>
      <c r="I215" t="str">
        <f>_xlfn.XLOOKUP($A215,Map!$A:$A,Map!E:E)</f>
        <v>Overhead - Consumables &amp; SP</v>
      </c>
      <c r="J215" t="str">
        <f>_xlfn.XLOOKUP($A215,Map!$A:$A,Map!F:F)</f>
        <v>Tools</v>
      </c>
    </row>
    <row r="216" spans="1:10" hidden="1" x14ac:dyDescent="0.25">
      <c r="A216" s="1">
        <v>600016</v>
      </c>
      <c r="B216" s="1" t="s">
        <v>726</v>
      </c>
      <c r="D216" s="1">
        <v>2980</v>
      </c>
      <c r="E216" s="1">
        <v>0</v>
      </c>
      <c r="F216" s="3">
        <f t="shared" si="0"/>
        <v>2980</v>
      </c>
      <c r="G216" t="str">
        <f>_xlfn.XLOOKUP($A216,Map!$A:$A,Map!C:C)</f>
        <v>IS</v>
      </c>
      <c r="H216" t="str">
        <f>_xlfn.XLOOKUP($A216,Map!$A:$A,Map!D:D)</f>
        <v>Cost of sales</v>
      </c>
      <c r="I216" t="str">
        <f>_xlfn.XLOOKUP($A216,Map!$A:$A,Map!E:E)</f>
        <v>Overhead - Consumables &amp; SP</v>
      </c>
      <c r="J216" t="str">
        <f>_xlfn.XLOOKUP($A216,Map!$A:$A,Map!F:F)</f>
        <v>Tools</v>
      </c>
    </row>
    <row r="217" spans="1:10" hidden="1" x14ac:dyDescent="0.25">
      <c r="A217" s="1">
        <v>600015</v>
      </c>
      <c r="B217" s="1" t="s">
        <v>726</v>
      </c>
      <c r="D217" s="1">
        <v>48196.184999999998</v>
      </c>
      <c r="E217" s="1">
        <v>0</v>
      </c>
      <c r="F217" s="3">
        <f t="shared" si="0"/>
        <v>48196.184999999998</v>
      </c>
      <c r="G217" t="str">
        <f>_xlfn.XLOOKUP($A217,Map!$A:$A,Map!C:C)</f>
        <v>IS</v>
      </c>
      <c r="H217" t="str">
        <f>_xlfn.XLOOKUP($A217,Map!$A:$A,Map!D:D)</f>
        <v>Cost of sales</v>
      </c>
      <c r="I217" t="str">
        <f>_xlfn.XLOOKUP($A217,Map!$A:$A,Map!E:E)</f>
        <v>Overhead - Consumables &amp; SP</v>
      </c>
      <c r="J217" t="str">
        <f>_xlfn.XLOOKUP($A217,Map!$A:$A,Map!F:F)</f>
        <v>Consumables</v>
      </c>
    </row>
    <row r="218" spans="1:10" hidden="1" x14ac:dyDescent="0.25">
      <c r="A218" s="1">
        <v>600014</v>
      </c>
      <c r="B218" s="1" t="s">
        <v>726</v>
      </c>
      <c r="D218" s="1">
        <v>1692707.2069999999</v>
      </c>
      <c r="E218" s="1">
        <v>0</v>
      </c>
      <c r="F218" s="3">
        <f t="shared" si="0"/>
        <v>1692707.2069999999</v>
      </c>
      <c r="G218" t="str">
        <f>_xlfn.XLOOKUP($A218,Map!$A:$A,Map!C:C)</f>
        <v>IS</v>
      </c>
      <c r="H218" t="str">
        <f>_xlfn.XLOOKUP($A218,Map!$A:$A,Map!D:D)</f>
        <v>Cost of sales</v>
      </c>
      <c r="I218" t="str">
        <f>_xlfn.XLOOKUP($A218,Map!$A:$A,Map!E:E)</f>
        <v>Overhead - Consumables &amp; SP</v>
      </c>
      <c r="J218" t="str">
        <f>_xlfn.XLOOKUP($A218,Map!$A:$A,Map!F:F)</f>
        <v>Consumables</v>
      </c>
    </row>
    <row r="219" spans="1:10" hidden="1" x14ac:dyDescent="0.25">
      <c r="A219" s="1">
        <v>600014</v>
      </c>
      <c r="B219" s="1" t="s">
        <v>726</v>
      </c>
      <c r="D219" s="1">
        <v>5460</v>
      </c>
      <c r="E219" s="1">
        <v>0</v>
      </c>
      <c r="F219" s="3">
        <f t="shared" si="0"/>
        <v>5460</v>
      </c>
      <c r="G219" t="str">
        <f>_xlfn.XLOOKUP($A219,Map!$A:$A,Map!C:C)</f>
        <v>IS</v>
      </c>
      <c r="H219" t="str">
        <f>_xlfn.XLOOKUP($A219,Map!$A:$A,Map!D:D)</f>
        <v>Cost of sales</v>
      </c>
      <c r="I219" t="str">
        <f>_xlfn.XLOOKUP($A219,Map!$A:$A,Map!E:E)</f>
        <v>Overhead - Consumables &amp; SP</v>
      </c>
      <c r="J219" t="str">
        <f>_xlfn.XLOOKUP($A219,Map!$A:$A,Map!F:F)</f>
        <v>Consumables</v>
      </c>
    </row>
    <row r="220" spans="1:10" hidden="1" x14ac:dyDescent="0.25">
      <c r="A220" s="1">
        <v>600013</v>
      </c>
      <c r="B220" s="1" t="s">
        <v>726</v>
      </c>
      <c r="D220" s="1">
        <v>150</v>
      </c>
      <c r="E220" s="1">
        <v>0</v>
      </c>
      <c r="F220" s="3">
        <f t="shared" si="0"/>
        <v>150</v>
      </c>
      <c r="G220" t="str">
        <f>_xlfn.XLOOKUP($A220,Map!$A:$A,Map!C:C)</f>
        <v>IS</v>
      </c>
      <c r="H220" t="str">
        <f>_xlfn.XLOOKUP($A220,Map!$A:$A,Map!D:D)</f>
        <v>Cost of sales</v>
      </c>
      <c r="I220" t="str">
        <f>_xlfn.XLOOKUP($A220,Map!$A:$A,Map!E:E)</f>
        <v>Overhead - Labor Cost</v>
      </c>
      <c r="J220" t="str">
        <f>_xlfn.XLOOKUP($A220,Map!$A:$A,Map!F:F)</f>
        <v>Telephone allowance</v>
      </c>
    </row>
    <row r="221" spans="1:10" hidden="1" x14ac:dyDescent="0.25">
      <c r="A221" s="1">
        <v>600011</v>
      </c>
      <c r="B221" s="1" t="s">
        <v>726</v>
      </c>
      <c r="D221" s="1">
        <v>11000</v>
      </c>
      <c r="E221" s="1">
        <v>0</v>
      </c>
      <c r="F221" s="3">
        <f t="shared" si="0"/>
        <v>11000</v>
      </c>
      <c r="G221" t="str">
        <f>_xlfn.XLOOKUP($A221,Map!$A:$A,Map!C:C)</f>
        <v>IS</v>
      </c>
      <c r="H221" t="str">
        <f>_xlfn.XLOOKUP($A221,Map!$A:$A,Map!D:D)</f>
        <v>Cost of sales</v>
      </c>
      <c r="I221" t="str">
        <f>_xlfn.XLOOKUP($A221,Map!$A:$A,Map!E:E)</f>
        <v>Overhead - Labor Cost</v>
      </c>
      <c r="J221" t="str">
        <f>_xlfn.XLOOKUP($A221,Map!$A:$A,Map!F:F)</f>
        <v>Air tickets</v>
      </c>
    </row>
    <row r="222" spans="1:10" hidden="1" x14ac:dyDescent="0.25">
      <c r="A222" s="1">
        <v>600009</v>
      </c>
      <c r="B222" s="1" t="s">
        <v>726</v>
      </c>
      <c r="D222" s="1">
        <v>2000</v>
      </c>
      <c r="E222" s="1">
        <v>0</v>
      </c>
      <c r="F222" s="3">
        <f t="shared" si="0"/>
        <v>2000</v>
      </c>
      <c r="G222" t="str">
        <f>_xlfn.XLOOKUP($A222,Map!$A:$A,Map!C:C)</f>
        <v>IS</v>
      </c>
      <c r="H222" t="str">
        <f>_xlfn.XLOOKUP($A222,Map!$A:$A,Map!D:D)</f>
        <v>Cost of sales</v>
      </c>
      <c r="I222" t="str">
        <f>_xlfn.XLOOKUP($A222,Map!$A:$A,Map!E:E)</f>
        <v>Overhead - Labor Cost</v>
      </c>
      <c r="J222" t="str">
        <f>_xlfn.XLOOKUP($A222,Map!$A:$A,Map!F:F)</f>
        <v>Vacation pay</v>
      </c>
    </row>
    <row r="223" spans="1:10" hidden="1" x14ac:dyDescent="0.25">
      <c r="A223" s="1">
        <v>600009</v>
      </c>
      <c r="B223" s="1" t="s">
        <v>726</v>
      </c>
      <c r="D223" s="1">
        <v>159183</v>
      </c>
      <c r="E223" s="1">
        <v>0</v>
      </c>
      <c r="F223" s="3">
        <f t="shared" si="0"/>
        <v>159183</v>
      </c>
      <c r="G223" t="str">
        <f>_xlfn.XLOOKUP($A223,Map!$A:$A,Map!C:C)</f>
        <v>IS</v>
      </c>
      <c r="H223" t="str">
        <f>_xlfn.XLOOKUP($A223,Map!$A:$A,Map!D:D)</f>
        <v>Cost of sales</v>
      </c>
      <c r="I223" t="str">
        <f>_xlfn.XLOOKUP($A223,Map!$A:$A,Map!E:E)</f>
        <v>Overhead - Labor Cost</v>
      </c>
      <c r="J223" t="str">
        <f>_xlfn.XLOOKUP($A223,Map!$A:$A,Map!F:F)</f>
        <v>Vacation pay</v>
      </c>
    </row>
    <row r="224" spans="1:10" hidden="1" x14ac:dyDescent="0.25">
      <c r="A224" s="1">
        <v>600009</v>
      </c>
      <c r="B224" s="1" t="s">
        <v>726</v>
      </c>
      <c r="D224" s="1">
        <v>4000</v>
      </c>
      <c r="E224" s="1">
        <v>0</v>
      </c>
      <c r="F224" s="3">
        <f t="shared" si="0"/>
        <v>4000</v>
      </c>
      <c r="G224" t="str">
        <f>_xlfn.XLOOKUP($A224,Map!$A:$A,Map!C:C)</f>
        <v>IS</v>
      </c>
      <c r="H224" t="str">
        <f>_xlfn.XLOOKUP($A224,Map!$A:$A,Map!D:D)</f>
        <v>Cost of sales</v>
      </c>
      <c r="I224" t="str">
        <f>_xlfn.XLOOKUP($A224,Map!$A:$A,Map!E:E)</f>
        <v>Overhead - Labor Cost</v>
      </c>
      <c r="J224" t="str">
        <f>_xlfn.XLOOKUP($A224,Map!$A:$A,Map!F:F)</f>
        <v>Vacation pay</v>
      </c>
    </row>
    <row r="225" spans="1:10" hidden="1" x14ac:dyDescent="0.25">
      <c r="A225" s="1">
        <v>600008</v>
      </c>
      <c r="B225" s="1" t="s">
        <v>726</v>
      </c>
      <c r="D225" s="1">
        <v>166441</v>
      </c>
      <c r="E225" s="1">
        <v>0</v>
      </c>
      <c r="F225" s="3">
        <f t="shared" si="0"/>
        <v>166441</v>
      </c>
      <c r="G225" t="str">
        <f>_xlfn.XLOOKUP($A225,Map!$A:$A,Map!C:C)</f>
        <v>IS</v>
      </c>
      <c r="H225" t="str">
        <f>_xlfn.XLOOKUP($A225,Map!$A:$A,Map!D:D)</f>
        <v>Cost of sales</v>
      </c>
      <c r="I225" t="str">
        <f>_xlfn.XLOOKUP($A225,Map!$A:$A,Map!E:E)</f>
        <v>Overhead - Labor Cost</v>
      </c>
      <c r="J225" t="str">
        <f>_xlfn.XLOOKUP($A225,Map!$A:$A,Map!F:F)</f>
        <v>Air tickets</v>
      </c>
    </row>
    <row r="226" spans="1:10" hidden="1" x14ac:dyDescent="0.25">
      <c r="A226" s="1">
        <v>600007</v>
      </c>
      <c r="B226" s="1" t="s">
        <v>726</v>
      </c>
      <c r="D226" s="1">
        <v>1000</v>
      </c>
      <c r="E226" s="1">
        <v>0</v>
      </c>
      <c r="F226" s="3">
        <f t="shared" si="0"/>
        <v>1000</v>
      </c>
      <c r="G226" t="str">
        <f>_xlfn.XLOOKUP($A226,Map!$A:$A,Map!C:C)</f>
        <v>IS</v>
      </c>
      <c r="H226" t="str">
        <f>_xlfn.XLOOKUP($A226,Map!$A:$A,Map!D:D)</f>
        <v>Cost of sales</v>
      </c>
      <c r="I226" t="str">
        <f>_xlfn.XLOOKUP($A226,Map!$A:$A,Map!E:E)</f>
        <v>Overhead - Labor Cost</v>
      </c>
      <c r="J226" t="str">
        <f>_xlfn.XLOOKUP($A226,Map!$A:$A,Map!F:F)</f>
        <v>Transportation allowance</v>
      </c>
    </row>
    <row r="227" spans="1:10" hidden="1" x14ac:dyDescent="0.25">
      <c r="A227" s="1">
        <v>600006</v>
      </c>
      <c r="B227" s="1" t="s">
        <v>726</v>
      </c>
      <c r="D227" s="1">
        <v>267141.60700000002</v>
      </c>
      <c r="E227" s="1">
        <v>0</v>
      </c>
      <c r="F227" s="3">
        <f t="shared" si="0"/>
        <v>267141.60700000002</v>
      </c>
      <c r="G227" t="str">
        <f>_xlfn.XLOOKUP($A227,Map!$A:$A,Map!C:C)</f>
        <v>IS</v>
      </c>
      <c r="H227" t="str">
        <f>_xlfn.XLOOKUP($A227,Map!$A:$A,Map!D:D)</f>
        <v>Cost of sales</v>
      </c>
      <c r="I227" t="str">
        <f>_xlfn.XLOOKUP($A227,Map!$A:$A,Map!E:E)</f>
        <v>Overhead - Labor Cost</v>
      </c>
      <c r="J227" t="str">
        <f>_xlfn.XLOOKUP($A227,Map!$A:$A,Map!F:F)</f>
        <v xml:space="preserve">Food &amp; Housing </v>
      </c>
    </row>
    <row r="228" spans="1:10" hidden="1" x14ac:dyDescent="0.25">
      <c r="A228" s="1">
        <v>600005</v>
      </c>
      <c r="B228" s="1" t="s">
        <v>726</v>
      </c>
      <c r="D228" s="1">
        <v>261005.22</v>
      </c>
      <c r="E228" s="1">
        <v>0</v>
      </c>
      <c r="F228" s="3">
        <f t="shared" si="0"/>
        <v>261005.22</v>
      </c>
      <c r="G228" t="str">
        <f>_xlfn.XLOOKUP($A228,Map!$A:$A,Map!C:C)</f>
        <v>IS</v>
      </c>
      <c r="H228" t="str">
        <f>_xlfn.XLOOKUP($A228,Map!$A:$A,Map!D:D)</f>
        <v>General and Admin</v>
      </c>
      <c r="I228" t="str">
        <f>_xlfn.XLOOKUP($A228,Map!$A:$A,Map!E:E)</f>
        <v>Govt license and fees (including modon)</v>
      </c>
      <c r="J228" t="str">
        <f>_xlfn.XLOOKUP($A228,Map!$A:$A,Map!F:F)</f>
        <v>Government fees</v>
      </c>
    </row>
    <row r="229" spans="1:10" hidden="1" x14ac:dyDescent="0.25">
      <c r="A229" s="1">
        <v>600004</v>
      </c>
      <c r="B229" s="1" t="s">
        <v>726</v>
      </c>
      <c r="D229" s="1">
        <v>121680.13099999999</v>
      </c>
      <c r="E229" s="1">
        <v>0</v>
      </c>
      <c r="F229" s="3">
        <f t="shared" si="0"/>
        <v>121680.13099999999</v>
      </c>
      <c r="G229" t="str">
        <f>_xlfn.XLOOKUP($A229,Map!$A:$A,Map!C:C)</f>
        <v>IS</v>
      </c>
      <c r="H229" t="str">
        <f>_xlfn.XLOOKUP($A229,Map!$A:$A,Map!D:D)</f>
        <v>Cost of sales</v>
      </c>
      <c r="I229" t="str">
        <f>_xlfn.XLOOKUP($A229,Map!$A:$A,Map!E:E)</f>
        <v>Overhead - Labor Cost</v>
      </c>
      <c r="J229" t="str">
        <f>_xlfn.XLOOKUP($A229,Map!$A:$A,Map!F:F)</f>
        <v>Medical insurance</v>
      </c>
    </row>
    <row r="230" spans="1:10" hidden="1" x14ac:dyDescent="0.25">
      <c r="A230" s="1">
        <v>600003</v>
      </c>
      <c r="B230" s="1" t="s">
        <v>726</v>
      </c>
      <c r="D230" s="1">
        <v>78682</v>
      </c>
      <c r="E230" s="1">
        <v>0</v>
      </c>
      <c r="F230" s="3">
        <f t="shared" si="0"/>
        <v>78682</v>
      </c>
      <c r="G230" t="str">
        <f>_xlfn.XLOOKUP($A230,Map!$A:$A,Map!C:C)</f>
        <v>IS</v>
      </c>
      <c r="H230" t="str">
        <f>_xlfn.XLOOKUP($A230,Map!$A:$A,Map!D:D)</f>
        <v>Cost of sales</v>
      </c>
      <c r="I230" t="str">
        <f>_xlfn.XLOOKUP($A230,Map!$A:$A,Map!E:E)</f>
        <v>Overhead - Labor Cost</v>
      </c>
      <c r="J230" t="str">
        <f>_xlfn.XLOOKUP($A230,Map!$A:$A,Map!F:F)</f>
        <v xml:space="preserve">Food &amp; Housing </v>
      </c>
    </row>
    <row r="231" spans="1:10" hidden="1" x14ac:dyDescent="0.25">
      <c r="A231" s="1">
        <v>600002</v>
      </c>
      <c r="B231" s="1" t="s">
        <v>726</v>
      </c>
      <c r="D231" s="1">
        <v>295666</v>
      </c>
      <c r="E231" s="1">
        <v>0</v>
      </c>
      <c r="F231" s="3">
        <f t="shared" si="0"/>
        <v>295666</v>
      </c>
      <c r="G231" t="str">
        <f>_xlfn.XLOOKUP($A231,Map!$A:$A,Map!C:C)</f>
        <v>IS</v>
      </c>
      <c r="H231" t="str">
        <f>_xlfn.XLOOKUP($A231,Map!$A:$A,Map!D:D)</f>
        <v>Cost of sales</v>
      </c>
      <c r="I231" t="str">
        <f>_xlfn.XLOOKUP($A231,Map!$A:$A,Map!E:E)</f>
        <v>Overhead - Labor Cost</v>
      </c>
      <c r="J231" t="str">
        <f>_xlfn.XLOOKUP($A231,Map!$A:$A,Map!F:F)</f>
        <v>Overtime pay</v>
      </c>
    </row>
    <row r="232" spans="1:10" hidden="1" x14ac:dyDescent="0.25">
      <c r="A232" s="1">
        <v>600001</v>
      </c>
      <c r="B232" s="1" t="s">
        <v>726</v>
      </c>
      <c r="D232" s="1">
        <v>1313120.29</v>
      </c>
      <c r="E232" s="1">
        <v>0</v>
      </c>
      <c r="F232" s="3">
        <f t="shared" si="0"/>
        <v>1313120.29</v>
      </c>
      <c r="G232" t="str">
        <f>_xlfn.XLOOKUP($A232,Map!$A:$A,Map!C:C)</f>
        <v>IS</v>
      </c>
      <c r="H232" t="str">
        <f>_xlfn.XLOOKUP($A232,Map!$A:$A,Map!D:D)</f>
        <v>Cost of sales</v>
      </c>
      <c r="I232" t="str">
        <f>_xlfn.XLOOKUP($A232,Map!$A:$A,Map!E:E)</f>
        <v>Overhead - Labor Cost</v>
      </c>
      <c r="J232" t="str">
        <f>_xlfn.XLOOKUP($A232,Map!$A:$A,Map!F:F)</f>
        <v>Salaries and wages</v>
      </c>
    </row>
    <row r="233" spans="1:10" hidden="1" x14ac:dyDescent="0.25">
      <c r="A233" s="1">
        <v>520023</v>
      </c>
      <c r="B233" s="1" t="s">
        <v>726</v>
      </c>
      <c r="D233" s="1">
        <v>719.75</v>
      </c>
      <c r="E233" s="1">
        <v>0</v>
      </c>
      <c r="F233" s="3">
        <f t="shared" si="0"/>
        <v>719.75</v>
      </c>
      <c r="G233" t="str">
        <f>_xlfn.XLOOKUP($A233,Map!$A:$A,Map!C:C)</f>
        <v>IS</v>
      </c>
      <c r="H233" t="str">
        <f>_xlfn.XLOOKUP($A233,Map!$A:$A,Map!D:D)</f>
        <v>Cost of sales</v>
      </c>
      <c r="I233" t="str">
        <f>_xlfn.XLOOKUP($A233,Map!$A:$A,Map!E:E)</f>
        <v>Direct Labor</v>
      </c>
      <c r="J233" t="str">
        <f>_xlfn.XLOOKUP($A233,Map!$A:$A,Map!F:F)</f>
        <v>Medical insurance</v>
      </c>
    </row>
    <row r="234" spans="1:10" hidden="1" x14ac:dyDescent="0.25">
      <c r="A234" s="1">
        <v>520021</v>
      </c>
      <c r="B234" s="1" t="s">
        <v>726</v>
      </c>
      <c r="D234" s="1">
        <v>24400.83</v>
      </c>
      <c r="E234" s="1">
        <v>0</v>
      </c>
      <c r="F234" s="3">
        <f t="shared" si="0"/>
        <v>24400.83</v>
      </c>
      <c r="G234" t="str">
        <f>_xlfn.XLOOKUP($A234,Map!$A:$A,Map!C:C)</f>
        <v>IS</v>
      </c>
      <c r="H234" t="str">
        <f>_xlfn.XLOOKUP($A234,Map!$A:$A,Map!D:D)</f>
        <v>Cost of sales</v>
      </c>
      <c r="I234" t="str">
        <f>_xlfn.XLOOKUP($A234,Map!$A:$A,Map!E:E)</f>
        <v>Direct Labor</v>
      </c>
      <c r="J234" t="str">
        <f>_xlfn.XLOOKUP($A234,Map!$A:$A,Map!F:F)</f>
        <v>Medical insurance</v>
      </c>
    </row>
    <row r="235" spans="1:10" hidden="1" x14ac:dyDescent="0.25">
      <c r="A235" s="1">
        <v>520021</v>
      </c>
      <c r="B235" s="1" t="s">
        <v>726</v>
      </c>
      <c r="D235" s="1">
        <v>0</v>
      </c>
      <c r="E235" s="1">
        <v>10249.58</v>
      </c>
      <c r="F235" s="3">
        <f t="shared" si="0"/>
        <v>-10249.58</v>
      </c>
      <c r="G235" t="str">
        <f>_xlfn.XLOOKUP($A235,Map!$A:$A,Map!C:C)</f>
        <v>IS</v>
      </c>
      <c r="H235" t="str">
        <f>_xlfn.XLOOKUP($A235,Map!$A:$A,Map!D:D)</f>
        <v>Cost of sales</v>
      </c>
      <c r="I235" t="str">
        <f>_xlfn.XLOOKUP($A235,Map!$A:$A,Map!E:E)</f>
        <v>Direct Labor</v>
      </c>
      <c r="J235" t="str">
        <f>_xlfn.XLOOKUP($A235,Map!$A:$A,Map!F:F)</f>
        <v>Medical insurance</v>
      </c>
    </row>
    <row r="236" spans="1:10" hidden="1" x14ac:dyDescent="0.25">
      <c r="A236" s="1">
        <v>520011</v>
      </c>
      <c r="B236" s="1" t="s">
        <v>726</v>
      </c>
      <c r="D236" s="1">
        <v>124230</v>
      </c>
      <c r="E236" s="1">
        <v>0</v>
      </c>
      <c r="F236" s="3">
        <f t="shared" si="0"/>
        <v>124230</v>
      </c>
      <c r="G236" t="str">
        <f>_xlfn.XLOOKUP($A236,Map!$A:$A,Map!C:C)</f>
        <v>IS</v>
      </c>
      <c r="H236" t="str">
        <f>_xlfn.XLOOKUP($A236,Map!$A:$A,Map!D:D)</f>
        <v>Cost of sales</v>
      </c>
      <c r="I236" t="str">
        <f>_xlfn.XLOOKUP($A236,Map!$A:$A,Map!E:E)</f>
        <v>Direct Labor</v>
      </c>
      <c r="J236" t="str">
        <f>_xlfn.XLOOKUP($A236,Map!$A:$A,Map!F:F)</f>
        <v>Overtime pay</v>
      </c>
    </row>
    <row r="237" spans="1:10" hidden="1" x14ac:dyDescent="0.25">
      <c r="A237" s="1">
        <v>520011</v>
      </c>
      <c r="B237" s="1" t="s">
        <v>726</v>
      </c>
      <c r="D237" s="1">
        <v>70469</v>
      </c>
      <c r="E237" s="1">
        <v>0</v>
      </c>
      <c r="F237" s="3">
        <f t="shared" si="0"/>
        <v>70469</v>
      </c>
      <c r="G237" t="str">
        <f>_xlfn.XLOOKUP($A237,Map!$A:$A,Map!C:C)</f>
        <v>IS</v>
      </c>
      <c r="H237" t="str">
        <f>_xlfn.XLOOKUP($A237,Map!$A:$A,Map!D:D)</f>
        <v>Cost of sales</v>
      </c>
      <c r="I237" t="str">
        <f>_xlfn.XLOOKUP($A237,Map!$A:$A,Map!E:E)</f>
        <v>Direct Labor</v>
      </c>
      <c r="J237" t="str">
        <f>_xlfn.XLOOKUP($A237,Map!$A:$A,Map!F:F)</f>
        <v>Overtime pay</v>
      </c>
    </row>
    <row r="238" spans="1:10" hidden="1" x14ac:dyDescent="0.25">
      <c r="A238" s="1">
        <v>520011</v>
      </c>
      <c r="B238" s="1" t="s">
        <v>726</v>
      </c>
      <c r="D238" s="1">
        <v>0</v>
      </c>
      <c r="E238" s="1">
        <v>77501</v>
      </c>
      <c r="F238" s="3">
        <f t="shared" si="0"/>
        <v>-77501</v>
      </c>
      <c r="G238" t="str">
        <f>_xlfn.XLOOKUP($A238,Map!$A:$A,Map!C:C)</f>
        <v>IS</v>
      </c>
      <c r="H238" t="str">
        <f>_xlfn.XLOOKUP($A238,Map!$A:$A,Map!D:D)</f>
        <v>Cost of sales</v>
      </c>
      <c r="I238" t="str">
        <f>_xlfn.XLOOKUP($A238,Map!$A:$A,Map!E:E)</f>
        <v>Direct Labor</v>
      </c>
      <c r="J238" t="str">
        <f>_xlfn.XLOOKUP($A238,Map!$A:$A,Map!F:F)</f>
        <v>Overtime pay</v>
      </c>
    </row>
    <row r="239" spans="1:10" hidden="1" x14ac:dyDescent="0.25">
      <c r="A239" s="1">
        <v>520006</v>
      </c>
      <c r="B239" s="1" t="s">
        <v>726</v>
      </c>
      <c r="D239" s="1">
        <v>86718.701000000001</v>
      </c>
      <c r="E239" s="1">
        <v>0</v>
      </c>
      <c r="F239" s="3">
        <f t="shared" si="0"/>
        <v>86718.701000000001</v>
      </c>
      <c r="G239" t="str">
        <f>_xlfn.XLOOKUP($A239,Map!$A:$A,Map!C:C)</f>
        <v>IS</v>
      </c>
      <c r="H239" t="str">
        <f>_xlfn.XLOOKUP($A239,Map!$A:$A,Map!D:D)</f>
        <v>Cost of sales</v>
      </c>
      <c r="I239" t="str">
        <f>_xlfn.XLOOKUP($A239,Map!$A:$A,Map!E:E)</f>
        <v>Direct Labor</v>
      </c>
      <c r="J239" t="str">
        <f>_xlfn.XLOOKUP($A239,Map!$A:$A,Map!F:F)</f>
        <v>Medical insurance</v>
      </c>
    </row>
    <row r="240" spans="1:10" hidden="1" x14ac:dyDescent="0.25">
      <c r="A240" s="1">
        <v>520006</v>
      </c>
      <c r="B240" s="1" t="s">
        <v>726</v>
      </c>
      <c r="D240" s="1">
        <v>43428.400999999998</v>
      </c>
      <c r="E240" s="1">
        <v>0</v>
      </c>
      <c r="F240" s="3">
        <f t="shared" si="0"/>
        <v>43428.400999999998</v>
      </c>
      <c r="G240" t="str">
        <f>_xlfn.XLOOKUP($A240,Map!$A:$A,Map!C:C)</f>
        <v>IS</v>
      </c>
      <c r="H240" t="str">
        <f>_xlfn.XLOOKUP($A240,Map!$A:$A,Map!D:D)</f>
        <v>Cost of sales</v>
      </c>
      <c r="I240" t="str">
        <f>_xlfn.XLOOKUP($A240,Map!$A:$A,Map!E:E)</f>
        <v>Direct Labor</v>
      </c>
      <c r="J240" t="str">
        <f>_xlfn.XLOOKUP($A240,Map!$A:$A,Map!F:F)</f>
        <v>Medical insurance</v>
      </c>
    </row>
    <row r="241" spans="1:10" hidden="1" x14ac:dyDescent="0.25">
      <c r="A241" s="1">
        <v>520006</v>
      </c>
      <c r="B241" s="1" t="s">
        <v>726</v>
      </c>
      <c r="D241" s="1">
        <v>27846.701000000001</v>
      </c>
      <c r="E241" s="1">
        <v>0</v>
      </c>
      <c r="F241" s="3">
        <f t="shared" si="0"/>
        <v>27846.701000000001</v>
      </c>
      <c r="G241" t="str">
        <f>_xlfn.XLOOKUP($A241,Map!$A:$A,Map!C:C)</f>
        <v>IS</v>
      </c>
      <c r="H241" t="str">
        <f>_xlfn.XLOOKUP($A241,Map!$A:$A,Map!D:D)</f>
        <v>Cost of sales</v>
      </c>
      <c r="I241" t="str">
        <f>_xlfn.XLOOKUP($A241,Map!$A:$A,Map!E:E)</f>
        <v>Direct Labor</v>
      </c>
      <c r="J241" t="str">
        <f>_xlfn.XLOOKUP($A241,Map!$A:$A,Map!F:F)</f>
        <v>Medical insurance</v>
      </c>
    </row>
    <row r="242" spans="1:10" hidden="1" x14ac:dyDescent="0.25">
      <c r="A242" s="1">
        <v>520006</v>
      </c>
      <c r="B242" s="1" t="s">
        <v>726</v>
      </c>
      <c r="D242" s="1">
        <v>23338.001</v>
      </c>
      <c r="E242" s="1">
        <v>0</v>
      </c>
      <c r="F242" s="3">
        <f t="shared" si="0"/>
        <v>23338.001</v>
      </c>
      <c r="G242" t="str">
        <f>_xlfn.XLOOKUP($A242,Map!$A:$A,Map!C:C)</f>
        <v>IS</v>
      </c>
      <c r="H242" t="str">
        <f>_xlfn.XLOOKUP($A242,Map!$A:$A,Map!D:D)</f>
        <v>Cost of sales</v>
      </c>
      <c r="I242" t="str">
        <f>_xlfn.XLOOKUP($A242,Map!$A:$A,Map!E:E)</f>
        <v>Direct Labor</v>
      </c>
      <c r="J242" t="str">
        <f>_xlfn.XLOOKUP($A242,Map!$A:$A,Map!F:F)</f>
        <v>Medical insurance</v>
      </c>
    </row>
    <row r="243" spans="1:10" hidden="1" x14ac:dyDescent="0.25">
      <c r="A243" s="1">
        <v>520006</v>
      </c>
      <c r="B243" s="1" t="s">
        <v>726</v>
      </c>
      <c r="D243" s="1">
        <v>30291.001</v>
      </c>
      <c r="E243" s="1">
        <v>0</v>
      </c>
      <c r="F243" s="3">
        <f t="shared" si="0"/>
        <v>30291.001</v>
      </c>
      <c r="G243" t="str">
        <f>_xlfn.XLOOKUP($A243,Map!$A:$A,Map!C:C)</f>
        <v>IS</v>
      </c>
      <c r="H243" t="str">
        <f>_xlfn.XLOOKUP($A243,Map!$A:$A,Map!D:D)</f>
        <v>Cost of sales</v>
      </c>
      <c r="I243" t="str">
        <f>_xlfn.XLOOKUP($A243,Map!$A:$A,Map!E:E)</f>
        <v>Direct Labor</v>
      </c>
      <c r="J243" t="str">
        <f>_xlfn.XLOOKUP($A243,Map!$A:$A,Map!F:F)</f>
        <v>Medical insurance</v>
      </c>
    </row>
    <row r="244" spans="1:10" hidden="1" x14ac:dyDescent="0.25">
      <c r="A244" s="1">
        <v>520006</v>
      </c>
      <c r="B244" s="1" t="s">
        <v>726</v>
      </c>
      <c r="D244" s="1">
        <v>19747.800999999999</v>
      </c>
      <c r="E244" s="1">
        <v>0</v>
      </c>
      <c r="F244" s="3">
        <f t="shared" si="0"/>
        <v>19747.800999999999</v>
      </c>
      <c r="G244" t="str">
        <f>_xlfn.XLOOKUP($A244,Map!$A:$A,Map!C:C)</f>
        <v>IS</v>
      </c>
      <c r="H244" t="str">
        <f>_xlfn.XLOOKUP($A244,Map!$A:$A,Map!D:D)</f>
        <v>Cost of sales</v>
      </c>
      <c r="I244" t="str">
        <f>_xlfn.XLOOKUP($A244,Map!$A:$A,Map!E:E)</f>
        <v>Direct Labor</v>
      </c>
      <c r="J244" t="str">
        <f>_xlfn.XLOOKUP($A244,Map!$A:$A,Map!F:F)</f>
        <v>Medical insurance</v>
      </c>
    </row>
    <row r="245" spans="1:10" hidden="1" x14ac:dyDescent="0.25">
      <c r="A245" s="1">
        <v>520006</v>
      </c>
      <c r="B245" s="1" t="s">
        <v>726</v>
      </c>
      <c r="D245" s="1">
        <v>0</v>
      </c>
      <c r="E245" s="1">
        <v>529.96</v>
      </c>
      <c r="F245" s="3">
        <f t="shared" si="0"/>
        <v>-529.96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Direct Labor</v>
      </c>
      <c r="J245" t="str">
        <f>_xlfn.XLOOKUP($A245,Map!$A:$A,Map!F:F)</f>
        <v>Medical insurance</v>
      </c>
    </row>
    <row r="246" spans="1:10" hidden="1" x14ac:dyDescent="0.25">
      <c r="A246" s="1">
        <v>520006</v>
      </c>
      <c r="B246" s="1" t="s">
        <v>726</v>
      </c>
      <c r="D246" s="1">
        <v>0</v>
      </c>
      <c r="E246" s="1">
        <v>92018.28</v>
      </c>
      <c r="F246" s="3">
        <f t="shared" si="0"/>
        <v>-92018.28</v>
      </c>
      <c r="G246" t="str">
        <f>_xlfn.XLOOKUP($A246,Map!$A:$A,Map!C:C)</f>
        <v>IS</v>
      </c>
      <c r="H246" t="str">
        <f>_xlfn.XLOOKUP($A246,Map!$A:$A,Map!D:D)</f>
        <v>Cost of sales</v>
      </c>
      <c r="I246" t="str">
        <f>_xlfn.XLOOKUP($A246,Map!$A:$A,Map!E:E)</f>
        <v>Direct Labor</v>
      </c>
      <c r="J246" t="str">
        <f>_xlfn.XLOOKUP($A246,Map!$A:$A,Map!F:F)</f>
        <v>Medical insurance</v>
      </c>
    </row>
    <row r="247" spans="1:10" hidden="1" x14ac:dyDescent="0.25">
      <c r="A247" s="1">
        <v>520004</v>
      </c>
      <c r="B247" s="1" t="s">
        <v>726</v>
      </c>
      <c r="D247" s="1">
        <v>56316</v>
      </c>
      <c r="E247" s="1">
        <v>0</v>
      </c>
      <c r="F247" s="3">
        <f t="shared" si="0"/>
        <v>56316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Direct Labor</v>
      </c>
      <c r="J247" t="str">
        <f>_xlfn.XLOOKUP($A247,Map!$A:$A,Map!F:F)</f>
        <v>Food and housing</v>
      </c>
    </row>
    <row r="248" spans="1:10" hidden="1" x14ac:dyDescent="0.25">
      <c r="A248" s="1">
        <v>520004</v>
      </c>
      <c r="B248" s="1" t="s">
        <v>726</v>
      </c>
      <c r="D248" s="1">
        <v>17900</v>
      </c>
      <c r="E248" s="1">
        <v>0</v>
      </c>
      <c r="F248" s="3">
        <f t="shared" si="0"/>
        <v>17900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Direct Labor</v>
      </c>
      <c r="J248" t="str">
        <f>_xlfn.XLOOKUP($A248,Map!$A:$A,Map!F:F)</f>
        <v>Food and housing</v>
      </c>
    </row>
    <row r="249" spans="1:10" hidden="1" x14ac:dyDescent="0.25">
      <c r="A249" s="1">
        <v>520004</v>
      </c>
      <c r="B249" s="1" t="s">
        <v>726</v>
      </c>
      <c r="D249" s="1">
        <v>0</v>
      </c>
      <c r="E249" s="1">
        <v>30043</v>
      </c>
      <c r="F249" s="3">
        <f t="shared" si="0"/>
        <v>-30043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Direct Labor</v>
      </c>
      <c r="J249" t="str">
        <f>_xlfn.XLOOKUP($A249,Map!$A:$A,Map!F:F)</f>
        <v>Food and housing</v>
      </c>
    </row>
    <row r="250" spans="1:10" hidden="1" x14ac:dyDescent="0.25">
      <c r="A250" s="1">
        <v>520003</v>
      </c>
      <c r="B250" s="1" t="s">
        <v>726</v>
      </c>
      <c r="D250" s="1">
        <v>33390</v>
      </c>
      <c r="E250" s="1">
        <v>0</v>
      </c>
      <c r="F250" s="3">
        <f t="shared" si="0"/>
        <v>33390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Direct Labor</v>
      </c>
      <c r="J250" t="str">
        <f>_xlfn.XLOOKUP($A250,Map!$A:$A,Map!F:F)</f>
        <v>Transportation allowance</v>
      </c>
    </row>
    <row r="251" spans="1:10" hidden="1" x14ac:dyDescent="0.25">
      <c r="A251" s="1">
        <v>520003</v>
      </c>
      <c r="B251" s="1" t="s">
        <v>726</v>
      </c>
      <c r="D251" s="1">
        <v>0</v>
      </c>
      <c r="E251" s="1">
        <v>12960</v>
      </c>
      <c r="F251" s="3">
        <f t="shared" si="0"/>
        <v>-12960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Direct Labor</v>
      </c>
      <c r="J251" t="str">
        <f>_xlfn.XLOOKUP($A251,Map!$A:$A,Map!F:F)</f>
        <v>Transportation allowance</v>
      </c>
    </row>
    <row r="252" spans="1:10" hidden="1" x14ac:dyDescent="0.25">
      <c r="A252" s="1">
        <v>520001</v>
      </c>
      <c r="B252" s="1" t="s">
        <v>726</v>
      </c>
      <c r="D252" s="1">
        <v>815448.89800000004</v>
      </c>
      <c r="E252" s="1">
        <v>0</v>
      </c>
      <c r="F252" s="3">
        <f t="shared" si="0"/>
        <v>815448.89800000004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Direct Labor</v>
      </c>
      <c r="J252" t="str">
        <f>_xlfn.XLOOKUP($A252,Map!$A:$A,Map!F:F)</f>
        <v>Salaries and wages</v>
      </c>
    </row>
    <row r="253" spans="1:10" hidden="1" x14ac:dyDescent="0.25">
      <c r="A253" s="1">
        <v>520001</v>
      </c>
      <c r="B253" s="1" t="s">
        <v>726</v>
      </c>
      <c r="D253" s="1">
        <v>118362</v>
      </c>
      <c r="E253" s="1">
        <v>0</v>
      </c>
      <c r="F253" s="3">
        <f t="shared" si="0"/>
        <v>118362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Direct Labor</v>
      </c>
      <c r="J253" t="str">
        <f>_xlfn.XLOOKUP($A253,Map!$A:$A,Map!F:F)</f>
        <v>Salaries and wages</v>
      </c>
    </row>
    <row r="254" spans="1:10" hidden="1" x14ac:dyDescent="0.25">
      <c r="A254" s="1">
        <v>520001</v>
      </c>
      <c r="B254" s="1" t="s">
        <v>726</v>
      </c>
      <c r="D254" s="1">
        <v>498514</v>
      </c>
      <c r="E254" s="1">
        <v>0</v>
      </c>
      <c r="F254" s="3">
        <f t="shared" si="0"/>
        <v>498514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Direct Labor</v>
      </c>
      <c r="J254" t="str">
        <f>_xlfn.XLOOKUP($A254,Map!$A:$A,Map!F:F)</f>
        <v>Salaries and wages</v>
      </c>
    </row>
    <row r="255" spans="1:10" hidden="1" x14ac:dyDescent="0.25">
      <c r="A255" s="1">
        <v>520001</v>
      </c>
      <c r="B255" s="1" t="s">
        <v>726</v>
      </c>
      <c r="D255" s="1">
        <v>15808</v>
      </c>
      <c r="E255" s="1">
        <v>0</v>
      </c>
      <c r="F255" s="3">
        <f t="shared" si="0"/>
        <v>15808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Direct Labor</v>
      </c>
      <c r="J255" t="str">
        <f>_xlfn.XLOOKUP($A255,Map!$A:$A,Map!F:F)</f>
        <v>Salaries and wages</v>
      </c>
    </row>
    <row r="256" spans="1:10" hidden="1" x14ac:dyDescent="0.25">
      <c r="A256" s="1">
        <v>520001</v>
      </c>
      <c r="B256" s="1" t="s">
        <v>726</v>
      </c>
      <c r="D256" s="1">
        <v>47220</v>
      </c>
      <c r="E256" s="1">
        <v>0</v>
      </c>
      <c r="F256" s="3">
        <f t="shared" si="0"/>
        <v>47220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Direct Labor</v>
      </c>
      <c r="J256" t="str">
        <f>_xlfn.XLOOKUP($A256,Map!$A:$A,Map!F:F)</f>
        <v>Salaries and wages</v>
      </c>
    </row>
    <row r="257" spans="1:10" hidden="1" x14ac:dyDescent="0.25">
      <c r="A257" s="1">
        <v>520001</v>
      </c>
      <c r="B257" s="1" t="s">
        <v>726</v>
      </c>
      <c r="D257" s="1">
        <v>25002</v>
      </c>
      <c r="E257" s="1">
        <v>0</v>
      </c>
      <c r="F257" s="3">
        <f t="shared" si="0"/>
        <v>25002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Direct Labor</v>
      </c>
      <c r="J257" t="str">
        <f>_xlfn.XLOOKUP($A257,Map!$A:$A,Map!F:F)</f>
        <v>Salaries and wages</v>
      </c>
    </row>
    <row r="258" spans="1:10" hidden="1" x14ac:dyDescent="0.25">
      <c r="A258" s="1">
        <v>520001</v>
      </c>
      <c r="B258" s="1" t="s">
        <v>726</v>
      </c>
      <c r="D258" s="1">
        <v>0</v>
      </c>
      <c r="E258" s="1">
        <v>342802.9</v>
      </c>
      <c r="F258" s="3">
        <f t="shared" si="0"/>
        <v>-342802.9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Direct Labor</v>
      </c>
      <c r="J258" t="str">
        <f>_xlfn.XLOOKUP($A258,Map!$A:$A,Map!F:F)</f>
        <v>Salaries and wages</v>
      </c>
    </row>
    <row r="259" spans="1:10" hidden="1" x14ac:dyDescent="0.25">
      <c r="A259" s="1">
        <v>510004</v>
      </c>
      <c r="B259" s="1" t="s">
        <v>726</v>
      </c>
      <c r="D259" s="1">
        <v>0</v>
      </c>
      <c r="E259" s="1">
        <v>2771074.6069999998</v>
      </c>
      <c r="F259" s="3">
        <f t="shared" si="0"/>
        <v>-2771074.6069999998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Raw materials</v>
      </c>
      <c r="J259" t="str">
        <f>_xlfn.XLOOKUP($A259,Map!$A:$A,Map!F:F)</f>
        <v>Other expenses</v>
      </c>
    </row>
    <row r="260" spans="1:10" hidden="1" x14ac:dyDescent="0.25">
      <c r="A260" s="1">
        <v>510004</v>
      </c>
      <c r="B260" s="1" t="s">
        <v>726</v>
      </c>
      <c r="D260" s="1">
        <v>0</v>
      </c>
      <c r="E260" s="1">
        <v>1072266.2039999999</v>
      </c>
      <c r="F260" s="3">
        <f t="shared" si="0"/>
        <v>-1072266.2039999999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Raw materials</v>
      </c>
      <c r="J260" t="str">
        <f>_xlfn.XLOOKUP($A260,Map!$A:$A,Map!F:F)</f>
        <v>Other expenses</v>
      </c>
    </row>
    <row r="261" spans="1:10" hidden="1" x14ac:dyDescent="0.25">
      <c r="A261" s="1">
        <v>510004</v>
      </c>
      <c r="B261" s="1" t="s">
        <v>726</v>
      </c>
      <c r="D261" s="1">
        <v>0</v>
      </c>
      <c r="E261" s="1">
        <v>75180.263000000006</v>
      </c>
      <c r="F261" s="3">
        <f t="shared" si="0"/>
        <v>-75180.263000000006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Raw materials</v>
      </c>
      <c r="J261" t="str">
        <f>_xlfn.XLOOKUP($A261,Map!$A:$A,Map!F:F)</f>
        <v>Other expenses</v>
      </c>
    </row>
    <row r="262" spans="1:10" hidden="1" x14ac:dyDescent="0.25">
      <c r="A262" s="1">
        <v>510004</v>
      </c>
      <c r="B262" s="1" t="s">
        <v>726</v>
      </c>
      <c r="D262" s="1">
        <v>0</v>
      </c>
      <c r="E262" s="1">
        <v>1186258.1229999999</v>
      </c>
      <c r="F262" s="3">
        <f t="shared" si="0"/>
        <v>-1186258.1229999999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Raw materials</v>
      </c>
      <c r="J262" t="str">
        <f>_xlfn.XLOOKUP($A262,Map!$A:$A,Map!F:F)</f>
        <v>Other expenses</v>
      </c>
    </row>
    <row r="263" spans="1:10" hidden="1" x14ac:dyDescent="0.25">
      <c r="A263" s="1">
        <v>510004</v>
      </c>
      <c r="B263" s="1" t="s">
        <v>726</v>
      </c>
      <c r="D263" s="1">
        <v>0</v>
      </c>
      <c r="E263" s="1">
        <v>1411994.544</v>
      </c>
      <c r="F263" s="3">
        <f t="shared" si="0"/>
        <v>-1411994.544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Raw materials</v>
      </c>
      <c r="J263" t="str">
        <f>_xlfn.XLOOKUP($A263,Map!$A:$A,Map!F:F)</f>
        <v>Other expenses</v>
      </c>
    </row>
    <row r="264" spans="1:10" hidden="1" x14ac:dyDescent="0.25">
      <c r="A264" s="1">
        <v>510004</v>
      </c>
      <c r="B264" s="1" t="s">
        <v>726</v>
      </c>
      <c r="D264" s="1">
        <v>0</v>
      </c>
      <c r="E264" s="1">
        <v>315906.11</v>
      </c>
      <c r="F264" s="3">
        <f t="shared" ref="F264:F279" si="1">D264-E264</f>
        <v>-315906.11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Raw materials</v>
      </c>
      <c r="J264" t="str">
        <f>_xlfn.XLOOKUP($A264,Map!$A:$A,Map!F:F)</f>
        <v>Other expenses</v>
      </c>
    </row>
    <row r="265" spans="1:10" hidden="1" x14ac:dyDescent="0.25">
      <c r="A265" s="1">
        <v>510004</v>
      </c>
      <c r="B265" s="1" t="s">
        <v>726</v>
      </c>
      <c r="D265" s="1">
        <v>0</v>
      </c>
      <c r="E265" s="1">
        <v>46432.413</v>
      </c>
      <c r="F265" s="3">
        <f t="shared" si="1"/>
        <v>-46432.413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Raw materials</v>
      </c>
      <c r="J265" t="str">
        <f>_xlfn.XLOOKUP($A265,Map!$A:$A,Map!F:F)</f>
        <v>Other expenses</v>
      </c>
    </row>
    <row r="266" spans="1:10" hidden="1" x14ac:dyDescent="0.25">
      <c r="A266" s="1">
        <v>510004</v>
      </c>
      <c r="B266" s="1" t="s">
        <v>726</v>
      </c>
      <c r="D266" s="1">
        <v>0</v>
      </c>
      <c r="E266" s="1">
        <v>3966.8670000000002</v>
      </c>
      <c r="F266" s="3">
        <f t="shared" si="1"/>
        <v>-3966.8670000000002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Raw materials</v>
      </c>
      <c r="J266" t="str">
        <f>_xlfn.XLOOKUP($A266,Map!$A:$A,Map!F:F)</f>
        <v>Other expenses</v>
      </c>
    </row>
    <row r="267" spans="1:10" hidden="1" x14ac:dyDescent="0.25">
      <c r="A267" s="1">
        <v>510004</v>
      </c>
      <c r="B267" s="1" t="s">
        <v>726</v>
      </c>
      <c r="D267" s="1">
        <v>0</v>
      </c>
      <c r="E267" s="1">
        <v>477120.30099999998</v>
      </c>
      <c r="F267" s="3">
        <f t="shared" si="1"/>
        <v>-477120.30099999998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Raw materials</v>
      </c>
      <c r="J267" t="str">
        <f>_xlfn.XLOOKUP($A267,Map!$A:$A,Map!F:F)</f>
        <v>Other expenses</v>
      </c>
    </row>
    <row r="268" spans="1:10" hidden="1" x14ac:dyDescent="0.25">
      <c r="A268" s="1">
        <v>510004</v>
      </c>
      <c r="B268" s="1" t="s">
        <v>726</v>
      </c>
      <c r="D268" s="1">
        <v>0</v>
      </c>
      <c r="E268" s="1">
        <v>4643632.3770000003</v>
      </c>
      <c r="F268" s="3">
        <f t="shared" si="1"/>
        <v>-4643632.3770000003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Raw materials</v>
      </c>
      <c r="J268" t="str">
        <f>_xlfn.XLOOKUP($A268,Map!$A:$A,Map!F:F)</f>
        <v>Other expenses</v>
      </c>
    </row>
    <row r="269" spans="1:10" hidden="1" x14ac:dyDescent="0.25">
      <c r="A269" s="1">
        <v>510004</v>
      </c>
      <c r="B269" s="1" t="s">
        <v>726</v>
      </c>
      <c r="D269" s="1">
        <v>0</v>
      </c>
      <c r="E269" s="1">
        <v>173460.584</v>
      </c>
      <c r="F269" s="3">
        <f t="shared" si="1"/>
        <v>-173460.584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Raw materials</v>
      </c>
      <c r="J269" t="str">
        <f>_xlfn.XLOOKUP($A269,Map!$A:$A,Map!F:F)</f>
        <v>Other expenses</v>
      </c>
    </row>
    <row r="270" spans="1:10" hidden="1" x14ac:dyDescent="0.25">
      <c r="A270" s="1">
        <v>510004</v>
      </c>
      <c r="B270" s="1" t="s">
        <v>726</v>
      </c>
      <c r="D270" s="1">
        <v>0</v>
      </c>
      <c r="E270" s="1">
        <v>173460.584</v>
      </c>
      <c r="F270" s="3">
        <f t="shared" si="1"/>
        <v>-173460.584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Raw materials</v>
      </c>
      <c r="J270" t="str">
        <f>_xlfn.XLOOKUP($A270,Map!$A:$A,Map!F:F)</f>
        <v>Other expenses</v>
      </c>
    </row>
    <row r="271" spans="1:10" hidden="1" x14ac:dyDescent="0.25">
      <c r="A271" s="1">
        <v>510004</v>
      </c>
      <c r="B271" s="1" t="s">
        <v>726</v>
      </c>
      <c r="D271" s="1">
        <v>0</v>
      </c>
      <c r="E271" s="1">
        <v>361192.40500000003</v>
      </c>
      <c r="F271" s="3">
        <f t="shared" si="1"/>
        <v>-361192.40500000003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Raw materials</v>
      </c>
      <c r="J271" t="str">
        <f>_xlfn.XLOOKUP($A271,Map!$A:$A,Map!F:F)</f>
        <v>Other expenses</v>
      </c>
    </row>
    <row r="272" spans="1:10" hidden="1" x14ac:dyDescent="0.25">
      <c r="A272" s="1">
        <v>510002</v>
      </c>
      <c r="B272" s="1" t="s">
        <v>726</v>
      </c>
      <c r="D272" s="1">
        <v>0</v>
      </c>
      <c r="E272" s="1">
        <v>1082216.189</v>
      </c>
      <c r="F272" s="3">
        <f t="shared" si="1"/>
        <v>-1082216.189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Direct Labor</v>
      </c>
      <c r="J272" t="str">
        <f>_xlfn.XLOOKUP($A272,Map!$A:$A,Map!F:F)</f>
        <v>Direct Labor</v>
      </c>
    </row>
    <row r="273" spans="1:10" hidden="1" x14ac:dyDescent="0.25">
      <c r="A273" s="1">
        <v>510002</v>
      </c>
      <c r="B273" s="1" t="s">
        <v>726</v>
      </c>
      <c r="D273" s="1">
        <v>0</v>
      </c>
      <c r="E273" s="1">
        <v>776520.10199999996</v>
      </c>
      <c r="F273" s="3">
        <f t="shared" si="1"/>
        <v>-776520.10199999996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Direct Labor</v>
      </c>
      <c r="J273" t="str">
        <f>_xlfn.XLOOKUP($A273,Map!$A:$A,Map!F:F)</f>
        <v>Direct Labor</v>
      </c>
    </row>
    <row r="274" spans="1:10" hidden="1" x14ac:dyDescent="0.25">
      <c r="A274" s="1">
        <v>510002</v>
      </c>
      <c r="B274" s="1" t="s">
        <v>726</v>
      </c>
      <c r="D274" s="1">
        <v>47209.999000000003</v>
      </c>
      <c r="E274" s="1">
        <v>0</v>
      </c>
      <c r="F274" s="3">
        <f t="shared" si="1"/>
        <v>47209.999000000003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Direct Labor</v>
      </c>
      <c r="J274" t="str">
        <f>_xlfn.XLOOKUP($A274,Map!$A:$A,Map!F:F)</f>
        <v>Direct Labor</v>
      </c>
    </row>
    <row r="275" spans="1:10" hidden="1" x14ac:dyDescent="0.25">
      <c r="A275" s="1">
        <v>510002</v>
      </c>
      <c r="B275" s="1" t="s">
        <v>726</v>
      </c>
      <c r="D275" s="1">
        <v>0</v>
      </c>
      <c r="E275" s="1">
        <v>15808</v>
      </c>
      <c r="F275" s="3">
        <f t="shared" si="1"/>
        <v>-15808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Direct Labor</v>
      </c>
      <c r="J275" t="str">
        <f>_xlfn.XLOOKUP($A275,Map!$A:$A,Map!F:F)</f>
        <v>Direct Labor</v>
      </c>
    </row>
    <row r="276" spans="1:10" hidden="1" x14ac:dyDescent="0.25">
      <c r="A276" s="1">
        <v>510002</v>
      </c>
      <c r="B276" s="1" t="s">
        <v>726</v>
      </c>
      <c r="D276" s="1">
        <v>0</v>
      </c>
      <c r="E276" s="1">
        <v>23338.001</v>
      </c>
      <c r="F276" s="3">
        <f t="shared" si="1"/>
        <v>-23338.001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Direct Labor</v>
      </c>
      <c r="J276" t="str">
        <f>_xlfn.XLOOKUP($A276,Map!$A:$A,Map!F:F)</f>
        <v>Direct Labor</v>
      </c>
    </row>
    <row r="277" spans="1:10" hidden="1" x14ac:dyDescent="0.25">
      <c r="A277" s="1">
        <v>510002</v>
      </c>
      <c r="B277" s="1" t="s">
        <v>726</v>
      </c>
      <c r="D277" s="1">
        <v>0</v>
      </c>
      <c r="E277" s="1">
        <v>15282.38</v>
      </c>
      <c r="F277" s="3">
        <f t="shared" si="1"/>
        <v>-15282.38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Direct Labor</v>
      </c>
      <c r="J277" t="str">
        <f>_xlfn.XLOOKUP($A277,Map!$A:$A,Map!F:F)</f>
        <v>Direct Labor</v>
      </c>
    </row>
    <row r="278" spans="1:10" hidden="1" x14ac:dyDescent="0.25">
      <c r="A278" s="1">
        <v>510002</v>
      </c>
      <c r="B278" s="1" t="s">
        <v>726</v>
      </c>
      <c r="D278" s="1">
        <v>0</v>
      </c>
      <c r="E278" s="1">
        <v>19747.800999999999</v>
      </c>
      <c r="F278" s="3">
        <f t="shared" si="1"/>
        <v>-19747.800999999999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Direct Labor</v>
      </c>
      <c r="J278" t="str">
        <f>_xlfn.XLOOKUP($A278,Map!$A:$A,Map!F:F)</f>
        <v>Direct Labor</v>
      </c>
    </row>
    <row r="279" spans="1:10" hidden="1" x14ac:dyDescent="0.25">
      <c r="A279" s="1">
        <v>510002</v>
      </c>
      <c r="B279" s="1" t="s">
        <v>726</v>
      </c>
      <c r="D279" s="1">
        <v>372656.11</v>
      </c>
      <c r="E279" s="1">
        <v>0</v>
      </c>
      <c r="F279" s="3">
        <f t="shared" si="1"/>
        <v>372656.11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Direct Labor</v>
      </c>
      <c r="J279" t="str">
        <f>_xlfn.XLOOKUP($A279,Map!$A:$A,Map!F:F)</f>
        <v>Direct Labor</v>
      </c>
    </row>
    <row r="282" spans="1:10" x14ac:dyDescent="0.25">
      <c r="A282" s="90">
        <v>170021</v>
      </c>
      <c r="B282" s="90" t="s">
        <v>535</v>
      </c>
      <c r="D282" s="161">
        <v>3062618</v>
      </c>
      <c r="F282" s="3">
        <f t="shared" ref="F282:F283" si="2">D282-E282</f>
        <v>3062618</v>
      </c>
      <c r="G282" t="str">
        <f>_xlfn.XLOOKUP($A282,Map!$A:$A,Map!C:C)</f>
        <v>BS</v>
      </c>
      <c r="H282" t="str">
        <f>_xlfn.XLOOKUP($A282,Map!$A:$A,Map!D:D)</f>
        <v>Current Assets</v>
      </c>
      <c r="I282" t="str">
        <f>_xlfn.XLOOKUP($A282,Map!$A:$A,Map!E:E)</f>
        <v>Prepaid expenses</v>
      </c>
      <c r="J282" t="str">
        <f>_xlfn.XLOOKUP($A282,Map!$A:$A,Map!F:F)</f>
        <v>Prepaid expense</v>
      </c>
    </row>
    <row r="283" spans="1:10" x14ac:dyDescent="0.25">
      <c r="A283" s="1">
        <v>210001</v>
      </c>
      <c r="B283" s="1" t="s">
        <v>78</v>
      </c>
      <c r="E283" s="161">
        <f>D282</f>
        <v>3062618</v>
      </c>
      <c r="F283" s="3">
        <f t="shared" si="2"/>
        <v>-3062618</v>
      </c>
      <c r="G283" t="str">
        <f>_xlfn.XLOOKUP($A283,Map!$A:$A,Map!C:C)</f>
        <v>BS</v>
      </c>
      <c r="H283" t="str">
        <f>_xlfn.XLOOKUP($A283,Map!$A:$A,Map!D:D)</f>
        <v>Current Liabilities</v>
      </c>
      <c r="I283" t="str">
        <f>_xlfn.XLOOKUP($A283,Map!$A:$A,Map!E:E)</f>
        <v>Tade payables and Accuals &amp; other credit balances</v>
      </c>
      <c r="J283" t="str">
        <f>_xlfn.XLOOKUP($A283,Map!$A:$A,Map!F:F)</f>
        <v>Trade payables - Foreign</v>
      </c>
    </row>
    <row r="285" spans="1:10" x14ac:dyDescent="0.25">
      <c r="D285" s="3"/>
    </row>
    <row r="286" spans="1:10" x14ac:dyDescent="0.25">
      <c r="A286" s="1">
        <v>410001</v>
      </c>
      <c r="B286" s="163" t="s">
        <v>737</v>
      </c>
      <c r="D286" s="164">
        <v>45058428.174633116</v>
      </c>
      <c r="E286" s="164"/>
      <c r="F286" s="3">
        <f t="shared" ref="F286:F287" si="3">D286-E286</f>
        <v>45058428.174633116</v>
      </c>
      <c r="G286" t="str">
        <f>_xlfn.XLOOKUP($A286,Map!$A:$A,Map!C:C)</f>
        <v>IS</v>
      </c>
      <c r="H286" t="str">
        <f>_xlfn.XLOOKUP($A286,Map!$A:$A,Map!D:D)</f>
        <v>Sales</v>
      </c>
      <c r="I286" t="str">
        <f>_xlfn.XLOOKUP($A286,Map!$A:$A,Map!E:E)</f>
        <v>Sales</v>
      </c>
      <c r="J286" t="str">
        <f>_xlfn.XLOOKUP($A286,Map!$A:$A,Map!F:F)</f>
        <v>Trading revenue</v>
      </c>
    </row>
    <row r="287" spans="1:10" x14ac:dyDescent="0.25">
      <c r="A287" s="1">
        <v>510001</v>
      </c>
      <c r="B287" s="163" t="s">
        <v>738</v>
      </c>
      <c r="D287" s="164"/>
      <c r="E287" s="164">
        <v>43739517.006465249</v>
      </c>
      <c r="F287" s="3">
        <f t="shared" si="3"/>
        <v>-43739517.006465249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Raw materials</v>
      </c>
      <c r="J287" t="str">
        <f>_xlfn.XLOOKUP($A287,Map!$A:$A,Map!F:F)</f>
        <v>Raw materials</v>
      </c>
    </row>
  </sheetData>
  <autoFilter ref="A4:K279" xr:uid="{58CF6A6E-D9AB-426D-A1A7-C8023026B139}">
    <filterColumn colId="8">
      <filters>
        <filter val="Tade payables and Accuals &amp; other credit balances"/>
      </filters>
    </filterColumn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290C-49B6-4178-AD7D-5FFA1E3A0553}">
  <sheetPr filterMode="1"/>
  <dimension ref="A1:J841"/>
  <sheetViews>
    <sheetView zoomScale="90" zoomScaleNormal="90" workbookViewId="0">
      <pane ySplit="4" topLeftCell="A33" activePane="bottomLeft" state="frozen"/>
      <selection activeCell="N26" sqref="N26"/>
      <selection pane="bottomLeft" activeCell="A70" sqref="A70"/>
    </sheetView>
  </sheetViews>
  <sheetFormatPr defaultColWidth="8.85546875" defaultRowHeight="15" x14ac:dyDescent="0.25"/>
  <cols>
    <col min="1" max="1" width="13.42578125" style="90" bestFit="1" customWidth="1"/>
    <col min="2" max="2" width="52.28515625" style="90" bestFit="1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42.7109375" style="90" bestFit="1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97" t="s">
        <v>590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90">
        <v>110002</v>
      </c>
      <c r="B5" s="90" t="s">
        <v>1</v>
      </c>
      <c r="C5" s="91">
        <v>249682</v>
      </c>
      <c r="D5" s="91">
        <v>85866130.439999998</v>
      </c>
      <c r="E5" s="91">
        <v>85866130.439999998</v>
      </c>
      <c r="F5" s="91">
        <v>249682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90">
        <v>110003</v>
      </c>
      <c r="B6" s="90" t="s">
        <v>2</v>
      </c>
      <c r="C6" s="91">
        <v>1773233.75</v>
      </c>
      <c r="D6" s="91">
        <v>0</v>
      </c>
      <c r="E6" s="91">
        <v>0</v>
      </c>
      <c r="F6" s="91">
        <v>1773233.75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90">
        <v>110004</v>
      </c>
      <c r="B7" s="90" t="s">
        <v>3</v>
      </c>
      <c r="C7" s="91">
        <v>39518810.888999999</v>
      </c>
      <c r="D7" s="91">
        <v>396032.54599999997</v>
      </c>
      <c r="E7" s="91">
        <v>534.96400000000006</v>
      </c>
      <c r="F7" s="91">
        <v>39914308.471000001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90">
        <v>110006</v>
      </c>
      <c r="B8" s="90" t="s">
        <v>4</v>
      </c>
      <c r="C8" s="91">
        <v>1446052.15</v>
      </c>
      <c r="D8" s="91">
        <v>102800</v>
      </c>
      <c r="E8" s="91">
        <v>0</v>
      </c>
      <c r="F8" s="91">
        <v>1548852.15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90">
        <v>110007</v>
      </c>
      <c r="B9" s="90" t="s">
        <v>5</v>
      </c>
      <c r="C9" s="91">
        <v>798523.45</v>
      </c>
      <c r="D9" s="91">
        <v>0</v>
      </c>
      <c r="E9" s="91">
        <v>0</v>
      </c>
      <c r="F9" s="91">
        <v>798523.45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90">
        <v>110008</v>
      </c>
      <c r="B10" s="90" t="s">
        <v>6</v>
      </c>
      <c r="C10" s="91">
        <v>191765.4</v>
      </c>
      <c r="D10" s="91">
        <v>0</v>
      </c>
      <c r="E10" s="91">
        <v>0</v>
      </c>
      <c r="F10" s="91">
        <v>191765.4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90">
        <v>111009</v>
      </c>
      <c r="B11" s="90" t="s">
        <v>7</v>
      </c>
      <c r="C11" s="91">
        <v>0</v>
      </c>
      <c r="D11" s="91">
        <v>0</v>
      </c>
      <c r="E11" s="91">
        <v>0</v>
      </c>
      <c r="F11" s="91">
        <v>0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Right of use</v>
      </c>
      <c r="J11" t="str">
        <f>_xlfn.XLOOKUP($A11,Map!$A:$A,Map!F:F)</f>
        <v>Leases - right of use assets</v>
      </c>
    </row>
    <row r="12" spans="1:10" hidden="1" x14ac:dyDescent="0.25">
      <c r="A12" s="90">
        <v>111013</v>
      </c>
      <c r="B12" s="90" t="s">
        <v>9</v>
      </c>
      <c r="C12" s="91">
        <v>10769234.605</v>
      </c>
      <c r="D12" s="91">
        <v>89580086.785999998</v>
      </c>
      <c r="E12" s="91">
        <v>402973.95400000003</v>
      </c>
      <c r="F12" s="91">
        <v>99946347.437000006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Property, plant and equipment</v>
      </c>
      <c r="J12" t="str">
        <f>_xlfn.XLOOKUP($A12,Map!$A:$A,Map!F:F)</f>
        <v>Property, plant and equipment - Accumulated depreciation</v>
      </c>
    </row>
    <row r="13" spans="1:10" hidden="1" x14ac:dyDescent="0.25">
      <c r="A13" s="90">
        <v>120001</v>
      </c>
      <c r="B13" s="90" t="s">
        <v>11</v>
      </c>
      <c r="C13" s="91">
        <v>-242695.31099999999</v>
      </c>
      <c r="D13" s="91">
        <v>74.997</v>
      </c>
      <c r="E13" s="91">
        <v>6530.0230000000001</v>
      </c>
      <c r="F13" s="91">
        <v>-249150.337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90">
        <v>120002</v>
      </c>
      <c r="B14" s="90" t="s">
        <v>12</v>
      </c>
      <c r="C14" s="91">
        <v>-1760033.9739999999</v>
      </c>
      <c r="D14" s="91">
        <v>0</v>
      </c>
      <c r="E14" s="91">
        <v>7359.9849999999997</v>
      </c>
      <c r="F14" s="91">
        <v>-1767393.959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90">
        <v>120003</v>
      </c>
      <c r="B15" s="90" t="s">
        <v>13</v>
      </c>
      <c r="C15" s="91">
        <v>-23854970.600000001</v>
      </c>
      <c r="D15" s="91">
        <v>900</v>
      </c>
      <c r="E15" s="91">
        <v>3435816.0830000001</v>
      </c>
      <c r="F15" s="91">
        <v>-27289886.682999998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90">
        <v>120005</v>
      </c>
      <c r="B16" s="90" t="s">
        <v>14</v>
      </c>
      <c r="C16" s="91">
        <v>-1243715.98</v>
      </c>
      <c r="D16" s="91">
        <v>0</v>
      </c>
      <c r="E16" s="91">
        <v>89083.337</v>
      </c>
      <c r="F16" s="91">
        <v>-1332799.317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90">
        <v>120006</v>
      </c>
      <c r="B17" s="90" t="s">
        <v>15</v>
      </c>
      <c r="C17" s="91">
        <v>-255844.21</v>
      </c>
      <c r="D17" s="91">
        <v>0</v>
      </c>
      <c r="E17" s="91">
        <v>184067.128</v>
      </c>
      <c r="F17" s="91">
        <v>-439911.33799999999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90">
        <v>120007</v>
      </c>
      <c r="B18" s="90" t="s">
        <v>16</v>
      </c>
      <c r="C18" s="91">
        <v>-167396.32199999999</v>
      </c>
      <c r="D18" s="91">
        <v>160.85499999999999</v>
      </c>
      <c r="E18" s="91">
        <v>9147.4359999999997</v>
      </c>
      <c r="F18" s="91">
        <v>-176382.90299999999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hidden="1" x14ac:dyDescent="0.25">
      <c r="A19" s="90">
        <v>121001</v>
      </c>
      <c r="B19" s="90" t="s">
        <v>18</v>
      </c>
      <c r="C19" s="91">
        <v>6677123.2829999998</v>
      </c>
      <c r="D19" s="91">
        <v>5907967.926</v>
      </c>
      <c r="E19" s="91">
        <v>4486426.0789999999</v>
      </c>
      <c r="F19" s="91">
        <v>8098665.1299999999</v>
      </c>
      <c r="G19" t="str">
        <f>_xlfn.XLOOKUP($A19,Map!$A:$A,Map!C:C)</f>
        <v>BS</v>
      </c>
      <c r="H19" t="str">
        <f>_xlfn.XLOOKUP($A19,Map!$A:$A,Map!D:D)</f>
        <v>Current Assets</v>
      </c>
      <c r="I19" t="str">
        <f>_xlfn.XLOOKUP($A19,Map!$A:$A,Map!E:E)</f>
        <v>Prepaid expenses</v>
      </c>
      <c r="J19" t="str">
        <f>_xlfn.XLOOKUP($A19,Map!$A:$A,Map!F:F)</f>
        <v>Pre Operating Exps</v>
      </c>
    </row>
    <row r="20" spans="1:10" hidden="1" x14ac:dyDescent="0.25">
      <c r="A20" s="90">
        <v>121002</v>
      </c>
      <c r="B20" s="90" t="s">
        <v>19</v>
      </c>
      <c r="C20" s="91">
        <v>-3650674.13</v>
      </c>
      <c r="D20" s="91">
        <v>0</v>
      </c>
      <c r="E20" s="91">
        <v>4447991</v>
      </c>
      <c r="F20" s="91">
        <v>-8098665.1299999999</v>
      </c>
      <c r="G20" t="str">
        <f>_xlfn.XLOOKUP($A20,Map!$A:$A,Map!C:C)</f>
        <v>BS</v>
      </c>
      <c r="H20" t="str">
        <f>_xlfn.XLOOKUP($A20,Map!$A:$A,Map!D:D)</f>
        <v>Current Assets</v>
      </c>
      <c r="I20" t="str">
        <f>_xlfn.XLOOKUP($A20,Map!$A:$A,Map!E:E)</f>
        <v>Prepaid expenses</v>
      </c>
      <c r="J20" t="str">
        <f>_xlfn.XLOOKUP($A20,Map!$A:$A,Map!F:F)</f>
        <v>Amortization Of Pre Operating Exps</v>
      </c>
    </row>
    <row r="21" spans="1:10" hidden="1" x14ac:dyDescent="0.25">
      <c r="A21" s="90">
        <v>130001</v>
      </c>
      <c r="B21" s="90" t="s">
        <v>20</v>
      </c>
      <c r="C21" s="91">
        <v>2480104.2799999998</v>
      </c>
      <c r="D21" s="91">
        <v>95644843.564999998</v>
      </c>
      <c r="E21" s="91">
        <v>96015257.334999993</v>
      </c>
      <c r="F21" s="91">
        <v>2109690.5099999998</v>
      </c>
      <c r="G21" t="str">
        <f>_xlfn.XLOOKUP($A21,Map!$A:$A,Map!C:C)</f>
        <v>BS</v>
      </c>
      <c r="H21" t="str">
        <f>_xlfn.XLOOKUP($A21,Map!$A:$A,Map!D:D)</f>
        <v>Current Assets</v>
      </c>
      <c r="I21" t="str">
        <f>_xlfn.XLOOKUP($A21,Map!$A:$A,Map!E:E)</f>
        <v>Cash and cash equivalents</v>
      </c>
      <c r="J21" t="str">
        <f>_xlfn.XLOOKUP($A21,Map!$A:$A,Map!F:F)</f>
        <v>Bank balances</v>
      </c>
    </row>
    <row r="22" spans="1:10" hidden="1" x14ac:dyDescent="0.25">
      <c r="A22" s="90">
        <v>130002</v>
      </c>
      <c r="B22" s="90" t="s">
        <v>21</v>
      </c>
      <c r="C22" s="91">
        <v>2429.1</v>
      </c>
      <c r="D22" s="91">
        <v>75572891.179000005</v>
      </c>
      <c r="E22" s="91">
        <v>75545242.078999996</v>
      </c>
      <c r="F22" s="91">
        <v>30078.2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Cash and cash equivalents</v>
      </c>
      <c r="J22" t="str">
        <f>_xlfn.XLOOKUP($A22,Map!$A:$A,Map!F:F)</f>
        <v>Bank balances</v>
      </c>
    </row>
    <row r="23" spans="1:10" hidden="1" x14ac:dyDescent="0.25">
      <c r="A23" s="90">
        <v>130004</v>
      </c>
      <c r="B23" s="90" t="s">
        <v>23</v>
      </c>
      <c r="C23" s="91">
        <v>669960.12</v>
      </c>
      <c r="D23" s="91">
        <v>39340649.645000003</v>
      </c>
      <c r="E23" s="91">
        <v>39387255.414999999</v>
      </c>
      <c r="F23" s="91">
        <v>623354.35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Cash and cash equivalents</v>
      </c>
      <c r="J23" t="str">
        <f>_xlfn.XLOOKUP($A23,Map!$A:$A,Map!F:F)</f>
        <v>Bank balances</v>
      </c>
    </row>
    <row r="24" spans="1:10" hidden="1" x14ac:dyDescent="0.25">
      <c r="A24" s="90">
        <v>130005</v>
      </c>
      <c r="B24" s="90" t="s">
        <v>24</v>
      </c>
      <c r="C24" s="91">
        <v>72019.39</v>
      </c>
      <c r="D24" s="91">
        <v>1880333.5</v>
      </c>
      <c r="E24" s="91">
        <v>1947041.62</v>
      </c>
      <c r="F24" s="91">
        <v>5311.27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hidden="1" x14ac:dyDescent="0.25">
      <c r="A25" s="90">
        <v>130006</v>
      </c>
      <c r="B25" s="90" t="s">
        <v>25</v>
      </c>
      <c r="C25" s="91">
        <v>127521.81</v>
      </c>
      <c r="D25" s="91">
        <v>1574881.65</v>
      </c>
      <c r="E25" s="91">
        <v>1683881.96</v>
      </c>
      <c r="F25" s="91">
        <v>18521.5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90">
        <v>130007</v>
      </c>
      <c r="B26" s="90" t="s">
        <v>26</v>
      </c>
      <c r="C26" s="91">
        <v>1042740.7</v>
      </c>
      <c r="D26" s="91">
        <v>24091235.41</v>
      </c>
      <c r="E26" s="91">
        <v>23351770.289999999</v>
      </c>
      <c r="F26" s="91">
        <v>1782205.82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90">
        <v>130008</v>
      </c>
      <c r="B27" s="90" t="s">
        <v>247</v>
      </c>
      <c r="C27" s="91">
        <v>16963.79</v>
      </c>
      <c r="D27" s="91">
        <v>22530372.157000002</v>
      </c>
      <c r="E27" s="91">
        <v>22495308.397</v>
      </c>
      <c r="F27" s="91">
        <v>52027.55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90">
        <v>130099</v>
      </c>
      <c r="B28" s="90" t="s">
        <v>34</v>
      </c>
      <c r="C28" s="91">
        <v>0</v>
      </c>
      <c r="D28" s="91">
        <v>128991955.29000001</v>
      </c>
      <c r="E28" s="91">
        <v>128991955.29000001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hidden="1" x14ac:dyDescent="0.25">
      <c r="A29" s="90">
        <v>140001</v>
      </c>
      <c r="B29" s="90" t="s">
        <v>35</v>
      </c>
      <c r="C29" s="91">
        <v>36923559</v>
      </c>
      <c r="D29" s="91">
        <v>179758641.09599999</v>
      </c>
      <c r="E29" s="91">
        <v>177008524.47600001</v>
      </c>
      <c r="F29" s="91">
        <v>39673675.619999997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Trade receivables</v>
      </c>
      <c r="J29" t="str">
        <f>_xlfn.XLOOKUP($A29,Map!$A:$A,Map!F:F)</f>
        <v>Trade receivables - current</v>
      </c>
    </row>
    <row r="30" spans="1:10" hidden="1" x14ac:dyDescent="0.25">
      <c r="A30" s="90">
        <v>140010</v>
      </c>
      <c r="B30" s="90" t="s">
        <v>36</v>
      </c>
      <c r="C30" s="91">
        <v>0</v>
      </c>
      <c r="D30" s="91">
        <v>0</v>
      </c>
      <c r="E30" s="91">
        <v>0</v>
      </c>
      <c r="F30" s="91">
        <v>0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Trade receivables</v>
      </c>
      <c r="J30" t="str">
        <f>_xlfn.XLOOKUP($A30,Map!$A:$A,Map!F:F)</f>
        <v>Trade receivables - current</v>
      </c>
    </row>
    <row r="31" spans="1:10" hidden="1" x14ac:dyDescent="0.25">
      <c r="A31" s="90">
        <v>150001</v>
      </c>
      <c r="B31" s="90" t="s">
        <v>37</v>
      </c>
      <c r="C31" s="91">
        <v>456284.47899999999</v>
      </c>
      <c r="D31" s="91">
        <v>783595.00100000005</v>
      </c>
      <c r="E31" s="91">
        <v>818944.8</v>
      </c>
      <c r="F31" s="91">
        <v>420934.68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Prepaid expenses</v>
      </c>
      <c r="J31" t="str">
        <f>_xlfn.XLOOKUP($A31,Map!$A:$A,Map!F:F)</f>
        <v>Advances - current</v>
      </c>
    </row>
    <row r="32" spans="1:10" hidden="1" x14ac:dyDescent="0.25">
      <c r="A32" s="90">
        <v>160001</v>
      </c>
      <c r="B32" s="90" t="s">
        <v>39</v>
      </c>
      <c r="C32" s="91">
        <v>58391.6</v>
      </c>
      <c r="D32" s="91">
        <v>4366306.3</v>
      </c>
      <c r="E32" s="91">
        <v>4356232.28</v>
      </c>
      <c r="F32" s="91">
        <v>68465.62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Petty cash</v>
      </c>
    </row>
    <row r="33" spans="1:10" x14ac:dyDescent="0.25">
      <c r="A33" s="90">
        <v>170000</v>
      </c>
      <c r="B33" s="90" t="s">
        <v>40</v>
      </c>
      <c r="C33" s="91">
        <v>122637.079</v>
      </c>
      <c r="D33" s="91">
        <v>1057786.6910000001</v>
      </c>
      <c r="E33" s="91">
        <v>813624.48699999996</v>
      </c>
      <c r="F33" s="91">
        <v>366799.283</v>
      </c>
      <c r="G33" t="str">
        <f>_xlfn.XLOOKUP($A33,Map!$A:$A,Map!C:C)</f>
        <v>BS</v>
      </c>
      <c r="H33" t="str">
        <f>_xlfn.XLOOKUP($A33,Map!$A:$A,Map!D:D)</f>
        <v>Current Liabilities</v>
      </c>
      <c r="I33" t="str">
        <f>_xlfn.XLOOKUP($A33,Map!$A:$A,Map!E:E)</f>
        <v>Short-term Murabaha loans</v>
      </c>
      <c r="J33" t="str">
        <f>_xlfn.XLOOKUP($A33,Map!$A:$A,Map!F:F)</f>
        <v>Prepayments - current</v>
      </c>
    </row>
    <row r="34" spans="1:10" x14ac:dyDescent="0.25">
      <c r="A34" s="90">
        <v>170001</v>
      </c>
      <c r="B34" s="90" t="s">
        <v>41</v>
      </c>
      <c r="C34" s="91">
        <v>0</v>
      </c>
      <c r="D34" s="91">
        <v>0</v>
      </c>
      <c r="E34" s="91">
        <v>0</v>
      </c>
      <c r="F34" s="91">
        <v>0</v>
      </c>
      <c r="G34" t="str">
        <f>_xlfn.XLOOKUP($A34,Map!$A:$A,Map!C:C)</f>
        <v>BS</v>
      </c>
      <c r="H34" t="str">
        <f>_xlfn.XLOOKUP($A34,Map!$A:$A,Map!D:D)</f>
        <v>Current Liabilities</v>
      </c>
      <c r="I34" t="str">
        <f>_xlfn.XLOOKUP($A34,Map!$A:$A,Map!E:E)</f>
        <v>Short-term Murabaha loans</v>
      </c>
      <c r="J34" t="str">
        <f>_xlfn.XLOOKUP($A34,Map!$A:$A,Map!F:F)</f>
        <v>Prepayments - current</v>
      </c>
    </row>
    <row r="35" spans="1:10" x14ac:dyDescent="0.25">
      <c r="A35" s="90">
        <v>170003</v>
      </c>
      <c r="B35" s="90" t="s">
        <v>43</v>
      </c>
      <c r="C35" s="91">
        <v>58936.4</v>
      </c>
      <c r="D35" s="91">
        <v>610639.43000000005</v>
      </c>
      <c r="E35" s="91">
        <v>640487.34299999999</v>
      </c>
      <c r="F35" s="91">
        <v>29088.487000000001</v>
      </c>
      <c r="G35" t="str">
        <f>_xlfn.XLOOKUP($A35,Map!$A:$A,Map!C:C)</f>
        <v>BS</v>
      </c>
      <c r="H35" t="str">
        <f>_xlfn.XLOOKUP($A35,Map!$A:$A,Map!D:D)</f>
        <v>Current Liabilities</v>
      </c>
      <c r="I35" t="str">
        <f>_xlfn.XLOOKUP($A35,Map!$A:$A,Map!E:E)</f>
        <v>Short-term Murabaha loans</v>
      </c>
      <c r="J35" t="str">
        <f>_xlfn.XLOOKUP($A35,Map!$A:$A,Map!F:F)</f>
        <v>Prepayments - current</v>
      </c>
    </row>
    <row r="36" spans="1:10" x14ac:dyDescent="0.25">
      <c r="A36" s="90">
        <v>170004</v>
      </c>
      <c r="B36" s="90" t="s">
        <v>244</v>
      </c>
      <c r="C36" s="91">
        <v>13828.647999999999</v>
      </c>
      <c r="D36" s="91">
        <v>7858.7169999999996</v>
      </c>
      <c r="E36" s="91">
        <v>21687.365000000002</v>
      </c>
      <c r="F36" s="91">
        <v>0</v>
      </c>
      <c r="G36" t="str">
        <f>_xlfn.XLOOKUP($A36,Map!$A:$A,Map!C:C)</f>
        <v>BS</v>
      </c>
      <c r="H36" t="str">
        <f>_xlfn.XLOOKUP($A36,Map!$A:$A,Map!D:D)</f>
        <v>Current Liabilities</v>
      </c>
      <c r="I36" t="str">
        <f>_xlfn.XLOOKUP($A36,Map!$A:$A,Map!E:E)</f>
        <v>Short-term Murabaha loans</v>
      </c>
      <c r="J36" t="str">
        <f>_xlfn.XLOOKUP($A36,Map!$A:$A,Map!F:F)</f>
        <v>Prepayments - current</v>
      </c>
    </row>
    <row r="37" spans="1:10" hidden="1" x14ac:dyDescent="0.25">
      <c r="A37" s="90">
        <v>170005</v>
      </c>
      <c r="B37" s="90" t="s">
        <v>44</v>
      </c>
      <c r="C37" s="91">
        <v>0</v>
      </c>
      <c r="D37" s="91">
        <v>57990</v>
      </c>
      <c r="E37" s="91">
        <v>57990</v>
      </c>
      <c r="F37" s="91">
        <v>0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Prepaid expenses</v>
      </c>
      <c r="J37" t="str">
        <f>_xlfn.XLOOKUP($A37,Map!$A:$A,Map!F:F)</f>
        <v>Deposits - current</v>
      </c>
    </row>
    <row r="38" spans="1:10" hidden="1" x14ac:dyDescent="0.25">
      <c r="A38" s="90">
        <v>170006</v>
      </c>
      <c r="B38" s="90" t="s">
        <v>45</v>
      </c>
      <c r="C38" s="91">
        <v>453316.30099999998</v>
      </c>
      <c r="D38" s="91">
        <v>2470569.29</v>
      </c>
      <c r="E38" s="91">
        <v>1952336.9820000001</v>
      </c>
      <c r="F38" s="91">
        <v>971548.60900000005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Prepaid expenses</v>
      </c>
      <c r="J38" t="str">
        <f>_xlfn.XLOOKUP($A38,Map!$A:$A,Map!F:F)</f>
        <v>Deposits - current</v>
      </c>
    </row>
    <row r="39" spans="1:10" hidden="1" x14ac:dyDescent="0.25">
      <c r="A39" s="90">
        <v>170007</v>
      </c>
      <c r="B39" s="90" t="s">
        <v>46</v>
      </c>
      <c r="C39" s="91">
        <v>319948.95400000003</v>
      </c>
      <c r="D39" s="91">
        <v>159610.18799999999</v>
      </c>
      <c r="E39" s="91">
        <v>479559.14199999999</v>
      </c>
      <c r="F39" s="91">
        <v>0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Prepaid expenses</v>
      </c>
      <c r="J39" t="str">
        <f>_xlfn.XLOOKUP($A39,Map!$A:$A,Map!F:F)</f>
        <v>Deposits - current</v>
      </c>
    </row>
    <row r="40" spans="1:10" hidden="1" x14ac:dyDescent="0.25">
      <c r="A40" s="90">
        <v>170008</v>
      </c>
      <c r="B40" s="90" t="s">
        <v>47</v>
      </c>
      <c r="C40" s="91">
        <v>-2E-3</v>
      </c>
      <c r="D40" s="91">
        <v>2E-3</v>
      </c>
      <c r="E40" s="91">
        <v>0</v>
      </c>
      <c r="F40" s="91">
        <v>0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Prepaid expenses</v>
      </c>
      <c r="J40" t="str">
        <f>_xlfn.XLOOKUP($A40,Map!$A:$A,Map!F:F)</f>
        <v>Deposits - current</v>
      </c>
    </row>
    <row r="41" spans="1:10" hidden="1" x14ac:dyDescent="0.25">
      <c r="A41" s="90">
        <v>170009</v>
      </c>
      <c r="B41" s="90" t="s">
        <v>48</v>
      </c>
      <c r="C41" s="91">
        <v>94955</v>
      </c>
      <c r="D41" s="91">
        <v>1657723</v>
      </c>
      <c r="E41" s="91">
        <v>1693095</v>
      </c>
      <c r="F41" s="91">
        <v>59583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Prepaid expenses</v>
      </c>
      <c r="J41" t="str">
        <f>_xlfn.XLOOKUP($A41,Map!$A:$A,Map!F:F)</f>
        <v>Rent</v>
      </c>
    </row>
    <row r="42" spans="1:10" hidden="1" x14ac:dyDescent="0.25">
      <c r="A42" s="90">
        <v>170010</v>
      </c>
      <c r="B42" s="90" t="s">
        <v>49</v>
      </c>
      <c r="C42" s="91">
        <v>0</v>
      </c>
      <c r="D42" s="91">
        <v>669300</v>
      </c>
      <c r="E42" s="91">
        <v>669300</v>
      </c>
      <c r="F42" s="91">
        <v>0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Prepaid expenses</v>
      </c>
      <c r="J42" t="str">
        <f>_xlfn.XLOOKUP($A42,Map!$A:$A,Map!F:F)</f>
        <v>Housing allowance</v>
      </c>
    </row>
    <row r="43" spans="1:10" hidden="1" x14ac:dyDescent="0.25">
      <c r="A43" s="90">
        <v>170011</v>
      </c>
      <c r="B43" s="90" t="s">
        <v>50</v>
      </c>
      <c r="C43" s="91">
        <v>0</v>
      </c>
      <c r="D43" s="91">
        <v>113000</v>
      </c>
      <c r="E43" s="91">
        <v>113000</v>
      </c>
      <c r="F43" s="91">
        <v>0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Prepaid expenses</v>
      </c>
      <c r="J43" t="str">
        <f>_xlfn.XLOOKUP($A43,Map!$A:$A,Map!F:F)</f>
        <v>Air tickets</v>
      </c>
    </row>
    <row r="44" spans="1:10" hidden="1" x14ac:dyDescent="0.25">
      <c r="A44" s="90">
        <v>170013</v>
      </c>
      <c r="B44" s="90" t="s">
        <v>52</v>
      </c>
      <c r="C44" s="91">
        <v>59000</v>
      </c>
      <c r="D44" s="91">
        <v>0</v>
      </c>
      <c r="E44" s="91">
        <v>0</v>
      </c>
      <c r="F44" s="91">
        <v>59000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Prepaid expenses</v>
      </c>
      <c r="J44" t="str">
        <f>_xlfn.XLOOKUP($A44,Map!$A:$A,Map!F:F)</f>
        <v>Insurance</v>
      </c>
    </row>
    <row r="45" spans="1:10" hidden="1" x14ac:dyDescent="0.25">
      <c r="A45" s="90">
        <v>170014</v>
      </c>
      <c r="B45" s="90" t="s">
        <v>53</v>
      </c>
      <c r="C45" s="91">
        <v>227470.541</v>
      </c>
      <c r="D45" s="91">
        <v>576897</v>
      </c>
      <c r="E45" s="91">
        <v>489835.54100000003</v>
      </c>
      <c r="F45" s="91">
        <v>314532</v>
      </c>
      <c r="G45" t="str">
        <f>_xlfn.XLOOKUP($A45,Map!$A:$A,Map!C:C)</f>
        <v>BS</v>
      </c>
      <c r="H45" t="str">
        <f>_xlfn.XLOOKUP($A45,Map!$A:$A,Map!D:D)</f>
        <v>Current Assets</v>
      </c>
      <c r="I45" t="str">
        <f>_xlfn.XLOOKUP($A45,Map!$A:$A,Map!E:E)</f>
        <v>Prepaid expenses</v>
      </c>
      <c r="J45" t="str">
        <f>_xlfn.XLOOKUP($A45,Map!$A:$A,Map!F:F)</f>
        <v>Insurance</v>
      </c>
    </row>
    <row r="46" spans="1:10" hidden="1" x14ac:dyDescent="0.25">
      <c r="A46" s="90">
        <v>170015</v>
      </c>
      <c r="B46" s="90" t="s">
        <v>54</v>
      </c>
      <c r="C46" s="91">
        <v>0</v>
      </c>
      <c r="D46" s="91">
        <v>14480</v>
      </c>
      <c r="E46" s="91">
        <v>14480</v>
      </c>
      <c r="F46" s="91">
        <v>0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Prepaid expenses</v>
      </c>
      <c r="J46" t="str">
        <f>_xlfn.XLOOKUP($A46,Map!$A:$A,Map!F:F)</f>
        <v>Salaries and wages</v>
      </c>
    </row>
    <row r="47" spans="1:10" hidden="1" x14ac:dyDescent="0.25">
      <c r="A47" s="90">
        <v>180001</v>
      </c>
      <c r="B47" s="90" t="s">
        <v>60</v>
      </c>
      <c r="C47" s="91">
        <v>180341.72399999999</v>
      </c>
      <c r="D47" s="91">
        <v>3444714.9070000001</v>
      </c>
      <c r="E47" s="91">
        <v>3625056.6310000001</v>
      </c>
      <c r="F47" s="91">
        <v>0</v>
      </c>
      <c r="G47" t="str">
        <f>_xlfn.XLOOKUP($A47,Map!$A:$A,Map!C:C)</f>
        <v>BS</v>
      </c>
      <c r="H47" t="str">
        <f>_xlfn.XLOOKUP($A47,Map!$A:$A,Map!D:D)</f>
        <v>Current Assets</v>
      </c>
      <c r="I47" t="str">
        <f>_xlfn.XLOOKUP($A47,Map!$A:$A,Map!E:E)</f>
        <v>Inventories</v>
      </c>
      <c r="J47" t="str">
        <f>_xlfn.XLOOKUP($A47,Map!$A:$A,Map!F:F)</f>
        <v>Raw materials - Inventory</v>
      </c>
    </row>
    <row r="48" spans="1:10" hidden="1" x14ac:dyDescent="0.25">
      <c r="A48" s="90">
        <v>180002</v>
      </c>
      <c r="B48" s="90" t="s">
        <v>61</v>
      </c>
      <c r="C48" s="91">
        <v>0</v>
      </c>
      <c r="D48" s="91">
        <v>503484.14199999999</v>
      </c>
      <c r="E48" s="91">
        <v>503484.14199999999</v>
      </c>
      <c r="F48" s="91">
        <v>0</v>
      </c>
      <c r="G48" t="str">
        <f>_xlfn.XLOOKUP($A48,Map!$A:$A,Map!C:C)</f>
        <v>BS</v>
      </c>
      <c r="H48" t="str">
        <f>_xlfn.XLOOKUP($A48,Map!$A:$A,Map!D:D)</f>
        <v>Current Assets</v>
      </c>
      <c r="I48" t="str">
        <f>_xlfn.XLOOKUP($A48,Map!$A:$A,Map!E:E)</f>
        <v>Inventories</v>
      </c>
      <c r="J48" t="str">
        <f>_xlfn.XLOOKUP($A48,Map!$A:$A,Map!F:F)</f>
        <v>Raw materials - Inventory</v>
      </c>
    </row>
    <row r="49" spans="1:10" hidden="1" x14ac:dyDescent="0.25">
      <c r="A49" s="90">
        <v>180003</v>
      </c>
      <c r="B49" s="90" t="s">
        <v>62</v>
      </c>
      <c r="C49" s="91">
        <v>1662493.5430000001</v>
      </c>
      <c r="D49" s="91">
        <v>5545826.0590000004</v>
      </c>
      <c r="E49" s="91">
        <v>3918136.173</v>
      </c>
      <c r="F49" s="91">
        <v>3290183.429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Inventories</v>
      </c>
      <c r="J49" t="str">
        <f>_xlfn.XLOOKUP($A49,Map!$A:$A,Map!F:F)</f>
        <v>Spare parts - Inventory</v>
      </c>
    </row>
    <row r="50" spans="1:10" hidden="1" x14ac:dyDescent="0.25">
      <c r="A50" s="90">
        <v>180004</v>
      </c>
      <c r="B50" s="90" t="s">
        <v>63</v>
      </c>
      <c r="C50" s="91">
        <v>3346088.281</v>
      </c>
      <c r="D50" s="91">
        <v>8260089.5350000001</v>
      </c>
      <c r="E50" s="91">
        <v>8516898.9409999996</v>
      </c>
      <c r="F50" s="91">
        <v>3089278.875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Inventories</v>
      </c>
      <c r="J50" t="str">
        <f>_xlfn.XLOOKUP($A50,Map!$A:$A,Map!F:F)</f>
        <v>Raw materials - Inventory</v>
      </c>
    </row>
    <row r="51" spans="1:10" hidden="1" x14ac:dyDescent="0.25">
      <c r="A51" s="90">
        <v>180005</v>
      </c>
      <c r="B51" s="90" t="s">
        <v>64</v>
      </c>
      <c r="C51" s="91">
        <v>5751580.5860000001</v>
      </c>
      <c r="D51" s="91">
        <v>7760000.9939999999</v>
      </c>
      <c r="E51" s="91">
        <v>10564083.034</v>
      </c>
      <c r="F51" s="91">
        <v>2947498.5460000001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Inventories</v>
      </c>
      <c r="J51" t="str">
        <f>_xlfn.XLOOKUP($A51,Map!$A:$A,Map!F:F)</f>
        <v>Raw materials - Inventory</v>
      </c>
    </row>
    <row r="52" spans="1:10" hidden="1" x14ac:dyDescent="0.25">
      <c r="A52" s="90">
        <v>180006</v>
      </c>
      <c r="B52" s="90" t="s">
        <v>65</v>
      </c>
      <c r="C52" s="91">
        <v>1294747.0009999999</v>
      </c>
      <c r="D52" s="91">
        <v>5479385.2410000004</v>
      </c>
      <c r="E52" s="91">
        <v>5613104.9680000003</v>
      </c>
      <c r="F52" s="91">
        <v>1161027.274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Inventories</v>
      </c>
      <c r="J52" t="str">
        <f>_xlfn.XLOOKUP($A52,Map!$A:$A,Map!F:F)</f>
        <v>Raw materials - Inventory</v>
      </c>
    </row>
    <row r="53" spans="1:10" hidden="1" x14ac:dyDescent="0.25">
      <c r="A53" s="90">
        <v>180007</v>
      </c>
      <c r="B53" s="90" t="s">
        <v>66</v>
      </c>
      <c r="C53" s="91">
        <v>1532382.561</v>
      </c>
      <c r="D53" s="91">
        <v>16441195.706</v>
      </c>
      <c r="E53" s="91">
        <v>10745804.137</v>
      </c>
      <c r="F53" s="91">
        <v>7227774.1299999999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Inventories</v>
      </c>
      <c r="J53" t="str">
        <f>_xlfn.XLOOKUP($A53,Map!$A:$A,Map!F:F)</f>
        <v>Raw materials - Inventory</v>
      </c>
    </row>
    <row r="54" spans="1:10" hidden="1" x14ac:dyDescent="0.25">
      <c r="A54" s="90">
        <v>180008</v>
      </c>
      <c r="B54" s="90" t="s">
        <v>67</v>
      </c>
      <c r="C54" s="91">
        <v>1499877.777</v>
      </c>
      <c r="D54" s="91">
        <v>484404.891</v>
      </c>
      <c r="E54" s="91">
        <v>584154.85199999996</v>
      </c>
      <c r="F54" s="91">
        <v>1400127.8160000001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Inventories</v>
      </c>
      <c r="J54" t="str">
        <f>_xlfn.XLOOKUP($A54,Map!$A:$A,Map!F:F)</f>
        <v>Raw materials - Inventory</v>
      </c>
    </row>
    <row r="55" spans="1:10" hidden="1" x14ac:dyDescent="0.25">
      <c r="A55" s="90">
        <v>180009</v>
      </c>
      <c r="B55" s="90" t="s">
        <v>68</v>
      </c>
      <c r="C55" s="91">
        <v>0</v>
      </c>
      <c r="D55" s="91">
        <v>3812434162.0869999</v>
      </c>
      <c r="E55" s="91">
        <v>3812434162.0819998</v>
      </c>
      <c r="F55" s="91">
        <v>5.0000000000000001E-3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Inventories</v>
      </c>
      <c r="J55" t="str">
        <f>_xlfn.XLOOKUP($A55,Map!$A:$A,Map!F:F)</f>
        <v>Raw materials - Inventory</v>
      </c>
    </row>
    <row r="56" spans="1:10" hidden="1" x14ac:dyDescent="0.25">
      <c r="A56" s="90">
        <v>180010</v>
      </c>
      <c r="B56" s="90" t="s">
        <v>69</v>
      </c>
      <c r="C56" s="91">
        <v>1327453.811</v>
      </c>
      <c r="D56" s="91">
        <v>3091568.3659999999</v>
      </c>
      <c r="E56" s="91">
        <v>3025348.7880000002</v>
      </c>
      <c r="F56" s="91">
        <v>1393673.389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Inventories</v>
      </c>
      <c r="J56" t="str">
        <f>_xlfn.XLOOKUP($A56,Map!$A:$A,Map!F:F)</f>
        <v>Packaging materials - Inventory</v>
      </c>
    </row>
    <row r="57" spans="1:10" hidden="1" x14ac:dyDescent="0.25">
      <c r="A57" s="90">
        <v>180011</v>
      </c>
      <c r="B57" s="90" t="s">
        <v>70</v>
      </c>
      <c r="C57" s="91">
        <v>3798456.87</v>
      </c>
      <c r="D57" s="91">
        <v>50167096.302000001</v>
      </c>
      <c r="E57" s="91">
        <v>50333405.369000003</v>
      </c>
      <c r="F57" s="91">
        <v>3632147.8029999998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Inventories</v>
      </c>
      <c r="J57" t="str">
        <f>_xlfn.XLOOKUP($A57,Map!$A:$A,Map!F:F)</f>
        <v>Finished goods - Inventory</v>
      </c>
    </row>
    <row r="58" spans="1:10" hidden="1" x14ac:dyDescent="0.25">
      <c r="A58" s="90">
        <v>180012</v>
      </c>
      <c r="B58" s="90" t="s">
        <v>71</v>
      </c>
      <c r="C58" s="91">
        <v>2714441.9569999999</v>
      </c>
      <c r="D58" s="91">
        <v>44165781.913000003</v>
      </c>
      <c r="E58" s="91">
        <v>44630502.806000002</v>
      </c>
      <c r="F58" s="91">
        <v>2249721.0639999998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Inventories</v>
      </c>
      <c r="J58" t="str">
        <f>_xlfn.XLOOKUP($A58,Map!$A:$A,Map!F:F)</f>
        <v>Work in progress - Inventory</v>
      </c>
    </row>
    <row r="59" spans="1:10" hidden="1" x14ac:dyDescent="0.25">
      <c r="A59" s="90">
        <v>180013</v>
      </c>
      <c r="B59" s="90" t="s">
        <v>72</v>
      </c>
      <c r="C59" s="91">
        <v>5304869.8890000004</v>
      </c>
      <c r="D59" s="91">
        <v>11468347.221000001</v>
      </c>
      <c r="E59" s="91">
        <v>10485377.005999999</v>
      </c>
      <c r="F59" s="91">
        <v>6287840.1040000003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Inventories</v>
      </c>
      <c r="J59" t="str">
        <f>_xlfn.XLOOKUP($A59,Map!$A:$A,Map!F:F)</f>
        <v>Finished goods - Inventory</v>
      </c>
    </row>
    <row r="60" spans="1:10" hidden="1" x14ac:dyDescent="0.25">
      <c r="A60" s="90">
        <v>180014</v>
      </c>
      <c r="B60" s="90" t="s">
        <v>73</v>
      </c>
      <c r="C60" s="91">
        <v>0</v>
      </c>
      <c r="D60" s="91">
        <v>52510630.848999999</v>
      </c>
      <c r="E60" s="91">
        <v>52510630.848999999</v>
      </c>
      <c r="F60" s="91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Inventories</v>
      </c>
      <c r="J60" t="str">
        <f>_xlfn.XLOOKUP($A60,Map!$A:$A,Map!F:F)</f>
        <v>Work in progress - Inventory</v>
      </c>
    </row>
    <row r="61" spans="1:10" hidden="1" x14ac:dyDescent="0.25">
      <c r="A61" s="90">
        <v>180096</v>
      </c>
      <c r="B61" s="90" t="s">
        <v>74</v>
      </c>
      <c r="C61" s="91">
        <v>0</v>
      </c>
      <c r="D61" s="91">
        <v>17150891.923</v>
      </c>
      <c r="E61" s="91">
        <v>17150891.925000001</v>
      </c>
      <c r="F61" s="91">
        <v>-2E-3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Inventories</v>
      </c>
      <c r="J61" t="str">
        <f>_xlfn.XLOOKUP($A61,Map!$A:$A,Map!F:F)</f>
        <v>Work in progress - Inventory</v>
      </c>
    </row>
    <row r="62" spans="1:10" hidden="1" x14ac:dyDescent="0.25">
      <c r="A62" s="90">
        <v>180097</v>
      </c>
      <c r="B62" s="90" t="s">
        <v>75</v>
      </c>
      <c r="C62" s="91">
        <v>0</v>
      </c>
      <c r="D62" s="91">
        <v>2525655.5950000002</v>
      </c>
      <c r="E62" s="91">
        <v>2525655.5950000002</v>
      </c>
      <c r="F62" s="91">
        <v>0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Inventories</v>
      </c>
      <c r="J62" t="str">
        <f>_xlfn.XLOOKUP($A62,Map!$A:$A,Map!F:F)</f>
        <v>Work in progress - Inventory</v>
      </c>
    </row>
    <row r="63" spans="1:10" hidden="1" x14ac:dyDescent="0.25">
      <c r="A63" s="90">
        <v>180098</v>
      </c>
      <c r="B63" s="90" t="s">
        <v>76</v>
      </c>
      <c r="C63" s="91">
        <v>0</v>
      </c>
      <c r="D63" s="91">
        <v>0</v>
      </c>
      <c r="E63" s="91">
        <v>0</v>
      </c>
      <c r="F63" s="91">
        <v>0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Work in progress - Inventory</v>
      </c>
    </row>
    <row r="64" spans="1:10" hidden="1" x14ac:dyDescent="0.25">
      <c r="A64" s="90">
        <v>180099</v>
      </c>
      <c r="B64" s="90" t="s">
        <v>77</v>
      </c>
      <c r="C64" s="91">
        <v>0</v>
      </c>
      <c r="D64" s="91">
        <v>0</v>
      </c>
      <c r="E64" s="91">
        <v>0</v>
      </c>
      <c r="F64" s="91">
        <v>0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Inventories</v>
      </c>
      <c r="J64" t="str">
        <f>_xlfn.XLOOKUP($A64,Map!$A:$A,Map!F:F)</f>
        <v>Goods in transit - Inventory</v>
      </c>
    </row>
    <row r="65" spans="1:10" hidden="1" x14ac:dyDescent="0.25">
      <c r="A65" s="90">
        <v>210001</v>
      </c>
      <c r="B65" s="90" t="s">
        <v>78</v>
      </c>
      <c r="C65" s="91">
        <v>217818.4</v>
      </c>
      <c r="D65" s="91">
        <v>88519532.128999993</v>
      </c>
      <c r="E65" s="91">
        <v>87396927.452000007</v>
      </c>
      <c r="F65" s="91">
        <v>1340423.077</v>
      </c>
      <c r="G65" t="str">
        <f>_xlfn.XLOOKUP($A65,Map!$A:$A,Map!C:C)</f>
        <v>BS</v>
      </c>
      <c r="H65" t="str">
        <f>_xlfn.XLOOKUP($A65,Map!$A:$A,Map!D:D)</f>
        <v>Current Liabilities</v>
      </c>
      <c r="I65" t="str">
        <f>_xlfn.XLOOKUP($A65,Map!$A:$A,Map!E:E)</f>
        <v>Tade payables and Accuals &amp; other credit balances</v>
      </c>
      <c r="J65" t="str">
        <f>_xlfn.XLOOKUP($A65,Map!$A:$A,Map!F:F)</f>
        <v>Trade payables - Foreign</v>
      </c>
    </row>
    <row r="66" spans="1:10" hidden="1" x14ac:dyDescent="0.25">
      <c r="A66" s="90">
        <v>210002</v>
      </c>
      <c r="B66" s="90" t="s">
        <v>79</v>
      </c>
      <c r="C66" s="91">
        <v>-3155366.4</v>
      </c>
      <c r="D66" s="91">
        <v>61494376.108999997</v>
      </c>
      <c r="E66" s="91">
        <v>60332730.608000003</v>
      </c>
      <c r="F66" s="91">
        <v>-1993720.899</v>
      </c>
      <c r="G66" t="str">
        <f>_xlfn.XLOOKUP($A66,Map!$A:$A,Map!C:C)</f>
        <v>BS</v>
      </c>
      <c r="H66" t="str">
        <f>_xlfn.XLOOKUP($A66,Map!$A:$A,Map!D:D)</f>
        <v>Current Liabilities</v>
      </c>
      <c r="I66" t="str">
        <f>_xlfn.XLOOKUP($A66,Map!$A:$A,Map!E:E)</f>
        <v>Tade payables and Accuals &amp; other credit balances</v>
      </c>
      <c r="J66" t="str">
        <f>_xlfn.XLOOKUP($A66,Map!$A:$A,Map!F:F)</f>
        <v>Trade payables - Local</v>
      </c>
    </row>
    <row r="67" spans="1:10" x14ac:dyDescent="0.25">
      <c r="A67" s="90">
        <v>220001</v>
      </c>
      <c r="B67" s="90" t="s">
        <v>80</v>
      </c>
      <c r="C67" s="91">
        <v>0</v>
      </c>
      <c r="D67" s="91">
        <v>0</v>
      </c>
      <c r="E67" s="91">
        <v>0</v>
      </c>
      <c r="F67" s="91">
        <v>0</v>
      </c>
      <c r="G67" t="str">
        <f>_xlfn.XLOOKUP($A67,Map!$A:$A,Map!C:C)</f>
        <v>BS</v>
      </c>
      <c r="H67" t="str">
        <f>_xlfn.XLOOKUP($A67,Map!$A:$A,Map!D:D)</f>
        <v>Current Liabilities</v>
      </c>
      <c r="I67" t="str">
        <f>_xlfn.XLOOKUP($A67,Map!$A:$A,Map!E:E)</f>
        <v>Short-term Murabaha loans</v>
      </c>
      <c r="J67" t="str">
        <f>_xlfn.XLOOKUP($A67,Map!$A:$A,Map!F:F)</f>
        <v>Other loans - current</v>
      </c>
    </row>
    <row r="68" spans="1:10" x14ac:dyDescent="0.25">
      <c r="A68" s="90">
        <v>220002</v>
      </c>
      <c r="B68" s="90" t="s">
        <v>81</v>
      </c>
      <c r="C68" s="91">
        <v>-3542909.64</v>
      </c>
      <c r="D68" s="91">
        <v>19416844.837000001</v>
      </c>
      <c r="E68" s="91">
        <v>20438663.096999999</v>
      </c>
      <c r="F68" s="91">
        <v>-4564727.9000000004</v>
      </c>
      <c r="G68" t="str">
        <f>_xlfn.XLOOKUP($A68,Map!$A:$A,Map!C:C)</f>
        <v>BS</v>
      </c>
      <c r="H68" t="str">
        <f>_xlfn.XLOOKUP($A68,Map!$A:$A,Map!D:D)</f>
        <v>Current Liabilities</v>
      </c>
      <c r="I68" t="str">
        <f>_xlfn.XLOOKUP($A68,Map!$A:$A,Map!E:E)</f>
        <v>Short-term Murabaha loans</v>
      </c>
      <c r="J68" t="str">
        <f>_xlfn.XLOOKUP($A68,Map!$A:$A,Map!F:F)</f>
        <v>Other loans - current</v>
      </c>
    </row>
    <row r="69" spans="1:10" x14ac:dyDescent="0.25">
      <c r="A69" s="90">
        <v>220003</v>
      </c>
      <c r="B69" s="90" t="s">
        <v>82</v>
      </c>
      <c r="C69" s="91">
        <v>0</v>
      </c>
      <c r="D69" s="91">
        <v>0</v>
      </c>
      <c r="E69" s="91">
        <v>0</v>
      </c>
      <c r="F69" s="91">
        <v>0</v>
      </c>
      <c r="G69" t="str">
        <f>_xlfn.XLOOKUP($A69,Map!$A:$A,Map!C:C)</f>
        <v>BS</v>
      </c>
      <c r="H69" t="str">
        <f>_xlfn.XLOOKUP($A69,Map!$A:$A,Map!D:D)</f>
        <v>Current Liabilities</v>
      </c>
      <c r="I69" t="str">
        <f>_xlfn.XLOOKUP($A69,Map!$A:$A,Map!E:E)</f>
        <v>Short-term Murabaha loans</v>
      </c>
      <c r="J69" t="str">
        <f>_xlfn.XLOOKUP($A69,Map!$A:$A,Map!F:F)</f>
        <v>Other loans - current</v>
      </c>
    </row>
    <row r="70" spans="1:10" x14ac:dyDescent="0.25">
      <c r="A70" s="90">
        <v>220004</v>
      </c>
      <c r="B70" s="90" t="s">
        <v>83</v>
      </c>
      <c r="C70" s="91">
        <v>-8628490.9989999998</v>
      </c>
      <c r="D70" s="91">
        <v>18129139.513999999</v>
      </c>
      <c r="E70" s="91">
        <v>31484379.614999998</v>
      </c>
      <c r="F70" s="91">
        <v>-21983731.100000001</v>
      </c>
      <c r="G70" t="str">
        <f>_xlfn.XLOOKUP($A70,Map!$A:$A,Map!C:C)</f>
        <v>BS</v>
      </c>
      <c r="H70" t="str">
        <f>_xlfn.XLOOKUP($A70,Map!$A:$A,Map!D:D)</f>
        <v>Current Liabilities</v>
      </c>
      <c r="I70" t="str">
        <f>_xlfn.XLOOKUP($A70,Map!$A:$A,Map!E:E)</f>
        <v>Short-term Murabaha loans</v>
      </c>
      <c r="J70" t="str">
        <f>_xlfn.XLOOKUP($A70,Map!$A:$A,Map!F:F)</f>
        <v>Other loans - current</v>
      </c>
    </row>
    <row r="71" spans="1:10" hidden="1" x14ac:dyDescent="0.25">
      <c r="A71" s="90">
        <v>230001</v>
      </c>
      <c r="B71" s="90" t="s">
        <v>86</v>
      </c>
      <c r="C71" s="91">
        <v>0</v>
      </c>
      <c r="D71" s="91">
        <v>3809847533.381</v>
      </c>
      <c r="E71" s="91">
        <v>3809847533.381</v>
      </c>
      <c r="F71" s="91">
        <v>0</v>
      </c>
      <c r="G71" t="str">
        <f>_xlfn.XLOOKUP($A71,Map!$A:$A,Map!C:C)</f>
        <v>BS</v>
      </c>
      <c r="H71" t="str">
        <f>_xlfn.XLOOKUP($A71,Map!$A:$A,Map!D:D)</f>
        <v>Current Liabilities</v>
      </c>
      <c r="I71" t="str">
        <f>_xlfn.XLOOKUP($A71,Map!$A:$A,Map!E:E)</f>
        <v>Tade payables and Accuals &amp; other credit balances</v>
      </c>
      <c r="J71" t="str">
        <f>_xlfn.XLOOKUP($A71,Map!$A:$A,Map!F:F)</f>
        <v>Clearing account</v>
      </c>
    </row>
    <row r="72" spans="1:10" hidden="1" x14ac:dyDescent="0.25">
      <c r="A72" s="90">
        <v>240001</v>
      </c>
      <c r="B72" s="90" t="s">
        <v>87</v>
      </c>
      <c r="C72" s="91">
        <v>0</v>
      </c>
      <c r="D72" s="91">
        <v>3647073.4879999999</v>
      </c>
      <c r="E72" s="91">
        <v>3647073.4879999999</v>
      </c>
      <c r="F72" s="91">
        <v>0</v>
      </c>
      <c r="G72" t="str">
        <f>_xlfn.XLOOKUP($A72,Map!$A:$A,Map!C:C)</f>
        <v>BS</v>
      </c>
      <c r="H72" t="str">
        <f>_xlfn.XLOOKUP($A72,Map!$A:$A,Map!D:D)</f>
        <v>Current Liabilities</v>
      </c>
      <c r="I72" t="str">
        <f>_xlfn.XLOOKUP($A72,Map!$A:$A,Map!E:E)</f>
        <v>Tade payables and Accuals &amp; other credit balances</v>
      </c>
      <c r="J72" t="str">
        <f>_xlfn.XLOOKUP($A72,Map!$A:$A,Map!F:F)</f>
        <v>Overhead</v>
      </c>
    </row>
    <row r="73" spans="1:10" hidden="1" x14ac:dyDescent="0.25">
      <c r="A73" s="90">
        <v>240002</v>
      </c>
      <c r="B73" s="90" t="s">
        <v>88</v>
      </c>
      <c r="C73" s="91">
        <v>648727</v>
      </c>
      <c r="D73" s="91">
        <v>53396</v>
      </c>
      <c r="E73" s="91">
        <v>702123</v>
      </c>
      <c r="F73" s="91">
        <v>0</v>
      </c>
      <c r="G73" t="str">
        <f>_xlfn.XLOOKUP($A73,Map!$A:$A,Map!C:C)</f>
        <v>BS</v>
      </c>
      <c r="H73" t="str">
        <f>_xlfn.XLOOKUP($A73,Map!$A:$A,Map!D:D)</f>
        <v>Current Liabilities</v>
      </c>
      <c r="I73" t="str">
        <f>_xlfn.XLOOKUP($A73,Map!$A:$A,Map!E:E)</f>
        <v>Tade payables and Accuals &amp; other credit balances</v>
      </c>
      <c r="J73" t="str">
        <f>_xlfn.XLOOKUP($A73,Map!$A:$A,Map!F:F)</f>
        <v>Landed Cost - Customs</v>
      </c>
    </row>
    <row r="74" spans="1:10" hidden="1" x14ac:dyDescent="0.25">
      <c r="A74" s="90">
        <v>250001</v>
      </c>
      <c r="B74" s="90" t="s">
        <v>90</v>
      </c>
      <c r="C74" s="91">
        <v>0</v>
      </c>
      <c r="D74" s="91">
        <v>8132102.318</v>
      </c>
      <c r="E74" s="91">
        <v>8132102.318</v>
      </c>
      <c r="F74" s="91">
        <v>0</v>
      </c>
      <c r="G74" t="str">
        <f>_xlfn.XLOOKUP($A74,Map!$A:$A,Map!C:C)</f>
        <v>BS</v>
      </c>
      <c r="H74" t="str">
        <f>_xlfn.XLOOKUP($A74,Map!$A:$A,Map!D:D)</f>
        <v>Current Liabilities</v>
      </c>
      <c r="I74" t="str">
        <f>_xlfn.XLOOKUP($A74,Map!$A:$A,Map!E:E)</f>
        <v>Tade payables and Accuals &amp; other credit balances</v>
      </c>
      <c r="J74" t="str">
        <f>_xlfn.XLOOKUP($A74,Map!$A:$A,Map!F:F)</f>
        <v>Accrued salaries and wages</v>
      </c>
    </row>
    <row r="75" spans="1:10" hidden="1" x14ac:dyDescent="0.25">
      <c r="A75" s="90">
        <v>250002</v>
      </c>
      <c r="B75" s="90" t="s">
        <v>91</v>
      </c>
      <c r="C75" s="91">
        <v>-150000</v>
      </c>
      <c r="D75" s="91">
        <v>1850000</v>
      </c>
      <c r="E75" s="91">
        <v>1700000</v>
      </c>
      <c r="F75" s="91">
        <v>0</v>
      </c>
      <c r="G75" t="str">
        <f>_xlfn.XLOOKUP($A75,Map!$A:$A,Map!C:C)</f>
        <v>BS</v>
      </c>
      <c r="H75" t="str">
        <f>_xlfn.XLOOKUP($A75,Map!$A:$A,Map!D:D)</f>
        <v>Current Liabilities</v>
      </c>
      <c r="I75" t="str">
        <f>_xlfn.XLOOKUP($A75,Map!$A:$A,Map!E:E)</f>
        <v>Tade payables and Accuals &amp; other credit balances</v>
      </c>
      <c r="J75" t="str">
        <f>_xlfn.XLOOKUP($A75,Map!$A:$A,Map!F:F)</f>
        <v>Accrued utilities</v>
      </c>
    </row>
    <row r="76" spans="1:10" hidden="1" x14ac:dyDescent="0.25">
      <c r="A76" s="90">
        <v>250003</v>
      </c>
      <c r="B76" s="90" t="s">
        <v>92</v>
      </c>
      <c r="C76" s="91">
        <v>-1365110</v>
      </c>
      <c r="D76" s="91">
        <v>1825110</v>
      </c>
      <c r="E76" s="91">
        <v>1660000</v>
      </c>
      <c r="F76" s="91">
        <v>-1200000</v>
      </c>
      <c r="G76" t="str">
        <f>_xlfn.XLOOKUP($A76,Map!$A:$A,Map!C:C)</f>
        <v>BS</v>
      </c>
      <c r="H76" t="str">
        <f>_xlfn.XLOOKUP($A76,Map!$A:$A,Map!D:D)</f>
        <v>Current Liabilities</v>
      </c>
      <c r="I76" t="str">
        <f>_xlfn.XLOOKUP($A76,Map!$A:$A,Map!E:E)</f>
        <v>Zakat provision</v>
      </c>
      <c r="J76" t="str">
        <f>_xlfn.XLOOKUP($A76,Map!$A:$A,Map!F:F)</f>
        <v>Zakat provision</v>
      </c>
    </row>
    <row r="77" spans="1:10" hidden="1" x14ac:dyDescent="0.25">
      <c r="A77" s="90">
        <v>250004</v>
      </c>
      <c r="B77" s="90" t="s">
        <v>93</v>
      </c>
      <c r="C77" s="91">
        <v>-720000</v>
      </c>
      <c r="D77" s="91">
        <v>1240859</v>
      </c>
      <c r="E77" s="91">
        <v>520859</v>
      </c>
      <c r="F77" s="91">
        <v>0</v>
      </c>
      <c r="G77" t="str">
        <f>_xlfn.XLOOKUP($A77,Map!$A:$A,Map!C:C)</f>
        <v>BS</v>
      </c>
      <c r="H77" t="str">
        <f>_xlfn.XLOOKUP($A77,Map!$A:$A,Map!D:D)</f>
        <v>Current Liabilities</v>
      </c>
      <c r="I77" t="str">
        <f>_xlfn.XLOOKUP($A77,Map!$A:$A,Map!E:E)</f>
        <v>Tade payables and Accuals &amp; other credit balances</v>
      </c>
      <c r="J77" t="str">
        <f>_xlfn.XLOOKUP($A77,Map!$A:$A,Map!F:F)</f>
        <v>Accrued bonus</v>
      </c>
    </row>
    <row r="78" spans="1:10" hidden="1" x14ac:dyDescent="0.25">
      <c r="A78" s="90">
        <v>250005</v>
      </c>
      <c r="B78" s="90" t="s">
        <v>94</v>
      </c>
      <c r="C78" s="91">
        <v>-62000</v>
      </c>
      <c r="D78" s="91">
        <v>62000</v>
      </c>
      <c r="E78" s="91">
        <v>50000</v>
      </c>
      <c r="F78" s="91">
        <v>-50000</v>
      </c>
      <c r="G78" t="str">
        <f>_xlfn.XLOOKUP($A78,Map!$A:$A,Map!C:C)</f>
        <v>BS</v>
      </c>
      <c r="H78" t="str">
        <f>_xlfn.XLOOKUP($A78,Map!$A:$A,Map!D:D)</f>
        <v>Current Liabilities</v>
      </c>
      <c r="I78" t="str">
        <f>_xlfn.XLOOKUP($A78,Map!$A:$A,Map!E:E)</f>
        <v>Tade payables and Accuals &amp; other credit balances</v>
      </c>
      <c r="J78" t="str">
        <f>_xlfn.XLOOKUP($A78,Map!$A:$A,Map!F:F)</f>
        <v>Accrued expenses</v>
      </c>
    </row>
    <row r="79" spans="1:10" hidden="1" x14ac:dyDescent="0.25">
      <c r="A79" s="90">
        <v>260001</v>
      </c>
      <c r="B79" s="90" t="s">
        <v>96</v>
      </c>
      <c r="C79" s="91">
        <v>-4856327</v>
      </c>
      <c r="D79" s="91">
        <v>0</v>
      </c>
      <c r="E79" s="91">
        <v>771293</v>
      </c>
      <c r="F79" s="91">
        <v>-5627620</v>
      </c>
      <c r="G79" t="str">
        <f>_xlfn.XLOOKUP($A79,Map!$A:$A,Map!C:C)</f>
        <v>BS</v>
      </c>
      <c r="H79" t="str">
        <f>_xlfn.XLOOKUP($A79,Map!$A:$A,Map!D:D)</f>
        <v>Stockholder's equity</v>
      </c>
      <c r="I79" t="str">
        <f>_xlfn.XLOOKUP($A79,Map!$A:$A,Map!E:E)</f>
        <v>Statutory reserve</v>
      </c>
      <c r="J79" t="str">
        <f>_xlfn.XLOOKUP($A79,Map!$A:$A,Map!F:F)</f>
        <v>Statutory reserve</v>
      </c>
    </row>
    <row r="80" spans="1:10" hidden="1" x14ac:dyDescent="0.25">
      <c r="A80" s="90">
        <v>260002</v>
      </c>
      <c r="B80" s="90" t="s">
        <v>97</v>
      </c>
      <c r="C80" s="91">
        <v>-2992687.9419999998</v>
      </c>
      <c r="D80" s="91">
        <v>901501.8</v>
      </c>
      <c r="E80" s="91">
        <v>2558188.858</v>
      </c>
      <c r="F80" s="91">
        <v>-4649375</v>
      </c>
      <c r="G80" t="str">
        <f>_xlfn.XLOOKUP($A80,Map!$A:$A,Map!C:C)</f>
        <v>BS</v>
      </c>
      <c r="H80" t="str">
        <f>_xlfn.XLOOKUP($A80,Map!$A:$A,Map!D:D)</f>
        <v>Non-Current Liabilities</v>
      </c>
      <c r="I80" t="str">
        <f>_xlfn.XLOOKUP($A80,Map!$A:$A,Map!E:E)</f>
        <v xml:space="preserve">End-of-service indemnities </v>
      </c>
      <c r="J80" t="str">
        <f>_xlfn.XLOOKUP($A80,Map!$A:$A,Map!F:F)</f>
        <v xml:space="preserve">End-of-service indemnities </v>
      </c>
    </row>
    <row r="81" spans="1:10" hidden="1" x14ac:dyDescent="0.25">
      <c r="A81" s="90">
        <v>260003</v>
      </c>
      <c r="B81" s="90" t="s">
        <v>98</v>
      </c>
      <c r="C81" s="91">
        <v>-1409581.54</v>
      </c>
      <c r="D81" s="91">
        <v>240000</v>
      </c>
      <c r="E81" s="91">
        <v>2393592</v>
      </c>
      <c r="F81" s="91">
        <v>-3563173.54</v>
      </c>
      <c r="G81" t="str">
        <f>_xlfn.XLOOKUP($A81,Map!$A:$A,Map!C:C)</f>
        <v>BS</v>
      </c>
      <c r="H81" t="str">
        <f>_xlfn.XLOOKUP($A81,Map!$A:$A,Map!D:D)</f>
        <v>Current Assets</v>
      </c>
      <c r="I81" t="str">
        <f>_xlfn.XLOOKUP($A81,Map!$A:$A,Map!E:E)</f>
        <v>Trade receivables</v>
      </c>
      <c r="J81" t="str">
        <f>_xlfn.XLOOKUP($A81,Map!$A:$A,Map!F:F)</f>
        <v>Provisions</v>
      </c>
    </row>
    <row r="82" spans="1:10" hidden="1" x14ac:dyDescent="0.25">
      <c r="A82" s="90">
        <v>260004</v>
      </c>
      <c r="B82" s="90" t="s">
        <v>99</v>
      </c>
      <c r="C82" s="91">
        <v>0</v>
      </c>
      <c r="D82" s="91">
        <v>0</v>
      </c>
      <c r="E82" s="91">
        <v>1121501.433</v>
      </c>
      <c r="F82" s="91">
        <v>-1121501.433</v>
      </c>
      <c r="G82" t="str">
        <f>_xlfn.XLOOKUP($A82,Map!$A:$A,Map!C:C)</f>
        <v>BS</v>
      </c>
      <c r="H82" t="str">
        <f>_xlfn.XLOOKUP($A82,Map!$A:$A,Map!D:D)</f>
        <v>Current Assets</v>
      </c>
      <c r="I82" t="str">
        <f>_xlfn.XLOOKUP($A82,Map!$A:$A,Map!E:E)</f>
        <v>Inventories</v>
      </c>
      <c r="J82" t="str">
        <f>_xlfn.XLOOKUP($A82,Map!$A:$A,Map!F:F)</f>
        <v>Allowance for slow moving/obsolete inventories - Inventory</v>
      </c>
    </row>
    <row r="83" spans="1:10" hidden="1" x14ac:dyDescent="0.25">
      <c r="A83" s="90">
        <v>270001</v>
      </c>
      <c r="B83" s="90" t="s">
        <v>101</v>
      </c>
      <c r="C83" s="91">
        <v>0</v>
      </c>
      <c r="D83" s="91">
        <v>85866130.439999998</v>
      </c>
      <c r="E83" s="91">
        <v>85866130.439999998</v>
      </c>
      <c r="F83" s="91">
        <v>0</v>
      </c>
      <c r="G83" t="str">
        <f>_xlfn.XLOOKUP($A83,Map!$A:$A,Map!C:C)</f>
        <v>BS</v>
      </c>
      <c r="H83" t="str">
        <f>_xlfn.XLOOKUP($A83,Map!$A:$A,Map!D:D)</f>
        <v>Non-Current Liabilities</v>
      </c>
      <c r="I83" t="str">
        <f>_xlfn.XLOOKUP($A83,Map!$A:$A,Map!E:E)</f>
        <v xml:space="preserve">Due to related parties </v>
      </c>
      <c r="J83" t="str">
        <f>_xlfn.XLOOKUP($A83,Map!$A:$A,Map!F:F)</f>
        <v>Aims Holding  Current Acc</v>
      </c>
    </row>
    <row r="84" spans="1:10" hidden="1" x14ac:dyDescent="0.25">
      <c r="A84" s="90">
        <v>310001</v>
      </c>
      <c r="B84" s="90" t="s">
        <v>106</v>
      </c>
      <c r="C84" s="91">
        <v>-40510968.068999998</v>
      </c>
      <c r="D84" s="91">
        <v>20412818.498</v>
      </c>
      <c r="E84" s="91">
        <v>5635.259</v>
      </c>
      <c r="F84" s="91">
        <v>-20103784.829999998</v>
      </c>
      <c r="G84" t="str">
        <f>_xlfn.XLOOKUP($A84,Map!$A:$A,Map!C:C)</f>
        <v>BS</v>
      </c>
      <c r="H84" t="str">
        <f>_xlfn.XLOOKUP($A84,Map!$A:$A,Map!D:D)</f>
        <v>Stockholder's equity</v>
      </c>
      <c r="I84" t="str">
        <f>_xlfn.XLOOKUP($A84,Map!$A:$A,Map!E:E)</f>
        <v>Retained earnings</v>
      </c>
      <c r="J84" t="str">
        <f>_xlfn.XLOOKUP($A84,Map!$A:$A,Map!F:F)</f>
        <v>Retained earnings</v>
      </c>
    </row>
    <row r="85" spans="1:10" hidden="1" x14ac:dyDescent="0.25">
      <c r="A85" s="90">
        <v>330001</v>
      </c>
      <c r="B85" s="90" t="s">
        <v>107</v>
      </c>
      <c r="C85" s="91">
        <v>-1766750</v>
      </c>
      <c r="D85" s="91">
        <v>0</v>
      </c>
      <c r="E85" s="91">
        <v>0</v>
      </c>
      <c r="F85" s="91">
        <v>-1766750</v>
      </c>
      <c r="G85" t="str">
        <f>_xlfn.XLOOKUP($A85,Map!$A:$A,Map!C:C)</f>
        <v>BS</v>
      </c>
      <c r="H85" t="str">
        <f>_xlfn.XLOOKUP($A85,Map!$A:$A,Map!D:D)</f>
        <v>Stockholder's equity</v>
      </c>
      <c r="I85" t="str">
        <f>_xlfn.XLOOKUP($A85,Map!$A:$A,Map!E:E)</f>
        <v>Retained earnings</v>
      </c>
      <c r="J85" t="str">
        <f>_xlfn.XLOOKUP($A85,Map!$A:$A,Map!F:F)</f>
        <v>Retained earnings</v>
      </c>
    </row>
    <row r="86" spans="1:10" hidden="1" x14ac:dyDescent="0.25">
      <c r="A86" s="90">
        <v>330002</v>
      </c>
      <c r="B86" s="90" t="s">
        <v>108</v>
      </c>
      <c r="C86" s="91">
        <v>-33568250</v>
      </c>
      <c r="D86" s="91">
        <v>85866130.439999998</v>
      </c>
      <c r="E86" s="91">
        <v>85866130.439999998</v>
      </c>
      <c r="F86" s="91">
        <v>-33568250</v>
      </c>
      <c r="G86" t="str">
        <f>_xlfn.XLOOKUP($A86,Map!$A:$A,Map!C:C)</f>
        <v>BS</v>
      </c>
      <c r="H86" t="str">
        <f>_xlfn.XLOOKUP($A86,Map!$A:$A,Map!D:D)</f>
        <v>Stockholder's equity</v>
      </c>
      <c r="I86" t="str">
        <f>_xlfn.XLOOKUP($A86,Map!$A:$A,Map!E:E)</f>
        <v>Share capital</v>
      </c>
      <c r="J86" t="str">
        <f>_xlfn.XLOOKUP($A86,Map!$A:$A,Map!F:F)</f>
        <v>Share capital</v>
      </c>
    </row>
    <row r="87" spans="1:10" hidden="1" x14ac:dyDescent="0.25">
      <c r="A87" s="90">
        <v>330003</v>
      </c>
      <c r="B87" s="90" t="s">
        <v>109</v>
      </c>
      <c r="C87" s="91">
        <v>0</v>
      </c>
      <c r="D87" s="91">
        <v>0</v>
      </c>
      <c r="E87" s="91">
        <v>85866130.439999998</v>
      </c>
      <c r="F87" s="91">
        <v>-85866130.439999998</v>
      </c>
      <c r="G87" t="str">
        <f>_xlfn.XLOOKUP($A87,Map!$A:$A,Map!C:C)</f>
        <v>BS</v>
      </c>
      <c r="H87" t="str">
        <f>_xlfn.XLOOKUP($A87,Map!$A:$A,Map!D:D)</f>
        <v>Stockholder's equity</v>
      </c>
      <c r="I87" t="str">
        <f>_xlfn.XLOOKUP($A87,Map!$A:$A,Map!E:E)</f>
        <v>Additional contribution from shareholders</v>
      </c>
      <c r="J87" t="str">
        <f>_xlfn.XLOOKUP($A87,Map!$A:$A,Map!F:F)</f>
        <v>Additional contribution from shareholders</v>
      </c>
    </row>
    <row r="88" spans="1:10" hidden="1" x14ac:dyDescent="0.25">
      <c r="A88" s="90">
        <v>410001</v>
      </c>
      <c r="B88" s="90" t="s">
        <v>110</v>
      </c>
      <c r="C88" s="91">
        <v>0</v>
      </c>
      <c r="D88" s="91">
        <v>3771154.5890000002</v>
      </c>
      <c r="E88" s="91">
        <v>127546200.34900001</v>
      </c>
      <c r="F88" s="91">
        <v>-123775045.76000001</v>
      </c>
      <c r="G88" t="str">
        <f>_xlfn.XLOOKUP($A88,Map!$A:$A,Map!C:C)</f>
        <v>IS</v>
      </c>
      <c r="H88" t="str">
        <f>_xlfn.XLOOKUP($A88,Map!$A:$A,Map!D:D)</f>
        <v>Sales</v>
      </c>
      <c r="I88" t="str">
        <f>_xlfn.XLOOKUP($A88,Map!$A:$A,Map!E:E)</f>
        <v>Sales</v>
      </c>
      <c r="J88" t="str">
        <f>_xlfn.XLOOKUP($A88,Map!$A:$A,Map!F:F)</f>
        <v>Trading revenue</v>
      </c>
    </row>
    <row r="89" spans="1:10" hidden="1" x14ac:dyDescent="0.25">
      <c r="A89" s="90">
        <v>410002</v>
      </c>
      <c r="B89" s="90" t="s">
        <v>111</v>
      </c>
      <c r="C89" s="91">
        <v>0</v>
      </c>
      <c r="D89" s="91">
        <v>339466.36499999999</v>
      </c>
      <c r="E89" s="91">
        <v>0</v>
      </c>
      <c r="F89" s="91">
        <v>339466.36499999999</v>
      </c>
      <c r="G89" t="str">
        <f>_xlfn.XLOOKUP($A89,Map!$A:$A,Map!C:C)</f>
        <v>IS</v>
      </c>
      <c r="H89" t="str">
        <f>_xlfn.XLOOKUP($A89,Map!$A:$A,Map!D:D)</f>
        <v>Sales</v>
      </c>
      <c r="I89" t="str">
        <f>_xlfn.XLOOKUP($A89,Map!$A:$A,Map!E:E)</f>
        <v>Sales</v>
      </c>
      <c r="J89" t="str">
        <f>_xlfn.XLOOKUP($A89,Map!$A:$A,Map!F:F)</f>
        <v>Trading revenue</v>
      </c>
    </row>
    <row r="90" spans="1:10" hidden="1" x14ac:dyDescent="0.25">
      <c r="A90" s="90">
        <v>410003</v>
      </c>
      <c r="B90" s="90" t="s">
        <v>112</v>
      </c>
      <c r="C90" s="91">
        <v>0</v>
      </c>
      <c r="D90" s="91">
        <v>250316.89499999999</v>
      </c>
      <c r="E90" s="91">
        <v>204821.35</v>
      </c>
      <c r="F90" s="91">
        <v>45495.544999999998</v>
      </c>
      <c r="G90" t="str">
        <f>_xlfn.XLOOKUP($A90,Map!$A:$A,Map!C:C)</f>
        <v>IS</v>
      </c>
      <c r="H90" t="str">
        <f>_xlfn.XLOOKUP($A90,Map!$A:$A,Map!D:D)</f>
        <v>Sales</v>
      </c>
      <c r="I90" t="str">
        <f>_xlfn.XLOOKUP($A90,Map!$A:$A,Map!E:E)</f>
        <v>Sales</v>
      </c>
      <c r="J90" t="str">
        <f>_xlfn.XLOOKUP($A90,Map!$A:$A,Map!F:F)</f>
        <v>Trading revenue</v>
      </c>
    </row>
    <row r="91" spans="1:10" hidden="1" x14ac:dyDescent="0.25">
      <c r="A91" s="90">
        <v>410004</v>
      </c>
      <c r="B91" s="90" t="s">
        <v>113</v>
      </c>
      <c r="C91" s="91">
        <v>0</v>
      </c>
      <c r="D91" s="91">
        <v>15329.73</v>
      </c>
      <c r="E91" s="91">
        <v>0</v>
      </c>
      <c r="F91" s="91">
        <v>15329.73</v>
      </c>
      <c r="G91" t="str">
        <f>_xlfn.XLOOKUP($A91,Map!$A:$A,Map!C:C)</f>
        <v>IS</v>
      </c>
      <c r="H91" t="str">
        <f>_xlfn.XLOOKUP($A91,Map!$A:$A,Map!D:D)</f>
        <v>Sales</v>
      </c>
      <c r="I91" t="str">
        <f>_xlfn.XLOOKUP($A91,Map!$A:$A,Map!E:E)</f>
        <v>Sales</v>
      </c>
      <c r="J91" t="str">
        <f>_xlfn.XLOOKUP($A91,Map!$A:$A,Map!F:F)</f>
        <v>Scrap sales</v>
      </c>
    </row>
    <row r="92" spans="1:10" hidden="1" x14ac:dyDescent="0.25">
      <c r="A92" s="90">
        <v>420003</v>
      </c>
      <c r="B92" s="90" t="s">
        <v>115</v>
      </c>
      <c r="C92" s="91">
        <v>0</v>
      </c>
      <c r="D92" s="91">
        <v>77976.546000000002</v>
      </c>
      <c r="E92" s="91">
        <v>77976.544999999998</v>
      </c>
      <c r="F92" s="91">
        <v>1E-3</v>
      </c>
      <c r="G92" t="str">
        <f>_xlfn.XLOOKUP($A92,Map!$A:$A,Map!C:C)</f>
        <v>IS</v>
      </c>
      <c r="H92" t="str">
        <f>_xlfn.XLOOKUP($A92,Map!$A:$A,Map!D:D)</f>
        <v>Sales</v>
      </c>
      <c r="I92" t="str">
        <f>_xlfn.XLOOKUP($A92,Map!$A:$A,Map!E:E)</f>
        <v>Sales</v>
      </c>
      <c r="J92" t="str">
        <f>_xlfn.XLOOKUP($A92,Map!$A:$A,Map!F:F)</f>
        <v>Scrap sales</v>
      </c>
    </row>
    <row r="93" spans="1:10" hidden="1" x14ac:dyDescent="0.25">
      <c r="A93" s="90">
        <v>510001</v>
      </c>
      <c r="B93" s="90" t="s">
        <v>116</v>
      </c>
      <c r="C93" s="91">
        <v>0</v>
      </c>
      <c r="D93" s="91">
        <v>88718826.273000002</v>
      </c>
      <c r="E93" s="91">
        <v>5877172.3360000001</v>
      </c>
      <c r="F93" s="91">
        <v>82841653.937000006</v>
      </c>
      <c r="G93" t="str">
        <f>_xlfn.XLOOKUP($A93,Map!$A:$A,Map!C:C)</f>
        <v>IS</v>
      </c>
      <c r="H93" t="str">
        <f>_xlfn.XLOOKUP($A93,Map!$A:$A,Map!D:D)</f>
        <v>Cost of sales</v>
      </c>
      <c r="I93" t="str">
        <f>_xlfn.XLOOKUP($A93,Map!$A:$A,Map!E:E)</f>
        <v>Raw materials</v>
      </c>
      <c r="J93" t="str">
        <f>_xlfn.XLOOKUP($A93,Map!$A:$A,Map!F:F)</f>
        <v>Raw materials</v>
      </c>
    </row>
    <row r="94" spans="1:10" hidden="1" x14ac:dyDescent="0.25">
      <c r="A94" s="90">
        <v>510002</v>
      </c>
      <c r="B94" s="90" t="s">
        <v>117</v>
      </c>
      <c r="C94" s="91">
        <v>0</v>
      </c>
      <c r="D94" s="91">
        <v>3799668.2310000001</v>
      </c>
      <c r="E94" s="91">
        <v>1558042.4709999999</v>
      </c>
      <c r="F94" s="91">
        <v>2241625.7599999998</v>
      </c>
      <c r="G94" t="str">
        <f>_xlfn.XLOOKUP($A94,Map!$A:$A,Map!C:C)</f>
        <v>IS</v>
      </c>
      <c r="H94" t="str">
        <f>_xlfn.XLOOKUP($A94,Map!$A:$A,Map!D:D)</f>
        <v>Cost of sales</v>
      </c>
      <c r="I94" t="str">
        <f>_xlfn.XLOOKUP($A94,Map!$A:$A,Map!E:E)</f>
        <v>Direct Labor</v>
      </c>
      <c r="J94" t="str">
        <f>_xlfn.XLOOKUP($A94,Map!$A:$A,Map!F:F)</f>
        <v>Direct Labor</v>
      </c>
    </row>
    <row r="95" spans="1:10" hidden="1" x14ac:dyDescent="0.25">
      <c r="A95" s="90">
        <v>510003</v>
      </c>
      <c r="B95" s="90" t="s">
        <v>118</v>
      </c>
      <c r="C95" s="91">
        <v>0</v>
      </c>
      <c r="D95" s="91">
        <v>3695878.5649999999</v>
      </c>
      <c r="E95" s="91">
        <v>38581.324000000001</v>
      </c>
      <c r="F95" s="91">
        <v>3657297.2409999999</v>
      </c>
      <c r="G95" t="str">
        <f>_xlfn.XLOOKUP($A95,Map!$A:$A,Map!C:C)</f>
        <v>IS</v>
      </c>
      <c r="H95" t="str">
        <f>_xlfn.XLOOKUP($A95,Map!$A:$A,Map!D:D)</f>
        <v>Cost of sales</v>
      </c>
      <c r="I95" t="str">
        <f>_xlfn.XLOOKUP($A95,Map!$A:$A,Map!E:E)</f>
        <v>Raw materials</v>
      </c>
      <c r="J95" t="str">
        <f>_xlfn.XLOOKUP($A95,Map!$A:$A,Map!F:F)</f>
        <v>Raw materials</v>
      </c>
    </row>
    <row r="96" spans="1:10" hidden="1" x14ac:dyDescent="0.25">
      <c r="A96" s="90">
        <v>510004</v>
      </c>
      <c r="B96" s="90" t="s">
        <v>119</v>
      </c>
      <c r="C96" s="91">
        <v>0</v>
      </c>
      <c r="D96" s="91">
        <v>18600552.030000001</v>
      </c>
      <c r="E96" s="91">
        <v>5148577.1430000002</v>
      </c>
      <c r="F96" s="91">
        <v>13451974.887</v>
      </c>
      <c r="G96" t="str">
        <f>_xlfn.XLOOKUP($A96,Map!$A:$A,Map!C:C)</f>
        <v>IS</v>
      </c>
      <c r="H96" t="str">
        <f>_xlfn.XLOOKUP($A96,Map!$A:$A,Map!D:D)</f>
        <v>Cost of sales</v>
      </c>
      <c r="I96" t="str">
        <f>_xlfn.XLOOKUP($A96,Map!$A:$A,Map!E:E)</f>
        <v>Raw materials</v>
      </c>
      <c r="J96" t="str">
        <f>_xlfn.XLOOKUP($A96,Map!$A:$A,Map!F:F)</f>
        <v>Other expenses</v>
      </c>
    </row>
    <row r="97" spans="1:10" hidden="1" x14ac:dyDescent="0.25">
      <c r="A97" s="90">
        <v>510005</v>
      </c>
      <c r="B97" s="90" t="s">
        <v>120</v>
      </c>
      <c r="C97" s="91">
        <v>0</v>
      </c>
      <c r="D97" s="91">
        <v>12507.647999999999</v>
      </c>
      <c r="E97" s="91">
        <v>12507.647999999999</v>
      </c>
      <c r="F97" s="91">
        <v>0</v>
      </c>
      <c r="G97" t="str">
        <f>_xlfn.XLOOKUP($A97,Map!$A:$A,Map!C:C)</f>
        <v>IS</v>
      </c>
      <c r="H97" t="str">
        <f>_xlfn.XLOOKUP($A97,Map!$A:$A,Map!D:D)</f>
        <v>Cost of sales</v>
      </c>
      <c r="I97" t="str">
        <f>_xlfn.XLOOKUP($A97,Map!$A:$A,Map!E:E)</f>
        <v>Raw materials</v>
      </c>
      <c r="J97" t="str">
        <f>_xlfn.XLOOKUP($A97,Map!$A:$A,Map!F:F)</f>
        <v>Other expenses</v>
      </c>
    </row>
    <row r="98" spans="1:10" hidden="1" x14ac:dyDescent="0.25">
      <c r="A98" s="90">
        <v>520001</v>
      </c>
      <c r="B98" s="90" t="s">
        <v>121</v>
      </c>
      <c r="C98" s="91">
        <v>0</v>
      </c>
      <c r="D98" s="91">
        <v>2572113.5</v>
      </c>
      <c r="E98" s="91">
        <v>2572113.5</v>
      </c>
      <c r="F98" s="91">
        <v>0</v>
      </c>
      <c r="G98" t="str">
        <f>_xlfn.XLOOKUP($A98,Map!$A:$A,Map!C:C)</f>
        <v>IS</v>
      </c>
      <c r="H98" t="str">
        <f>_xlfn.XLOOKUP($A98,Map!$A:$A,Map!D:D)</f>
        <v>Cost of sales</v>
      </c>
      <c r="I98" t="str">
        <f>_xlfn.XLOOKUP($A98,Map!$A:$A,Map!E:E)</f>
        <v>Direct Labor</v>
      </c>
      <c r="J98" t="str">
        <f>_xlfn.XLOOKUP($A98,Map!$A:$A,Map!F:F)</f>
        <v>Salaries and wages</v>
      </c>
    </row>
    <row r="99" spans="1:10" hidden="1" x14ac:dyDescent="0.25">
      <c r="A99" s="90">
        <v>520002</v>
      </c>
      <c r="B99" s="90" t="s">
        <v>122</v>
      </c>
      <c r="C99" s="91">
        <v>0</v>
      </c>
      <c r="D99" s="91">
        <v>42604</v>
      </c>
      <c r="E99" s="91">
        <v>42604</v>
      </c>
      <c r="F99" s="91">
        <v>0</v>
      </c>
      <c r="G99" t="str">
        <f>_xlfn.XLOOKUP($A99,Map!$A:$A,Map!C:C)</f>
        <v>IS</v>
      </c>
      <c r="H99" t="str">
        <f>_xlfn.XLOOKUP($A99,Map!$A:$A,Map!D:D)</f>
        <v>Cost of sales</v>
      </c>
      <c r="I99" t="str">
        <f>_xlfn.XLOOKUP($A99,Map!$A:$A,Map!E:E)</f>
        <v>Direct Labor</v>
      </c>
      <c r="J99" t="str">
        <f>_xlfn.XLOOKUP($A99,Map!$A:$A,Map!F:F)</f>
        <v>Overtime pay</v>
      </c>
    </row>
    <row r="100" spans="1:10" hidden="1" x14ac:dyDescent="0.25">
      <c r="A100" s="90">
        <v>520003</v>
      </c>
      <c r="B100" s="90" t="s">
        <v>123</v>
      </c>
      <c r="C100" s="91">
        <v>0</v>
      </c>
      <c r="D100" s="91">
        <v>32627</v>
      </c>
      <c r="E100" s="91">
        <v>32627</v>
      </c>
      <c r="F100" s="91">
        <v>0</v>
      </c>
      <c r="G100" t="str">
        <f>_xlfn.XLOOKUP($A100,Map!$A:$A,Map!C:C)</f>
        <v>IS</v>
      </c>
      <c r="H100" t="str">
        <f>_xlfn.XLOOKUP($A100,Map!$A:$A,Map!D:D)</f>
        <v>Cost of sales</v>
      </c>
      <c r="I100" t="str">
        <f>_xlfn.XLOOKUP($A100,Map!$A:$A,Map!E:E)</f>
        <v>Direct Labor</v>
      </c>
      <c r="J100" t="str">
        <f>_xlfn.XLOOKUP($A100,Map!$A:$A,Map!F:F)</f>
        <v>Transportation allowance</v>
      </c>
    </row>
    <row r="101" spans="1:10" hidden="1" x14ac:dyDescent="0.25">
      <c r="A101" s="90">
        <v>520004</v>
      </c>
      <c r="B101" s="90" t="s">
        <v>124</v>
      </c>
      <c r="C101" s="91">
        <v>0</v>
      </c>
      <c r="D101" s="91">
        <v>198002.5</v>
      </c>
      <c r="E101" s="91">
        <v>198002.5</v>
      </c>
      <c r="F101" s="91">
        <v>0</v>
      </c>
      <c r="G101" t="str">
        <f>_xlfn.XLOOKUP($A101,Map!$A:$A,Map!C:C)</f>
        <v>IS</v>
      </c>
      <c r="H101" t="str">
        <f>_xlfn.XLOOKUP($A101,Map!$A:$A,Map!D:D)</f>
        <v>Cost of sales</v>
      </c>
      <c r="I101" t="str">
        <f>_xlfn.XLOOKUP($A101,Map!$A:$A,Map!E:E)</f>
        <v>Direct Labor</v>
      </c>
      <c r="J101" t="str">
        <f>_xlfn.XLOOKUP($A101,Map!$A:$A,Map!F:F)</f>
        <v>Food and housing</v>
      </c>
    </row>
    <row r="102" spans="1:10" hidden="1" x14ac:dyDescent="0.25">
      <c r="A102" s="90">
        <v>520005</v>
      </c>
      <c r="B102" s="90" t="s">
        <v>125</v>
      </c>
      <c r="C102" s="91">
        <v>0</v>
      </c>
      <c r="D102" s="91">
        <v>0</v>
      </c>
      <c r="E102" s="91">
        <v>0</v>
      </c>
      <c r="F102" s="91">
        <v>0</v>
      </c>
      <c r="G102" t="str">
        <f>_xlfn.XLOOKUP($A102,Map!$A:$A,Map!C:C)</f>
        <v>IS</v>
      </c>
      <c r="H102" t="str">
        <f>_xlfn.XLOOKUP($A102,Map!$A:$A,Map!D:D)</f>
        <v>Cost of sales</v>
      </c>
      <c r="I102" t="str">
        <f>_xlfn.XLOOKUP($A102,Map!$A:$A,Map!E:E)</f>
        <v>Direct Labor</v>
      </c>
      <c r="J102" t="str">
        <f>_xlfn.XLOOKUP($A102,Map!$A:$A,Map!F:F)</f>
        <v>Leave pay</v>
      </c>
    </row>
    <row r="103" spans="1:10" hidden="1" x14ac:dyDescent="0.25">
      <c r="A103" s="90">
        <v>520006</v>
      </c>
      <c r="B103" s="90" t="s">
        <v>126</v>
      </c>
      <c r="C103" s="91">
        <v>0</v>
      </c>
      <c r="D103" s="91">
        <v>205504.61199999999</v>
      </c>
      <c r="E103" s="91">
        <v>205504.61199999999</v>
      </c>
      <c r="F103" s="91">
        <v>0</v>
      </c>
      <c r="G103" t="str">
        <f>_xlfn.XLOOKUP($A103,Map!$A:$A,Map!C:C)</f>
        <v>IS</v>
      </c>
      <c r="H103" t="str">
        <f>_xlfn.XLOOKUP($A103,Map!$A:$A,Map!D:D)</f>
        <v>Cost of sales</v>
      </c>
      <c r="I103" t="str">
        <f>_xlfn.XLOOKUP($A103,Map!$A:$A,Map!E:E)</f>
        <v>Direct Labor</v>
      </c>
      <c r="J103" t="str">
        <f>_xlfn.XLOOKUP($A103,Map!$A:$A,Map!F:F)</f>
        <v>Medical insurance</v>
      </c>
    </row>
    <row r="104" spans="1:10" hidden="1" x14ac:dyDescent="0.25">
      <c r="A104" s="90">
        <v>520010</v>
      </c>
      <c r="B104" s="90" t="s">
        <v>127</v>
      </c>
      <c r="C104" s="91">
        <v>0</v>
      </c>
      <c r="D104" s="91">
        <v>0</v>
      </c>
      <c r="E104" s="91">
        <v>0</v>
      </c>
      <c r="F104" s="91">
        <v>0</v>
      </c>
      <c r="G104" t="str">
        <f>_xlfn.XLOOKUP($A104,Map!$A:$A,Map!C:C)</f>
        <v>IS</v>
      </c>
      <c r="H104" t="str">
        <f>_xlfn.XLOOKUP($A104,Map!$A:$A,Map!D:D)</f>
        <v>Cost of sales</v>
      </c>
      <c r="I104" t="str">
        <f>_xlfn.XLOOKUP($A104,Map!$A:$A,Map!E:E)</f>
        <v>Direct Labor</v>
      </c>
      <c r="J104" t="str">
        <f>_xlfn.XLOOKUP($A104,Map!$A:$A,Map!F:F)</f>
        <v>Salaries and wages</v>
      </c>
    </row>
    <row r="105" spans="1:10" hidden="1" x14ac:dyDescent="0.25">
      <c r="A105" s="90">
        <v>520011</v>
      </c>
      <c r="B105" s="90" t="s">
        <v>122</v>
      </c>
      <c r="C105" s="91">
        <v>0</v>
      </c>
      <c r="D105" s="91">
        <v>264612</v>
      </c>
      <c r="E105" s="91">
        <v>264612</v>
      </c>
      <c r="F105" s="91">
        <v>0</v>
      </c>
      <c r="G105" t="str">
        <f>_xlfn.XLOOKUP($A105,Map!$A:$A,Map!C:C)</f>
        <v>IS</v>
      </c>
      <c r="H105" t="str">
        <f>_xlfn.XLOOKUP($A105,Map!$A:$A,Map!D:D)</f>
        <v>Cost of sales</v>
      </c>
      <c r="I105" t="str">
        <f>_xlfn.XLOOKUP($A105,Map!$A:$A,Map!E:E)</f>
        <v>Direct Labor</v>
      </c>
      <c r="J105" t="str">
        <f>_xlfn.XLOOKUP($A105,Map!$A:$A,Map!F:F)</f>
        <v>Overtime pay</v>
      </c>
    </row>
    <row r="106" spans="1:10" hidden="1" x14ac:dyDescent="0.25">
      <c r="A106" s="90">
        <v>520013</v>
      </c>
      <c r="B106" s="90" t="s">
        <v>124</v>
      </c>
      <c r="C106" s="91">
        <v>0</v>
      </c>
      <c r="D106" s="91">
        <v>0</v>
      </c>
      <c r="E106" s="91">
        <v>0</v>
      </c>
      <c r="F106" s="91">
        <v>0</v>
      </c>
      <c r="G106" t="str">
        <f>_xlfn.XLOOKUP($A106,Map!$A:$A,Map!C:C)</f>
        <v>IS</v>
      </c>
      <c r="H106" t="str">
        <f>_xlfn.XLOOKUP($A106,Map!$A:$A,Map!D:D)</f>
        <v>Cost of sales</v>
      </c>
      <c r="I106" t="str">
        <f>_xlfn.XLOOKUP($A106,Map!$A:$A,Map!E:E)</f>
        <v>Direct Labor</v>
      </c>
      <c r="J106" t="str">
        <f>_xlfn.XLOOKUP($A106,Map!$A:$A,Map!F:F)</f>
        <v>Food and housing</v>
      </c>
    </row>
    <row r="107" spans="1:10" hidden="1" x14ac:dyDescent="0.25">
      <c r="A107" s="90">
        <v>520014</v>
      </c>
      <c r="B107" s="90" t="s">
        <v>125</v>
      </c>
      <c r="C107" s="91">
        <v>0</v>
      </c>
      <c r="D107" s="91">
        <v>0</v>
      </c>
      <c r="E107" s="91">
        <v>0</v>
      </c>
      <c r="F107" s="91">
        <v>0</v>
      </c>
      <c r="G107" t="str">
        <f>_xlfn.XLOOKUP($A107,Map!$A:$A,Map!C:C)</f>
        <v>IS</v>
      </c>
      <c r="H107" t="str">
        <f>_xlfn.XLOOKUP($A107,Map!$A:$A,Map!D:D)</f>
        <v>Cost of sales</v>
      </c>
      <c r="I107" t="str">
        <f>_xlfn.XLOOKUP($A107,Map!$A:$A,Map!E:E)</f>
        <v>Direct Labor</v>
      </c>
      <c r="J107" t="str">
        <f>_xlfn.XLOOKUP($A107,Map!$A:$A,Map!F:F)</f>
        <v>Leave pay</v>
      </c>
    </row>
    <row r="108" spans="1:10" hidden="1" x14ac:dyDescent="0.25">
      <c r="A108" s="90">
        <v>520021</v>
      </c>
      <c r="B108" s="90" t="s">
        <v>129</v>
      </c>
      <c r="C108" s="91">
        <v>0</v>
      </c>
      <c r="D108" s="91">
        <v>33413</v>
      </c>
      <c r="E108" s="91">
        <v>33413</v>
      </c>
      <c r="F108" s="91">
        <v>0</v>
      </c>
      <c r="G108" t="str">
        <f>_xlfn.XLOOKUP($A108,Map!$A:$A,Map!C:C)</f>
        <v>IS</v>
      </c>
      <c r="H108" t="str">
        <f>_xlfn.XLOOKUP($A108,Map!$A:$A,Map!D:D)</f>
        <v>Cost of sales</v>
      </c>
      <c r="I108" t="str">
        <f>_xlfn.XLOOKUP($A108,Map!$A:$A,Map!E:E)</f>
        <v>Direct Labor</v>
      </c>
      <c r="J108" t="str">
        <f>_xlfn.XLOOKUP($A108,Map!$A:$A,Map!F:F)</f>
        <v>Medical insurance</v>
      </c>
    </row>
    <row r="109" spans="1:10" hidden="1" x14ac:dyDescent="0.25">
      <c r="A109" s="90">
        <v>520022</v>
      </c>
      <c r="B109" s="90" t="s">
        <v>130</v>
      </c>
      <c r="C109" s="91">
        <v>0</v>
      </c>
      <c r="D109" s="91">
        <v>0</v>
      </c>
      <c r="E109" s="91">
        <v>0</v>
      </c>
      <c r="F109" s="91">
        <v>0</v>
      </c>
      <c r="G109" t="str">
        <f>_xlfn.XLOOKUP($A109,Map!$A:$A,Map!C:C)</f>
        <v>IS</v>
      </c>
      <c r="H109" t="str">
        <f>_xlfn.XLOOKUP($A109,Map!$A:$A,Map!D:D)</f>
        <v>Cost of sales</v>
      </c>
      <c r="I109" t="str">
        <f>_xlfn.XLOOKUP($A109,Map!$A:$A,Map!E:E)</f>
        <v>Direct Labor</v>
      </c>
      <c r="J109" t="str">
        <f>_xlfn.XLOOKUP($A109,Map!$A:$A,Map!F:F)</f>
        <v>Iqama renewal</v>
      </c>
    </row>
    <row r="110" spans="1:10" hidden="1" x14ac:dyDescent="0.25">
      <c r="A110" s="90">
        <v>520023</v>
      </c>
      <c r="B110" s="90" t="s">
        <v>255</v>
      </c>
      <c r="C110" s="91">
        <v>0</v>
      </c>
      <c r="D110" s="91">
        <v>0</v>
      </c>
      <c r="E110" s="91">
        <v>0</v>
      </c>
      <c r="F110" s="91">
        <v>0</v>
      </c>
      <c r="G110" t="str">
        <f>_xlfn.XLOOKUP($A110,Map!$A:$A,Map!C:C)</f>
        <v>IS</v>
      </c>
      <c r="H110" t="str">
        <f>_xlfn.XLOOKUP($A110,Map!$A:$A,Map!D:D)</f>
        <v>Cost of sales</v>
      </c>
      <c r="I110" t="str">
        <f>_xlfn.XLOOKUP($A110,Map!$A:$A,Map!E:E)</f>
        <v>Direct Labor</v>
      </c>
      <c r="J110" t="str">
        <f>_xlfn.XLOOKUP($A110,Map!$A:$A,Map!F:F)</f>
        <v>Medical insurance</v>
      </c>
    </row>
    <row r="111" spans="1:10" hidden="1" x14ac:dyDescent="0.25">
      <c r="A111" s="90">
        <v>520032</v>
      </c>
      <c r="B111" s="90" t="s">
        <v>131</v>
      </c>
      <c r="C111" s="91">
        <v>0</v>
      </c>
      <c r="D111" s="91">
        <v>0</v>
      </c>
      <c r="E111" s="91">
        <v>0</v>
      </c>
      <c r="F111" s="91">
        <v>0</v>
      </c>
      <c r="G111" t="str">
        <f>_xlfn.XLOOKUP($A111,Map!$A:$A,Map!C:C)</f>
        <v>IS</v>
      </c>
      <c r="H111" t="str">
        <f>_xlfn.XLOOKUP($A111,Map!$A:$A,Map!D:D)</f>
        <v>Cost of sales</v>
      </c>
      <c r="I111" t="str">
        <f>_xlfn.XLOOKUP($A111,Map!$A:$A,Map!E:E)</f>
        <v>Raw materials</v>
      </c>
      <c r="J111" t="str">
        <f>_xlfn.XLOOKUP($A111,Map!$A:$A,Map!F:F)</f>
        <v>Consumables</v>
      </c>
    </row>
    <row r="112" spans="1:10" hidden="1" x14ac:dyDescent="0.25">
      <c r="A112" s="90">
        <v>520036</v>
      </c>
      <c r="B112" s="90" t="s">
        <v>132</v>
      </c>
      <c r="C112" s="91">
        <v>0</v>
      </c>
      <c r="D112" s="91">
        <v>8.5000000000000006E-2</v>
      </c>
      <c r="E112" s="91">
        <v>8.5999999999999993E-2</v>
      </c>
      <c r="F112" s="91">
        <v>-1E-3</v>
      </c>
      <c r="G112" t="str">
        <f>_xlfn.XLOOKUP($A112,Map!$A:$A,Map!C:C)</f>
        <v>IS</v>
      </c>
      <c r="H112" t="str">
        <f>_xlfn.XLOOKUP($A112,Map!$A:$A,Map!D:D)</f>
        <v>Cost of sales</v>
      </c>
      <c r="I112" t="str">
        <f>_xlfn.XLOOKUP($A112,Map!$A:$A,Map!E:E)</f>
        <v>Raw materials</v>
      </c>
      <c r="J112" t="str">
        <f>_xlfn.XLOOKUP($A112,Map!$A:$A,Map!F:F)</f>
        <v>Raw materials</v>
      </c>
    </row>
    <row r="113" spans="1:10" hidden="1" x14ac:dyDescent="0.25">
      <c r="A113" s="90">
        <v>520037</v>
      </c>
      <c r="B113" s="90" t="s">
        <v>133</v>
      </c>
      <c r="C113" s="91">
        <v>0</v>
      </c>
      <c r="D113" s="91">
        <v>501060.25799999997</v>
      </c>
      <c r="E113" s="91">
        <v>501060.25799999997</v>
      </c>
      <c r="F113" s="91">
        <v>0</v>
      </c>
      <c r="G113" t="str">
        <f>_xlfn.XLOOKUP($A113,Map!$A:$A,Map!C:C)</f>
        <v>IS</v>
      </c>
      <c r="H113" t="str">
        <f>_xlfn.XLOOKUP($A113,Map!$A:$A,Map!D:D)</f>
        <v>Cost of sales</v>
      </c>
      <c r="I113" t="str">
        <f>_xlfn.XLOOKUP($A113,Map!$A:$A,Map!E:E)</f>
        <v>Raw materials</v>
      </c>
      <c r="J113" t="str">
        <f>_xlfn.XLOOKUP($A113,Map!$A:$A,Map!F:F)</f>
        <v>Raw materials</v>
      </c>
    </row>
    <row r="114" spans="1:10" hidden="1" x14ac:dyDescent="0.25">
      <c r="A114" s="90">
        <v>520040</v>
      </c>
      <c r="B114" s="90" t="s">
        <v>134</v>
      </c>
      <c r="C114" s="91">
        <v>0</v>
      </c>
      <c r="D114" s="91">
        <v>42933</v>
      </c>
      <c r="E114" s="91">
        <v>42933</v>
      </c>
      <c r="F114" s="91">
        <v>0</v>
      </c>
      <c r="G114" t="str">
        <f>_xlfn.XLOOKUP($A114,Map!$A:$A,Map!C:C)</f>
        <v>IS</v>
      </c>
      <c r="H114" t="str">
        <f>_xlfn.XLOOKUP($A114,Map!$A:$A,Map!D:D)</f>
        <v>Cost of sales</v>
      </c>
      <c r="I114" t="str">
        <f>_xlfn.XLOOKUP($A114,Map!$A:$A,Map!E:E)</f>
        <v>Raw materials</v>
      </c>
      <c r="J114" t="str">
        <f>_xlfn.XLOOKUP($A114,Map!$A:$A,Map!F:F)</f>
        <v>Other expenses</v>
      </c>
    </row>
    <row r="115" spans="1:10" hidden="1" x14ac:dyDescent="0.25">
      <c r="A115" s="90">
        <v>520041</v>
      </c>
      <c r="B115" s="90" t="s">
        <v>135</v>
      </c>
      <c r="C115" s="91">
        <v>0</v>
      </c>
      <c r="D115" s="91">
        <v>8732652.3900000006</v>
      </c>
      <c r="E115" s="91">
        <v>8732652.3900000006</v>
      </c>
      <c r="F115" s="91">
        <v>0</v>
      </c>
      <c r="G115" t="str">
        <f>_xlfn.XLOOKUP($A115,Map!$A:$A,Map!C:C)</f>
        <v>IS</v>
      </c>
      <c r="H115" t="str">
        <f>_xlfn.XLOOKUP($A115,Map!$A:$A,Map!D:D)</f>
        <v>Cost of sales</v>
      </c>
      <c r="I115" t="str">
        <f>_xlfn.XLOOKUP($A115,Map!$A:$A,Map!E:E)</f>
        <v>Raw materials</v>
      </c>
      <c r="J115" t="str">
        <f>_xlfn.XLOOKUP($A115,Map!$A:$A,Map!F:F)</f>
        <v>Other expenses</v>
      </c>
    </row>
    <row r="116" spans="1:10" hidden="1" x14ac:dyDescent="0.25">
      <c r="A116" s="90">
        <v>520042</v>
      </c>
      <c r="B116" s="90" t="s">
        <v>136</v>
      </c>
      <c r="C116" s="91">
        <v>0</v>
      </c>
      <c r="D116" s="91">
        <v>2212247.5750000002</v>
      </c>
      <c r="E116" s="91">
        <v>2212247.5750000002</v>
      </c>
      <c r="F116" s="91">
        <v>0</v>
      </c>
      <c r="G116" t="str">
        <f>_xlfn.XLOOKUP($A116,Map!$A:$A,Map!C:C)</f>
        <v>IS</v>
      </c>
      <c r="H116" t="str">
        <f>_xlfn.XLOOKUP($A116,Map!$A:$A,Map!D:D)</f>
        <v>Cost of sales</v>
      </c>
      <c r="I116" t="str">
        <f>_xlfn.XLOOKUP($A116,Map!$A:$A,Map!E:E)</f>
        <v>Raw materials</v>
      </c>
      <c r="J116" t="str">
        <f>_xlfn.XLOOKUP($A116,Map!$A:$A,Map!F:F)</f>
        <v>Inventory Adjustment</v>
      </c>
    </row>
    <row r="117" spans="1:10" hidden="1" x14ac:dyDescent="0.25">
      <c r="A117" s="90">
        <v>600001</v>
      </c>
      <c r="B117" s="90" t="s">
        <v>137</v>
      </c>
      <c r="C117" s="91">
        <v>0</v>
      </c>
      <c r="D117" s="91">
        <v>1541150.807</v>
      </c>
      <c r="E117" s="91">
        <v>1541150.807</v>
      </c>
      <c r="F117" s="91">
        <v>0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Overhead - Labor Cost</v>
      </c>
      <c r="J117" t="str">
        <f>_xlfn.XLOOKUP($A117,Map!$A:$A,Map!F:F)</f>
        <v>Salaries and wages</v>
      </c>
    </row>
    <row r="118" spans="1:10" hidden="1" x14ac:dyDescent="0.25">
      <c r="A118" s="90">
        <v>600002</v>
      </c>
      <c r="B118" s="90" t="s">
        <v>138</v>
      </c>
      <c r="C118" s="91">
        <v>0</v>
      </c>
      <c r="D118" s="91">
        <v>160025</v>
      </c>
      <c r="E118" s="91">
        <v>160025</v>
      </c>
      <c r="F118" s="91">
        <v>0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Overhead - Labor Cost</v>
      </c>
      <c r="J118" t="str">
        <f>_xlfn.XLOOKUP($A118,Map!$A:$A,Map!F:F)</f>
        <v>Overtime pay</v>
      </c>
    </row>
    <row r="119" spans="1:10" hidden="1" x14ac:dyDescent="0.25">
      <c r="A119" s="90">
        <v>600003</v>
      </c>
      <c r="B119" s="90" t="s">
        <v>139</v>
      </c>
      <c r="C119" s="91">
        <v>0</v>
      </c>
      <c r="D119" s="91">
        <v>40196</v>
      </c>
      <c r="E119" s="91">
        <v>40196</v>
      </c>
      <c r="F119" s="91">
        <v>0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Overhead - Labor Cost</v>
      </c>
      <c r="J119" t="str">
        <f>_xlfn.XLOOKUP($A119,Map!$A:$A,Map!F:F)</f>
        <v xml:space="preserve">Food &amp; Housing </v>
      </c>
    </row>
    <row r="120" spans="1:10" hidden="1" x14ac:dyDescent="0.25">
      <c r="A120" s="90">
        <v>600004</v>
      </c>
      <c r="B120" s="90" t="s">
        <v>140</v>
      </c>
      <c r="C120" s="91">
        <v>0</v>
      </c>
      <c r="D120" s="91">
        <v>152237.85</v>
      </c>
      <c r="E120" s="91">
        <v>152237.85</v>
      </c>
      <c r="F120" s="91">
        <v>0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Overhead - Labor Cost</v>
      </c>
      <c r="J120" t="str">
        <f>_xlfn.XLOOKUP($A120,Map!$A:$A,Map!F:F)</f>
        <v>Medical insurance</v>
      </c>
    </row>
    <row r="121" spans="1:10" hidden="1" x14ac:dyDescent="0.25">
      <c r="A121" s="90">
        <v>600005</v>
      </c>
      <c r="B121" s="90" t="s">
        <v>141</v>
      </c>
      <c r="C121" s="91">
        <v>0</v>
      </c>
      <c r="D121" s="91">
        <v>582204</v>
      </c>
      <c r="E121" s="91">
        <v>582204</v>
      </c>
      <c r="F121" s="91">
        <v>0</v>
      </c>
      <c r="G121" t="str">
        <f>_xlfn.XLOOKUP($A121,Map!$A:$A,Map!C:C)</f>
        <v>IS</v>
      </c>
      <c r="H121" t="str">
        <f>_xlfn.XLOOKUP($A121,Map!$A:$A,Map!D:D)</f>
        <v>General and Admin</v>
      </c>
      <c r="I121" t="str">
        <f>_xlfn.XLOOKUP($A121,Map!$A:$A,Map!E:E)</f>
        <v>Govt license and fees (including modon)</v>
      </c>
      <c r="J121" t="str">
        <f>_xlfn.XLOOKUP($A121,Map!$A:$A,Map!F:F)</f>
        <v>Government fees</v>
      </c>
    </row>
    <row r="122" spans="1:10" hidden="1" x14ac:dyDescent="0.25">
      <c r="A122" s="90">
        <v>600006</v>
      </c>
      <c r="B122" s="90" t="s">
        <v>142</v>
      </c>
      <c r="C122" s="91">
        <v>0</v>
      </c>
      <c r="D122" s="91">
        <v>357249.83</v>
      </c>
      <c r="E122" s="91">
        <v>357249.83</v>
      </c>
      <c r="F122" s="91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Overhead - Labor Cost</v>
      </c>
      <c r="J122" t="str">
        <f>_xlfn.XLOOKUP($A122,Map!$A:$A,Map!F:F)</f>
        <v xml:space="preserve">Food &amp; Housing </v>
      </c>
    </row>
    <row r="123" spans="1:10" hidden="1" x14ac:dyDescent="0.25">
      <c r="A123" s="90">
        <v>600007</v>
      </c>
      <c r="B123" s="90" t="s">
        <v>143</v>
      </c>
      <c r="C123" s="91">
        <v>0</v>
      </c>
      <c r="D123" s="91">
        <v>6402</v>
      </c>
      <c r="E123" s="91">
        <v>6402</v>
      </c>
      <c r="F123" s="91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Overhead - Labor Cost</v>
      </c>
      <c r="J123" t="str">
        <f>_xlfn.XLOOKUP($A123,Map!$A:$A,Map!F:F)</f>
        <v>Transportation allowance</v>
      </c>
    </row>
    <row r="124" spans="1:10" hidden="1" x14ac:dyDescent="0.25">
      <c r="A124" s="90">
        <v>600008</v>
      </c>
      <c r="B124" s="90" t="s">
        <v>144</v>
      </c>
      <c r="C124" s="91">
        <v>0</v>
      </c>
      <c r="D124" s="91">
        <v>194585</v>
      </c>
      <c r="E124" s="91">
        <v>194585</v>
      </c>
      <c r="F124" s="91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Overhead - Labor Cost</v>
      </c>
      <c r="J124" t="str">
        <f>_xlfn.XLOOKUP($A124,Map!$A:$A,Map!F:F)</f>
        <v>Air tickets</v>
      </c>
    </row>
    <row r="125" spans="1:10" hidden="1" x14ac:dyDescent="0.25">
      <c r="A125" s="90">
        <v>600009</v>
      </c>
      <c r="B125" s="90" t="s">
        <v>145</v>
      </c>
      <c r="C125" s="91">
        <v>0</v>
      </c>
      <c r="D125" s="91">
        <v>192000</v>
      </c>
      <c r="E125" s="91">
        <v>192000</v>
      </c>
      <c r="F125" s="91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Overhead - Labor Cost</v>
      </c>
      <c r="J125" t="str">
        <f>_xlfn.XLOOKUP($A125,Map!$A:$A,Map!F:F)</f>
        <v>Vacation pay</v>
      </c>
    </row>
    <row r="126" spans="1:10" hidden="1" x14ac:dyDescent="0.25">
      <c r="A126" s="90">
        <v>600011</v>
      </c>
      <c r="B126" s="90" t="s">
        <v>147</v>
      </c>
      <c r="C126" s="91">
        <v>0</v>
      </c>
      <c r="D126" s="91">
        <v>17471</v>
      </c>
      <c r="E126" s="91">
        <v>17471</v>
      </c>
      <c r="F126" s="91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Overhead - Labor Cost</v>
      </c>
      <c r="J126" t="str">
        <f>_xlfn.XLOOKUP($A126,Map!$A:$A,Map!F:F)</f>
        <v>Air tickets</v>
      </c>
    </row>
    <row r="127" spans="1:10" hidden="1" x14ac:dyDescent="0.25">
      <c r="A127" s="90">
        <v>600012</v>
      </c>
      <c r="B127" s="90" t="s">
        <v>148</v>
      </c>
      <c r="C127" s="91">
        <v>0</v>
      </c>
      <c r="D127" s="91">
        <v>625</v>
      </c>
      <c r="E127" s="91">
        <v>625</v>
      </c>
      <c r="F127" s="91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Overhead - Labor Cost</v>
      </c>
      <c r="J127" t="str">
        <f>_xlfn.XLOOKUP($A127,Map!$A:$A,Map!F:F)</f>
        <v xml:space="preserve">Education &amp; Furniture Allowances </v>
      </c>
    </row>
    <row r="128" spans="1:10" hidden="1" x14ac:dyDescent="0.25">
      <c r="A128" s="90">
        <v>600013</v>
      </c>
      <c r="B128" s="90" t="s">
        <v>149</v>
      </c>
      <c r="C128" s="91">
        <v>0</v>
      </c>
      <c r="D128" s="91">
        <v>1290</v>
      </c>
      <c r="E128" s="91">
        <v>1290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Overhead - Labor Cost</v>
      </c>
      <c r="J128" t="str">
        <f>_xlfn.XLOOKUP($A128,Map!$A:$A,Map!F:F)</f>
        <v>Telephone allowance</v>
      </c>
    </row>
    <row r="129" spans="1:10" hidden="1" x14ac:dyDescent="0.25">
      <c r="A129" s="90">
        <v>600014</v>
      </c>
      <c r="B129" s="90" t="s">
        <v>60</v>
      </c>
      <c r="C129" s="91">
        <v>0</v>
      </c>
      <c r="D129" s="91">
        <v>1660391.8559999999</v>
      </c>
      <c r="E129" s="91">
        <v>1660391.8559999999</v>
      </c>
      <c r="F129" s="91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Overhead - Consumables &amp; SP</v>
      </c>
      <c r="J129" t="str">
        <f>_xlfn.XLOOKUP($A129,Map!$A:$A,Map!F:F)</f>
        <v>Consumables</v>
      </c>
    </row>
    <row r="130" spans="1:10" hidden="1" x14ac:dyDescent="0.25">
      <c r="A130" s="90">
        <v>600015</v>
      </c>
      <c r="B130" s="90" t="s">
        <v>150</v>
      </c>
      <c r="C130" s="91">
        <v>0</v>
      </c>
      <c r="D130" s="91">
        <v>245263.00099999999</v>
      </c>
      <c r="E130" s="91">
        <v>245263.00099999999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Overhead - Consumables &amp; SP</v>
      </c>
      <c r="J130" t="str">
        <f>_xlfn.XLOOKUP($A130,Map!$A:$A,Map!F:F)</f>
        <v>Consumables</v>
      </c>
    </row>
    <row r="131" spans="1:10" hidden="1" x14ac:dyDescent="0.25">
      <c r="A131" s="90">
        <v>600016</v>
      </c>
      <c r="B131" s="90" t="s">
        <v>151</v>
      </c>
      <c r="C131" s="91">
        <v>0</v>
      </c>
      <c r="D131" s="91">
        <v>2049494.466</v>
      </c>
      <c r="E131" s="91">
        <v>2049494.466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Overhead - Consumables &amp; SP</v>
      </c>
      <c r="J131" t="str">
        <f>_xlfn.XLOOKUP($A131,Map!$A:$A,Map!F:F)</f>
        <v>Tools</v>
      </c>
    </row>
    <row r="132" spans="1:10" hidden="1" x14ac:dyDescent="0.25">
      <c r="A132" s="90">
        <v>600017</v>
      </c>
      <c r="B132" s="90" t="s">
        <v>152</v>
      </c>
      <c r="C132" s="91">
        <v>0</v>
      </c>
      <c r="D132" s="91">
        <v>2271792.477</v>
      </c>
      <c r="E132" s="91">
        <v>2271792.477</v>
      </c>
      <c r="F132" s="91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Overhead - Utility</v>
      </c>
      <c r="J132" t="str">
        <f>_xlfn.XLOOKUP($A132,Map!$A:$A,Map!F:F)</f>
        <v>Electricity expenses</v>
      </c>
    </row>
    <row r="133" spans="1:10" hidden="1" x14ac:dyDescent="0.25">
      <c r="A133" s="90">
        <v>600018</v>
      </c>
      <c r="B133" s="90" t="s">
        <v>153</v>
      </c>
      <c r="C133" s="91">
        <v>0</v>
      </c>
      <c r="D133" s="91">
        <v>73630</v>
      </c>
      <c r="E133" s="91">
        <v>73630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Overhead - Utility</v>
      </c>
      <c r="J133" t="str">
        <f>_xlfn.XLOOKUP($A133,Map!$A:$A,Map!F:F)</f>
        <v>Water expenses</v>
      </c>
    </row>
    <row r="134" spans="1:10" hidden="1" x14ac:dyDescent="0.25">
      <c r="A134" s="90">
        <v>600019</v>
      </c>
      <c r="B134" s="90" t="s">
        <v>154</v>
      </c>
      <c r="C134" s="91">
        <v>0</v>
      </c>
      <c r="D134" s="91">
        <v>128287</v>
      </c>
      <c r="E134" s="91">
        <v>128287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Overhead - Utility</v>
      </c>
      <c r="J134" t="str">
        <f>_xlfn.XLOOKUP($A134,Map!$A:$A,Map!F:F)</f>
        <v>Fuel and oil</v>
      </c>
    </row>
    <row r="135" spans="1:10" hidden="1" x14ac:dyDescent="0.25">
      <c r="A135" s="90">
        <v>600020</v>
      </c>
      <c r="B135" s="90" t="s">
        <v>155</v>
      </c>
      <c r="C135" s="91">
        <v>0</v>
      </c>
      <c r="D135" s="91">
        <v>37555</v>
      </c>
      <c r="E135" s="91">
        <v>37555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Overhead - R&amp;M</v>
      </c>
      <c r="J135" t="str">
        <f>_xlfn.XLOOKUP($A135,Map!$A:$A,Map!F:F)</f>
        <v>Machine and equipment</v>
      </c>
    </row>
    <row r="136" spans="1:10" hidden="1" x14ac:dyDescent="0.25">
      <c r="A136" s="90">
        <v>600021</v>
      </c>
      <c r="B136" s="90" t="s">
        <v>156</v>
      </c>
      <c r="C136" s="91">
        <v>0</v>
      </c>
      <c r="D136" s="91">
        <v>23463</v>
      </c>
      <c r="E136" s="91">
        <v>23463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Overhead - R&amp;M</v>
      </c>
      <c r="J136" t="str">
        <f>_xlfn.XLOOKUP($A136,Map!$A:$A,Map!F:F)</f>
        <v>Vehicle maintenance</v>
      </c>
    </row>
    <row r="137" spans="1:10" hidden="1" x14ac:dyDescent="0.25">
      <c r="A137" s="90">
        <v>600022</v>
      </c>
      <c r="B137" s="90" t="s">
        <v>157</v>
      </c>
      <c r="C137" s="91">
        <v>0</v>
      </c>
      <c r="D137" s="91">
        <v>783</v>
      </c>
      <c r="E137" s="91">
        <v>783</v>
      </c>
      <c r="F137" s="91">
        <v>0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Overhead - R&amp;M</v>
      </c>
      <c r="J137" t="str">
        <f>_xlfn.XLOOKUP($A137,Map!$A:$A,Map!F:F)</f>
        <v>Building maintenance</v>
      </c>
    </row>
    <row r="138" spans="1:10" hidden="1" x14ac:dyDescent="0.25">
      <c r="A138" s="90">
        <v>600023</v>
      </c>
      <c r="B138" s="90" t="s">
        <v>158</v>
      </c>
      <c r="C138" s="91">
        <v>0</v>
      </c>
      <c r="D138" s="91">
        <v>2100</v>
      </c>
      <c r="E138" s="91">
        <v>2100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Overhead - R&amp;M</v>
      </c>
      <c r="J138" t="str">
        <f>_xlfn.XLOOKUP($A138,Map!$A:$A,Map!F:F)</f>
        <v>Office equipment maintenance</v>
      </c>
    </row>
    <row r="139" spans="1:10" hidden="1" x14ac:dyDescent="0.25">
      <c r="A139" s="90">
        <v>600024</v>
      </c>
      <c r="B139" s="90" t="s">
        <v>159</v>
      </c>
      <c r="C139" s="91">
        <v>0</v>
      </c>
      <c r="D139" s="91">
        <v>93001.69</v>
      </c>
      <c r="E139" s="91">
        <v>93001.69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Overhead - Rent</v>
      </c>
      <c r="J139" t="str">
        <f>_xlfn.XLOOKUP($A139,Map!$A:$A,Map!F:F)</f>
        <v>Pump rental expenses</v>
      </c>
    </row>
    <row r="140" spans="1:10" hidden="1" x14ac:dyDescent="0.25">
      <c r="A140" s="90">
        <v>600027</v>
      </c>
      <c r="B140" s="90" t="s">
        <v>162</v>
      </c>
      <c r="C140" s="91">
        <v>0</v>
      </c>
      <c r="D140" s="91">
        <v>616000.07999999996</v>
      </c>
      <c r="E140" s="91">
        <v>616000.07999999996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Overhead - Rent</v>
      </c>
      <c r="J140" t="str">
        <f>_xlfn.XLOOKUP($A140,Map!$A:$A,Map!F:F)</f>
        <v>Production hall rental</v>
      </c>
    </row>
    <row r="141" spans="1:10" hidden="1" x14ac:dyDescent="0.25">
      <c r="A141" s="90">
        <v>600028</v>
      </c>
      <c r="B141" s="90" t="s">
        <v>163</v>
      </c>
      <c r="C141" s="91">
        <v>0</v>
      </c>
      <c r="D141" s="91">
        <v>22558</v>
      </c>
      <c r="E141" s="91">
        <v>22558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Overhead - Consumables &amp; SP</v>
      </c>
      <c r="J141" t="str">
        <f>_xlfn.XLOOKUP($A141,Map!$A:$A,Map!F:F)</f>
        <v xml:space="preserve">Education &amp; Furniture Allowances </v>
      </c>
    </row>
    <row r="142" spans="1:10" hidden="1" x14ac:dyDescent="0.25">
      <c r="A142" s="90">
        <v>600029</v>
      </c>
      <c r="B142" s="90" t="s">
        <v>164</v>
      </c>
      <c r="C142" s="91">
        <v>0</v>
      </c>
      <c r="D142" s="91">
        <v>3435816.0830000001</v>
      </c>
      <c r="E142" s="91">
        <v>3435816.0830000001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Depreciation - Machines</v>
      </c>
      <c r="J142" t="str">
        <f>_xlfn.XLOOKUP($A142,Map!$A:$A,Map!F:F)</f>
        <v>Depreciation of property, plant and equipment</v>
      </c>
    </row>
    <row r="143" spans="1:10" hidden="1" x14ac:dyDescent="0.25">
      <c r="A143" s="90">
        <v>600030</v>
      </c>
      <c r="B143" s="90" t="s">
        <v>165</v>
      </c>
      <c r="C143" s="91">
        <v>0</v>
      </c>
      <c r="D143" s="91">
        <v>9147.4349999999995</v>
      </c>
      <c r="E143" s="91">
        <v>9147.4349999999995</v>
      </c>
      <c r="F143" s="91">
        <v>0</v>
      </c>
      <c r="G143" t="str">
        <f>_xlfn.XLOOKUP($A143,Map!$A:$A,Map!C:C)</f>
        <v>IS</v>
      </c>
      <c r="H143" t="str">
        <f>_xlfn.XLOOKUP($A143,Map!$A:$A,Map!D:D)</f>
        <v>Depreciation expenses</v>
      </c>
      <c r="I143" t="str">
        <f>_xlfn.XLOOKUP($A143,Map!$A:$A,Map!E:E)</f>
        <v>Depreciation expenses</v>
      </c>
      <c r="J143" t="str">
        <f>_xlfn.XLOOKUP($A143,Map!$A:$A,Map!F:F)</f>
        <v>Depreciation of property, plant and equipment</v>
      </c>
    </row>
    <row r="144" spans="1:10" hidden="1" x14ac:dyDescent="0.25">
      <c r="A144" s="90">
        <v>600031</v>
      </c>
      <c r="B144" s="90" t="s">
        <v>166</v>
      </c>
      <c r="C144" s="91">
        <v>0</v>
      </c>
      <c r="D144" s="91">
        <v>7359.9889999999996</v>
      </c>
      <c r="E144" s="91">
        <v>7359.9889999999996</v>
      </c>
      <c r="F144" s="91">
        <v>0</v>
      </c>
      <c r="G144" t="str">
        <f>_xlfn.XLOOKUP($A144,Map!$A:$A,Map!C:C)</f>
        <v>IS</v>
      </c>
      <c r="H144" t="str">
        <f>_xlfn.XLOOKUP($A144,Map!$A:$A,Map!D:D)</f>
        <v>Depreciation expenses</v>
      </c>
      <c r="I144" t="str">
        <f>_xlfn.XLOOKUP($A144,Map!$A:$A,Map!E:E)</f>
        <v>Depreciation expenses</v>
      </c>
      <c r="J144" t="str">
        <f>_xlfn.XLOOKUP($A144,Map!$A:$A,Map!F:F)</f>
        <v>Depreciation of property, plant and equipment</v>
      </c>
    </row>
    <row r="145" spans="1:10" hidden="1" x14ac:dyDescent="0.25">
      <c r="A145" s="90">
        <v>700001</v>
      </c>
      <c r="B145" s="90" t="s">
        <v>171</v>
      </c>
      <c r="C145" s="91">
        <v>0</v>
      </c>
      <c r="D145" s="91">
        <v>3099012.4279999998</v>
      </c>
      <c r="E145" s="91">
        <v>305111</v>
      </c>
      <c r="F145" s="91">
        <v>2793901.4279999998</v>
      </c>
      <c r="G145" t="str">
        <f>_xlfn.XLOOKUP($A145,Map!$A:$A,Map!C:C)</f>
        <v>IS</v>
      </c>
      <c r="H145" t="str">
        <f>_xlfn.XLOOKUP($A145,Map!$A:$A,Map!D:D)</f>
        <v>General and Admin</v>
      </c>
      <c r="I145" t="str">
        <f>_xlfn.XLOOKUP($A145,Map!$A:$A,Map!E:E)</f>
        <v>Salaries and wages</v>
      </c>
      <c r="J145" t="str">
        <f>_xlfn.XLOOKUP($A145,Map!$A:$A,Map!F:F)</f>
        <v>Salaries and wages</v>
      </c>
    </row>
    <row r="146" spans="1:10" hidden="1" x14ac:dyDescent="0.25">
      <c r="A146" s="90">
        <v>700002</v>
      </c>
      <c r="B146" s="90" t="s">
        <v>172</v>
      </c>
      <c r="C146" s="91">
        <v>0</v>
      </c>
      <c r="D146" s="91">
        <v>159960.32699999999</v>
      </c>
      <c r="E146" s="91">
        <v>0</v>
      </c>
      <c r="F146" s="91">
        <v>159960.32699999999</v>
      </c>
      <c r="G146" t="str">
        <f>_xlfn.XLOOKUP($A146,Map!$A:$A,Map!C:C)</f>
        <v>IS</v>
      </c>
      <c r="H146" t="str">
        <f>_xlfn.XLOOKUP($A146,Map!$A:$A,Map!D:D)</f>
        <v>General and Admin</v>
      </c>
      <c r="I146" t="str">
        <f>_xlfn.XLOOKUP($A146,Map!$A:$A,Map!E:E)</f>
        <v>Salaries and wages</v>
      </c>
      <c r="J146" t="str">
        <f>_xlfn.XLOOKUP($A146,Map!$A:$A,Map!F:F)</f>
        <v>Overtime pay</v>
      </c>
    </row>
    <row r="147" spans="1:10" hidden="1" x14ac:dyDescent="0.25">
      <c r="A147" s="90">
        <v>700003</v>
      </c>
      <c r="B147" s="90" t="s">
        <v>173</v>
      </c>
      <c r="C147" s="91">
        <v>0</v>
      </c>
      <c r="D147" s="91">
        <v>18795</v>
      </c>
      <c r="E147" s="91">
        <v>0</v>
      </c>
      <c r="F147" s="91">
        <v>18795</v>
      </c>
      <c r="G147" t="str">
        <f>_xlfn.XLOOKUP($A147,Map!$A:$A,Map!C:C)</f>
        <v>IS</v>
      </c>
      <c r="H147" t="str">
        <f>_xlfn.XLOOKUP($A147,Map!$A:$A,Map!D:D)</f>
        <v>General and Admin</v>
      </c>
      <c r="I147" t="str">
        <f>_xlfn.XLOOKUP($A147,Map!$A:$A,Map!E:E)</f>
        <v>Salaries and wages</v>
      </c>
      <c r="J147" t="str">
        <f>_xlfn.XLOOKUP($A147,Map!$A:$A,Map!F:F)</f>
        <v xml:space="preserve">Food &amp; Housing </v>
      </c>
    </row>
    <row r="148" spans="1:10" hidden="1" x14ac:dyDescent="0.25">
      <c r="A148" s="90">
        <v>700004</v>
      </c>
      <c r="B148" s="90" t="s">
        <v>174</v>
      </c>
      <c r="C148" s="91">
        <v>0</v>
      </c>
      <c r="D148" s="91">
        <v>171633.399</v>
      </c>
      <c r="E148" s="91">
        <v>0</v>
      </c>
      <c r="F148" s="91">
        <v>171633.399</v>
      </c>
      <c r="G148" t="str">
        <f>_xlfn.XLOOKUP($A148,Map!$A:$A,Map!C:C)</f>
        <v>IS</v>
      </c>
      <c r="H148" t="str">
        <f>_xlfn.XLOOKUP($A148,Map!$A:$A,Map!D:D)</f>
        <v>General and Admin</v>
      </c>
      <c r="I148" t="str">
        <f>_xlfn.XLOOKUP($A148,Map!$A:$A,Map!E:E)</f>
        <v>Salaries and wages</v>
      </c>
      <c r="J148" t="str">
        <f>_xlfn.XLOOKUP($A148,Map!$A:$A,Map!F:F)</f>
        <v>Medical insurance</v>
      </c>
    </row>
    <row r="149" spans="1:10" hidden="1" x14ac:dyDescent="0.25">
      <c r="A149" s="90">
        <v>700005</v>
      </c>
      <c r="B149" s="90" t="s">
        <v>175</v>
      </c>
      <c r="C149" s="91">
        <v>0</v>
      </c>
      <c r="D149" s="91">
        <v>213349.43</v>
      </c>
      <c r="E149" s="91">
        <v>6000</v>
      </c>
      <c r="F149" s="91">
        <v>207349.43</v>
      </c>
      <c r="G149" t="str">
        <f>_xlfn.XLOOKUP($A149,Map!$A:$A,Map!C:C)</f>
        <v>IS</v>
      </c>
      <c r="H149" t="str">
        <f>_xlfn.XLOOKUP($A149,Map!$A:$A,Map!D:D)</f>
        <v>General and Admin</v>
      </c>
      <c r="I149" t="str">
        <f>_xlfn.XLOOKUP($A149,Map!$A:$A,Map!E:E)</f>
        <v>Govt license and fees (including modon)</v>
      </c>
      <c r="J149" t="str">
        <f>_xlfn.XLOOKUP($A149,Map!$A:$A,Map!F:F)</f>
        <v>Government fees</v>
      </c>
    </row>
    <row r="150" spans="1:10" hidden="1" x14ac:dyDescent="0.25">
      <c r="A150" s="90">
        <v>700006</v>
      </c>
      <c r="B150" s="90" t="s">
        <v>176</v>
      </c>
      <c r="C150" s="91">
        <v>0</v>
      </c>
      <c r="D150" s="91">
        <v>692149.56</v>
      </c>
      <c r="E150" s="91">
        <v>29797.34</v>
      </c>
      <c r="F150" s="91">
        <v>662352.22</v>
      </c>
      <c r="G150" t="str">
        <f>_xlfn.XLOOKUP($A150,Map!$A:$A,Map!C:C)</f>
        <v>IS</v>
      </c>
      <c r="H150" t="str">
        <f>_xlfn.XLOOKUP($A150,Map!$A:$A,Map!D:D)</f>
        <v>General and Admin</v>
      </c>
      <c r="I150" t="str">
        <f>_xlfn.XLOOKUP($A150,Map!$A:$A,Map!E:E)</f>
        <v>Salaries and wages</v>
      </c>
      <c r="J150" t="str">
        <f>_xlfn.XLOOKUP($A150,Map!$A:$A,Map!F:F)</f>
        <v xml:space="preserve">Food &amp; Housing </v>
      </c>
    </row>
    <row r="151" spans="1:10" hidden="1" x14ac:dyDescent="0.25">
      <c r="A151" s="90">
        <v>700007</v>
      </c>
      <c r="B151" s="90" t="s">
        <v>177</v>
      </c>
      <c r="C151" s="91">
        <v>0</v>
      </c>
      <c r="D151" s="91">
        <v>358426</v>
      </c>
      <c r="E151" s="91">
        <v>0</v>
      </c>
      <c r="F151" s="91">
        <v>358426</v>
      </c>
      <c r="G151" t="str">
        <f>_xlfn.XLOOKUP($A151,Map!$A:$A,Map!C:C)</f>
        <v>IS</v>
      </c>
      <c r="H151" t="str">
        <f>_xlfn.XLOOKUP($A151,Map!$A:$A,Map!D:D)</f>
        <v>General and Admin</v>
      </c>
      <c r="I151" t="str">
        <f>_xlfn.XLOOKUP($A151,Map!$A:$A,Map!E:E)</f>
        <v>Salaries and wages</v>
      </c>
      <c r="J151" t="str">
        <f>_xlfn.XLOOKUP($A151,Map!$A:$A,Map!F:F)</f>
        <v>Transportation allowance</v>
      </c>
    </row>
    <row r="152" spans="1:10" hidden="1" x14ac:dyDescent="0.25">
      <c r="A152" s="90">
        <v>700008</v>
      </c>
      <c r="B152" s="90" t="s">
        <v>178</v>
      </c>
      <c r="C152" s="91">
        <v>0</v>
      </c>
      <c r="D152" s="91">
        <v>127689</v>
      </c>
      <c r="E152" s="91">
        <v>0</v>
      </c>
      <c r="F152" s="91">
        <v>127689</v>
      </c>
      <c r="G152" t="str">
        <f>_xlfn.XLOOKUP($A152,Map!$A:$A,Map!C:C)</f>
        <v>IS</v>
      </c>
      <c r="H152" t="str">
        <f>_xlfn.XLOOKUP($A152,Map!$A:$A,Map!D:D)</f>
        <v>General and Admin</v>
      </c>
      <c r="I152" t="str">
        <f>_xlfn.XLOOKUP($A152,Map!$A:$A,Map!E:E)</f>
        <v>Salaries and wages</v>
      </c>
      <c r="J152" t="str">
        <f>_xlfn.XLOOKUP($A152,Map!$A:$A,Map!F:F)</f>
        <v>Air tickets</v>
      </c>
    </row>
    <row r="153" spans="1:10" hidden="1" x14ac:dyDescent="0.25">
      <c r="A153" s="90">
        <v>700009</v>
      </c>
      <c r="B153" s="90" t="s">
        <v>179</v>
      </c>
      <c r="C153" s="91">
        <v>0</v>
      </c>
      <c r="D153" s="91">
        <v>215800</v>
      </c>
      <c r="E153" s="91">
        <v>0</v>
      </c>
      <c r="F153" s="91">
        <v>215800</v>
      </c>
      <c r="G153" t="str">
        <f>_xlfn.XLOOKUP($A153,Map!$A:$A,Map!C:C)</f>
        <v>IS</v>
      </c>
      <c r="H153" t="str">
        <f>_xlfn.XLOOKUP($A153,Map!$A:$A,Map!D:D)</f>
        <v>General and Admin</v>
      </c>
      <c r="I153" t="str">
        <f>_xlfn.XLOOKUP($A153,Map!$A:$A,Map!E:E)</f>
        <v>Salaries and wages</v>
      </c>
      <c r="J153" t="str">
        <f>_xlfn.XLOOKUP($A153,Map!$A:$A,Map!F:F)</f>
        <v>Leave pay</v>
      </c>
    </row>
    <row r="154" spans="1:10" hidden="1" x14ac:dyDescent="0.25">
      <c r="A154" s="90">
        <v>700010</v>
      </c>
      <c r="B154" s="90" t="s">
        <v>180</v>
      </c>
      <c r="C154" s="91">
        <v>0</v>
      </c>
      <c r="D154" s="91">
        <v>446550</v>
      </c>
      <c r="E154" s="91">
        <v>110000</v>
      </c>
      <c r="F154" s="91">
        <v>336550</v>
      </c>
      <c r="G154" t="str">
        <f>_xlfn.XLOOKUP($A154,Map!$A:$A,Map!C:C)</f>
        <v>IS</v>
      </c>
      <c r="H154" t="str">
        <f>_xlfn.XLOOKUP($A154,Map!$A:$A,Map!D:D)</f>
        <v>General and Admin</v>
      </c>
      <c r="I154" t="str">
        <f>_xlfn.XLOOKUP($A154,Map!$A:$A,Map!E:E)</f>
        <v>Salaries and wages</v>
      </c>
      <c r="J154" t="str">
        <f>_xlfn.XLOOKUP($A154,Map!$A:$A,Map!F:F)</f>
        <v>Indemnities</v>
      </c>
    </row>
    <row r="155" spans="1:10" hidden="1" x14ac:dyDescent="0.25">
      <c r="A155" s="90">
        <v>700011</v>
      </c>
      <c r="B155" s="90" t="s">
        <v>181</v>
      </c>
      <c r="C155" s="91">
        <v>0</v>
      </c>
      <c r="D155" s="91">
        <v>101600</v>
      </c>
      <c r="E155" s="91">
        <v>6000</v>
      </c>
      <c r="F155" s="91">
        <v>95600</v>
      </c>
      <c r="G155" t="str">
        <f>_xlfn.XLOOKUP($A155,Map!$A:$A,Map!C:C)</f>
        <v>IS</v>
      </c>
      <c r="H155" t="str">
        <f>_xlfn.XLOOKUP($A155,Map!$A:$A,Map!D:D)</f>
        <v>General and Admin</v>
      </c>
      <c r="I155" t="str">
        <f>_xlfn.XLOOKUP($A155,Map!$A:$A,Map!E:E)</f>
        <v>Salaries and wages</v>
      </c>
      <c r="J155" t="str">
        <f>_xlfn.XLOOKUP($A155,Map!$A:$A,Map!F:F)</f>
        <v>Air tickets</v>
      </c>
    </row>
    <row r="156" spans="1:10" hidden="1" x14ac:dyDescent="0.25">
      <c r="A156" s="90">
        <v>700012</v>
      </c>
      <c r="B156" s="90" t="s">
        <v>182</v>
      </c>
      <c r="C156" s="91">
        <v>0</v>
      </c>
      <c r="D156" s="91">
        <v>176913.83300000001</v>
      </c>
      <c r="E156" s="91">
        <v>0</v>
      </c>
      <c r="F156" s="91">
        <v>176913.83300000001</v>
      </c>
      <c r="G156" t="str">
        <f>_xlfn.XLOOKUP($A156,Map!$A:$A,Map!C:C)</f>
        <v>IS</v>
      </c>
      <c r="H156" t="str">
        <f>_xlfn.XLOOKUP($A156,Map!$A:$A,Map!D:D)</f>
        <v>General and Admin</v>
      </c>
      <c r="I156" t="str">
        <f>_xlfn.XLOOKUP($A156,Map!$A:$A,Map!E:E)</f>
        <v>Salaries and wages</v>
      </c>
      <c r="J156" t="str">
        <f>_xlfn.XLOOKUP($A156,Map!$A:$A,Map!F:F)</f>
        <v xml:space="preserve">Education &amp; Furniture Allowances </v>
      </c>
    </row>
    <row r="157" spans="1:10" hidden="1" x14ac:dyDescent="0.25">
      <c r="A157" s="90">
        <v>700013</v>
      </c>
      <c r="B157" s="90" t="s">
        <v>183</v>
      </c>
      <c r="C157" s="91">
        <v>0</v>
      </c>
      <c r="D157" s="91">
        <v>90450.5</v>
      </c>
      <c r="E157" s="91">
        <v>0</v>
      </c>
      <c r="F157" s="91">
        <v>90450.5</v>
      </c>
      <c r="G157" t="str">
        <f>_xlfn.XLOOKUP($A157,Map!$A:$A,Map!C:C)</f>
        <v>IS</v>
      </c>
      <c r="H157" t="str">
        <f>_xlfn.XLOOKUP($A157,Map!$A:$A,Map!D:D)</f>
        <v>General and Admin</v>
      </c>
      <c r="I157" t="str">
        <f>_xlfn.XLOOKUP($A157,Map!$A:$A,Map!E:E)</f>
        <v>Utilities</v>
      </c>
      <c r="J157" t="str">
        <f>_xlfn.XLOOKUP($A157,Map!$A:$A,Map!F:F)</f>
        <v>Other general and administrative expenses</v>
      </c>
    </row>
    <row r="158" spans="1:10" hidden="1" x14ac:dyDescent="0.25">
      <c r="A158" s="90">
        <v>700014</v>
      </c>
      <c r="B158" s="90" t="s">
        <v>184</v>
      </c>
      <c r="C158" s="91">
        <v>0</v>
      </c>
      <c r="D158" s="91">
        <v>5000</v>
      </c>
      <c r="E158" s="91">
        <v>0</v>
      </c>
      <c r="F158" s="91">
        <v>5000</v>
      </c>
      <c r="G158" t="str">
        <f>_xlfn.XLOOKUP($A158,Map!$A:$A,Map!C:C)</f>
        <v>IS</v>
      </c>
      <c r="H158" t="str">
        <f>_xlfn.XLOOKUP($A158,Map!$A:$A,Map!D:D)</f>
        <v>General and Admin</v>
      </c>
      <c r="I158" t="str">
        <f>_xlfn.XLOOKUP($A158,Map!$A:$A,Map!E:E)</f>
        <v>Salaries and wages</v>
      </c>
      <c r="J158" t="str">
        <f>_xlfn.XLOOKUP($A158,Map!$A:$A,Map!F:F)</f>
        <v xml:space="preserve">Education &amp; Furniture Allowances </v>
      </c>
    </row>
    <row r="159" spans="1:10" hidden="1" x14ac:dyDescent="0.25">
      <c r="A159" s="90">
        <v>700015</v>
      </c>
      <c r="B159" s="90" t="s">
        <v>185</v>
      </c>
      <c r="C159" s="91">
        <v>0</v>
      </c>
      <c r="D159" s="91">
        <v>6208</v>
      </c>
      <c r="E159" s="91">
        <v>0</v>
      </c>
      <c r="F159" s="91">
        <v>6208</v>
      </c>
      <c r="G159" t="str">
        <f>_xlfn.XLOOKUP($A159,Map!$A:$A,Map!C:C)</f>
        <v>IS</v>
      </c>
      <c r="H159" t="str">
        <f>_xlfn.XLOOKUP($A159,Map!$A:$A,Map!D:D)</f>
        <v>General and Admin</v>
      </c>
      <c r="I159" t="str">
        <f>_xlfn.XLOOKUP($A159,Map!$A:$A,Map!E:E)</f>
        <v>Business travel</v>
      </c>
      <c r="J159" t="str">
        <f>_xlfn.XLOOKUP($A159,Map!$A:$A,Map!F:F)</f>
        <v>Transportation expenses</v>
      </c>
    </row>
    <row r="160" spans="1:10" hidden="1" x14ac:dyDescent="0.25">
      <c r="A160" s="90">
        <v>700016</v>
      </c>
      <c r="B160" s="90" t="s">
        <v>186</v>
      </c>
      <c r="C160" s="91">
        <v>0</v>
      </c>
      <c r="D160" s="91">
        <v>6269</v>
      </c>
      <c r="E160" s="91">
        <v>0</v>
      </c>
      <c r="F160" s="91">
        <v>6269</v>
      </c>
      <c r="G160" t="str">
        <f>_xlfn.XLOOKUP($A160,Map!$A:$A,Map!C:C)</f>
        <v>IS</v>
      </c>
      <c r="H160" t="str">
        <f>_xlfn.XLOOKUP($A160,Map!$A:$A,Map!D:D)</f>
        <v>Selling and Marketing</v>
      </c>
      <c r="I160" t="str">
        <f>_xlfn.XLOOKUP($A160,Map!$A:$A,Map!E:E)</f>
        <v>Buffet expenses</v>
      </c>
      <c r="J160" t="str">
        <f>_xlfn.XLOOKUP($A160,Map!$A:$A,Map!F:F)</f>
        <v>Food expenses</v>
      </c>
    </row>
    <row r="161" spans="1:10" hidden="1" x14ac:dyDescent="0.25">
      <c r="A161" s="90">
        <v>700017</v>
      </c>
      <c r="B161" s="90" t="s">
        <v>187</v>
      </c>
      <c r="C161" s="91">
        <v>0</v>
      </c>
      <c r="D161" s="91">
        <v>27075</v>
      </c>
      <c r="E161" s="91">
        <v>0</v>
      </c>
      <c r="F161" s="91">
        <v>27075</v>
      </c>
      <c r="G161" t="str">
        <f>_xlfn.XLOOKUP($A161,Map!$A:$A,Map!C:C)</f>
        <v>IS</v>
      </c>
      <c r="H161" t="str">
        <f>_xlfn.XLOOKUP($A161,Map!$A:$A,Map!D:D)</f>
        <v>General and Admin</v>
      </c>
      <c r="I161" t="str">
        <f>_xlfn.XLOOKUP($A161,Map!$A:$A,Map!E:E)</f>
        <v>Salaries and wages</v>
      </c>
      <c r="J161" t="str">
        <f>_xlfn.XLOOKUP($A161,Map!$A:$A,Map!F:F)</f>
        <v>Accommodation expenses</v>
      </c>
    </row>
    <row r="162" spans="1:10" hidden="1" x14ac:dyDescent="0.25">
      <c r="A162" s="90">
        <v>700018</v>
      </c>
      <c r="B162" s="90" t="s">
        <v>188</v>
      </c>
      <c r="C162" s="91">
        <v>0</v>
      </c>
      <c r="D162" s="91">
        <v>75787</v>
      </c>
      <c r="E162" s="91">
        <v>0</v>
      </c>
      <c r="F162" s="91">
        <v>75787</v>
      </c>
      <c r="G162" t="str">
        <f>_xlfn.XLOOKUP($A162,Map!$A:$A,Map!C:C)</f>
        <v>IS</v>
      </c>
      <c r="H162" t="str">
        <f>_xlfn.XLOOKUP($A162,Map!$A:$A,Map!D:D)</f>
        <v>General and Admin</v>
      </c>
      <c r="I162" t="str">
        <f>_xlfn.XLOOKUP($A162,Map!$A:$A,Map!E:E)</f>
        <v>Salaries and wages</v>
      </c>
      <c r="J162" t="str">
        <f>_xlfn.XLOOKUP($A162,Map!$A:$A,Map!F:F)</f>
        <v xml:space="preserve">Employee Medical Emergency Expenses </v>
      </c>
    </row>
    <row r="163" spans="1:10" hidden="1" x14ac:dyDescent="0.25">
      <c r="A163" s="90">
        <v>700019</v>
      </c>
      <c r="B163" s="90" t="s">
        <v>189</v>
      </c>
      <c r="C163" s="91">
        <v>0</v>
      </c>
      <c r="D163" s="91">
        <v>521359</v>
      </c>
      <c r="E163" s="91">
        <v>521359</v>
      </c>
      <c r="F163" s="91">
        <v>0</v>
      </c>
      <c r="G163" t="str">
        <f>_xlfn.XLOOKUP($A163,Map!$A:$A,Map!C:C)</f>
        <v>IS</v>
      </c>
      <c r="H163" t="str">
        <f>_xlfn.XLOOKUP($A163,Map!$A:$A,Map!D:D)</f>
        <v>General and Admin</v>
      </c>
      <c r="I163" t="str">
        <f>_xlfn.XLOOKUP($A163,Map!$A:$A,Map!E:E)</f>
        <v>Salaries and wages</v>
      </c>
      <c r="J163" t="str">
        <f>_xlfn.XLOOKUP($A163,Map!$A:$A,Map!F:F)</f>
        <v xml:space="preserve">Incentives </v>
      </c>
    </row>
    <row r="164" spans="1:10" hidden="1" x14ac:dyDescent="0.25">
      <c r="A164" s="90">
        <v>700020</v>
      </c>
      <c r="B164" s="90" t="s">
        <v>190</v>
      </c>
      <c r="C164" s="91">
        <v>0</v>
      </c>
      <c r="D164" s="91">
        <v>65360.21</v>
      </c>
      <c r="E164" s="91">
        <v>0</v>
      </c>
      <c r="F164" s="91">
        <v>65360.21</v>
      </c>
      <c r="G164" t="str">
        <f>_xlfn.XLOOKUP($A164,Map!$A:$A,Map!C:C)</f>
        <v>IS</v>
      </c>
      <c r="H164" t="str">
        <f>_xlfn.XLOOKUP($A164,Map!$A:$A,Map!D:D)</f>
        <v>General and Admin</v>
      </c>
      <c r="I164" t="str">
        <f>_xlfn.XLOOKUP($A164,Map!$A:$A,Map!E:E)</f>
        <v>Utilities</v>
      </c>
      <c r="J164" t="str">
        <f>_xlfn.XLOOKUP($A164,Map!$A:$A,Map!F:F)</f>
        <v>Electricity expenses</v>
      </c>
    </row>
    <row r="165" spans="1:10" hidden="1" x14ac:dyDescent="0.25">
      <c r="A165" s="90">
        <v>700021</v>
      </c>
      <c r="B165" s="90" t="s">
        <v>191</v>
      </c>
      <c r="C165" s="91">
        <v>0</v>
      </c>
      <c r="D165" s="91">
        <v>12011</v>
      </c>
      <c r="E165" s="91">
        <v>0</v>
      </c>
      <c r="F165" s="91">
        <v>12011</v>
      </c>
      <c r="G165" t="str">
        <f>_xlfn.XLOOKUP($A165,Map!$A:$A,Map!C:C)</f>
        <v>IS</v>
      </c>
      <c r="H165" t="str">
        <f>_xlfn.XLOOKUP($A165,Map!$A:$A,Map!D:D)</f>
        <v>General and Admin</v>
      </c>
      <c r="I165" t="str">
        <f>_xlfn.XLOOKUP($A165,Map!$A:$A,Map!E:E)</f>
        <v>Utilities</v>
      </c>
      <c r="J165" t="str">
        <f>_xlfn.XLOOKUP($A165,Map!$A:$A,Map!F:F)</f>
        <v>Other general and administrative expenses</v>
      </c>
    </row>
    <row r="166" spans="1:10" hidden="1" x14ac:dyDescent="0.25">
      <c r="A166" s="90">
        <v>700022</v>
      </c>
      <c r="B166" s="90" t="s">
        <v>192</v>
      </c>
      <c r="C166" s="91">
        <v>0</v>
      </c>
      <c r="D166" s="91">
        <v>58006.17</v>
      </c>
      <c r="E166" s="91">
        <v>0</v>
      </c>
      <c r="F166" s="91">
        <v>58006.17</v>
      </c>
      <c r="G166" t="str">
        <f>_xlfn.XLOOKUP($A166,Map!$A:$A,Map!C:C)</f>
        <v>IS</v>
      </c>
      <c r="H166" t="str">
        <f>_xlfn.XLOOKUP($A166,Map!$A:$A,Map!D:D)</f>
        <v>General and Admin</v>
      </c>
      <c r="I166" t="str">
        <f>_xlfn.XLOOKUP($A166,Map!$A:$A,Map!E:E)</f>
        <v>Utilities</v>
      </c>
      <c r="J166" t="str">
        <f>_xlfn.XLOOKUP($A166,Map!$A:$A,Map!F:F)</f>
        <v>Other general and administrative expenses</v>
      </c>
    </row>
    <row r="167" spans="1:10" hidden="1" x14ac:dyDescent="0.25">
      <c r="A167" s="90">
        <v>700023</v>
      </c>
      <c r="B167" s="90" t="s">
        <v>193</v>
      </c>
      <c r="C167" s="91">
        <v>0</v>
      </c>
      <c r="D167" s="91">
        <v>28610.62</v>
      </c>
      <c r="E167" s="91">
        <v>0</v>
      </c>
      <c r="F167" s="91">
        <v>28610.62</v>
      </c>
      <c r="G167" t="str">
        <f>_xlfn.XLOOKUP($A167,Map!$A:$A,Map!C:C)</f>
        <v>IS</v>
      </c>
      <c r="H167" t="str">
        <f>_xlfn.XLOOKUP($A167,Map!$A:$A,Map!D:D)</f>
        <v>General and Admin</v>
      </c>
      <c r="I167" t="str">
        <f>_xlfn.XLOOKUP($A167,Map!$A:$A,Map!E:E)</f>
        <v>Utilities</v>
      </c>
      <c r="J167" t="str">
        <f>_xlfn.XLOOKUP($A167,Map!$A:$A,Map!F:F)</f>
        <v xml:space="preserve">Postage &amp; Printing </v>
      </c>
    </row>
    <row r="168" spans="1:10" hidden="1" x14ac:dyDescent="0.25">
      <c r="A168" s="90">
        <v>700024</v>
      </c>
      <c r="B168" s="90" t="s">
        <v>194</v>
      </c>
      <c r="C168" s="91">
        <v>0</v>
      </c>
      <c r="D168" s="91">
        <v>68446.898000000001</v>
      </c>
      <c r="E168" s="91">
        <v>0</v>
      </c>
      <c r="F168" s="91">
        <v>68446.898000000001</v>
      </c>
      <c r="G168" t="str">
        <f>_xlfn.XLOOKUP($A168,Map!$A:$A,Map!C:C)</f>
        <v>IS</v>
      </c>
      <c r="H168" t="str">
        <f>_xlfn.XLOOKUP($A168,Map!$A:$A,Map!D:D)</f>
        <v>General and Admin</v>
      </c>
      <c r="I168" t="str">
        <f>_xlfn.XLOOKUP($A168,Map!$A:$A,Map!E:E)</f>
        <v>IT expenses</v>
      </c>
      <c r="J168" t="str">
        <f>_xlfn.XLOOKUP($A168,Map!$A:$A,Map!F:F)</f>
        <v>Other general and administrative expenses</v>
      </c>
    </row>
    <row r="169" spans="1:10" hidden="1" x14ac:dyDescent="0.25">
      <c r="A169" s="90">
        <v>700025</v>
      </c>
      <c r="B169" s="90" t="s">
        <v>195</v>
      </c>
      <c r="C169" s="91">
        <v>0</v>
      </c>
      <c r="D169" s="91">
        <v>50000</v>
      </c>
      <c r="E169" s="91">
        <v>0</v>
      </c>
      <c r="F169" s="91">
        <v>50000</v>
      </c>
      <c r="G169" t="str">
        <f>_xlfn.XLOOKUP($A169,Map!$A:$A,Map!C:C)</f>
        <v>IS</v>
      </c>
      <c r="H169" t="str">
        <f>_xlfn.XLOOKUP($A169,Map!$A:$A,Map!D:D)</f>
        <v>General and Admin</v>
      </c>
      <c r="I169" t="str">
        <f>_xlfn.XLOOKUP($A169,Map!$A:$A,Map!E:E)</f>
        <v>Salaries and wages</v>
      </c>
      <c r="J169" t="str">
        <f>_xlfn.XLOOKUP($A169,Map!$A:$A,Map!F:F)</f>
        <v>Salaries and wages</v>
      </c>
    </row>
    <row r="170" spans="1:10" hidden="1" x14ac:dyDescent="0.25">
      <c r="A170" s="90">
        <v>700026</v>
      </c>
      <c r="B170" s="90" t="s">
        <v>196</v>
      </c>
      <c r="C170" s="91">
        <v>0</v>
      </c>
      <c r="D170" s="91">
        <v>1600</v>
      </c>
      <c r="E170" s="91">
        <v>1600</v>
      </c>
      <c r="F170" s="91">
        <v>0</v>
      </c>
      <c r="G170" t="str">
        <f>_xlfn.XLOOKUP($A170,Map!$A:$A,Map!C:C)</f>
        <v>IS</v>
      </c>
      <c r="H170" t="str">
        <f>_xlfn.XLOOKUP($A170,Map!$A:$A,Map!D:D)</f>
        <v>General and Admin</v>
      </c>
      <c r="I170" t="str">
        <f>_xlfn.XLOOKUP($A170,Map!$A:$A,Map!E:E)</f>
        <v>Utilities</v>
      </c>
      <c r="J170" t="str">
        <f>_xlfn.XLOOKUP($A170,Map!$A:$A,Map!F:F)</f>
        <v>Magazines &amp; News Papers Exp.</v>
      </c>
    </row>
    <row r="171" spans="1:10" hidden="1" x14ac:dyDescent="0.25">
      <c r="A171" s="90">
        <v>700027</v>
      </c>
      <c r="B171" s="90" t="s">
        <v>197</v>
      </c>
      <c r="C171" s="91">
        <v>0</v>
      </c>
      <c r="D171" s="91">
        <v>0</v>
      </c>
      <c r="E171" s="91">
        <v>0</v>
      </c>
      <c r="F171" s="91">
        <v>0</v>
      </c>
      <c r="G171" t="str">
        <f>_xlfn.XLOOKUP($A171,Map!$A:$A,Map!C:C)</f>
        <v>IS</v>
      </c>
      <c r="H171" t="str">
        <f>_xlfn.XLOOKUP($A171,Map!$A:$A,Map!D:D)</f>
        <v>General and Admin</v>
      </c>
      <c r="I171" t="str">
        <f>_xlfn.XLOOKUP($A171,Map!$A:$A,Map!E:E)</f>
        <v>Training</v>
      </c>
      <c r="J171" t="str">
        <f>_xlfn.XLOOKUP($A171,Map!$A:$A,Map!F:F)</f>
        <v>Training</v>
      </c>
    </row>
    <row r="172" spans="1:10" hidden="1" x14ac:dyDescent="0.25">
      <c r="A172" s="90">
        <v>700028</v>
      </c>
      <c r="B172" s="90" t="s">
        <v>198</v>
      </c>
      <c r="C172" s="91">
        <v>0</v>
      </c>
      <c r="D172" s="91">
        <v>23015</v>
      </c>
      <c r="E172" s="91">
        <v>0</v>
      </c>
      <c r="F172" s="91">
        <v>23015</v>
      </c>
      <c r="G172" t="str">
        <f>_xlfn.XLOOKUP($A172,Map!$A:$A,Map!C:C)</f>
        <v>IS</v>
      </c>
      <c r="H172" t="str">
        <f>_xlfn.XLOOKUP($A172,Map!$A:$A,Map!D:D)</f>
        <v>General and Admin</v>
      </c>
      <c r="I172" t="str">
        <f>_xlfn.XLOOKUP($A172,Map!$A:$A,Map!E:E)</f>
        <v xml:space="preserve">Back office Support </v>
      </c>
      <c r="J172" t="str">
        <f>_xlfn.XLOOKUP($A172,Map!$A:$A,Map!F:F)</f>
        <v>Stationery expenses</v>
      </c>
    </row>
    <row r="173" spans="1:10" hidden="1" x14ac:dyDescent="0.25">
      <c r="A173" s="90">
        <v>700029</v>
      </c>
      <c r="B173" s="90" t="s">
        <v>199</v>
      </c>
      <c r="C173" s="91">
        <v>0</v>
      </c>
      <c r="D173" s="91">
        <v>22205</v>
      </c>
      <c r="E173" s="91">
        <v>0</v>
      </c>
      <c r="F173" s="91">
        <v>22205</v>
      </c>
      <c r="G173" t="str">
        <f>_xlfn.XLOOKUP($A173,Map!$A:$A,Map!C:C)</f>
        <v>IS</v>
      </c>
      <c r="H173" t="str">
        <f>_xlfn.XLOOKUP($A173,Map!$A:$A,Map!D:D)</f>
        <v>General and Admin</v>
      </c>
      <c r="I173" t="str">
        <f>_xlfn.XLOOKUP($A173,Map!$A:$A,Map!E:E)</f>
        <v>Utilities</v>
      </c>
      <c r="J173" t="str">
        <f>_xlfn.XLOOKUP($A173,Map!$A:$A,Map!F:F)</f>
        <v xml:space="preserve">Postage &amp; Printing </v>
      </c>
    </row>
    <row r="174" spans="1:10" hidden="1" x14ac:dyDescent="0.25">
      <c r="A174" s="90">
        <v>700030</v>
      </c>
      <c r="B174" s="90" t="s">
        <v>200</v>
      </c>
      <c r="C174" s="91">
        <v>0</v>
      </c>
      <c r="D174" s="91">
        <v>25997</v>
      </c>
      <c r="E174" s="91">
        <v>0</v>
      </c>
      <c r="F174" s="91">
        <v>25997</v>
      </c>
      <c r="G174" t="str">
        <f>_xlfn.XLOOKUP($A174,Map!$A:$A,Map!C:C)</f>
        <v>IS</v>
      </c>
      <c r="H174" t="str">
        <f>_xlfn.XLOOKUP($A174,Map!$A:$A,Map!D:D)</f>
        <v>General and Admin</v>
      </c>
      <c r="I174" t="str">
        <f>_xlfn.XLOOKUP($A174,Map!$A:$A,Map!E:E)</f>
        <v>Utilities</v>
      </c>
      <c r="J174" t="str">
        <f>_xlfn.XLOOKUP($A174,Map!$A:$A,Map!F:F)</f>
        <v>Building maintenance</v>
      </c>
    </row>
    <row r="175" spans="1:10" hidden="1" x14ac:dyDescent="0.25">
      <c r="A175" s="90">
        <v>700031</v>
      </c>
      <c r="B175" s="90" t="s">
        <v>201</v>
      </c>
      <c r="C175" s="91">
        <v>0</v>
      </c>
      <c r="D175" s="91">
        <v>42213</v>
      </c>
      <c r="E175" s="91">
        <v>3640</v>
      </c>
      <c r="F175" s="91">
        <v>38573</v>
      </c>
      <c r="G175" t="str">
        <f>_xlfn.XLOOKUP($A175,Map!$A:$A,Map!C:C)</f>
        <v>IS</v>
      </c>
      <c r="H175" t="str">
        <f>_xlfn.XLOOKUP($A175,Map!$A:$A,Map!D:D)</f>
        <v>General and Admin</v>
      </c>
      <c r="I175" t="str">
        <f>_xlfn.XLOOKUP($A175,Map!$A:$A,Map!E:E)</f>
        <v>Utilities</v>
      </c>
      <c r="J175" t="str">
        <f>_xlfn.XLOOKUP($A175,Map!$A:$A,Map!F:F)</f>
        <v>Office equipment maintenance</v>
      </c>
    </row>
    <row r="176" spans="1:10" hidden="1" x14ac:dyDescent="0.25">
      <c r="A176" s="90">
        <v>700032</v>
      </c>
      <c r="B176" s="90" t="s">
        <v>202</v>
      </c>
      <c r="C176" s="91">
        <v>0</v>
      </c>
      <c r="D176" s="91">
        <v>102182</v>
      </c>
      <c r="E176" s="91">
        <v>7870</v>
      </c>
      <c r="F176" s="91">
        <v>94312</v>
      </c>
      <c r="G176" t="str">
        <f>_xlfn.XLOOKUP($A176,Map!$A:$A,Map!C:C)</f>
        <v>IS</v>
      </c>
      <c r="H176" t="str">
        <f>_xlfn.XLOOKUP($A176,Map!$A:$A,Map!D:D)</f>
        <v>General and Admin</v>
      </c>
      <c r="I176" t="str">
        <f>_xlfn.XLOOKUP($A176,Map!$A:$A,Map!E:E)</f>
        <v>Utilities</v>
      </c>
      <c r="J176" t="str">
        <f>_xlfn.XLOOKUP($A176,Map!$A:$A,Map!F:F)</f>
        <v>Vehicle maintenance</v>
      </c>
    </row>
    <row r="177" spans="1:10" hidden="1" x14ac:dyDescent="0.25">
      <c r="A177" s="90">
        <v>700033</v>
      </c>
      <c r="B177" s="90" t="s">
        <v>203</v>
      </c>
      <c r="C177" s="91">
        <v>0</v>
      </c>
      <c r="D177" s="91">
        <v>49367</v>
      </c>
      <c r="E177" s="91">
        <v>0</v>
      </c>
      <c r="F177" s="91">
        <v>49367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Utilities</v>
      </c>
      <c r="J177" t="str">
        <f>_xlfn.XLOOKUP($A177,Map!$A:$A,Map!F:F)</f>
        <v>Fuel and oil</v>
      </c>
    </row>
    <row r="178" spans="1:10" hidden="1" x14ac:dyDescent="0.25">
      <c r="A178" s="90">
        <v>700034</v>
      </c>
      <c r="B178" s="90" t="s">
        <v>204</v>
      </c>
      <c r="C178" s="91">
        <v>0</v>
      </c>
      <c r="D178" s="91">
        <v>29039</v>
      </c>
      <c r="E178" s="91">
        <v>0</v>
      </c>
      <c r="F178" s="91">
        <v>29039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 xml:space="preserve">Back office Support </v>
      </c>
      <c r="J178" t="str">
        <f>_xlfn.XLOOKUP($A178,Map!$A:$A,Map!F:F)</f>
        <v>Consumables</v>
      </c>
    </row>
    <row r="179" spans="1:10" hidden="1" x14ac:dyDescent="0.25">
      <c r="A179" s="90">
        <v>700036</v>
      </c>
      <c r="B179" s="90" t="s">
        <v>206</v>
      </c>
      <c r="C179" s="91">
        <v>0</v>
      </c>
      <c r="D179" s="91">
        <v>34003.040000000001</v>
      </c>
      <c r="E179" s="91">
        <v>0</v>
      </c>
      <c r="F179" s="91">
        <v>34003.040000000001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Utilities</v>
      </c>
      <c r="J179" t="str">
        <f>_xlfn.XLOOKUP($A179,Map!$A:$A,Map!F:F)</f>
        <v>Vehicle insurance</v>
      </c>
    </row>
    <row r="180" spans="1:10" hidden="1" x14ac:dyDescent="0.25">
      <c r="A180" s="90">
        <v>700037</v>
      </c>
      <c r="B180" s="90" t="s">
        <v>207</v>
      </c>
      <c r="C180" s="91">
        <v>0</v>
      </c>
      <c r="D180" s="91">
        <v>1850</v>
      </c>
      <c r="E180" s="91">
        <v>1850</v>
      </c>
      <c r="F180" s="91">
        <v>0</v>
      </c>
      <c r="G180" t="str">
        <f>_xlfn.XLOOKUP($A180,Map!$A:$A,Map!C:C)</f>
        <v>IS</v>
      </c>
      <c r="H180" t="str">
        <f>_xlfn.XLOOKUP($A180,Map!$A:$A,Map!D:D)</f>
        <v>Finance cost</v>
      </c>
      <c r="I180" t="str">
        <f>_xlfn.XLOOKUP($A180,Map!$A:$A,Map!E:E)</f>
        <v>Finance cost</v>
      </c>
      <c r="J180" t="str">
        <f>_xlfn.XLOOKUP($A180,Map!$A:$A,Map!F:F)</f>
        <v>Lease interest</v>
      </c>
    </row>
    <row r="181" spans="1:10" hidden="1" x14ac:dyDescent="0.25">
      <c r="A181" s="90">
        <v>700038</v>
      </c>
      <c r="B181" s="90" t="s">
        <v>208</v>
      </c>
      <c r="C181" s="91">
        <v>0</v>
      </c>
      <c r="D181" s="91">
        <v>195845.12</v>
      </c>
      <c r="E181" s="91">
        <v>104168.9</v>
      </c>
      <c r="F181" s="91">
        <v>91676.22</v>
      </c>
      <c r="G181" t="str">
        <f>_xlfn.XLOOKUP($A181,Map!$A:$A,Map!C:C)</f>
        <v>IS</v>
      </c>
      <c r="H181" t="str">
        <f>_xlfn.XLOOKUP($A181,Map!$A:$A,Map!D:D)</f>
        <v>General and Admin</v>
      </c>
      <c r="I181" t="str">
        <f>_xlfn.XLOOKUP($A181,Map!$A:$A,Map!E:E)</f>
        <v>Business travel</v>
      </c>
      <c r="J181" t="str">
        <f>_xlfn.XLOOKUP($A181,Map!$A:$A,Map!F:F)</f>
        <v>Bussiness trip expenses</v>
      </c>
    </row>
    <row r="182" spans="1:10" hidden="1" x14ac:dyDescent="0.25">
      <c r="A182" s="90">
        <v>700039</v>
      </c>
      <c r="B182" s="90" t="s">
        <v>209</v>
      </c>
      <c r="C182" s="91">
        <v>0</v>
      </c>
      <c r="D182" s="91">
        <v>17348</v>
      </c>
      <c r="E182" s="91">
        <v>0</v>
      </c>
      <c r="F182" s="91">
        <v>17348</v>
      </c>
      <c r="G182" t="str">
        <f>_xlfn.XLOOKUP($A182,Map!$A:$A,Map!C:C)</f>
        <v>IS</v>
      </c>
      <c r="H182" t="str">
        <f>_xlfn.XLOOKUP($A182,Map!$A:$A,Map!D:D)</f>
        <v>Selling and Marketing</v>
      </c>
      <c r="I182" t="str">
        <f>_xlfn.XLOOKUP($A182,Map!$A:$A,Map!E:E)</f>
        <v>Buffet expenses</v>
      </c>
      <c r="J182" t="str">
        <f>_xlfn.XLOOKUP($A182,Map!$A:$A,Map!F:F)</f>
        <v>Buffet expenses</v>
      </c>
    </row>
    <row r="183" spans="1:10" hidden="1" x14ac:dyDescent="0.25">
      <c r="A183" s="90">
        <v>700040</v>
      </c>
      <c r="B183" s="90" t="s">
        <v>210</v>
      </c>
      <c r="C183" s="91">
        <v>0</v>
      </c>
      <c r="D183" s="91">
        <v>33437</v>
      </c>
      <c r="E183" s="91">
        <v>1960</v>
      </c>
      <c r="F183" s="91">
        <v>31477</v>
      </c>
      <c r="G183" t="str">
        <f>_xlfn.XLOOKUP($A183,Map!$A:$A,Map!C:C)</f>
        <v>IS</v>
      </c>
      <c r="H183" t="str">
        <f>_xlfn.XLOOKUP($A183,Map!$A:$A,Map!D:D)</f>
        <v>General and Admin</v>
      </c>
      <c r="I183" t="str">
        <f>_xlfn.XLOOKUP($A183,Map!$A:$A,Map!E:E)</f>
        <v>Utilities</v>
      </c>
      <c r="J183" t="str">
        <f>_xlfn.XLOOKUP($A183,Map!$A:$A,Map!F:F)</f>
        <v xml:space="preserve">Cleaning Expenses </v>
      </c>
    </row>
    <row r="184" spans="1:10" hidden="1" x14ac:dyDescent="0.25">
      <c r="A184" s="90">
        <v>700041</v>
      </c>
      <c r="B184" s="90" t="s">
        <v>211</v>
      </c>
      <c r="C184" s="91">
        <v>0</v>
      </c>
      <c r="D184" s="91">
        <v>105886.981</v>
      </c>
      <c r="E184" s="91">
        <v>101377.981</v>
      </c>
      <c r="F184" s="91">
        <v>4509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Salaries and wages</v>
      </c>
      <c r="J184" t="str">
        <f>_xlfn.XLOOKUP($A184,Map!$A:$A,Map!F:F)</f>
        <v>Recruitment</v>
      </c>
    </row>
    <row r="185" spans="1:10" hidden="1" x14ac:dyDescent="0.25">
      <c r="A185" s="90">
        <v>700043</v>
      </c>
      <c r="B185" s="90" t="s">
        <v>213</v>
      </c>
      <c r="C185" s="91">
        <v>0</v>
      </c>
      <c r="D185" s="91">
        <v>102541</v>
      </c>
      <c r="E185" s="91">
        <v>43276</v>
      </c>
      <c r="F185" s="91">
        <v>59265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Govt license and fees (including modon)</v>
      </c>
      <c r="J185" t="str">
        <f>_xlfn.XLOOKUP($A185,Map!$A:$A,Map!F:F)</f>
        <v>Licenses and fees</v>
      </c>
    </row>
    <row r="186" spans="1:10" hidden="1" x14ac:dyDescent="0.25">
      <c r="A186" s="90">
        <v>700044</v>
      </c>
      <c r="B186" s="90" t="s">
        <v>214</v>
      </c>
      <c r="C186" s="91">
        <v>0</v>
      </c>
      <c r="D186" s="91">
        <v>44959.61</v>
      </c>
      <c r="E186" s="91">
        <v>0</v>
      </c>
      <c r="F186" s="91">
        <v>44959.61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Govt license and fees (including modon)</v>
      </c>
      <c r="J186" t="str">
        <f>_xlfn.XLOOKUP($A186,Map!$A:$A,Map!F:F)</f>
        <v>Government fees</v>
      </c>
    </row>
    <row r="187" spans="1:10" hidden="1" x14ac:dyDescent="0.25">
      <c r="A187" s="90">
        <v>700045</v>
      </c>
      <c r="B187" s="90" t="s">
        <v>215</v>
      </c>
      <c r="C187" s="91">
        <v>0</v>
      </c>
      <c r="D187" s="91">
        <v>1585634.9539999999</v>
      </c>
      <c r="E187" s="91">
        <v>45930.603999999999</v>
      </c>
      <c r="F187" s="91">
        <v>1539704.35</v>
      </c>
      <c r="G187" t="str">
        <f>_xlfn.XLOOKUP($A187,Map!$A:$A,Map!C:C)</f>
        <v>IS</v>
      </c>
      <c r="H187" t="str">
        <f>_xlfn.XLOOKUP($A187,Map!$A:$A,Map!D:D)</f>
        <v>Finance cost</v>
      </c>
      <c r="I187" t="str">
        <f>_xlfn.XLOOKUP($A187,Map!$A:$A,Map!E:E)</f>
        <v>Finance cost</v>
      </c>
      <c r="J187" t="str">
        <f>_xlfn.XLOOKUP($A187,Map!$A:$A,Map!F:F)</f>
        <v>Bank charges</v>
      </c>
    </row>
    <row r="188" spans="1:10" hidden="1" x14ac:dyDescent="0.25">
      <c r="A188" s="90">
        <v>700048</v>
      </c>
      <c r="B188" s="90" t="s">
        <v>216</v>
      </c>
      <c r="C188" s="91">
        <v>0</v>
      </c>
      <c r="D188" s="91">
        <v>1801311.1</v>
      </c>
      <c r="E188" s="91">
        <v>580000</v>
      </c>
      <c r="F188" s="91">
        <v>1221311.1000000001</v>
      </c>
      <c r="G188" t="str">
        <f>_xlfn.XLOOKUP($A188,Map!$A:$A,Map!C:C)</f>
        <v>IS</v>
      </c>
      <c r="H188" t="str">
        <f>_xlfn.XLOOKUP($A188,Map!$A:$A,Map!D:D)</f>
        <v>Zakat</v>
      </c>
      <c r="I188" t="str">
        <f>_xlfn.XLOOKUP($A188,Map!$A:$A,Map!E:E)</f>
        <v>Zakat expenses</v>
      </c>
      <c r="J188" t="str">
        <f>_xlfn.XLOOKUP($A188,Map!$A:$A,Map!F:F)</f>
        <v>Zakat expenses</v>
      </c>
    </row>
    <row r="189" spans="1:10" hidden="1" x14ac:dyDescent="0.25">
      <c r="A189" s="90">
        <v>700050</v>
      </c>
      <c r="B189" s="90" t="s">
        <v>218</v>
      </c>
      <c r="C189" s="91">
        <v>0</v>
      </c>
      <c r="D189" s="91">
        <v>6530.0230000000001</v>
      </c>
      <c r="E189" s="91">
        <v>74.997</v>
      </c>
      <c r="F189" s="91">
        <v>6455.0259999999998</v>
      </c>
      <c r="G189" t="str">
        <f>_xlfn.XLOOKUP($A189,Map!$A:$A,Map!C:C)</f>
        <v>IS</v>
      </c>
      <c r="H189" t="str">
        <f>_xlfn.XLOOKUP($A189,Map!$A:$A,Map!D:D)</f>
        <v>Depreciation expenses</v>
      </c>
      <c r="I189" t="str">
        <f>_xlfn.XLOOKUP($A189,Map!$A:$A,Map!E:E)</f>
        <v>Depreciation expenses</v>
      </c>
      <c r="J189" t="str">
        <f>_xlfn.XLOOKUP($A189,Map!$A:$A,Map!F:F)</f>
        <v>Depreciation of property, plant and equipment</v>
      </c>
    </row>
    <row r="190" spans="1:10" hidden="1" x14ac:dyDescent="0.25">
      <c r="A190" s="90">
        <v>700053</v>
      </c>
      <c r="B190" s="90" t="s">
        <v>220</v>
      </c>
      <c r="C190" s="91">
        <v>0</v>
      </c>
      <c r="D190" s="91">
        <v>1178</v>
      </c>
      <c r="E190" s="91">
        <v>1178</v>
      </c>
      <c r="F190" s="91">
        <v>0</v>
      </c>
      <c r="G190" t="str">
        <f>_xlfn.XLOOKUP($A190,Map!$A:$A,Map!C:C)</f>
        <v>IS</v>
      </c>
      <c r="H190" t="str">
        <f>_xlfn.XLOOKUP($A190,Map!$A:$A,Map!D:D)</f>
        <v>Depreciation expenses</v>
      </c>
      <c r="I190" t="str">
        <f>_xlfn.XLOOKUP($A190,Map!$A:$A,Map!E:E)</f>
        <v>Depreciation expenses</v>
      </c>
      <c r="J190" t="str">
        <f>_xlfn.XLOOKUP($A190,Map!$A:$A,Map!F:F)</f>
        <v>Depreciation of property, plant and equipment</v>
      </c>
    </row>
    <row r="191" spans="1:10" hidden="1" x14ac:dyDescent="0.25">
      <c r="A191" s="90">
        <v>700054</v>
      </c>
      <c r="B191" s="90" t="s">
        <v>221</v>
      </c>
      <c r="C191" s="91">
        <v>0</v>
      </c>
      <c r="D191" s="91">
        <v>89083.34</v>
      </c>
      <c r="E191" s="91">
        <v>0</v>
      </c>
      <c r="F191" s="91">
        <v>89083.34</v>
      </c>
      <c r="G191" t="str">
        <f>_xlfn.XLOOKUP($A191,Map!$A:$A,Map!C:C)</f>
        <v>IS</v>
      </c>
      <c r="H191" t="str">
        <f>_xlfn.XLOOKUP($A191,Map!$A:$A,Map!D:D)</f>
        <v>Depreciation expenses</v>
      </c>
      <c r="I191" t="str">
        <f>_xlfn.XLOOKUP($A191,Map!$A:$A,Map!E:E)</f>
        <v>Depreciation expenses</v>
      </c>
      <c r="J191" t="str">
        <f>_xlfn.XLOOKUP($A191,Map!$A:$A,Map!F:F)</f>
        <v>Depreciation of property, plant and equipment</v>
      </c>
    </row>
    <row r="192" spans="1:10" hidden="1" x14ac:dyDescent="0.25">
      <c r="A192" s="90">
        <v>700055</v>
      </c>
      <c r="B192" s="90" t="s">
        <v>222</v>
      </c>
      <c r="C192" s="91">
        <v>0</v>
      </c>
      <c r="D192" s="91">
        <v>184067.12599999999</v>
      </c>
      <c r="E192" s="91">
        <v>0</v>
      </c>
      <c r="F192" s="91">
        <v>184067.12599999999</v>
      </c>
      <c r="G192" t="str">
        <f>_xlfn.XLOOKUP($A192,Map!$A:$A,Map!C:C)</f>
        <v>IS</v>
      </c>
      <c r="H192" t="str">
        <f>_xlfn.XLOOKUP($A192,Map!$A:$A,Map!D:D)</f>
        <v>Depreciation expenses</v>
      </c>
      <c r="I192" t="str">
        <f>_xlfn.XLOOKUP($A192,Map!$A:$A,Map!E:E)</f>
        <v>Depreciation expenses</v>
      </c>
      <c r="J192" t="str">
        <f>_xlfn.XLOOKUP($A192,Map!$A:$A,Map!F:F)</f>
        <v>Depreciation of property, plant and equipment</v>
      </c>
    </row>
    <row r="193" spans="1:10" hidden="1" x14ac:dyDescent="0.25">
      <c r="A193" s="90">
        <v>700056</v>
      </c>
      <c r="B193" s="90" t="s">
        <v>223</v>
      </c>
      <c r="C193" s="91">
        <v>0</v>
      </c>
      <c r="D193" s="91">
        <v>0</v>
      </c>
      <c r="E193" s="91">
        <v>0</v>
      </c>
      <c r="F193" s="91">
        <v>0</v>
      </c>
      <c r="G193" t="str">
        <f>_xlfn.XLOOKUP($A193,Map!$A:$A,Map!C:C)</f>
        <v>IS</v>
      </c>
      <c r="H193" t="str">
        <f>_xlfn.XLOOKUP($A193,Map!$A:$A,Map!D:D)</f>
        <v>Depreciation expenses</v>
      </c>
      <c r="I193" t="str">
        <f>_xlfn.XLOOKUP($A193,Map!$A:$A,Map!E:E)</f>
        <v>Depreciation expenses</v>
      </c>
      <c r="J193" t="str">
        <f>_xlfn.XLOOKUP($A193,Map!$A:$A,Map!F:F)</f>
        <v>Depreciation of property, plant and equipment</v>
      </c>
    </row>
    <row r="194" spans="1:10" hidden="1" x14ac:dyDescent="0.25">
      <c r="A194" s="90">
        <v>700057</v>
      </c>
      <c r="B194" s="90" t="s">
        <v>224</v>
      </c>
      <c r="C194" s="91">
        <v>0</v>
      </c>
      <c r="D194" s="91">
        <v>802083.53</v>
      </c>
      <c r="E194" s="91">
        <v>20000</v>
      </c>
      <c r="F194" s="91">
        <v>782083.53</v>
      </c>
      <c r="G194" t="str">
        <f>_xlfn.XLOOKUP($A194,Map!$A:$A,Map!C:C)</f>
        <v>IS</v>
      </c>
      <c r="H194" t="str">
        <f>_xlfn.XLOOKUP($A194,Map!$A:$A,Map!D:D)</f>
        <v>Cost of sales</v>
      </c>
      <c r="I194" t="str">
        <f>_xlfn.XLOOKUP($A194,Map!$A:$A,Map!E:E)</f>
        <v>Overhead - Rent</v>
      </c>
      <c r="J194" t="str">
        <f>_xlfn.XLOOKUP($A194,Map!$A:$A,Map!F:F)</f>
        <v>Warehouse Rent ( Khamis, Rioyadh, Dammam)</v>
      </c>
    </row>
    <row r="195" spans="1:10" hidden="1" x14ac:dyDescent="0.25">
      <c r="A195" s="90">
        <v>700058</v>
      </c>
      <c r="B195" s="90" t="s">
        <v>225</v>
      </c>
      <c r="C195" s="91">
        <v>0</v>
      </c>
      <c r="D195" s="91">
        <v>8003</v>
      </c>
      <c r="E195" s="91">
        <v>2841</v>
      </c>
      <c r="F195" s="91">
        <v>5162</v>
      </c>
      <c r="G195" t="str">
        <f>_xlfn.XLOOKUP($A195,Map!$A:$A,Map!C:C)</f>
        <v>IS</v>
      </c>
      <c r="H195" t="str">
        <f>_xlfn.XLOOKUP($A195,Map!$A:$A,Map!D:D)</f>
        <v>Selling and Marketing</v>
      </c>
      <c r="I195" t="str">
        <f>_xlfn.XLOOKUP($A195,Map!$A:$A,Map!E:E)</f>
        <v>Advertising and promotion expenses</v>
      </c>
      <c r="J195" t="str">
        <f>_xlfn.XLOOKUP($A195,Map!$A:$A,Map!F:F)</f>
        <v>Advertising and promotion expenses</v>
      </c>
    </row>
    <row r="196" spans="1:10" hidden="1" x14ac:dyDescent="0.25">
      <c r="A196" s="90">
        <v>700059</v>
      </c>
      <c r="B196" s="90" t="s">
        <v>226</v>
      </c>
      <c r="C196" s="91">
        <v>0</v>
      </c>
      <c r="D196" s="91">
        <v>0</v>
      </c>
      <c r="E196" s="91">
        <v>0</v>
      </c>
      <c r="F196" s="91">
        <v>0</v>
      </c>
      <c r="G196" t="str">
        <f>_xlfn.XLOOKUP($A196,Map!$A:$A,Map!C:C)</f>
        <v>IS</v>
      </c>
      <c r="H196" t="str">
        <f>_xlfn.XLOOKUP($A196,Map!$A:$A,Map!D:D)</f>
        <v>Selling and Marketing</v>
      </c>
      <c r="I196" t="str">
        <f>_xlfn.XLOOKUP($A196,Map!$A:$A,Map!E:E)</f>
        <v>Exhibitions</v>
      </c>
      <c r="J196" t="str">
        <f>_xlfn.XLOOKUP($A196,Map!$A:$A,Map!F:F)</f>
        <v>Exhibitions</v>
      </c>
    </row>
    <row r="197" spans="1:10" hidden="1" x14ac:dyDescent="0.25">
      <c r="A197" s="90">
        <v>700060</v>
      </c>
      <c r="B197" s="90" t="s">
        <v>227</v>
      </c>
      <c r="C197" s="91">
        <v>0</v>
      </c>
      <c r="D197" s="91">
        <v>2667016.54</v>
      </c>
      <c r="E197" s="91">
        <v>200</v>
      </c>
      <c r="F197" s="91">
        <v>2666816.54</v>
      </c>
      <c r="G197" t="str">
        <f>_xlfn.XLOOKUP($A197,Map!$A:$A,Map!C:C)</f>
        <v>IS</v>
      </c>
      <c r="H197" t="str">
        <f>_xlfn.XLOOKUP($A197,Map!$A:$A,Map!D:D)</f>
        <v>Cost of sales</v>
      </c>
      <c r="I197" t="str">
        <f>_xlfn.XLOOKUP($A197,Map!$A:$A,Map!E:E)</f>
        <v>Freight expenses</v>
      </c>
      <c r="J197" t="str">
        <f>_xlfn.XLOOKUP($A197,Map!$A:$A,Map!F:F)</f>
        <v>Freight expenses</v>
      </c>
    </row>
    <row r="198" spans="1:10" hidden="1" x14ac:dyDescent="0.25">
      <c r="A198" s="90">
        <v>700061</v>
      </c>
      <c r="B198" s="90" t="s">
        <v>228</v>
      </c>
      <c r="C198" s="91">
        <v>0</v>
      </c>
      <c r="D198" s="91">
        <v>199033</v>
      </c>
      <c r="E198" s="91">
        <v>28641</v>
      </c>
      <c r="F198" s="91">
        <v>170392</v>
      </c>
      <c r="G198" t="str">
        <f>_xlfn.XLOOKUP($A198,Map!$A:$A,Map!C:C)</f>
        <v>IS</v>
      </c>
      <c r="H198" t="str">
        <f>_xlfn.XLOOKUP($A198,Map!$A:$A,Map!D:D)</f>
        <v>Selling and Marketing</v>
      </c>
      <c r="I198" t="str">
        <f>_xlfn.XLOOKUP($A198,Map!$A:$A,Map!E:E)</f>
        <v>Commission expenses</v>
      </c>
      <c r="J198" t="str">
        <f>_xlfn.XLOOKUP($A198,Map!$A:$A,Map!F:F)</f>
        <v>Commission expenses</v>
      </c>
    </row>
    <row r="199" spans="1:10" hidden="1" x14ac:dyDescent="0.25">
      <c r="A199" s="90">
        <v>700062</v>
      </c>
      <c r="B199" s="90" t="s">
        <v>229</v>
      </c>
      <c r="C199" s="91">
        <v>0</v>
      </c>
      <c r="D199" s="91">
        <v>0</v>
      </c>
      <c r="E199" s="91">
        <v>0</v>
      </c>
      <c r="F199" s="91">
        <v>0</v>
      </c>
      <c r="G199" t="str">
        <f>_xlfn.XLOOKUP($A199,Map!$A:$A,Map!C:C)</f>
        <v>IS</v>
      </c>
      <c r="H199" t="str">
        <f>_xlfn.XLOOKUP($A199,Map!$A:$A,Map!D:D)</f>
        <v>Revised provision on Bad Debts</v>
      </c>
      <c r="I199" t="str">
        <f>_xlfn.XLOOKUP($A199,Map!$A:$A,Map!E:E)</f>
        <v>Bad debts expense</v>
      </c>
      <c r="J199" t="str">
        <f>_xlfn.XLOOKUP($A199,Map!$A:$A,Map!F:F)</f>
        <v>Bad debts expense</v>
      </c>
    </row>
    <row r="200" spans="1:10" hidden="1" x14ac:dyDescent="0.25">
      <c r="A200" s="90">
        <v>700063</v>
      </c>
      <c r="B200" s="90" t="s">
        <v>230</v>
      </c>
      <c r="C200" s="91">
        <v>0</v>
      </c>
      <c r="D200" s="91">
        <v>438386.39</v>
      </c>
      <c r="E200" s="91">
        <v>18135</v>
      </c>
      <c r="F200" s="91">
        <v>420251.39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Salaries and wages</v>
      </c>
      <c r="J200" t="str">
        <f>_xlfn.XLOOKUP($A200,Map!$A:$A,Map!F:F)</f>
        <v>GOSI</v>
      </c>
    </row>
    <row r="201" spans="1:10" hidden="1" x14ac:dyDescent="0.25"/>
    <row r="202" spans="1:10" hidden="1" x14ac:dyDescent="0.25">
      <c r="C202" s="93">
        <f>SUBTOTAL(9,C5:C201)</f>
        <v>-11975998.512</v>
      </c>
      <c r="D202" s="93">
        <f>SUBTOTAL(9,D5:D201)</f>
        <v>39222269.188999996</v>
      </c>
      <c r="E202" s="93">
        <f>SUBTOTAL(9,E5:E201)</f>
        <v>53398841.906999998</v>
      </c>
      <c r="F202" s="93">
        <f>SUBTOTAL(9,F5:F201)</f>
        <v>-26152571.23</v>
      </c>
    </row>
    <row r="203" spans="1:10" hidden="1" x14ac:dyDescent="0.25">
      <c r="C203" s="93"/>
      <c r="D203" s="93"/>
      <c r="E203" s="93"/>
      <c r="F203" s="93"/>
    </row>
    <row r="204" spans="1:10" hidden="1" x14ac:dyDescent="0.25">
      <c r="A204" s="5" t="s">
        <v>531</v>
      </c>
    </row>
    <row r="205" spans="1:10" hidden="1" x14ac:dyDescent="0.25">
      <c r="A205" s="90">
        <v>600031</v>
      </c>
      <c r="B205" s="90" t="s">
        <v>724</v>
      </c>
      <c r="D205" s="91">
        <v>1226.67</v>
      </c>
      <c r="E205" s="91">
        <v>0</v>
      </c>
      <c r="F205" s="91">
        <f>D205-E205</f>
        <v>1226.67</v>
      </c>
      <c r="G205" t="str">
        <f>_xlfn.XLOOKUP($A205,Map!$A:$A,Map!C:C)</f>
        <v>IS</v>
      </c>
      <c r="H205" t="str">
        <f>_xlfn.XLOOKUP($A205,Map!$A:$A,Map!D:D)</f>
        <v>Depreciation expenses</v>
      </c>
      <c r="I205" t="str">
        <f>_xlfn.XLOOKUP($A205,Map!$A:$A,Map!E:E)</f>
        <v>Depreciation expenses</v>
      </c>
      <c r="J205" t="str">
        <f>_xlfn.XLOOKUP($A205,Map!$A:$A,Map!F:F)</f>
        <v>Depreciation of property, plant and equipment</v>
      </c>
    </row>
    <row r="206" spans="1:10" hidden="1" x14ac:dyDescent="0.25">
      <c r="A206" s="90">
        <v>600030</v>
      </c>
      <c r="B206" s="90" t="s">
        <v>724</v>
      </c>
      <c r="D206" s="91">
        <v>1883</v>
      </c>
      <c r="E206" s="91">
        <v>0</v>
      </c>
      <c r="F206" s="91">
        <f t="shared" ref="F206:F267" si="0">D206-E206</f>
        <v>1883</v>
      </c>
      <c r="G206" t="str">
        <f>_xlfn.XLOOKUP($A206,Map!$A:$A,Map!C:C)</f>
        <v>IS</v>
      </c>
      <c r="H206" t="str">
        <f>_xlfn.XLOOKUP($A206,Map!$A:$A,Map!D:D)</f>
        <v>Depreciation expenses</v>
      </c>
      <c r="I206" t="str">
        <f>_xlfn.XLOOKUP($A206,Map!$A:$A,Map!E:E)</f>
        <v>Depreciation expenses</v>
      </c>
      <c r="J206" t="str">
        <f>_xlfn.XLOOKUP($A206,Map!$A:$A,Map!F:F)</f>
        <v>Depreciation of property, plant and equipment</v>
      </c>
    </row>
    <row r="207" spans="1:10" hidden="1" x14ac:dyDescent="0.25">
      <c r="A207" s="90">
        <v>600029</v>
      </c>
      <c r="B207" s="90" t="s">
        <v>724</v>
      </c>
      <c r="D207" s="91">
        <v>571033.14</v>
      </c>
      <c r="E207" s="91">
        <v>0</v>
      </c>
      <c r="F207" s="91">
        <f t="shared" si="0"/>
        <v>571033.14</v>
      </c>
      <c r="G207" t="str">
        <f>_xlfn.XLOOKUP($A207,Map!$A:$A,Map!C:C)</f>
        <v>IS</v>
      </c>
      <c r="H207" t="str">
        <f>_xlfn.XLOOKUP($A207,Map!$A:$A,Map!D:D)</f>
        <v>Cost of sales</v>
      </c>
      <c r="I207" t="str">
        <f>_xlfn.XLOOKUP($A207,Map!$A:$A,Map!E:E)</f>
        <v>Depreciation - Machines</v>
      </c>
      <c r="J207" t="str">
        <f>_xlfn.XLOOKUP($A207,Map!$A:$A,Map!F:F)</f>
        <v>Depreciation of property, plant and equipment</v>
      </c>
    </row>
    <row r="208" spans="1:10" hidden="1" x14ac:dyDescent="0.25">
      <c r="A208" s="90">
        <v>600028</v>
      </c>
      <c r="B208" s="90" t="s">
        <v>724</v>
      </c>
      <c r="D208" s="91">
        <v>1390</v>
      </c>
      <c r="E208" s="91">
        <v>0</v>
      </c>
      <c r="F208" s="91">
        <f t="shared" si="0"/>
        <v>1390</v>
      </c>
      <c r="G208" t="str">
        <f>_xlfn.XLOOKUP($A208,Map!$A:$A,Map!C:C)</f>
        <v>IS</v>
      </c>
      <c r="H208" t="str">
        <f>_xlfn.XLOOKUP($A208,Map!$A:$A,Map!D:D)</f>
        <v>Cost of sales</v>
      </c>
      <c r="I208" t="str">
        <f>_xlfn.XLOOKUP($A208,Map!$A:$A,Map!E:E)</f>
        <v>Overhead - Consumables &amp; SP</v>
      </c>
      <c r="J208" t="str">
        <f>_xlfn.XLOOKUP($A208,Map!$A:$A,Map!F:F)</f>
        <v xml:space="preserve">Education &amp; Furniture Allowances </v>
      </c>
    </row>
    <row r="209" spans="1:10" hidden="1" x14ac:dyDescent="0.25">
      <c r="A209" s="90">
        <v>600027</v>
      </c>
      <c r="B209" s="90" t="s">
        <v>724</v>
      </c>
      <c r="D209" s="91">
        <v>102666.68</v>
      </c>
      <c r="E209" s="91">
        <v>0</v>
      </c>
      <c r="F209" s="91">
        <f t="shared" si="0"/>
        <v>102666.68</v>
      </c>
      <c r="G209" t="str">
        <f>_xlfn.XLOOKUP($A209,Map!$A:$A,Map!C:C)</f>
        <v>IS</v>
      </c>
      <c r="H209" t="str">
        <f>_xlfn.XLOOKUP($A209,Map!$A:$A,Map!D:D)</f>
        <v>Cost of sales</v>
      </c>
      <c r="I209" t="str">
        <f>_xlfn.XLOOKUP($A209,Map!$A:$A,Map!E:E)</f>
        <v>Overhead - Rent</v>
      </c>
      <c r="J209" t="str">
        <f>_xlfn.XLOOKUP($A209,Map!$A:$A,Map!F:F)</f>
        <v>Production hall rental</v>
      </c>
    </row>
    <row r="210" spans="1:10" hidden="1" x14ac:dyDescent="0.25">
      <c r="A210" s="90">
        <v>600024</v>
      </c>
      <c r="B210" s="90" t="s">
        <v>724</v>
      </c>
      <c r="D210" s="91">
        <v>10868</v>
      </c>
      <c r="E210" s="91">
        <v>0</v>
      </c>
      <c r="F210" s="91">
        <f t="shared" si="0"/>
        <v>10868</v>
      </c>
      <c r="G210" t="str">
        <f>_xlfn.XLOOKUP($A210,Map!$A:$A,Map!C:C)</f>
        <v>IS</v>
      </c>
      <c r="H210" t="str">
        <f>_xlfn.XLOOKUP($A210,Map!$A:$A,Map!D:D)</f>
        <v>Cost of sales</v>
      </c>
      <c r="I210" t="str">
        <f>_xlfn.XLOOKUP($A210,Map!$A:$A,Map!E:E)</f>
        <v>Overhead - Rent</v>
      </c>
      <c r="J210" t="str">
        <f>_xlfn.XLOOKUP($A210,Map!$A:$A,Map!F:F)</f>
        <v>Pump rental expenses</v>
      </c>
    </row>
    <row r="211" spans="1:10" hidden="1" x14ac:dyDescent="0.25">
      <c r="A211" s="90">
        <v>600020</v>
      </c>
      <c r="B211" s="90" t="s">
        <v>724</v>
      </c>
      <c r="D211" s="91">
        <v>1800</v>
      </c>
      <c r="E211" s="91">
        <v>0</v>
      </c>
      <c r="F211" s="91">
        <f t="shared" si="0"/>
        <v>1800</v>
      </c>
      <c r="G211" t="str">
        <f>_xlfn.XLOOKUP($A211,Map!$A:$A,Map!C:C)</f>
        <v>IS</v>
      </c>
      <c r="H211" t="str">
        <f>_xlfn.XLOOKUP($A211,Map!$A:$A,Map!D:D)</f>
        <v>Cost of sales</v>
      </c>
      <c r="I211" t="str">
        <f>_xlfn.XLOOKUP($A211,Map!$A:$A,Map!E:E)</f>
        <v>Overhead - R&amp;M</v>
      </c>
      <c r="J211" t="str">
        <f>_xlfn.XLOOKUP($A211,Map!$A:$A,Map!F:F)</f>
        <v>Machine and equipment</v>
      </c>
    </row>
    <row r="212" spans="1:10" hidden="1" x14ac:dyDescent="0.25">
      <c r="A212" s="90">
        <v>600019</v>
      </c>
      <c r="B212" s="90" t="s">
        <v>724</v>
      </c>
      <c r="D212" s="91">
        <v>28110</v>
      </c>
      <c r="E212" s="91">
        <v>0</v>
      </c>
      <c r="F212" s="91">
        <f t="shared" si="0"/>
        <v>28110</v>
      </c>
      <c r="G212" t="str">
        <f>_xlfn.XLOOKUP($A212,Map!$A:$A,Map!C:C)</f>
        <v>IS</v>
      </c>
      <c r="H212" t="str">
        <f>_xlfn.XLOOKUP($A212,Map!$A:$A,Map!D:D)</f>
        <v>Cost of sales</v>
      </c>
      <c r="I212" t="str">
        <f>_xlfn.XLOOKUP($A212,Map!$A:$A,Map!E:E)</f>
        <v>Overhead - Utility</v>
      </c>
      <c r="J212" t="str">
        <f>_xlfn.XLOOKUP($A212,Map!$A:$A,Map!F:F)</f>
        <v>Fuel and oil</v>
      </c>
    </row>
    <row r="213" spans="1:10" hidden="1" x14ac:dyDescent="0.25">
      <c r="A213" s="90">
        <v>600018</v>
      </c>
      <c r="B213" s="90" t="s">
        <v>724</v>
      </c>
      <c r="D213" s="91">
        <v>11750</v>
      </c>
      <c r="E213" s="91">
        <v>0</v>
      </c>
      <c r="F213" s="91">
        <f t="shared" si="0"/>
        <v>11750</v>
      </c>
      <c r="G213" t="str">
        <f>_xlfn.XLOOKUP($A213,Map!$A:$A,Map!C:C)</f>
        <v>IS</v>
      </c>
      <c r="H213" t="str">
        <f>_xlfn.XLOOKUP($A213,Map!$A:$A,Map!D:D)</f>
        <v>Cost of sales</v>
      </c>
      <c r="I213" t="str">
        <f>_xlfn.XLOOKUP($A213,Map!$A:$A,Map!E:E)</f>
        <v>Overhead - Utility</v>
      </c>
      <c r="J213" t="str">
        <f>_xlfn.XLOOKUP($A213,Map!$A:$A,Map!F:F)</f>
        <v>Water expenses</v>
      </c>
    </row>
    <row r="214" spans="1:10" hidden="1" x14ac:dyDescent="0.25">
      <c r="A214" s="90">
        <v>600017</v>
      </c>
      <c r="B214" s="90" t="s">
        <v>724</v>
      </c>
      <c r="D214" s="91">
        <v>305555.88</v>
      </c>
      <c r="E214" s="91">
        <v>0</v>
      </c>
      <c r="F214" s="91">
        <f t="shared" si="0"/>
        <v>305555.88</v>
      </c>
      <c r="G214" t="str">
        <f>_xlfn.XLOOKUP($A214,Map!$A:$A,Map!C:C)</f>
        <v>IS</v>
      </c>
      <c r="H214" t="str">
        <f>_xlfn.XLOOKUP($A214,Map!$A:$A,Map!D:D)</f>
        <v>Cost of sales</v>
      </c>
      <c r="I214" t="str">
        <f>_xlfn.XLOOKUP($A214,Map!$A:$A,Map!E:E)</f>
        <v>Overhead - Utility</v>
      </c>
      <c r="J214" t="str">
        <f>_xlfn.XLOOKUP($A214,Map!$A:$A,Map!F:F)</f>
        <v>Electricity expenses</v>
      </c>
    </row>
    <row r="215" spans="1:10" hidden="1" x14ac:dyDescent="0.25">
      <c r="A215" s="90">
        <v>600016</v>
      </c>
      <c r="B215" s="90" t="s">
        <v>724</v>
      </c>
      <c r="D215" s="91">
        <v>54724.25</v>
      </c>
      <c r="E215" s="91">
        <v>0</v>
      </c>
      <c r="F215" s="91">
        <f t="shared" si="0"/>
        <v>54724.25</v>
      </c>
      <c r="G215" t="str">
        <f>_xlfn.XLOOKUP($A215,Map!$A:$A,Map!C:C)</f>
        <v>IS</v>
      </c>
      <c r="H215" t="str">
        <f>_xlfn.XLOOKUP($A215,Map!$A:$A,Map!D:D)</f>
        <v>Cost of sales</v>
      </c>
      <c r="I215" t="str">
        <f>_xlfn.XLOOKUP($A215,Map!$A:$A,Map!E:E)</f>
        <v>Overhead - Consumables &amp; SP</v>
      </c>
      <c r="J215" t="str">
        <f>_xlfn.XLOOKUP($A215,Map!$A:$A,Map!F:F)</f>
        <v>Tools</v>
      </c>
    </row>
    <row r="216" spans="1:10" hidden="1" x14ac:dyDescent="0.25">
      <c r="A216" s="90">
        <v>600016</v>
      </c>
      <c r="B216" s="90" t="s">
        <v>724</v>
      </c>
      <c r="D216" s="91">
        <v>54724.25</v>
      </c>
      <c r="E216" s="91">
        <v>0</v>
      </c>
      <c r="F216" s="91">
        <f t="shared" si="0"/>
        <v>54724.25</v>
      </c>
      <c r="G216" t="str">
        <f>_xlfn.XLOOKUP($A216,Map!$A:$A,Map!C:C)</f>
        <v>IS</v>
      </c>
      <c r="H216" t="str">
        <f>_xlfn.XLOOKUP($A216,Map!$A:$A,Map!D:D)</f>
        <v>Cost of sales</v>
      </c>
      <c r="I216" t="str">
        <f>_xlfn.XLOOKUP($A216,Map!$A:$A,Map!E:E)</f>
        <v>Overhead - Consumables &amp; SP</v>
      </c>
      <c r="J216" t="str">
        <f>_xlfn.XLOOKUP($A216,Map!$A:$A,Map!F:F)</f>
        <v>Tools</v>
      </c>
    </row>
    <row r="217" spans="1:10" hidden="1" x14ac:dyDescent="0.25">
      <c r="A217" s="90">
        <v>600016</v>
      </c>
      <c r="B217" s="90" t="s">
        <v>724</v>
      </c>
      <c r="D217" s="91">
        <v>27362.13</v>
      </c>
      <c r="E217" s="91">
        <v>0</v>
      </c>
      <c r="F217" s="91">
        <f t="shared" si="0"/>
        <v>27362.13</v>
      </c>
      <c r="G217" t="str">
        <f>_xlfn.XLOOKUP($A217,Map!$A:$A,Map!C:C)</f>
        <v>IS</v>
      </c>
      <c r="H217" t="str">
        <f>_xlfn.XLOOKUP($A217,Map!$A:$A,Map!D:D)</f>
        <v>Cost of sales</v>
      </c>
      <c r="I217" t="str">
        <f>_xlfn.XLOOKUP($A217,Map!$A:$A,Map!E:E)</f>
        <v>Overhead - Consumables &amp; SP</v>
      </c>
      <c r="J217" t="str">
        <f>_xlfn.XLOOKUP($A217,Map!$A:$A,Map!F:F)</f>
        <v>Tools</v>
      </c>
    </row>
    <row r="218" spans="1:10" hidden="1" x14ac:dyDescent="0.25">
      <c r="A218" s="90">
        <v>600016</v>
      </c>
      <c r="B218" s="90" t="s">
        <v>724</v>
      </c>
      <c r="D218" s="91">
        <v>27362.13</v>
      </c>
      <c r="E218" s="91">
        <v>0</v>
      </c>
      <c r="F218" s="91">
        <f t="shared" si="0"/>
        <v>27362.13</v>
      </c>
      <c r="G218" t="str">
        <f>_xlfn.XLOOKUP($A218,Map!$A:$A,Map!C:C)</f>
        <v>IS</v>
      </c>
      <c r="H218" t="str">
        <f>_xlfn.XLOOKUP($A218,Map!$A:$A,Map!D:D)</f>
        <v>Cost of sales</v>
      </c>
      <c r="I218" t="str">
        <f>_xlfn.XLOOKUP($A218,Map!$A:$A,Map!E:E)</f>
        <v>Overhead - Consumables &amp; SP</v>
      </c>
      <c r="J218" t="str">
        <f>_xlfn.XLOOKUP($A218,Map!$A:$A,Map!F:F)</f>
        <v>Tools</v>
      </c>
    </row>
    <row r="219" spans="1:10" hidden="1" x14ac:dyDescent="0.25">
      <c r="A219" s="90">
        <v>600016</v>
      </c>
      <c r="B219" s="90" t="s">
        <v>724</v>
      </c>
      <c r="D219" s="91">
        <v>49870.44</v>
      </c>
      <c r="E219" s="91">
        <v>0</v>
      </c>
      <c r="F219" s="91">
        <f t="shared" si="0"/>
        <v>49870.44</v>
      </c>
      <c r="G219" t="str">
        <f>_xlfn.XLOOKUP($A219,Map!$A:$A,Map!C:C)</f>
        <v>IS</v>
      </c>
      <c r="H219" t="str">
        <f>_xlfn.XLOOKUP($A219,Map!$A:$A,Map!D:D)</f>
        <v>Cost of sales</v>
      </c>
      <c r="I219" t="str">
        <f>_xlfn.XLOOKUP($A219,Map!$A:$A,Map!E:E)</f>
        <v>Overhead - Consumables &amp; SP</v>
      </c>
      <c r="J219" t="str">
        <f>_xlfn.XLOOKUP($A219,Map!$A:$A,Map!F:F)</f>
        <v>Tools</v>
      </c>
    </row>
    <row r="220" spans="1:10" hidden="1" x14ac:dyDescent="0.25">
      <c r="A220" s="90">
        <v>600014</v>
      </c>
      <c r="B220" s="90" t="s">
        <v>724</v>
      </c>
      <c r="D220" s="91">
        <v>246188.34</v>
      </c>
      <c r="E220" s="91">
        <v>0</v>
      </c>
      <c r="F220" s="91">
        <f t="shared" si="0"/>
        <v>246188.34</v>
      </c>
      <c r="G220" t="str">
        <f>_xlfn.XLOOKUP($A220,Map!$A:$A,Map!C:C)</f>
        <v>IS</v>
      </c>
      <c r="H220" t="str">
        <f>_xlfn.XLOOKUP($A220,Map!$A:$A,Map!D:D)</f>
        <v>Cost of sales</v>
      </c>
      <c r="I220" t="str">
        <f>_xlfn.XLOOKUP($A220,Map!$A:$A,Map!E:E)</f>
        <v>Overhead - Consumables &amp; SP</v>
      </c>
      <c r="J220" t="str">
        <f>_xlfn.XLOOKUP($A220,Map!$A:$A,Map!F:F)</f>
        <v>Consumables</v>
      </c>
    </row>
    <row r="221" spans="1:10" hidden="1" x14ac:dyDescent="0.25">
      <c r="A221" s="90">
        <v>600011</v>
      </c>
      <c r="B221" s="90" t="s">
        <v>724</v>
      </c>
      <c r="D221" s="91">
        <v>2000</v>
      </c>
      <c r="E221" s="91">
        <v>0</v>
      </c>
      <c r="F221" s="91">
        <f t="shared" si="0"/>
        <v>2000</v>
      </c>
      <c r="G221" t="str">
        <f>_xlfn.XLOOKUP($A221,Map!$A:$A,Map!C:C)</f>
        <v>IS</v>
      </c>
      <c r="H221" t="str">
        <f>_xlfn.XLOOKUP($A221,Map!$A:$A,Map!D:D)</f>
        <v>Cost of sales</v>
      </c>
      <c r="I221" t="str">
        <f>_xlfn.XLOOKUP($A221,Map!$A:$A,Map!E:E)</f>
        <v>Overhead - Labor Cost</v>
      </c>
      <c r="J221" t="str">
        <f>_xlfn.XLOOKUP($A221,Map!$A:$A,Map!F:F)</f>
        <v>Air tickets</v>
      </c>
    </row>
    <row r="222" spans="1:10" hidden="1" x14ac:dyDescent="0.25">
      <c r="A222" s="90">
        <v>600009</v>
      </c>
      <c r="B222" s="90" t="s">
        <v>724</v>
      </c>
      <c r="D222" s="91">
        <v>20500</v>
      </c>
      <c r="E222" s="91">
        <v>0</v>
      </c>
      <c r="F222" s="91">
        <f t="shared" si="0"/>
        <v>20500</v>
      </c>
      <c r="G222" t="str">
        <f>_xlfn.XLOOKUP($A222,Map!$A:$A,Map!C:C)</f>
        <v>IS</v>
      </c>
      <c r="H222" t="str">
        <f>_xlfn.XLOOKUP($A222,Map!$A:$A,Map!D:D)</f>
        <v>Cost of sales</v>
      </c>
      <c r="I222" t="str">
        <f>_xlfn.XLOOKUP($A222,Map!$A:$A,Map!E:E)</f>
        <v>Overhead - Labor Cost</v>
      </c>
      <c r="J222" t="str">
        <f>_xlfn.XLOOKUP($A222,Map!$A:$A,Map!F:F)</f>
        <v>Vacation pay</v>
      </c>
    </row>
    <row r="223" spans="1:10" hidden="1" x14ac:dyDescent="0.25">
      <c r="A223" s="90">
        <v>600008</v>
      </c>
      <c r="B223" s="90" t="s">
        <v>724</v>
      </c>
      <c r="D223" s="91">
        <v>17184</v>
      </c>
      <c r="E223" s="91">
        <v>0</v>
      </c>
      <c r="F223" s="91">
        <f t="shared" si="0"/>
        <v>17184</v>
      </c>
      <c r="G223" t="str">
        <f>_xlfn.XLOOKUP($A223,Map!$A:$A,Map!C:C)</f>
        <v>IS</v>
      </c>
      <c r="H223" t="str">
        <f>_xlfn.XLOOKUP($A223,Map!$A:$A,Map!D:D)</f>
        <v>Cost of sales</v>
      </c>
      <c r="I223" t="str">
        <f>_xlfn.XLOOKUP($A223,Map!$A:$A,Map!E:E)</f>
        <v>Overhead - Labor Cost</v>
      </c>
      <c r="J223" t="str">
        <f>_xlfn.XLOOKUP($A223,Map!$A:$A,Map!F:F)</f>
        <v>Air tickets</v>
      </c>
    </row>
    <row r="224" spans="1:10" hidden="1" x14ac:dyDescent="0.25">
      <c r="A224" s="90">
        <v>600007</v>
      </c>
      <c r="B224" s="90" t="s">
        <v>724</v>
      </c>
      <c r="D224" s="91">
        <v>300</v>
      </c>
      <c r="E224" s="91">
        <v>0</v>
      </c>
      <c r="F224" s="91">
        <f t="shared" si="0"/>
        <v>300</v>
      </c>
      <c r="G224" t="str">
        <f>_xlfn.XLOOKUP($A224,Map!$A:$A,Map!C:C)</f>
        <v>IS</v>
      </c>
      <c r="H224" t="str">
        <f>_xlfn.XLOOKUP($A224,Map!$A:$A,Map!D:D)</f>
        <v>Cost of sales</v>
      </c>
      <c r="I224" t="str">
        <f>_xlfn.XLOOKUP($A224,Map!$A:$A,Map!E:E)</f>
        <v>Overhead - Labor Cost</v>
      </c>
      <c r="J224" t="str">
        <f>_xlfn.XLOOKUP($A224,Map!$A:$A,Map!F:F)</f>
        <v>Transportation allowance</v>
      </c>
    </row>
    <row r="225" spans="1:10" hidden="1" x14ac:dyDescent="0.25">
      <c r="A225" s="90">
        <v>600006</v>
      </c>
      <c r="B225" s="90" t="s">
        <v>724</v>
      </c>
      <c r="D225" s="91">
        <v>63718.36</v>
      </c>
      <c r="E225" s="91">
        <v>0</v>
      </c>
      <c r="F225" s="91">
        <f t="shared" si="0"/>
        <v>63718.36</v>
      </c>
      <c r="G225" t="str">
        <f>_xlfn.XLOOKUP($A225,Map!$A:$A,Map!C:C)</f>
        <v>IS</v>
      </c>
      <c r="H225" t="str">
        <f>_xlfn.XLOOKUP($A225,Map!$A:$A,Map!D:D)</f>
        <v>Cost of sales</v>
      </c>
      <c r="I225" t="str">
        <f>_xlfn.XLOOKUP($A225,Map!$A:$A,Map!E:E)</f>
        <v>Overhead - Labor Cost</v>
      </c>
      <c r="J225" t="str">
        <f>_xlfn.XLOOKUP($A225,Map!$A:$A,Map!F:F)</f>
        <v xml:space="preserve">Food &amp; Housing </v>
      </c>
    </row>
    <row r="226" spans="1:10" hidden="1" x14ac:dyDescent="0.25">
      <c r="A226" s="90">
        <v>600005</v>
      </c>
      <c r="B226" s="90" t="s">
        <v>724</v>
      </c>
      <c r="D226" s="91">
        <v>71264</v>
      </c>
      <c r="E226" s="91">
        <v>0</v>
      </c>
      <c r="F226" s="91">
        <f t="shared" si="0"/>
        <v>71264</v>
      </c>
      <c r="G226" t="str">
        <f>_xlfn.XLOOKUP($A226,Map!$A:$A,Map!C:C)</f>
        <v>IS</v>
      </c>
      <c r="H226" t="str">
        <f>_xlfn.XLOOKUP($A226,Map!$A:$A,Map!D:D)</f>
        <v>General and Admin</v>
      </c>
      <c r="I226" t="str">
        <f>_xlfn.XLOOKUP($A226,Map!$A:$A,Map!E:E)</f>
        <v>Govt license and fees (including modon)</v>
      </c>
      <c r="J226" t="str">
        <f>_xlfn.XLOOKUP($A226,Map!$A:$A,Map!F:F)</f>
        <v>Government fees</v>
      </c>
    </row>
    <row r="227" spans="1:10" hidden="1" x14ac:dyDescent="0.25">
      <c r="A227" s="90">
        <v>600004</v>
      </c>
      <c r="B227" s="90" t="s">
        <v>724</v>
      </c>
      <c r="D227" s="91">
        <v>18549.3</v>
      </c>
      <c r="E227" s="91">
        <v>0</v>
      </c>
      <c r="F227" s="91">
        <f t="shared" si="0"/>
        <v>18549.3</v>
      </c>
      <c r="G227" t="str">
        <f>_xlfn.XLOOKUP($A227,Map!$A:$A,Map!C:C)</f>
        <v>IS</v>
      </c>
      <c r="H227" t="str">
        <f>_xlfn.XLOOKUP($A227,Map!$A:$A,Map!D:D)</f>
        <v>Cost of sales</v>
      </c>
      <c r="I227" t="str">
        <f>_xlfn.XLOOKUP($A227,Map!$A:$A,Map!E:E)</f>
        <v>Overhead - Labor Cost</v>
      </c>
      <c r="J227" t="str">
        <f>_xlfn.XLOOKUP($A227,Map!$A:$A,Map!F:F)</f>
        <v>Medical insurance</v>
      </c>
    </row>
    <row r="228" spans="1:10" hidden="1" x14ac:dyDescent="0.25">
      <c r="A228" s="90">
        <v>600003</v>
      </c>
      <c r="B228" s="90" t="s">
        <v>724</v>
      </c>
      <c r="D228" s="91">
        <v>6073</v>
      </c>
      <c r="E228" s="91">
        <v>0</v>
      </c>
      <c r="F228" s="91">
        <f t="shared" si="0"/>
        <v>6073</v>
      </c>
      <c r="G228" t="str">
        <f>_xlfn.XLOOKUP($A228,Map!$A:$A,Map!C:C)</f>
        <v>IS</v>
      </c>
      <c r="H228" t="str">
        <f>_xlfn.XLOOKUP($A228,Map!$A:$A,Map!D:D)</f>
        <v>Cost of sales</v>
      </c>
      <c r="I228" t="str">
        <f>_xlfn.XLOOKUP($A228,Map!$A:$A,Map!E:E)</f>
        <v>Overhead - Labor Cost</v>
      </c>
      <c r="J228" t="str">
        <f>_xlfn.XLOOKUP($A228,Map!$A:$A,Map!F:F)</f>
        <v xml:space="preserve">Food &amp; Housing </v>
      </c>
    </row>
    <row r="229" spans="1:10" hidden="1" x14ac:dyDescent="0.25">
      <c r="A229" s="90">
        <v>600002</v>
      </c>
      <c r="B229" s="90" t="s">
        <v>724</v>
      </c>
      <c r="D229" s="91">
        <v>22535</v>
      </c>
      <c r="E229" s="91">
        <v>0</v>
      </c>
      <c r="F229" s="91">
        <f t="shared" si="0"/>
        <v>22535</v>
      </c>
      <c r="G229" t="str">
        <f>_xlfn.XLOOKUP($A229,Map!$A:$A,Map!C:C)</f>
        <v>IS</v>
      </c>
      <c r="H229" t="str">
        <f>_xlfn.XLOOKUP($A229,Map!$A:$A,Map!D:D)</f>
        <v>Cost of sales</v>
      </c>
      <c r="I229" t="str">
        <f>_xlfn.XLOOKUP($A229,Map!$A:$A,Map!E:E)</f>
        <v>Overhead - Labor Cost</v>
      </c>
      <c r="J229" t="str">
        <f>_xlfn.XLOOKUP($A229,Map!$A:$A,Map!F:F)</f>
        <v>Overtime pay</v>
      </c>
    </row>
    <row r="230" spans="1:10" hidden="1" x14ac:dyDescent="0.25">
      <c r="A230" s="90">
        <v>600001</v>
      </c>
      <c r="B230" s="90" t="s">
        <v>724</v>
      </c>
      <c r="D230" s="91">
        <v>191382.25</v>
      </c>
      <c r="E230" s="91">
        <v>0</v>
      </c>
      <c r="F230" s="91">
        <f t="shared" si="0"/>
        <v>191382.25</v>
      </c>
      <c r="G230" t="str">
        <f>_xlfn.XLOOKUP($A230,Map!$A:$A,Map!C:C)</f>
        <v>IS</v>
      </c>
      <c r="H230" t="str">
        <f>_xlfn.XLOOKUP($A230,Map!$A:$A,Map!D:D)</f>
        <v>Cost of sales</v>
      </c>
      <c r="I230" t="str">
        <f>_xlfn.XLOOKUP($A230,Map!$A:$A,Map!E:E)</f>
        <v>Overhead - Labor Cost</v>
      </c>
      <c r="J230" t="str">
        <f>_xlfn.XLOOKUP($A230,Map!$A:$A,Map!F:F)</f>
        <v>Salaries and wages</v>
      </c>
    </row>
    <row r="231" spans="1:10" hidden="1" x14ac:dyDescent="0.25">
      <c r="A231" s="90">
        <v>520021</v>
      </c>
      <c r="B231" s="90" t="s">
        <v>724</v>
      </c>
      <c r="D231" s="91">
        <v>4625</v>
      </c>
      <c r="E231" s="91">
        <v>0</v>
      </c>
      <c r="F231" s="91">
        <f t="shared" si="0"/>
        <v>4625</v>
      </c>
      <c r="G231" t="str">
        <f>_xlfn.XLOOKUP($A231,Map!$A:$A,Map!C:C)</f>
        <v>IS</v>
      </c>
      <c r="H231" t="str">
        <f>_xlfn.XLOOKUP($A231,Map!$A:$A,Map!D:D)</f>
        <v>Cost of sales</v>
      </c>
      <c r="I231" t="str">
        <f>_xlfn.XLOOKUP($A231,Map!$A:$A,Map!E:E)</f>
        <v>Direct Labor</v>
      </c>
      <c r="J231" t="str">
        <f>_xlfn.XLOOKUP($A231,Map!$A:$A,Map!F:F)</f>
        <v>Medical insurance</v>
      </c>
    </row>
    <row r="232" spans="1:10" hidden="1" x14ac:dyDescent="0.25">
      <c r="A232" s="90">
        <v>520011</v>
      </c>
      <c r="B232" s="90" t="s">
        <v>724</v>
      </c>
      <c r="D232" s="91">
        <v>19771</v>
      </c>
      <c r="E232" s="91">
        <v>0</v>
      </c>
      <c r="F232" s="91">
        <f t="shared" si="0"/>
        <v>19771</v>
      </c>
      <c r="G232" t="str">
        <f>_xlfn.XLOOKUP($A232,Map!$A:$A,Map!C:C)</f>
        <v>IS</v>
      </c>
      <c r="H232" t="str">
        <f>_xlfn.XLOOKUP($A232,Map!$A:$A,Map!D:D)</f>
        <v>Cost of sales</v>
      </c>
      <c r="I232" t="str">
        <f>_xlfn.XLOOKUP($A232,Map!$A:$A,Map!E:E)</f>
        <v>Direct Labor</v>
      </c>
      <c r="J232" t="str">
        <f>_xlfn.XLOOKUP($A232,Map!$A:$A,Map!F:F)</f>
        <v>Overtime pay</v>
      </c>
    </row>
    <row r="233" spans="1:10" hidden="1" x14ac:dyDescent="0.25">
      <c r="A233" s="90">
        <v>520011</v>
      </c>
      <c r="B233" s="90" t="s">
        <v>724</v>
      </c>
      <c r="D233" s="91">
        <v>24069</v>
      </c>
      <c r="E233" s="91">
        <v>0</v>
      </c>
      <c r="F233" s="91">
        <f t="shared" si="0"/>
        <v>24069</v>
      </c>
      <c r="G233" t="str">
        <f>_xlfn.XLOOKUP($A233,Map!$A:$A,Map!C:C)</f>
        <v>IS</v>
      </c>
      <c r="H233" t="str">
        <f>_xlfn.XLOOKUP($A233,Map!$A:$A,Map!D:D)</f>
        <v>Cost of sales</v>
      </c>
      <c r="I233" t="str">
        <f>_xlfn.XLOOKUP($A233,Map!$A:$A,Map!E:E)</f>
        <v>Direct Labor</v>
      </c>
      <c r="J233" t="str">
        <f>_xlfn.XLOOKUP($A233,Map!$A:$A,Map!F:F)</f>
        <v>Overtime pay</v>
      </c>
    </row>
    <row r="234" spans="1:10" hidden="1" x14ac:dyDescent="0.25">
      <c r="A234" s="90">
        <v>520006</v>
      </c>
      <c r="B234" s="90" t="s">
        <v>724</v>
      </c>
      <c r="D234" s="91">
        <v>12810</v>
      </c>
      <c r="E234" s="91">
        <v>0</v>
      </c>
      <c r="F234" s="91">
        <f t="shared" si="0"/>
        <v>12810</v>
      </c>
      <c r="G234" t="str">
        <f>_xlfn.XLOOKUP($A234,Map!$A:$A,Map!C:C)</f>
        <v>IS</v>
      </c>
      <c r="H234" t="str">
        <f>_xlfn.XLOOKUP($A234,Map!$A:$A,Map!D:D)</f>
        <v>Cost of sales</v>
      </c>
      <c r="I234" t="str">
        <f>_xlfn.XLOOKUP($A234,Map!$A:$A,Map!E:E)</f>
        <v>Direct Labor</v>
      </c>
      <c r="J234" t="str">
        <f>_xlfn.XLOOKUP($A234,Map!$A:$A,Map!F:F)</f>
        <v>Medical insurance</v>
      </c>
    </row>
    <row r="235" spans="1:10" hidden="1" x14ac:dyDescent="0.25">
      <c r="A235" s="90">
        <v>520006</v>
      </c>
      <c r="B235" s="90" t="s">
        <v>724</v>
      </c>
      <c r="D235" s="91">
        <v>6416</v>
      </c>
      <c r="E235" s="91">
        <v>0</v>
      </c>
      <c r="F235" s="91">
        <f t="shared" si="0"/>
        <v>6416</v>
      </c>
      <c r="G235" t="str">
        <f>_xlfn.XLOOKUP($A235,Map!$A:$A,Map!C:C)</f>
        <v>IS</v>
      </c>
      <c r="H235" t="str">
        <f>_xlfn.XLOOKUP($A235,Map!$A:$A,Map!D:D)</f>
        <v>Cost of sales</v>
      </c>
      <c r="I235" t="str">
        <f>_xlfn.XLOOKUP($A235,Map!$A:$A,Map!E:E)</f>
        <v>Direct Labor</v>
      </c>
      <c r="J235" t="str">
        <f>_xlfn.XLOOKUP($A235,Map!$A:$A,Map!F:F)</f>
        <v>Medical insurance</v>
      </c>
    </row>
    <row r="236" spans="1:10" hidden="1" x14ac:dyDescent="0.25">
      <c r="A236" s="90">
        <v>520006</v>
      </c>
      <c r="B236" s="90" t="s">
        <v>724</v>
      </c>
      <c r="D236" s="91">
        <v>4114</v>
      </c>
      <c r="E236" s="91">
        <v>0</v>
      </c>
      <c r="F236" s="91">
        <f t="shared" si="0"/>
        <v>4114</v>
      </c>
      <c r="G236" t="str">
        <f>_xlfn.XLOOKUP($A236,Map!$A:$A,Map!C:C)</f>
        <v>IS</v>
      </c>
      <c r="H236" t="str">
        <f>_xlfn.XLOOKUP($A236,Map!$A:$A,Map!D:D)</f>
        <v>Cost of sales</v>
      </c>
      <c r="I236" t="str">
        <f>_xlfn.XLOOKUP($A236,Map!$A:$A,Map!E:E)</f>
        <v>Direct Labor</v>
      </c>
      <c r="J236" t="str">
        <f>_xlfn.XLOOKUP($A236,Map!$A:$A,Map!F:F)</f>
        <v>Medical insurance</v>
      </c>
    </row>
    <row r="237" spans="1:10" hidden="1" x14ac:dyDescent="0.25">
      <c r="A237" s="90">
        <v>520006</v>
      </c>
      <c r="B237" s="90" t="s">
        <v>724</v>
      </c>
      <c r="D237" s="91">
        <v>3448</v>
      </c>
      <c r="E237" s="91">
        <v>0</v>
      </c>
      <c r="F237" s="91">
        <f t="shared" si="0"/>
        <v>3448</v>
      </c>
      <c r="G237" t="str">
        <f>_xlfn.XLOOKUP($A237,Map!$A:$A,Map!C:C)</f>
        <v>IS</v>
      </c>
      <c r="H237" t="str">
        <f>_xlfn.XLOOKUP($A237,Map!$A:$A,Map!D:D)</f>
        <v>Cost of sales</v>
      </c>
      <c r="I237" t="str">
        <f>_xlfn.XLOOKUP($A237,Map!$A:$A,Map!E:E)</f>
        <v>Direct Labor</v>
      </c>
      <c r="J237" t="str">
        <f>_xlfn.XLOOKUP($A237,Map!$A:$A,Map!F:F)</f>
        <v>Medical insurance</v>
      </c>
    </row>
    <row r="238" spans="1:10" hidden="1" x14ac:dyDescent="0.25">
      <c r="A238" s="90">
        <v>520006</v>
      </c>
      <c r="B238" s="90" t="s">
        <v>724</v>
      </c>
      <c r="D238" s="91">
        <v>4476</v>
      </c>
      <c r="E238" s="91">
        <v>0</v>
      </c>
      <c r="F238" s="91">
        <f t="shared" si="0"/>
        <v>4476</v>
      </c>
      <c r="G238" t="str">
        <f>_xlfn.XLOOKUP($A238,Map!$A:$A,Map!C:C)</f>
        <v>IS</v>
      </c>
      <c r="H238" t="str">
        <f>_xlfn.XLOOKUP($A238,Map!$A:$A,Map!D:D)</f>
        <v>Cost of sales</v>
      </c>
      <c r="I238" t="str">
        <f>_xlfn.XLOOKUP($A238,Map!$A:$A,Map!E:E)</f>
        <v>Direct Labor</v>
      </c>
      <c r="J238" t="str">
        <f>_xlfn.XLOOKUP($A238,Map!$A:$A,Map!F:F)</f>
        <v>Medical insurance</v>
      </c>
    </row>
    <row r="239" spans="1:10" hidden="1" x14ac:dyDescent="0.25">
      <c r="A239" s="90">
        <v>520006</v>
      </c>
      <c r="B239" s="90" t="s">
        <v>724</v>
      </c>
      <c r="D239" s="91">
        <v>2920</v>
      </c>
      <c r="E239" s="91">
        <v>0</v>
      </c>
      <c r="F239" s="91">
        <f t="shared" si="0"/>
        <v>2920</v>
      </c>
      <c r="G239" t="str">
        <f>_xlfn.XLOOKUP($A239,Map!$A:$A,Map!C:C)</f>
        <v>IS</v>
      </c>
      <c r="H239" t="str">
        <f>_xlfn.XLOOKUP($A239,Map!$A:$A,Map!D:D)</f>
        <v>Cost of sales</v>
      </c>
      <c r="I239" t="str">
        <f>_xlfn.XLOOKUP($A239,Map!$A:$A,Map!E:E)</f>
        <v>Direct Labor</v>
      </c>
      <c r="J239" t="str">
        <f>_xlfn.XLOOKUP($A239,Map!$A:$A,Map!F:F)</f>
        <v>Medical insurance</v>
      </c>
    </row>
    <row r="240" spans="1:10" hidden="1" x14ac:dyDescent="0.25">
      <c r="A240" s="90">
        <v>520004</v>
      </c>
      <c r="B240" s="90" t="s">
        <v>724</v>
      </c>
      <c r="D240" s="91">
        <v>9832</v>
      </c>
      <c r="E240" s="91">
        <v>0</v>
      </c>
      <c r="F240" s="91">
        <f t="shared" si="0"/>
        <v>9832</v>
      </c>
      <c r="G240" t="str">
        <f>_xlfn.XLOOKUP($A240,Map!$A:$A,Map!C:C)</f>
        <v>IS</v>
      </c>
      <c r="H240" t="str">
        <f>_xlfn.XLOOKUP($A240,Map!$A:$A,Map!D:D)</f>
        <v>Cost of sales</v>
      </c>
      <c r="I240" t="str">
        <f>_xlfn.XLOOKUP($A240,Map!$A:$A,Map!E:E)</f>
        <v>Direct Labor</v>
      </c>
      <c r="J240" t="str">
        <f>_xlfn.XLOOKUP($A240,Map!$A:$A,Map!F:F)</f>
        <v>Food and housing</v>
      </c>
    </row>
    <row r="241" spans="1:10" hidden="1" x14ac:dyDescent="0.25">
      <c r="A241" s="90">
        <v>520004</v>
      </c>
      <c r="B241" s="90" t="s">
        <v>724</v>
      </c>
      <c r="D241" s="91">
        <v>7000</v>
      </c>
      <c r="E241" s="91">
        <v>0</v>
      </c>
      <c r="F241" s="91">
        <f t="shared" si="0"/>
        <v>7000</v>
      </c>
      <c r="G241" t="str">
        <f>_xlfn.XLOOKUP($A241,Map!$A:$A,Map!C:C)</f>
        <v>IS</v>
      </c>
      <c r="H241" t="str">
        <f>_xlfn.XLOOKUP($A241,Map!$A:$A,Map!D:D)</f>
        <v>Cost of sales</v>
      </c>
      <c r="I241" t="str">
        <f>_xlfn.XLOOKUP($A241,Map!$A:$A,Map!E:E)</f>
        <v>Direct Labor</v>
      </c>
      <c r="J241" t="str">
        <f>_xlfn.XLOOKUP($A241,Map!$A:$A,Map!F:F)</f>
        <v>Food and housing</v>
      </c>
    </row>
    <row r="242" spans="1:10" hidden="1" x14ac:dyDescent="0.25">
      <c r="A242" s="90">
        <v>520003</v>
      </c>
      <c r="B242" s="90" t="s">
        <v>724</v>
      </c>
      <c r="D242" s="91">
        <v>5880</v>
      </c>
      <c r="E242" s="91">
        <v>0</v>
      </c>
      <c r="F242" s="91">
        <f t="shared" si="0"/>
        <v>5880</v>
      </c>
      <c r="G242" t="str">
        <f>_xlfn.XLOOKUP($A242,Map!$A:$A,Map!C:C)</f>
        <v>IS</v>
      </c>
      <c r="H242" t="str">
        <f>_xlfn.XLOOKUP($A242,Map!$A:$A,Map!D:D)</f>
        <v>Cost of sales</v>
      </c>
      <c r="I242" t="str">
        <f>_xlfn.XLOOKUP($A242,Map!$A:$A,Map!E:E)</f>
        <v>Direct Labor</v>
      </c>
      <c r="J242" t="str">
        <f>_xlfn.XLOOKUP($A242,Map!$A:$A,Map!F:F)</f>
        <v>Transportation allowance</v>
      </c>
    </row>
    <row r="243" spans="1:10" hidden="1" x14ac:dyDescent="0.25">
      <c r="A243" s="90">
        <v>520001</v>
      </c>
      <c r="B243" s="90" t="s">
        <v>724</v>
      </c>
      <c r="D243" s="91">
        <v>268825.5</v>
      </c>
      <c r="E243" s="91">
        <v>0</v>
      </c>
      <c r="F243" s="91">
        <f t="shared" si="0"/>
        <v>268825.5</v>
      </c>
      <c r="G243" t="str">
        <f>_xlfn.XLOOKUP($A243,Map!$A:$A,Map!C:C)</f>
        <v>IS</v>
      </c>
      <c r="H243" t="str">
        <f>_xlfn.XLOOKUP($A243,Map!$A:$A,Map!D:D)</f>
        <v>Cost of sales</v>
      </c>
      <c r="I243" t="str">
        <f>_xlfn.XLOOKUP($A243,Map!$A:$A,Map!E:E)</f>
        <v>Direct Labor</v>
      </c>
      <c r="J243" t="str">
        <f>_xlfn.XLOOKUP($A243,Map!$A:$A,Map!F:F)</f>
        <v>Salaries and wages</v>
      </c>
    </row>
    <row r="244" spans="1:10" hidden="1" x14ac:dyDescent="0.25">
      <c r="A244" s="90">
        <v>520001</v>
      </c>
      <c r="B244" s="90" t="s">
        <v>724</v>
      </c>
      <c r="D244" s="91">
        <v>36643</v>
      </c>
      <c r="E244" s="91">
        <v>0</v>
      </c>
      <c r="F244" s="91">
        <f t="shared" si="0"/>
        <v>36643</v>
      </c>
      <c r="G244" t="str">
        <f>_xlfn.XLOOKUP($A244,Map!$A:$A,Map!C:C)</f>
        <v>IS</v>
      </c>
      <c r="H244" t="str">
        <f>_xlfn.XLOOKUP($A244,Map!$A:$A,Map!D:D)</f>
        <v>Cost of sales</v>
      </c>
      <c r="I244" t="str">
        <f>_xlfn.XLOOKUP($A244,Map!$A:$A,Map!E:E)</f>
        <v>Direct Labor</v>
      </c>
      <c r="J244" t="str">
        <f>_xlfn.XLOOKUP($A244,Map!$A:$A,Map!F:F)</f>
        <v>Salaries and wages</v>
      </c>
    </row>
    <row r="245" spans="1:10" hidden="1" x14ac:dyDescent="0.25">
      <c r="A245" s="90">
        <v>520001</v>
      </c>
      <c r="B245" s="90" t="s">
        <v>724</v>
      </c>
      <c r="D245" s="91">
        <v>62649.5</v>
      </c>
      <c r="E245" s="91">
        <v>0</v>
      </c>
      <c r="F245" s="91">
        <f t="shared" si="0"/>
        <v>62649.5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Direct Labor</v>
      </c>
      <c r="J245" t="str">
        <f>_xlfn.XLOOKUP($A245,Map!$A:$A,Map!F:F)</f>
        <v>Salaries and wages</v>
      </c>
    </row>
    <row r="246" spans="1:10" hidden="1" x14ac:dyDescent="0.25">
      <c r="A246" s="90">
        <v>520001</v>
      </c>
      <c r="B246" s="90" t="s">
        <v>724</v>
      </c>
      <c r="D246" s="91">
        <v>23324</v>
      </c>
      <c r="E246" s="91">
        <v>0</v>
      </c>
      <c r="F246" s="91">
        <f t="shared" si="0"/>
        <v>23324</v>
      </c>
      <c r="G246" t="str">
        <f>_xlfn.XLOOKUP($A246,Map!$A:$A,Map!C:C)</f>
        <v>IS</v>
      </c>
      <c r="H246" t="str">
        <f>_xlfn.XLOOKUP($A246,Map!$A:$A,Map!D:D)</f>
        <v>Cost of sales</v>
      </c>
      <c r="I246" t="str">
        <f>_xlfn.XLOOKUP($A246,Map!$A:$A,Map!E:E)</f>
        <v>Direct Labor</v>
      </c>
      <c r="J246" t="str">
        <f>_xlfn.XLOOKUP($A246,Map!$A:$A,Map!F:F)</f>
        <v>Salaries and wages</v>
      </c>
    </row>
    <row r="247" spans="1:10" hidden="1" x14ac:dyDescent="0.25">
      <c r="A247" s="90">
        <v>520001</v>
      </c>
      <c r="B247" s="90" t="s">
        <v>724</v>
      </c>
      <c r="D247" s="91">
        <v>46798</v>
      </c>
      <c r="E247" s="91">
        <v>0</v>
      </c>
      <c r="F247" s="91">
        <f t="shared" si="0"/>
        <v>46798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Direct Labor</v>
      </c>
      <c r="J247" t="str">
        <f>_xlfn.XLOOKUP($A247,Map!$A:$A,Map!F:F)</f>
        <v>Salaries and wages</v>
      </c>
    </row>
    <row r="248" spans="1:10" hidden="1" x14ac:dyDescent="0.25">
      <c r="A248" s="90">
        <v>510004</v>
      </c>
      <c r="B248" s="90" t="s">
        <v>724</v>
      </c>
      <c r="D248" s="91">
        <v>0</v>
      </c>
      <c r="E248" s="91">
        <v>439919.3</v>
      </c>
      <c r="F248" s="91">
        <f t="shared" si="0"/>
        <v>-439919.3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Raw materials</v>
      </c>
      <c r="J248" t="str">
        <f>_xlfn.XLOOKUP($A248,Map!$A:$A,Map!F:F)</f>
        <v>Other expenses</v>
      </c>
    </row>
    <row r="249" spans="1:10" hidden="1" x14ac:dyDescent="0.25">
      <c r="A249" s="90">
        <v>510004</v>
      </c>
      <c r="B249" s="90" t="s">
        <v>724</v>
      </c>
      <c r="D249" s="91">
        <v>0</v>
      </c>
      <c r="E249" s="91">
        <v>262291.58</v>
      </c>
      <c r="F249" s="91">
        <f t="shared" si="0"/>
        <v>-262291.58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Raw materials</v>
      </c>
      <c r="J249" t="str">
        <f>_xlfn.XLOOKUP($A249,Map!$A:$A,Map!F:F)</f>
        <v>Other expenses</v>
      </c>
    </row>
    <row r="250" spans="1:10" hidden="1" x14ac:dyDescent="0.25">
      <c r="A250" s="90">
        <v>510004</v>
      </c>
      <c r="B250" s="90" t="s">
        <v>724</v>
      </c>
      <c r="D250" s="91">
        <v>0</v>
      </c>
      <c r="E250" s="91">
        <v>14236.11</v>
      </c>
      <c r="F250" s="91">
        <f t="shared" si="0"/>
        <v>-14236.11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Raw materials</v>
      </c>
      <c r="J250" t="str">
        <f>_xlfn.XLOOKUP($A250,Map!$A:$A,Map!F:F)</f>
        <v>Other expenses</v>
      </c>
    </row>
    <row r="251" spans="1:10" hidden="1" x14ac:dyDescent="0.25">
      <c r="A251" s="90">
        <v>510004</v>
      </c>
      <c r="B251" s="90" t="s">
        <v>724</v>
      </c>
      <c r="D251" s="91">
        <v>0</v>
      </c>
      <c r="E251" s="91">
        <v>215493.18</v>
      </c>
      <c r="F251" s="91">
        <f t="shared" si="0"/>
        <v>-215493.18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Raw materials</v>
      </c>
      <c r="J251" t="str">
        <f>_xlfn.XLOOKUP($A251,Map!$A:$A,Map!F:F)</f>
        <v>Other expenses</v>
      </c>
    </row>
    <row r="252" spans="1:10" hidden="1" x14ac:dyDescent="0.25">
      <c r="A252" s="90">
        <v>510004</v>
      </c>
      <c r="B252" s="90" t="s">
        <v>724</v>
      </c>
      <c r="D252" s="91">
        <v>0</v>
      </c>
      <c r="E252" s="91">
        <v>237724.44</v>
      </c>
      <c r="F252" s="91">
        <f t="shared" si="0"/>
        <v>-237724.44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Raw materials</v>
      </c>
      <c r="J252" t="str">
        <f>_xlfn.XLOOKUP($A252,Map!$A:$A,Map!F:F)</f>
        <v>Other expenses</v>
      </c>
    </row>
    <row r="253" spans="1:10" hidden="1" x14ac:dyDescent="0.25">
      <c r="A253" s="90">
        <v>510004</v>
      </c>
      <c r="B253" s="90" t="s">
        <v>724</v>
      </c>
      <c r="D253" s="91">
        <v>0</v>
      </c>
      <c r="E253" s="91">
        <v>34641</v>
      </c>
      <c r="F253" s="91">
        <f t="shared" si="0"/>
        <v>-34641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Raw materials</v>
      </c>
      <c r="J253" t="str">
        <f>_xlfn.XLOOKUP($A253,Map!$A:$A,Map!F:F)</f>
        <v>Other expenses</v>
      </c>
    </row>
    <row r="254" spans="1:10" hidden="1" x14ac:dyDescent="0.25">
      <c r="A254" s="90">
        <v>510004</v>
      </c>
      <c r="B254" s="90" t="s">
        <v>724</v>
      </c>
      <c r="D254" s="91">
        <v>0</v>
      </c>
      <c r="E254" s="91">
        <v>3350.28</v>
      </c>
      <c r="F254" s="91">
        <f t="shared" si="0"/>
        <v>-3350.28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Raw materials</v>
      </c>
      <c r="J254" t="str">
        <f>_xlfn.XLOOKUP($A254,Map!$A:$A,Map!F:F)</f>
        <v>Other expenses</v>
      </c>
    </row>
    <row r="255" spans="1:10" hidden="1" x14ac:dyDescent="0.25">
      <c r="A255" s="90">
        <v>510004</v>
      </c>
      <c r="B255" s="90" t="s">
        <v>724</v>
      </c>
      <c r="D255" s="91">
        <v>0</v>
      </c>
      <c r="E255" s="91">
        <v>116611.33</v>
      </c>
      <c r="F255" s="91">
        <f t="shared" si="0"/>
        <v>-116611.33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Raw materials</v>
      </c>
      <c r="J255" t="str">
        <f>_xlfn.XLOOKUP($A255,Map!$A:$A,Map!F:F)</f>
        <v>Other expenses</v>
      </c>
    </row>
    <row r="256" spans="1:10" hidden="1" x14ac:dyDescent="0.25">
      <c r="A256" s="90">
        <v>510004</v>
      </c>
      <c r="B256" s="90" t="s">
        <v>724</v>
      </c>
      <c r="D256" s="91">
        <v>0</v>
      </c>
      <c r="E256" s="91">
        <v>496129.26</v>
      </c>
      <c r="F256" s="91">
        <f t="shared" si="0"/>
        <v>-496129.26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Raw materials</v>
      </c>
      <c r="J256" t="str">
        <f>_xlfn.XLOOKUP($A256,Map!$A:$A,Map!F:F)</f>
        <v>Other expenses</v>
      </c>
    </row>
    <row r="257" spans="1:10" hidden="1" x14ac:dyDescent="0.25">
      <c r="A257" s="90">
        <v>510004</v>
      </c>
      <c r="B257" s="90" t="s">
        <v>724</v>
      </c>
      <c r="D257" s="91">
        <v>0</v>
      </c>
      <c r="E257" s="91">
        <v>70445.179999999993</v>
      </c>
      <c r="F257" s="91">
        <f t="shared" si="0"/>
        <v>-70445.179999999993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Raw materials</v>
      </c>
      <c r="J257" t="str">
        <f>_xlfn.XLOOKUP($A257,Map!$A:$A,Map!F:F)</f>
        <v>Other expenses</v>
      </c>
    </row>
    <row r="258" spans="1:10" hidden="1" x14ac:dyDescent="0.25">
      <c r="A258" s="90">
        <v>510004</v>
      </c>
      <c r="B258" s="90" t="s">
        <v>724</v>
      </c>
      <c r="D258" s="91">
        <v>0</v>
      </c>
      <c r="E258" s="91">
        <v>19178.16</v>
      </c>
      <c r="F258" s="91">
        <f t="shared" si="0"/>
        <v>-19178.16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Raw materials</v>
      </c>
      <c r="J258" t="str">
        <f>_xlfn.XLOOKUP($A258,Map!$A:$A,Map!F:F)</f>
        <v>Other expenses</v>
      </c>
    </row>
    <row r="259" spans="1:10" hidden="1" x14ac:dyDescent="0.25">
      <c r="A259" s="90">
        <v>510002</v>
      </c>
      <c r="B259" s="90" t="s">
        <v>724</v>
      </c>
      <c r="D259" s="91">
        <v>0</v>
      </c>
      <c r="E259" s="91">
        <v>7000</v>
      </c>
      <c r="F259" s="91">
        <f t="shared" si="0"/>
        <v>-7000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Direct Labor</v>
      </c>
      <c r="J259" t="str">
        <f>_xlfn.XLOOKUP($A259,Map!$A:$A,Map!F:F)</f>
        <v>Direct Labor</v>
      </c>
    </row>
    <row r="260" spans="1:10" hidden="1" x14ac:dyDescent="0.25">
      <c r="A260" s="90">
        <v>510002</v>
      </c>
      <c r="B260" s="90" t="s">
        <v>724</v>
      </c>
      <c r="D260" s="91">
        <v>0</v>
      </c>
      <c r="E260" s="91">
        <v>321753</v>
      </c>
      <c r="F260" s="91">
        <f t="shared" si="0"/>
        <v>-321753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Direct Labor</v>
      </c>
      <c r="J260" t="str">
        <f>_xlfn.XLOOKUP($A260,Map!$A:$A,Map!F:F)</f>
        <v>Direct Labor</v>
      </c>
    </row>
    <row r="261" spans="1:10" hidden="1" x14ac:dyDescent="0.25">
      <c r="A261" s="90">
        <v>510002</v>
      </c>
      <c r="B261" s="90" t="s">
        <v>724</v>
      </c>
      <c r="D261" s="91">
        <v>0</v>
      </c>
      <c r="E261" s="91">
        <v>67128</v>
      </c>
      <c r="F261" s="91">
        <f t="shared" si="0"/>
        <v>-67128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Direct Labor</v>
      </c>
      <c r="J261" t="str">
        <f>_xlfn.XLOOKUP($A261,Map!$A:$A,Map!F:F)</f>
        <v>Direct Labor</v>
      </c>
    </row>
    <row r="262" spans="1:10" hidden="1" x14ac:dyDescent="0.25">
      <c r="A262" s="90">
        <v>510002</v>
      </c>
      <c r="B262" s="90" t="s">
        <v>724</v>
      </c>
      <c r="D262" s="91">
        <v>0</v>
      </c>
      <c r="E262" s="91">
        <v>4476</v>
      </c>
      <c r="F262" s="91">
        <f t="shared" si="0"/>
        <v>-4476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Direct Labor</v>
      </c>
      <c r="J262" t="str">
        <f>_xlfn.XLOOKUP($A262,Map!$A:$A,Map!F:F)</f>
        <v>Direct Labor</v>
      </c>
    </row>
    <row r="263" spans="1:10" hidden="1" x14ac:dyDescent="0.25">
      <c r="A263" s="90">
        <v>510002</v>
      </c>
      <c r="B263" s="90" t="s">
        <v>724</v>
      </c>
      <c r="D263" s="91">
        <v>0</v>
      </c>
      <c r="E263" s="91">
        <v>66764</v>
      </c>
      <c r="F263" s="91">
        <f t="shared" si="0"/>
        <v>-66764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Direct Labor</v>
      </c>
      <c r="J263" t="str">
        <f>_xlfn.XLOOKUP($A263,Map!$A:$A,Map!F:F)</f>
        <v>Direct Labor</v>
      </c>
    </row>
    <row r="264" spans="1:10" hidden="1" x14ac:dyDescent="0.25">
      <c r="A264" s="90">
        <v>510002</v>
      </c>
      <c r="B264" s="90" t="s">
        <v>724</v>
      </c>
      <c r="D264" s="91">
        <v>0</v>
      </c>
      <c r="E264" s="91">
        <v>23315</v>
      </c>
      <c r="F264" s="91">
        <f t="shared" si="0"/>
        <v>-23315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Direct Labor</v>
      </c>
      <c r="J264" t="str">
        <f>_xlfn.XLOOKUP($A264,Map!$A:$A,Map!F:F)</f>
        <v>Direct Labor</v>
      </c>
    </row>
    <row r="265" spans="1:10" hidden="1" x14ac:dyDescent="0.25">
      <c r="A265" s="90">
        <v>510002</v>
      </c>
      <c r="B265" s="90" t="s">
        <v>724</v>
      </c>
      <c r="D265" s="91">
        <v>0</v>
      </c>
      <c r="E265" s="91">
        <v>3448</v>
      </c>
      <c r="F265" s="91">
        <f t="shared" si="0"/>
        <v>-3448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Direct Labor</v>
      </c>
      <c r="J265" t="str">
        <f>_xlfn.XLOOKUP($A265,Map!$A:$A,Map!F:F)</f>
        <v>Direct Labor</v>
      </c>
    </row>
    <row r="266" spans="1:10" hidden="1" x14ac:dyDescent="0.25">
      <c r="A266" s="90">
        <v>510002</v>
      </c>
      <c r="B266" s="90" t="s">
        <v>724</v>
      </c>
      <c r="D266" s="91">
        <v>0</v>
      </c>
      <c r="E266" s="91">
        <v>46798</v>
      </c>
      <c r="F266" s="91">
        <f t="shared" si="0"/>
        <v>-46798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Direct Labor</v>
      </c>
      <c r="J266" t="str">
        <f>_xlfn.XLOOKUP($A266,Map!$A:$A,Map!F:F)</f>
        <v>Direct Labor</v>
      </c>
    </row>
    <row r="267" spans="1:10" hidden="1" x14ac:dyDescent="0.25">
      <c r="A267" s="90">
        <v>510002</v>
      </c>
      <c r="B267" s="90" t="s">
        <v>724</v>
      </c>
      <c r="D267" s="91">
        <v>0</v>
      </c>
      <c r="E267" s="91">
        <v>2920</v>
      </c>
      <c r="F267" s="91">
        <f t="shared" si="0"/>
        <v>-2920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Direct Labor</v>
      </c>
      <c r="J267" t="str">
        <f>_xlfn.XLOOKUP($A267,Map!$A:$A,Map!F:F)</f>
        <v>Direct Labor</v>
      </c>
    </row>
    <row r="268" spans="1:10" hidden="1" x14ac:dyDescent="0.25">
      <c r="A268" s="90">
        <v>600031</v>
      </c>
      <c r="B268" s="90" t="s">
        <v>725</v>
      </c>
      <c r="D268" s="91">
        <v>613.33299999999997</v>
      </c>
      <c r="E268" s="91">
        <v>0</v>
      </c>
      <c r="F268" s="91">
        <f t="shared" ref="F268:F331" si="1">D268-E268</f>
        <v>613.33299999999997</v>
      </c>
      <c r="G268" t="str">
        <f>_xlfn.XLOOKUP($A268,Map!$A:$A,Map!C:C)</f>
        <v>IS</v>
      </c>
      <c r="H268" t="str">
        <f>_xlfn.XLOOKUP($A268,Map!$A:$A,Map!D:D)</f>
        <v>Depreciation expenses</v>
      </c>
      <c r="I268" t="str">
        <f>_xlfn.XLOOKUP($A268,Map!$A:$A,Map!E:E)</f>
        <v>Depreciation expenses</v>
      </c>
      <c r="J268" t="str">
        <f>_xlfn.XLOOKUP($A268,Map!$A:$A,Map!F:F)</f>
        <v>Depreciation of property, plant and equipment</v>
      </c>
    </row>
    <row r="269" spans="1:10" hidden="1" x14ac:dyDescent="0.25">
      <c r="A269" s="90">
        <v>600030</v>
      </c>
      <c r="B269" s="90" t="s">
        <v>725</v>
      </c>
      <c r="D269" s="91">
        <v>900.5</v>
      </c>
      <c r="E269" s="91">
        <v>0</v>
      </c>
      <c r="F269" s="91">
        <f t="shared" si="1"/>
        <v>900.5</v>
      </c>
      <c r="G269" t="str">
        <f>_xlfn.XLOOKUP($A269,Map!$A:$A,Map!C:C)</f>
        <v>IS</v>
      </c>
      <c r="H269" t="str">
        <f>_xlfn.XLOOKUP($A269,Map!$A:$A,Map!D:D)</f>
        <v>Depreciation expenses</v>
      </c>
      <c r="I269" t="str">
        <f>_xlfn.XLOOKUP($A269,Map!$A:$A,Map!E:E)</f>
        <v>Depreciation expenses</v>
      </c>
      <c r="J269" t="str">
        <f>_xlfn.XLOOKUP($A269,Map!$A:$A,Map!F:F)</f>
        <v>Depreciation of property, plant and equipment</v>
      </c>
    </row>
    <row r="270" spans="1:10" hidden="1" x14ac:dyDescent="0.25">
      <c r="A270" s="90">
        <v>600029</v>
      </c>
      <c r="B270" s="90" t="s">
        <v>725</v>
      </c>
      <c r="D270" s="91">
        <v>285446.89</v>
      </c>
      <c r="E270" s="91">
        <v>0</v>
      </c>
      <c r="F270" s="91">
        <f t="shared" si="1"/>
        <v>285446.89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Depreciation - Machines</v>
      </c>
      <c r="J270" t="str">
        <f>_xlfn.XLOOKUP($A270,Map!$A:$A,Map!F:F)</f>
        <v>Depreciation of property, plant and equipment</v>
      </c>
    </row>
    <row r="271" spans="1:10" hidden="1" x14ac:dyDescent="0.25">
      <c r="A271" s="90">
        <v>600028</v>
      </c>
      <c r="B271" s="90" t="s">
        <v>725</v>
      </c>
      <c r="D271" s="91">
        <v>12415</v>
      </c>
      <c r="E271" s="91">
        <v>0</v>
      </c>
      <c r="F271" s="91">
        <f t="shared" si="1"/>
        <v>12415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Overhead - Consumables &amp; SP</v>
      </c>
      <c r="J271" t="str">
        <f>_xlfn.XLOOKUP($A271,Map!$A:$A,Map!F:F)</f>
        <v xml:space="preserve">Education &amp; Furniture Allowances </v>
      </c>
    </row>
    <row r="272" spans="1:10" hidden="1" x14ac:dyDescent="0.25">
      <c r="A272" s="90">
        <v>600027</v>
      </c>
      <c r="B272" s="90" t="s">
        <v>725</v>
      </c>
      <c r="D272" s="91">
        <v>51333.34</v>
      </c>
      <c r="E272" s="91">
        <v>0</v>
      </c>
      <c r="F272" s="91">
        <f t="shared" si="1"/>
        <v>51333.34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Overhead - Rent</v>
      </c>
      <c r="J272" t="str">
        <f>_xlfn.XLOOKUP($A272,Map!$A:$A,Map!F:F)</f>
        <v>Production hall rental</v>
      </c>
    </row>
    <row r="273" spans="1:10" hidden="1" x14ac:dyDescent="0.25">
      <c r="A273" s="90">
        <v>600024</v>
      </c>
      <c r="B273" s="90" t="s">
        <v>725</v>
      </c>
      <c r="D273" s="91">
        <v>325</v>
      </c>
      <c r="E273" s="91">
        <v>0</v>
      </c>
      <c r="F273" s="91">
        <f t="shared" si="1"/>
        <v>325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Overhead - Rent</v>
      </c>
      <c r="J273" t="str">
        <f>_xlfn.XLOOKUP($A273,Map!$A:$A,Map!F:F)</f>
        <v>Pump rental expenses</v>
      </c>
    </row>
    <row r="274" spans="1:10" hidden="1" x14ac:dyDescent="0.25">
      <c r="A274" s="90">
        <v>600024</v>
      </c>
      <c r="B274" s="90" t="s">
        <v>725</v>
      </c>
      <c r="D274" s="91">
        <v>28673.69</v>
      </c>
      <c r="E274" s="91">
        <v>0</v>
      </c>
      <c r="F274" s="91">
        <f t="shared" si="1"/>
        <v>28673.69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Overhead - Rent</v>
      </c>
      <c r="J274" t="str">
        <f>_xlfn.XLOOKUP($A274,Map!$A:$A,Map!F:F)</f>
        <v>Pump rental expenses</v>
      </c>
    </row>
    <row r="275" spans="1:10" hidden="1" x14ac:dyDescent="0.25">
      <c r="A275" s="90">
        <v>600023</v>
      </c>
      <c r="B275" s="90" t="s">
        <v>725</v>
      </c>
      <c r="D275" s="91">
        <v>2100</v>
      </c>
      <c r="E275" s="91">
        <v>0</v>
      </c>
      <c r="F275" s="91">
        <f t="shared" si="1"/>
        <v>2100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Overhead - R&amp;M</v>
      </c>
      <c r="J275" t="str">
        <f>_xlfn.XLOOKUP($A275,Map!$A:$A,Map!F:F)</f>
        <v>Office equipment maintenance</v>
      </c>
    </row>
    <row r="276" spans="1:10" hidden="1" x14ac:dyDescent="0.25">
      <c r="A276" s="90">
        <v>600019</v>
      </c>
      <c r="B276" s="90" t="s">
        <v>725</v>
      </c>
      <c r="D276" s="91">
        <v>10050</v>
      </c>
      <c r="E276" s="91">
        <v>0</v>
      </c>
      <c r="F276" s="91">
        <f t="shared" si="1"/>
        <v>10050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Overhead - Utility</v>
      </c>
      <c r="J276" t="str">
        <f>_xlfn.XLOOKUP($A276,Map!$A:$A,Map!F:F)</f>
        <v>Fuel and oil</v>
      </c>
    </row>
    <row r="277" spans="1:10" hidden="1" x14ac:dyDescent="0.25">
      <c r="A277" s="90">
        <v>600018</v>
      </c>
      <c r="B277" s="90" t="s">
        <v>725</v>
      </c>
      <c r="D277" s="91">
        <v>4970</v>
      </c>
      <c r="E277" s="91">
        <v>0</v>
      </c>
      <c r="F277" s="91">
        <f t="shared" si="1"/>
        <v>4970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Overhead - Utility</v>
      </c>
      <c r="J277" t="str">
        <f>_xlfn.XLOOKUP($A277,Map!$A:$A,Map!F:F)</f>
        <v>Water expenses</v>
      </c>
    </row>
    <row r="278" spans="1:10" hidden="1" x14ac:dyDescent="0.25">
      <c r="A278" s="90">
        <v>600017</v>
      </c>
      <c r="B278" s="90" t="s">
        <v>725</v>
      </c>
      <c r="D278" s="91">
        <v>177241.5</v>
      </c>
      <c r="E278" s="91">
        <v>0</v>
      </c>
      <c r="F278" s="91">
        <f t="shared" si="1"/>
        <v>177241.5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Overhead - Utility</v>
      </c>
      <c r="J278" t="str">
        <f>_xlfn.XLOOKUP($A278,Map!$A:$A,Map!F:F)</f>
        <v>Electricity expenses</v>
      </c>
    </row>
    <row r="279" spans="1:10" hidden="1" x14ac:dyDescent="0.25">
      <c r="A279" s="90">
        <v>600016</v>
      </c>
      <c r="B279" s="90" t="s">
        <v>725</v>
      </c>
      <c r="D279" s="91">
        <v>60434.438000000002</v>
      </c>
      <c r="E279" s="91">
        <v>0</v>
      </c>
      <c r="F279" s="91">
        <f t="shared" si="1"/>
        <v>60434.438000000002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Overhead - Consumables &amp; SP</v>
      </c>
      <c r="J279" t="str">
        <f>_xlfn.XLOOKUP($A279,Map!$A:$A,Map!F:F)</f>
        <v>Tools</v>
      </c>
    </row>
    <row r="280" spans="1:10" hidden="1" x14ac:dyDescent="0.25">
      <c r="A280" s="90">
        <v>600016</v>
      </c>
      <c r="B280" s="90" t="s">
        <v>725</v>
      </c>
      <c r="D280" s="91">
        <v>60434.438000000002</v>
      </c>
      <c r="E280" s="91">
        <v>0</v>
      </c>
      <c r="F280" s="91">
        <f t="shared" si="1"/>
        <v>60434.438000000002</v>
      </c>
      <c r="G280" t="str">
        <f>_xlfn.XLOOKUP($A280,Map!$A:$A,Map!C:C)</f>
        <v>IS</v>
      </c>
      <c r="H280" t="str">
        <f>_xlfn.XLOOKUP($A280,Map!$A:$A,Map!D:D)</f>
        <v>Cost of sales</v>
      </c>
      <c r="I280" t="str">
        <f>_xlfn.XLOOKUP($A280,Map!$A:$A,Map!E:E)</f>
        <v>Overhead - Consumables &amp; SP</v>
      </c>
      <c r="J280" t="str">
        <f>_xlfn.XLOOKUP($A280,Map!$A:$A,Map!F:F)</f>
        <v>Tools</v>
      </c>
    </row>
    <row r="281" spans="1:10" hidden="1" x14ac:dyDescent="0.25">
      <c r="A281" s="90">
        <v>600016</v>
      </c>
      <c r="B281" s="90" t="s">
        <v>725</v>
      </c>
      <c r="D281" s="91">
        <v>20144.812000000002</v>
      </c>
      <c r="E281" s="91">
        <v>0</v>
      </c>
      <c r="F281" s="91">
        <f t="shared" si="1"/>
        <v>20144.812000000002</v>
      </c>
      <c r="G281" t="str">
        <f>_xlfn.XLOOKUP($A281,Map!$A:$A,Map!C:C)</f>
        <v>IS</v>
      </c>
      <c r="H281" t="str">
        <f>_xlfn.XLOOKUP($A281,Map!$A:$A,Map!D:D)</f>
        <v>Cost of sales</v>
      </c>
      <c r="I281" t="str">
        <f>_xlfn.XLOOKUP($A281,Map!$A:$A,Map!E:E)</f>
        <v>Overhead - Consumables &amp; SP</v>
      </c>
      <c r="J281" t="str">
        <f>_xlfn.XLOOKUP($A281,Map!$A:$A,Map!F:F)</f>
        <v>Tools</v>
      </c>
    </row>
    <row r="282" spans="1:10" hidden="1" x14ac:dyDescent="0.25">
      <c r="A282" s="90">
        <v>600016</v>
      </c>
      <c r="B282" s="90" t="s">
        <v>725</v>
      </c>
      <c r="D282" s="91">
        <v>20144.812000000002</v>
      </c>
      <c r="E282" s="91">
        <v>0</v>
      </c>
      <c r="F282" s="91">
        <f t="shared" si="1"/>
        <v>20144.812000000002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Overhead - Consumables &amp; SP</v>
      </c>
      <c r="J282" t="str">
        <f>_xlfn.XLOOKUP($A282,Map!$A:$A,Map!F:F)</f>
        <v>Tools</v>
      </c>
    </row>
    <row r="283" spans="1:10" hidden="1" x14ac:dyDescent="0.25">
      <c r="A283" s="90">
        <v>600016</v>
      </c>
      <c r="B283" s="90" t="s">
        <v>725</v>
      </c>
      <c r="D283" s="91">
        <v>1166</v>
      </c>
      <c r="E283" s="91">
        <v>0</v>
      </c>
      <c r="F283" s="91">
        <f t="shared" si="1"/>
        <v>1166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Overhead - Consumables &amp; SP</v>
      </c>
      <c r="J283" t="str">
        <f>_xlfn.XLOOKUP($A283,Map!$A:$A,Map!F:F)</f>
        <v>Tools</v>
      </c>
    </row>
    <row r="284" spans="1:10" hidden="1" x14ac:dyDescent="0.25">
      <c r="A284" s="90">
        <v>600015</v>
      </c>
      <c r="B284" s="90" t="s">
        <v>725</v>
      </c>
      <c r="D284" s="91">
        <v>125006.001</v>
      </c>
      <c r="E284" s="91">
        <v>0</v>
      </c>
      <c r="F284" s="91">
        <f t="shared" si="1"/>
        <v>125006.001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Overhead - Consumables &amp; SP</v>
      </c>
      <c r="J284" t="str">
        <f>_xlfn.XLOOKUP($A284,Map!$A:$A,Map!F:F)</f>
        <v>Consumables</v>
      </c>
    </row>
    <row r="285" spans="1:10" hidden="1" x14ac:dyDescent="0.25">
      <c r="A285" s="90">
        <v>600014</v>
      </c>
      <c r="B285" s="90" t="s">
        <v>725</v>
      </c>
      <c r="D285" s="91">
        <v>129794.69899999999</v>
      </c>
      <c r="E285" s="91">
        <v>0</v>
      </c>
      <c r="F285" s="91">
        <f t="shared" si="1"/>
        <v>129794.69899999999</v>
      </c>
      <c r="G285" t="str">
        <f>_xlfn.XLOOKUP($A285,Map!$A:$A,Map!C:C)</f>
        <v>IS</v>
      </c>
      <c r="H285" t="str">
        <f>_xlfn.XLOOKUP($A285,Map!$A:$A,Map!D:D)</f>
        <v>Cost of sales</v>
      </c>
      <c r="I285" t="str">
        <f>_xlfn.XLOOKUP($A285,Map!$A:$A,Map!E:E)</f>
        <v>Overhead - Consumables &amp; SP</v>
      </c>
      <c r="J285" t="str">
        <f>_xlfn.XLOOKUP($A285,Map!$A:$A,Map!F:F)</f>
        <v>Consumables</v>
      </c>
    </row>
    <row r="286" spans="1:10" hidden="1" x14ac:dyDescent="0.25">
      <c r="A286" s="90">
        <v>600011</v>
      </c>
      <c r="B286" s="90" t="s">
        <v>725</v>
      </c>
      <c r="D286" s="91">
        <v>1000</v>
      </c>
      <c r="E286" s="91">
        <v>0</v>
      </c>
      <c r="F286" s="91">
        <f t="shared" si="1"/>
        <v>1000</v>
      </c>
      <c r="G286" t="str">
        <f>_xlfn.XLOOKUP($A286,Map!$A:$A,Map!C:C)</f>
        <v>IS</v>
      </c>
      <c r="H286" t="str">
        <f>_xlfn.XLOOKUP($A286,Map!$A:$A,Map!D:D)</f>
        <v>Cost of sales</v>
      </c>
      <c r="I286" t="str">
        <f>_xlfn.XLOOKUP($A286,Map!$A:$A,Map!E:E)</f>
        <v>Overhead - Labor Cost</v>
      </c>
      <c r="J286" t="str">
        <f>_xlfn.XLOOKUP($A286,Map!$A:$A,Map!F:F)</f>
        <v>Air tickets</v>
      </c>
    </row>
    <row r="287" spans="1:10" hidden="1" x14ac:dyDescent="0.25">
      <c r="A287" s="90">
        <v>600009</v>
      </c>
      <c r="B287" s="90" t="s">
        <v>725</v>
      </c>
      <c r="D287" s="91">
        <v>15910</v>
      </c>
      <c r="E287" s="91">
        <v>0</v>
      </c>
      <c r="F287" s="91">
        <f t="shared" si="1"/>
        <v>15910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Overhead - Labor Cost</v>
      </c>
      <c r="J287" t="str">
        <f>_xlfn.XLOOKUP($A287,Map!$A:$A,Map!F:F)</f>
        <v>Vacation pay</v>
      </c>
    </row>
    <row r="288" spans="1:10" hidden="1" x14ac:dyDescent="0.25">
      <c r="A288" s="90">
        <v>600008</v>
      </c>
      <c r="B288" s="90" t="s">
        <v>725</v>
      </c>
      <c r="D288" s="91">
        <v>12432</v>
      </c>
      <c r="E288" s="91">
        <v>0</v>
      </c>
      <c r="F288" s="91">
        <f t="shared" si="1"/>
        <v>12432</v>
      </c>
      <c r="G288" t="str">
        <f>_xlfn.XLOOKUP($A288,Map!$A:$A,Map!C:C)</f>
        <v>IS</v>
      </c>
      <c r="H288" t="str">
        <f>_xlfn.XLOOKUP($A288,Map!$A:$A,Map!D:D)</f>
        <v>Cost of sales</v>
      </c>
      <c r="I288" t="str">
        <f>_xlfn.XLOOKUP($A288,Map!$A:$A,Map!E:E)</f>
        <v>Overhead - Labor Cost</v>
      </c>
      <c r="J288" t="str">
        <f>_xlfn.XLOOKUP($A288,Map!$A:$A,Map!F:F)</f>
        <v>Air tickets</v>
      </c>
    </row>
    <row r="289" spans="1:10" hidden="1" x14ac:dyDescent="0.25">
      <c r="A289" s="90">
        <v>600006</v>
      </c>
      <c r="B289" s="90" t="s">
        <v>725</v>
      </c>
      <c r="D289" s="91">
        <v>26077.68</v>
      </c>
      <c r="E289" s="91">
        <v>0</v>
      </c>
      <c r="F289" s="91">
        <f t="shared" si="1"/>
        <v>26077.68</v>
      </c>
      <c r="G289" t="str">
        <f>_xlfn.XLOOKUP($A289,Map!$A:$A,Map!C:C)</f>
        <v>IS</v>
      </c>
      <c r="H289" t="str">
        <f>_xlfn.XLOOKUP($A289,Map!$A:$A,Map!D:D)</f>
        <v>Cost of sales</v>
      </c>
      <c r="I289" t="str">
        <f>_xlfn.XLOOKUP($A289,Map!$A:$A,Map!E:E)</f>
        <v>Overhead - Labor Cost</v>
      </c>
      <c r="J289" t="str">
        <f>_xlfn.XLOOKUP($A289,Map!$A:$A,Map!F:F)</f>
        <v xml:space="preserve">Food &amp; Housing </v>
      </c>
    </row>
    <row r="290" spans="1:10" hidden="1" x14ac:dyDescent="0.25">
      <c r="A290" s="90">
        <v>600005</v>
      </c>
      <c r="B290" s="90" t="s">
        <v>725</v>
      </c>
      <c r="D290" s="91">
        <v>65000</v>
      </c>
      <c r="E290" s="91">
        <v>0</v>
      </c>
      <c r="F290" s="91">
        <f t="shared" si="1"/>
        <v>65000</v>
      </c>
      <c r="G290" t="str">
        <f>_xlfn.XLOOKUP($A290,Map!$A:$A,Map!C:C)</f>
        <v>IS</v>
      </c>
      <c r="H290" t="str">
        <f>_xlfn.XLOOKUP($A290,Map!$A:$A,Map!D:D)</f>
        <v>General and Admin</v>
      </c>
      <c r="I290" t="str">
        <f>_xlfn.XLOOKUP($A290,Map!$A:$A,Map!E:E)</f>
        <v>Govt license and fees (including modon)</v>
      </c>
      <c r="J290" t="str">
        <f>_xlfn.XLOOKUP($A290,Map!$A:$A,Map!F:F)</f>
        <v>Government fees</v>
      </c>
    </row>
    <row r="291" spans="1:10" hidden="1" x14ac:dyDescent="0.25">
      <c r="A291" s="90">
        <v>600004</v>
      </c>
      <c r="B291" s="90" t="s">
        <v>725</v>
      </c>
      <c r="D291" s="91">
        <v>7910.7</v>
      </c>
      <c r="E291" s="91">
        <v>0</v>
      </c>
      <c r="F291" s="91">
        <f t="shared" si="1"/>
        <v>7910.7</v>
      </c>
      <c r="G291" t="str">
        <f>_xlfn.XLOOKUP($A291,Map!$A:$A,Map!C:C)</f>
        <v>IS</v>
      </c>
      <c r="H291" t="str">
        <f>_xlfn.XLOOKUP($A291,Map!$A:$A,Map!D:D)</f>
        <v>Cost of sales</v>
      </c>
      <c r="I291" t="str">
        <f>_xlfn.XLOOKUP($A291,Map!$A:$A,Map!E:E)</f>
        <v>Overhead - Labor Cost</v>
      </c>
      <c r="J291" t="str">
        <f>_xlfn.XLOOKUP($A291,Map!$A:$A,Map!F:F)</f>
        <v>Medical insurance</v>
      </c>
    </row>
    <row r="292" spans="1:10" hidden="1" x14ac:dyDescent="0.25">
      <c r="A292" s="90">
        <v>600003</v>
      </c>
      <c r="B292" s="90" t="s">
        <v>725</v>
      </c>
      <c r="D292" s="91">
        <v>2566</v>
      </c>
      <c r="E292" s="91">
        <v>0</v>
      </c>
      <c r="F292" s="91">
        <f t="shared" si="1"/>
        <v>2566</v>
      </c>
      <c r="G292" t="str">
        <f>_xlfn.XLOOKUP($A292,Map!$A:$A,Map!C:C)</f>
        <v>IS</v>
      </c>
      <c r="H292" t="str">
        <f>_xlfn.XLOOKUP($A292,Map!$A:$A,Map!D:D)</f>
        <v>Cost of sales</v>
      </c>
      <c r="I292" t="str">
        <f>_xlfn.XLOOKUP($A292,Map!$A:$A,Map!E:E)</f>
        <v>Overhead - Labor Cost</v>
      </c>
      <c r="J292" t="str">
        <f>_xlfn.XLOOKUP($A292,Map!$A:$A,Map!F:F)</f>
        <v xml:space="preserve">Food &amp; Housing </v>
      </c>
    </row>
    <row r="293" spans="1:10" hidden="1" x14ac:dyDescent="0.25">
      <c r="A293" s="90">
        <v>600002</v>
      </c>
      <c r="B293" s="90" t="s">
        <v>725</v>
      </c>
      <c r="D293" s="91">
        <v>9053</v>
      </c>
      <c r="E293" s="91">
        <v>0</v>
      </c>
      <c r="F293" s="91">
        <f t="shared" si="1"/>
        <v>9053</v>
      </c>
      <c r="G293" t="str">
        <f>_xlfn.XLOOKUP($A293,Map!$A:$A,Map!C:C)</f>
        <v>IS</v>
      </c>
      <c r="H293" t="str">
        <f>_xlfn.XLOOKUP($A293,Map!$A:$A,Map!D:D)</f>
        <v>Cost of sales</v>
      </c>
      <c r="I293" t="str">
        <f>_xlfn.XLOOKUP($A293,Map!$A:$A,Map!E:E)</f>
        <v>Overhead - Labor Cost</v>
      </c>
      <c r="J293" t="str">
        <f>_xlfn.XLOOKUP($A293,Map!$A:$A,Map!F:F)</f>
        <v>Overtime pay</v>
      </c>
    </row>
    <row r="294" spans="1:10" hidden="1" x14ac:dyDescent="0.25">
      <c r="A294" s="90">
        <v>600001</v>
      </c>
      <c r="B294" s="90" t="s">
        <v>725</v>
      </c>
      <c r="D294" s="91">
        <v>94423.998999999996</v>
      </c>
      <c r="E294" s="91">
        <v>0</v>
      </c>
      <c r="F294" s="91">
        <f t="shared" si="1"/>
        <v>94423.998999999996</v>
      </c>
      <c r="G294" t="str">
        <f>_xlfn.XLOOKUP($A294,Map!$A:$A,Map!C:C)</f>
        <v>IS</v>
      </c>
      <c r="H294" t="str">
        <f>_xlfn.XLOOKUP($A294,Map!$A:$A,Map!D:D)</f>
        <v>Cost of sales</v>
      </c>
      <c r="I294" t="str">
        <f>_xlfn.XLOOKUP($A294,Map!$A:$A,Map!E:E)</f>
        <v>Overhead - Labor Cost</v>
      </c>
      <c r="J294" t="str">
        <f>_xlfn.XLOOKUP($A294,Map!$A:$A,Map!F:F)</f>
        <v>Salaries and wages</v>
      </c>
    </row>
    <row r="295" spans="1:10" hidden="1" x14ac:dyDescent="0.25">
      <c r="A295" s="90">
        <v>520042</v>
      </c>
      <c r="B295" s="90" t="s">
        <v>725</v>
      </c>
      <c r="D295" s="91">
        <v>0</v>
      </c>
      <c r="E295" s="91">
        <v>113415.849</v>
      </c>
      <c r="F295" s="91">
        <f t="shared" si="1"/>
        <v>-113415.849</v>
      </c>
      <c r="G295" t="str">
        <f>_xlfn.XLOOKUP($A295,Map!$A:$A,Map!C:C)</f>
        <v>IS</v>
      </c>
      <c r="H295" t="str">
        <f>_xlfn.XLOOKUP($A295,Map!$A:$A,Map!D:D)</f>
        <v>Cost of sales</v>
      </c>
      <c r="I295" t="str">
        <f>_xlfn.XLOOKUP($A295,Map!$A:$A,Map!E:E)</f>
        <v>Raw materials</v>
      </c>
      <c r="J295" t="str">
        <f>_xlfn.XLOOKUP($A295,Map!$A:$A,Map!F:F)</f>
        <v>Inventory Adjustment</v>
      </c>
    </row>
    <row r="296" spans="1:10" hidden="1" x14ac:dyDescent="0.25">
      <c r="A296" s="90">
        <v>520041</v>
      </c>
      <c r="B296" s="90" t="s">
        <v>725</v>
      </c>
      <c r="D296" s="91">
        <v>0</v>
      </c>
      <c r="E296" s="91">
        <v>1168185.1229999999</v>
      </c>
      <c r="F296" s="91">
        <f t="shared" si="1"/>
        <v>-1168185.1229999999</v>
      </c>
      <c r="G296" t="str">
        <f>_xlfn.XLOOKUP($A296,Map!$A:$A,Map!C:C)</f>
        <v>IS</v>
      </c>
      <c r="H296" t="str">
        <f>_xlfn.XLOOKUP($A296,Map!$A:$A,Map!D:D)</f>
        <v>Cost of sales</v>
      </c>
      <c r="I296" t="str">
        <f>_xlfn.XLOOKUP($A296,Map!$A:$A,Map!E:E)</f>
        <v>Raw materials</v>
      </c>
      <c r="J296" t="str">
        <f>_xlfn.XLOOKUP($A296,Map!$A:$A,Map!F:F)</f>
        <v>Other expenses</v>
      </c>
    </row>
    <row r="297" spans="1:10" hidden="1" x14ac:dyDescent="0.25">
      <c r="A297" s="90">
        <v>520037</v>
      </c>
      <c r="B297" s="90" t="s">
        <v>725</v>
      </c>
      <c r="D297" s="91">
        <v>309.685</v>
      </c>
      <c r="E297" s="91">
        <v>0</v>
      </c>
      <c r="F297" s="91">
        <f t="shared" si="1"/>
        <v>309.685</v>
      </c>
      <c r="G297" t="str">
        <f>_xlfn.XLOOKUP($A297,Map!$A:$A,Map!C:C)</f>
        <v>IS</v>
      </c>
      <c r="H297" t="str">
        <f>_xlfn.XLOOKUP($A297,Map!$A:$A,Map!D:D)</f>
        <v>Cost of sales</v>
      </c>
      <c r="I297" t="str">
        <f>_xlfn.XLOOKUP($A297,Map!$A:$A,Map!E:E)</f>
        <v>Raw materials</v>
      </c>
      <c r="J297" t="str">
        <f>_xlfn.XLOOKUP($A297,Map!$A:$A,Map!F:F)</f>
        <v>Raw materials</v>
      </c>
    </row>
    <row r="298" spans="1:10" hidden="1" x14ac:dyDescent="0.25">
      <c r="A298" s="90">
        <v>520036</v>
      </c>
      <c r="B298" s="90" t="s">
        <v>725</v>
      </c>
      <c r="D298" s="91">
        <v>0</v>
      </c>
      <c r="E298" s="91">
        <v>2E-3</v>
      </c>
      <c r="F298" s="91">
        <f t="shared" si="1"/>
        <v>-2E-3</v>
      </c>
      <c r="G298" t="str">
        <f>_xlfn.XLOOKUP($A298,Map!$A:$A,Map!C:C)</f>
        <v>IS</v>
      </c>
      <c r="H298" t="str">
        <f>_xlfn.XLOOKUP($A298,Map!$A:$A,Map!D:D)</f>
        <v>Cost of sales</v>
      </c>
      <c r="I298" t="str">
        <f>_xlfn.XLOOKUP($A298,Map!$A:$A,Map!E:E)</f>
        <v>Raw materials</v>
      </c>
      <c r="J298" t="str">
        <f>_xlfn.XLOOKUP($A298,Map!$A:$A,Map!F:F)</f>
        <v>Raw materials</v>
      </c>
    </row>
    <row r="299" spans="1:10" hidden="1" x14ac:dyDescent="0.25">
      <c r="A299" s="90">
        <v>520021</v>
      </c>
      <c r="B299" s="90" t="s">
        <v>725</v>
      </c>
      <c r="D299" s="91">
        <v>2950</v>
      </c>
      <c r="E299" s="91">
        <v>0</v>
      </c>
      <c r="F299" s="91">
        <f t="shared" si="1"/>
        <v>2950</v>
      </c>
      <c r="G299" t="str">
        <f>_xlfn.XLOOKUP($A299,Map!$A:$A,Map!C:C)</f>
        <v>IS</v>
      </c>
      <c r="H299" t="str">
        <f>_xlfn.XLOOKUP($A299,Map!$A:$A,Map!D:D)</f>
        <v>Cost of sales</v>
      </c>
      <c r="I299" t="str">
        <f>_xlfn.XLOOKUP($A299,Map!$A:$A,Map!E:E)</f>
        <v>Direct Labor</v>
      </c>
      <c r="J299" t="str">
        <f>_xlfn.XLOOKUP($A299,Map!$A:$A,Map!F:F)</f>
        <v>Medical insurance</v>
      </c>
    </row>
    <row r="300" spans="1:10" hidden="1" x14ac:dyDescent="0.25">
      <c r="A300" s="90">
        <v>520011</v>
      </c>
      <c r="B300" s="90" t="s">
        <v>725</v>
      </c>
      <c r="D300" s="91">
        <v>15251</v>
      </c>
      <c r="E300" s="91">
        <v>0</v>
      </c>
      <c r="F300" s="91">
        <f t="shared" si="1"/>
        <v>15251</v>
      </c>
      <c r="G300" t="str">
        <f>_xlfn.XLOOKUP($A300,Map!$A:$A,Map!C:C)</f>
        <v>IS</v>
      </c>
      <c r="H300" t="str">
        <f>_xlfn.XLOOKUP($A300,Map!$A:$A,Map!D:D)</f>
        <v>Cost of sales</v>
      </c>
      <c r="I300" t="str">
        <f>_xlfn.XLOOKUP($A300,Map!$A:$A,Map!E:E)</f>
        <v>Direct Labor</v>
      </c>
      <c r="J300" t="str">
        <f>_xlfn.XLOOKUP($A300,Map!$A:$A,Map!F:F)</f>
        <v>Overtime pay</v>
      </c>
    </row>
    <row r="301" spans="1:10" hidden="1" x14ac:dyDescent="0.25">
      <c r="A301" s="90">
        <v>520011</v>
      </c>
      <c r="B301" s="90" t="s">
        <v>725</v>
      </c>
      <c r="D301" s="91">
        <v>11872</v>
      </c>
      <c r="E301" s="91">
        <v>0</v>
      </c>
      <c r="F301" s="91">
        <f t="shared" si="1"/>
        <v>11872</v>
      </c>
      <c r="G301" t="str">
        <f>_xlfn.XLOOKUP($A301,Map!$A:$A,Map!C:C)</f>
        <v>IS</v>
      </c>
      <c r="H301" t="str">
        <f>_xlfn.XLOOKUP($A301,Map!$A:$A,Map!D:D)</f>
        <v>Cost of sales</v>
      </c>
      <c r="I301" t="str">
        <f>_xlfn.XLOOKUP($A301,Map!$A:$A,Map!E:E)</f>
        <v>Direct Labor</v>
      </c>
      <c r="J301" t="str">
        <f>_xlfn.XLOOKUP($A301,Map!$A:$A,Map!F:F)</f>
        <v>Overtime pay</v>
      </c>
    </row>
    <row r="302" spans="1:10" hidden="1" x14ac:dyDescent="0.25">
      <c r="A302" s="90">
        <v>520006</v>
      </c>
      <c r="B302" s="90" t="s">
        <v>725</v>
      </c>
      <c r="D302" s="91">
        <v>6405</v>
      </c>
      <c r="E302" s="91">
        <v>0</v>
      </c>
      <c r="F302" s="91">
        <f t="shared" si="1"/>
        <v>6405</v>
      </c>
      <c r="G302" t="str">
        <f>_xlfn.XLOOKUP($A302,Map!$A:$A,Map!C:C)</f>
        <v>IS</v>
      </c>
      <c r="H302" t="str">
        <f>_xlfn.XLOOKUP($A302,Map!$A:$A,Map!D:D)</f>
        <v>Cost of sales</v>
      </c>
      <c r="I302" t="str">
        <f>_xlfn.XLOOKUP($A302,Map!$A:$A,Map!E:E)</f>
        <v>Direct Labor</v>
      </c>
      <c r="J302" t="str">
        <f>_xlfn.XLOOKUP($A302,Map!$A:$A,Map!F:F)</f>
        <v>Medical insurance</v>
      </c>
    </row>
    <row r="303" spans="1:10" hidden="1" x14ac:dyDescent="0.25">
      <c r="A303" s="90">
        <v>520006</v>
      </c>
      <c r="B303" s="90" t="s">
        <v>725</v>
      </c>
      <c r="D303" s="91">
        <v>3208</v>
      </c>
      <c r="E303" s="91">
        <v>0</v>
      </c>
      <c r="F303" s="91">
        <f t="shared" si="1"/>
        <v>3208</v>
      </c>
      <c r="G303" t="str">
        <f>_xlfn.XLOOKUP($A303,Map!$A:$A,Map!C:C)</f>
        <v>IS</v>
      </c>
      <c r="H303" t="str">
        <f>_xlfn.XLOOKUP($A303,Map!$A:$A,Map!D:D)</f>
        <v>Cost of sales</v>
      </c>
      <c r="I303" t="str">
        <f>_xlfn.XLOOKUP($A303,Map!$A:$A,Map!E:E)</f>
        <v>Direct Labor</v>
      </c>
      <c r="J303" t="str">
        <f>_xlfn.XLOOKUP($A303,Map!$A:$A,Map!F:F)</f>
        <v>Medical insurance</v>
      </c>
    </row>
    <row r="304" spans="1:10" hidden="1" x14ac:dyDescent="0.25">
      <c r="A304" s="90">
        <v>520006</v>
      </c>
      <c r="B304" s="90" t="s">
        <v>725</v>
      </c>
      <c r="D304" s="91">
        <v>2057</v>
      </c>
      <c r="E304" s="91">
        <v>0</v>
      </c>
      <c r="F304" s="91">
        <f t="shared" si="1"/>
        <v>2057</v>
      </c>
      <c r="G304" t="str">
        <f>_xlfn.XLOOKUP($A304,Map!$A:$A,Map!C:C)</f>
        <v>IS</v>
      </c>
      <c r="H304" t="str">
        <f>_xlfn.XLOOKUP($A304,Map!$A:$A,Map!D:D)</f>
        <v>Cost of sales</v>
      </c>
      <c r="I304" t="str">
        <f>_xlfn.XLOOKUP($A304,Map!$A:$A,Map!E:E)</f>
        <v>Direct Labor</v>
      </c>
      <c r="J304" t="str">
        <f>_xlfn.XLOOKUP($A304,Map!$A:$A,Map!F:F)</f>
        <v>Medical insurance</v>
      </c>
    </row>
    <row r="305" spans="1:10" hidden="1" x14ac:dyDescent="0.25">
      <c r="A305" s="90">
        <v>520006</v>
      </c>
      <c r="B305" s="90" t="s">
        <v>725</v>
      </c>
      <c r="D305" s="91">
        <v>1724</v>
      </c>
      <c r="E305" s="91">
        <v>0</v>
      </c>
      <c r="F305" s="91">
        <f t="shared" si="1"/>
        <v>1724</v>
      </c>
      <c r="G305" t="str">
        <f>_xlfn.XLOOKUP($A305,Map!$A:$A,Map!C:C)</f>
        <v>IS</v>
      </c>
      <c r="H305" t="str">
        <f>_xlfn.XLOOKUP($A305,Map!$A:$A,Map!D:D)</f>
        <v>Cost of sales</v>
      </c>
      <c r="I305" t="str">
        <f>_xlfn.XLOOKUP($A305,Map!$A:$A,Map!E:E)</f>
        <v>Direct Labor</v>
      </c>
      <c r="J305" t="str">
        <f>_xlfn.XLOOKUP($A305,Map!$A:$A,Map!F:F)</f>
        <v>Medical insurance</v>
      </c>
    </row>
    <row r="306" spans="1:10" hidden="1" x14ac:dyDescent="0.25">
      <c r="A306" s="90">
        <v>520006</v>
      </c>
      <c r="B306" s="90" t="s">
        <v>725</v>
      </c>
      <c r="D306" s="91">
        <v>2238</v>
      </c>
      <c r="E306" s="91">
        <v>0</v>
      </c>
      <c r="F306" s="91">
        <f t="shared" si="1"/>
        <v>2238</v>
      </c>
      <c r="G306" t="str">
        <f>_xlfn.XLOOKUP($A306,Map!$A:$A,Map!C:C)</f>
        <v>IS</v>
      </c>
      <c r="H306" t="str">
        <f>_xlfn.XLOOKUP($A306,Map!$A:$A,Map!D:D)</f>
        <v>Cost of sales</v>
      </c>
      <c r="I306" t="str">
        <f>_xlfn.XLOOKUP($A306,Map!$A:$A,Map!E:E)</f>
        <v>Direct Labor</v>
      </c>
      <c r="J306" t="str">
        <f>_xlfn.XLOOKUP($A306,Map!$A:$A,Map!F:F)</f>
        <v>Medical insurance</v>
      </c>
    </row>
    <row r="307" spans="1:10" hidden="1" x14ac:dyDescent="0.25">
      <c r="A307" s="90">
        <v>520006</v>
      </c>
      <c r="B307" s="90" t="s">
        <v>725</v>
      </c>
      <c r="D307" s="91">
        <v>1460</v>
      </c>
      <c r="E307" s="91">
        <v>0</v>
      </c>
      <c r="F307" s="91">
        <f t="shared" si="1"/>
        <v>1460</v>
      </c>
      <c r="G307" t="str">
        <f>_xlfn.XLOOKUP($A307,Map!$A:$A,Map!C:C)</f>
        <v>IS</v>
      </c>
      <c r="H307" t="str">
        <f>_xlfn.XLOOKUP($A307,Map!$A:$A,Map!D:D)</f>
        <v>Cost of sales</v>
      </c>
      <c r="I307" t="str">
        <f>_xlfn.XLOOKUP($A307,Map!$A:$A,Map!E:E)</f>
        <v>Direct Labor</v>
      </c>
      <c r="J307" t="str">
        <f>_xlfn.XLOOKUP($A307,Map!$A:$A,Map!F:F)</f>
        <v>Medical insurance</v>
      </c>
    </row>
    <row r="308" spans="1:10" hidden="1" x14ac:dyDescent="0.25">
      <c r="A308" s="90">
        <v>520004</v>
      </c>
      <c r="B308" s="90" t="s">
        <v>725</v>
      </c>
      <c r="D308" s="91">
        <v>5183.5</v>
      </c>
      <c r="E308" s="91">
        <v>0</v>
      </c>
      <c r="F308" s="91">
        <f t="shared" si="1"/>
        <v>5183.5</v>
      </c>
      <c r="G308" t="str">
        <f>_xlfn.XLOOKUP($A308,Map!$A:$A,Map!C:C)</f>
        <v>IS</v>
      </c>
      <c r="H308" t="str">
        <f>_xlfn.XLOOKUP($A308,Map!$A:$A,Map!D:D)</f>
        <v>Cost of sales</v>
      </c>
      <c r="I308" t="str">
        <f>_xlfn.XLOOKUP($A308,Map!$A:$A,Map!E:E)</f>
        <v>Direct Labor</v>
      </c>
      <c r="J308" t="str">
        <f>_xlfn.XLOOKUP($A308,Map!$A:$A,Map!F:F)</f>
        <v>Food and housing</v>
      </c>
    </row>
    <row r="309" spans="1:10" hidden="1" x14ac:dyDescent="0.25">
      <c r="A309" s="90">
        <v>520004</v>
      </c>
      <c r="B309" s="90" t="s">
        <v>725</v>
      </c>
      <c r="D309" s="91">
        <v>3400</v>
      </c>
      <c r="E309" s="91">
        <v>0</v>
      </c>
      <c r="F309" s="91">
        <f t="shared" si="1"/>
        <v>3400</v>
      </c>
      <c r="G309" t="str">
        <f>_xlfn.XLOOKUP($A309,Map!$A:$A,Map!C:C)</f>
        <v>IS</v>
      </c>
      <c r="H309" t="str">
        <f>_xlfn.XLOOKUP($A309,Map!$A:$A,Map!D:D)</f>
        <v>Cost of sales</v>
      </c>
      <c r="I309" t="str">
        <f>_xlfn.XLOOKUP($A309,Map!$A:$A,Map!E:E)</f>
        <v>Direct Labor</v>
      </c>
      <c r="J309" t="str">
        <f>_xlfn.XLOOKUP($A309,Map!$A:$A,Map!F:F)</f>
        <v>Food and housing</v>
      </c>
    </row>
    <row r="310" spans="1:10" hidden="1" x14ac:dyDescent="0.25">
      <c r="A310" s="90">
        <v>520003</v>
      </c>
      <c r="B310" s="90" t="s">
        <v>725</v>
      </c>
      <c r="D310" s="91">
        <v>3240</v>
      </c>
      <c r="E310" s="91">
        <v>0</v>
      </c>
      <c r="F310" s="91">
        <f t="shared" si="1"/>
        <v>3240</v>
      </c>
      <c r="G310" t="str">
        <f>_xlfn.XLOOKUP($A310,Map!$A:$A,Map!C:C)</f>
        <v>IS</v>
      </c>
      <c r="H310" t="str">
        <f>_xlfn.XLOOKUP($A310,Map!$A:$A,Map!D:D)</f>
        <v>Cost of sales</v>
      </c>
      <c r="I310" t="str">
        <f>_xlfn.XLOOKUP($A310,Map!$A:$A,Map!E:E)</f>
        <v>Direct Labor</v>
      </c>
      <c r="J310" t="str">
        <f>_xlfn.XLOOKUP($A310,Map!$A:$A,Map!F:F)</f>
        <v>Transportation allowance</v>
      </c>
    </row>
    <row r="311" spans="1:10" hidden="1" x14ac:dyDescent="0.25">
      <c r="A311" s="90">
        <v>520001</v>
      </c>
      <c r="B311" s="90" t="s">
        <v>725</v>
      </c>
      <c r="D311" s="91">
        <v>141813</v>
      </c>
      <c r="E311" s="91">
        <v>0</v>
      </c>
      <c r="F311" s="91">
        <f t="shared" si="1"/>
        <v>141813</v>
      </c>
      <c r="G311" t="str">
        <f>_xlfn.XLOOKUP($A311,Map!$A:$A,Map!C:C)</f>
        <v>IS</v>
      </c>
      <c r="H311" t="str">
        <f>_xlfn.XLOOKUP($A311,Map!$A:$A,Map!D:D)</f>
        <v>Cost of sales</v>
      </c>
      <c r="I311" t="str">
        <f>_xlfn.XLOOKUP($A311,Map!$A:$A,Map!E:E)</f>
        <v>Direct Labor</v>
      </c>
      <c r="J311" t="str">
        <f>_xlfn.XLOOKUP($A311,Map!$A:$A,Map!F:F)</f>
        <v>Salaries and wages</v>
      </c>
    </row>
    <row r="312" spans="1:10" hidden="1" x14ac:dyDescent="0.25">
      <c r="A312" s="90">
        <v>520001</v>
      </c>
      <c r="B312" s="90" t="s">
        <v>725</v>
      </c>
      <c r="D312" s="91">
        <v>17770</v>
      </c>
      <c r="E312" s="91">
        <v>0</v>
      </c>
      <c r="F312" s="91">
        <f t="shared" si="1"/>
        <v>17770</v>
      </c>
      <c r="G312" t="str">
        <f>_xlfn.XLOOKUP($A312,Map!$A:$A,Map!C:C)</f>
        <v>IS</v>
      </c>
      <c r="H312" t="str">
        <f>_xlfn.XLOOKUP($A312,Map!$A:$A,Map!D:D)</f>
        <v>Cost of sales</v>
      </c>
      <c r="I312" t="str">
        <f>_xlfn.XLOOKUP($A312,Map!$A:$A,Map!E:E)</f>
        <v>Direct Labor</v>
      </c>
      <c r="J312" t="str">
        <f>_xlfn.XLOOKUP($A312,Map!$A:$A,Map!F:F)</f>
        <v>Salaries and wages</v>
      </c>
    </row>
    <row r="313" spans="1:10" hidden="1" x14ac:dyDescent="0.25">
      <c r="A313" s="90">
        <v>520001</v>
      </c>
      <c r="B313" s="90" t="s">
        <v>725</v>
      </c>
      <c r="D313" s="91">
        <v>37370.5</v>
      </c>
      <c r="E313" s="91">
        <v>0</v>
      </c>
      <c r="F313" s="91">
        <f t="shared" si="1"/>
        <v>37370.5</v>
      </c>
      <c r="G313" t="str">
        <f>_xlfn.XLOOKUP($A313,Map!$A:$A,Map!C:C)</f>
        <v>IS</v>
      </c>
      <c r="H313" t="str">
        <f>_xlfn.XLOOKUP($A313,Map!$A:$A,Map!D:D)</f>
        <v>Cost of sales</v>
      </c>
      <c r="I313" t="str">
        <f>_xlfn.XLOOKUP($A313,Map!$A:$A,Map!E:E)</f>
        <v>Direct Labor</v>
      </c>
      <c r="J313" t="str">
        <f>_xlfn.XLOOKUP($A313,Map!$A:$A,Map!F:F)</f>
        <v>Salaries and wages</v>
      </c>
    </row>
    <row r="314" spans="1:10" hidden="1" x14ac:dyDescent="0.25">
      <c r="A314" s="90">
        <v>520001</v>
      </c>
      <c r="B314" s="90" t="s">
        <v>725</v>
      </c>
      <c r="D314" s="91">
        <v>11826</v>
      </c>
      <c r="E314" s="91">
        <v>0</v>
      </c>
      <c r="F314" s="91">
        <f t="shared" si="1"/>
        <v>11826</v>
      </c>
      <c r="G314" t="str">
        <f>_xlfn.XLOOKUP($A314,Map!$A:$A,Map!C:C)</f>
        <v>IS</v>
      </c>
      <c r="H314" t="str">
        <f>_xlfn.XLOOKUP($A314,Map!$A:$A,Map!D:D)</f>
        <v>Cost of sales</v>
      </c>
      <c r="I314" t="str">
        <f>_xlfn.XLOOKUP($A314,Map!$A:$A,Map!E:E)</f>
        <v>Direct Labor</v>
      </c>
      <c r="J314" t="str">
        <f>_xlfn.XLOOKUP($A314,Map!$A:$A,Map!F:F)</f>
        <v>Salaries and wages</v>
      </c>
    </row>
    <row r="315" spans="1:10" hidden="1" x14ac:dyDescent="0.25">
      <c r="A315" s="90">
        <v>520001</v>
      </c>
      <c r="B315" s="90" t="s">
        <v>725</v>
      </c>
      <c r="D315" s="91">
        <v>22257</v>
      </c>
      <c r="E315" s="91">
        <v>0</v>
      </c>
      <c r="F315" s="91">
        <f t="shared" si="1"/>
        <v>22257</v>
      </c>
      <c r="G315" t="str">
        <f>_xlfn.XLOOKUP($A315,Map!$A:$A,Map!C:C)</f>
        <v>IS</v>
      </c>
      <c r="H315" t="str">
        <f>_xlfn.XLOOKUP($A315,Map!$A:$A,Map!D:D)</f>
        <v>Cost of sales</v>
      </c>
      <c r="I315" t="str">
        <f>_xlfn.XLOOKUP($A315,Map!$A:$A,Map!E:E)</f>
        <v>Direct Labor</v>
      </c>
      <c r="J315" t="str">
        <f>_xlfn.XLOOKUP($A315,Map!$A:$A,Map!F:F)</f>
        <v>Salaries and wages</v>
      </c>
    </row>
    <row r="316" spans="1:10" hidden="1" x14ac:dyDescent="0.25">
      <c r="A316" s="90">
        <v>510004</v>
      </c>
      <c r="B316" s="90" t="s">
        <v>725</v>
      </c>
      <c r="D316" s="91">
        <v>0</v>
      </c>
      <c r="E316" s="91">
        <v>283759.04100000003</v>
      </c>
      <c r="F316" s="91">
        <f t="shared" si="1"/>
        <v>-283759.04100000003</v>
      </c>
      <c r="G316" t="str">
        <f>_xlfn.XLOOKUP($A316,Map!$A:$A,Map!C:C)</f>
        <v>IS</v>
      </c>
      <c r="H316" t="str">
        <f>_xlfn.XLOOKUP($A316,Map!$A:$A,Map!D:D)</f>
        <v>Cost of sales</v>
      </c>
      <c r="I316" t="str">
        <f>_xlfn.XLOOKUP($A316,Map!$A:$A,Map!E:E)</f>
        <v>Raw materials</v>
      </c>
      <c r="J316" t="str">
        <f>_xlfn.XLOOKUP($A316,Map!$A:$A,Map!F:F)</f>
        <v>Other expenses</v>
      </c>
    </row>
    <row r="317" spans="1:10" hidden="1" x14ac:dyDescent="0.25">
      <c r="A317" s="90">
        <v>510004</v>
      </c>
      <c r="B317" s="90" t="s">
        <v>725</v>
      </c>
      <c r="D317" s="91">
        <v>369106.1</v>
      </c>
      <c r="E317" s="91">
        <v>0</v>
      </c>
      <c r="F317" s="91">
        <f t="shared" si="1"/>
        <v>369106.1</v>
      </c>
      <c r="G317" t="str">
        <f>_xlfn.XLOOKUP($A317,Map!$A:$A,Map!C:C)</f>
        <v>IS</v>
      </c>
      <c r="H317" t="str">
        <f>_xlfn.XLOOKUP($A317,Map!$A:$A,Map!D:D)</f>
        <v>Cost of sales</v>
      </c>
      <c r="I317" t="str">
        <f>_xlfn.XLOOKUP($A317,Map!$A:$A,Map!E:E)</f>
        <v>Raw materials</v>
      </c>
      <c r="J317" t="str">
        <f>_xlfn.XLOOKUP($A317,Map!$A:$A,Map!F:F)</f>
        <v>Other expenses</v>
      </c>
    </row>
    <row r="318" spans="1:10" hidden="1" x14ac:dyDescent="0.25">
      <c r="A318" s="90">
        <v>510004</v>
      </c>
      <c r="B318" s="90" t="s">
        <v>725</v>
      </c>
      <c r="D318" s="91">
        <v>0</v>
      </c>
      <c r="E318" s="91">
        <v>144093</v>
      </c>
      <c r="F318" s="91">
        <f t="shared" si="1"/>
        <v>-144093</v>
      </c>
      <c r="G318" t="str">
        <f>_xlfn.XLOOKUP($A318,Map!$A:$A,Map!C:C)</f>
        <v>IS</v>
      </c>
      <c r="H318" t="str">
        <f>_xlfn.XLOOKUP($A318,Map!$A:$A,Map!D:D)</f>
        <v>Cost of sales</v>
      </c>
      <c r="I318" t="str">
        <f>_xlfn.XLOOKUP($A318,Map!$A:$A,Map!E:E)</f>
        <v>Raw materials</v>
      </c>
      <c r="J318" t="str">
        <f>_xlfn.XLOOKUP($A318,Map!$A:$A,Map!F:F)</f>
        <v>Other expenses</v>
      </c>
    </row>
    <row r="319" spans="1:10" hidden="1" x14ac:dyDescent="0.25">
      <c r="A319" s="90">
        <v>510004</v>
      </c>
      <c r="B319" s="90" t="s">
        <v>725</v>
      </c>
      <c r="D319" s="91">
        <v>151873.29999999999</v>
      </c>
      <c r="E319" s="91">
        <v>0</v>
      </c>
      <c r="F319" s="91">
        <f t="shared" si="1"/>
        <v>151873.29999999999</v>
      </c>
      <c r="G319" t="str">
        <f>_xlfn.XLOOKUP($A319,Map!$A:$A,Map!C:C)</f>
        <v>IS</v>
      </c>
      <c r="H319" t="str">
        <f>_xlfn.XLOOKUP($A319,Map!$A:$A,Map!D:D)</f>
        <v>Cost of sales</v>
      </c>
      <c r="I319" t="str">
        <f>_xlfn.XLOOKUP($A319,Map!$A:$A,Map!E:E)</f>
        <v>Raw materials</v>
      </c>
      <c r="J319" t="str">
        <f>_xlfn.XLOOKUP($A319,Map!$A:$A,Map!F:F)</f>
        <v>Other expenses</v>
      </c>
    </row>
    <row r="320" spans="1:10" hidden="1" x14ac:dyDescent="0.25">
      <c r="A320" s="90">
        <v>510004</v>
      </c>
      <c r="B320" s="90" t="s">
        <v>725</v>
      </c>
      <c r="D320" s="91">
        <v>0</v>
      </c>
      <c r="E320" s="91">
        <v>9420.9279999999999</v>
      </c>
      <c r="F320" s="91">
        <f t="shared" si="1"/>
        <v>-9420.9279999999999</v>
      </c>
      <c r="G320" t="str">
        <f>_xlfn.XLOOKUP($A320,Map!$A:$A,Map!C:C)</f>
        <v>IS</v>
      </c>
      <c r="H320" t="str">
        <f>_xlfn.XLOOKUP($A320,Map!$A:$A,Map!D:D)</f>
        <v>Cost of sales</v>
      </c>
      <c r="I320" t="str">
        <f>_xlfn.XLOOKUP($A320,Map!$A:$A,Map!E:E)</f>
        <v>Raw materials</v>
      </c>
      <c r="J320" t="str">
        <f>_xlfn.XLOOKUP($A320,Map!$A:$A,Map!F:F)</f>
        <v>Other expenses</v>
      </c>
    </row>
    <row r="321" spans="1:10" hidden="1" x14ac:dyDescent="0.25">
      <c r="A321" s="90">
        <v>510004</v>
      </c>
      <c r="B321" s="90" t="s">
        <v>725</v>
      </c>
      <c r="D321" s="91">
        <v>8356.4570000000003</v>
      </c>
      <c r="E321" s="91">
        <v>0</v>
      </c>
      <c r="F321" s="91">
        <f t="shared" si="1"/>
        <v>8356.4570000000003</v>
      </c>
      <c r="G321" t="str">
        <f>_xlfn.XLOOKUP($A321,Map!$A:$A,Map!C:C)</f>
        <v>IS</v>
      </c>
      <c r="H321" t="str">
        <f>_xlfn.XLOOKUP($A321,Map!$A:$A,Map!D:D)</f>
        <v>Cost of sales</v>
      </c>
      <c r="I321" t="str">
        <f>_xlfn.XLOOKUP($A321,Map!$A:$A,Map!E:E)</f>
        <v>Raw materials</v>
      </c>
      <c r="J321" t="str">
        <f>_xlfn.XLOOKUP($A321,Map!$A:$A,Map!F:F)</f>
        <v>Other expenses</v>
      </c>
    </row>
    <row r="322" spans="1:10" hidden="1" x14ac:dyDescent="0.25">
      <c r="A322" s="90">
        <v>510004</v>
      </c>
      <c r="B322" s="90" t="s">
        <v>725</v>
      </c>
      <c r="D322" s="91">
        <v>0</v>
      </c>
      <c r="E322" s="91">
        <v>117257.178</v>
      </c>
      <c r="F322" s="91">
        <f t="shared" si="1"/>
        <v>-117257.178</v>
      </c>
      <c r="G322" t="str">
        <f>_xlfn.XLOOKUP($A322,Map!$A:$A,Map!C:C)</f>
        <v>IS</v>
      </c>
      <c r="H322" t="str">
        <f>_xlfn.XLOOKUP($A322,Map!$A:$A,Map!D:D)</f>
        <v>Cost of sales</v>
      </c>
      <c r="I322" t="str">
        <f>_xlfn.XLOOKUP($A322,Map!$A:$A,Map!E:E)</f>
        <v>Raw materials</v>
      </c>
      <c r="J322" t="str">
        <f>_xlfn.XLOOKUP($A322,Map!$A:$A,Map!F:F)</f>
        <v>Other expenses</v>
      </c>
    </row>
    <row r="323" spans="1:10" hidden="1" x14ac:dyDescent="0.25">
      <c r="A323" s="90">
        <v>510004</v>
      </c>
      <c r="B323" s="90" t="s">
        <v>725</v>
      </c>
      <c r="D323" s="91">
        <v>105612.5</v>
      </c>
      <c r="E323" s="91">
        <v>0</v>
      </c>
      <c r="F323" s="91">
        <f t="shared" si="1"/>
        <v>105612.5</v>
      </c>
      <c r="G323" t="str">
        <f>_xlfn.XLOOKUP($A323,Map!$A:$A,Map!C:C)</f>
        <v>IS</v>
      </c>
      <c r="H323" t="str">
        <f>_xlfn.XLOOKUP($A323,Map!$A:$A,Map!D:D)</f>
        <v>Cost of sales</v>
      </c>
      <c r="I323" t="str">
        <f>_xlfn.XLOOKUP($A323,Map!$A:$A,Map!E:E)</f>
        <v>Raw materials</v>
      </c>
      <c r="J323" t="str">
        <f>_xlfn.XLOOKUP($A323,Map!$A:$A,Map!F:F)</f>
        <v>Other expenses</v>
      </c>
    </row>
    <row r="324" spans="1:10" hidden="1" x14ac:dyDescent="0.25">
      <c r="A324" s="90">
        <v>510004</v>
      </c>
      <c r="B324" s="90" t="s">
        <v>725</v>
      </c>
      <c r="D324" s="91">
        <v>0</v>
      </c>
      <c r="E324" s="91">
        <v>126132.38</v>
      </c>
      <c r="F324" s="91">
        <f t="shared" si="1"/>
        <v>-126132.38</v>
      </c>
      <c r="G324" t="str">
        <f>_xlfn.XLOOKUP($A324,Map!$A:$A,Map!C:C)</f>
        <v>IS</v>
      </c>
      <c r="H324" t="str">
        <f>_xlfn.XLOOKUP($A324,Map!$A:$A,Map!D:D)</f>
        <v>Cost of sales</v>
      </c>
      <c r="I324" t="str">
        <f>_xlfn.XLOOKUP($A324,Map!$A:$A,Map!E:E)</f>
        <v>Raw materials</v>
      </c>
      <c r="J324" t="str">
        <f>_xlfn.XLOOKUP($A324,Map!$A:$A,Map!F:F)</f>
        <v>Other expenses</v>
      </c>
    </row>
    <row r="325" spans="1:10" hidden="1" x14ac:dyDescent="0.25">
      <c r="A325" s="90">
        <v>510004</v>
      </c>
      <c r="B325" s="90" t="s">
        <v>725</v>
      </c>
      <c r="D325" s="91">
        <v>135808.5</v>
      </c>
      <c r="E325" s="91">
        <v>0</v>
      </c>
      <c r="F325" s="91">
        <f t="shared" si="1"/>
        <v>135808.5</v>
      </c>
      <c r="G325" t="str">
        <f>_xlfn.XLOOKUP($A325,Map!$A:$A,Map!C:C)</f>
        <v>IS</v>
      </c>
      <c r="H325" t="str">
        <f>_xlfn.XLOOKUP($A325,Map!$A:$A,Map!D:D)</f>
        <v>Cost of sales</v>
      </c>
      <c r="I325" t="str">
        <f>_xlfn.XLOOKUP($A325,Map!$A:$A,Map!E:E)</f>
        <v>Raw materials</v>
      </c>
      <c r="J325" t="str">
        <f>_xlfn.XLOOKUP($A325,Map!$A:$A,Map!F:F)</f>
        <v>Other expenses</v>
      </c>
    </row>
    <row r="326" spans="1:10" hidden="1" x14ac:dyDescent="0.25">
      <c r="A326" s="90">
        <v>510004</v>
      </c>
      <c r="B326" s="90" t="s">
        <v>725</v>
      </c>
      <c r="D326" s="91">
        <v>19015.580000000002</v>
      </c>
      <c r="E326" s="91">
        <v>0</v>
      </c>
      <c r="F326" s="91">
        <f t="shared" si="1"/>
        <v>19015.580000000002</v>
      </c>
      <c r="G326" t="str">
        <f>_xlfn.XLOOKUP($A326,Map!$A:$A,Map!C:C)</f>
        <v>IS</v>
      </c>
      <c r="H326" t="str">
        <f>_xlfn.XLOOKUP($A326,Map!$A:$A,Map!D:D)</f>
        <v>Cost of sales</v>
      </c>
      <c r="I326" t="str">
        <f>_xlfn.XLOOKUP($A326,Map!$A:$A,Map!E:E)</f>
        <v>Raw materials</v>
      </c>
      <c r="J326" t="str">
        <f>_xlfn.XLOOKUP($A326,Map!$A:$A,Map!F:F)</f>
        <v>Other expenses</v>
      </c>
    </row>
    <row r="327" spans="1:10" hidden="1" x14ac:dyDescent="0.25">
      <c r="A327" s="90">
        <v>510004</v>
      </c>
      <c r="B327" s="90" t="s">
        <v>725</v>
      </c>
      <c r="D327" s="91">
        <v>9281.92</v>
      </c>
      <c r="E327" s="91">
        <v>0</v>
      </c>
      <c r="F327" s="91">
        <f t="shared" si="1"/>
        <v>9281.92</v>
      </c>
      <c r="G327" t="str">
        <f>_xlfn.XLOOKUP($A327,Map!$A:$A,Map!C:C)</f>
        <v>IS</v>
      </c>
      <c r="H327" t="str">
        <f>_xlfn.XLOOKUP($A327,Map!$A:$A,Map!D:D)</f>
        <v>Cost of sales</v>
      </c>
      <c r="I327" t="str">
        <f>_xlfn.XLOOKUP($A327,Map!$A:$A,Map!E:E)</f>
        <v>Raw materials</v>
      </c>
      <c r="J327" t="str">
        <f>_xlfn.XLOOKUP($A327,Map!$A:$A,Map!F:F)</f>
        <v>Other expenses</v>
      </c>
    </row>
    <row r="328" spans="1:10" hidden="1" x14ac:dyDescent="0.25">
      <c r="A328" s="90">
        <v>510004</v>
      </c>
      <c r="B328" s="90" t="s">
        <v>725</v>
      </c>
      <c r="D328" s="91">
        <v>0</v>
      </c>
      <c r="E328" s="91">
        <v>23509.182000000001</v>
      </c>
      <c r="F328" s="91">
        <f t="shared" si="1"/>
        <v>-23509.182000000001</v>
      </c>
      <c r="G328" t="str">
        <f>_xlfn.XLOOKUP($A328,Map!$A:$A,Map!C:C)</f>
        <v>IS</v>
      </c>
      <c r="H328" t="str">
        <f>_xlfn.XLOOKUP($A328,Map!$A:$A,Map!D:D)</f>
        <v>Cost of sales</v>
      </c>
      <c r="I328" t="str">
        <f>_xlfn.XLOOKUP($A328,Map!$A:$A,Map!E:E)</f>
        <v>Raw materials</v>
      </c>
      <c r="J328" t="str">
        <f>_xlfn.XLOOKUP($A328,Map!$A:$A,Map!F:F)</f>
        <v>Other expenses</v>
      </c>
    </row>
    <row r="329" spans="1:10" hidden="1" x14ac:dyDescent="0.25">
      <c r="A329" s="90">
        <v>510004</v>
      </c>
      <c r="B329" s="90" t="s">
        <v>725</v>
      </c>
      <c r="D329" s="91">
        <v>1934.0630000000001</v>
      </c>
      <c r="E329" s="91">
        <v>0</v>
      </c>
      <c r="F329" s="91">
        <f t="shared" si="1"/>
        <v>1934.0630000000001</v>
      </c>
      <c r="G329" t="str">
        <f>_xlfn.XLOOKUP($A329,Map!$A:$A,Map!C:C)</f>
        <v>IS</v>
      </c>
      <c r="H329" t="str">
        <f>_xlfn.XLOOKUP($A329,Map!$A:$A,Map!D:D)</f>
        <v>Cost of sales</v>
      </c>
      <c r="I329" t="str">
        <f>_xlfn.XLOOKUP($A329,Map!$A:$A,Map!E:E)</f>
        <v>Raw materials</v>
      </c>
      <c r="J329" t="str">
        <f>_xlfn.XLOOKUP($A329,Map!$A:$A,Map!F:F)</f>
        <v>Other expenses</v>
      </c>
    </row>
    <row r="330" spans="1:10" hidden="1" x14ac:dyDescent="0.25">
      <c r="A330" s="90">
        <v>510004</v>
      </c>
      <c r="B330" s="90" t="s">
        <v>725</v>
      </c>
      <c r="D330" s="91">
        <v>0</v>
      </c>
      <c r="E330" s="91">
        <v>68972.634999999995</v>
      </c>
      <c r="F330" s="91">
        <f t="shared" si="1"/>
        <v>-68972.634999999995</v>
      </c>
      <c r="G330" t="str">
        <f>_xlfn.XLOOKUP($A330,Map!$A:$A,Map!C:C)</f>
        <v>IS</v>
      </c>
      <c r="H330" t="str">
        <f>_xlfn.XLOOKUP($A330,Map!$A:$A,Map!D:D)</f>
        <v>Cost of sales</v>
      </c>
      <c r="I330" t="str">
        <f>_xlfn.XLOOKUP($A330,Map!$A:$A,Map!E:E)</f>
        <v>Raw materials</v>
      </c>
      <c r="J330" t="str">
        <f>_xlfn.XLOOKUP($A330,Map!$A:$A,Map!F:F)</f>
        <v>Other expenses</v>
      </c>
    </row>
    <row r="331" spans="1:10" hidden="1" x14ac:dyDescent="0.25">
      <c r="A331" s="90">
        <v>510004</v>
      </c>
      <c r="B331" s="90" t="s">
        <v>725</v>
      </c>
      <c r="D331" s="91">
        <v>61179.42</v>
      </c>
      <c r="E331" s="91">
        <v>0</v>
      </c>
      <c r="F331" s="91">
        <f t="shared" si="1"/>
        <v>61179.42</v>
      </c>
      <c r="G331" t="str">
        <f>_xlfn.XLOOKUP($A331,Map!$A:$A,Map!C:C)</f>
        <v>IS</v>
      </c>
      <c r="H331" t="str">
        <f>_xlfn.XLOOKUP($A331,Map!$A:$A,Map!D:D)</f>
        <v>Cost of sales</v>
      </c>
      <c r="I331" t="str">
        <f>_xlfn.XLOOKUP($A331,Map!$A:$A,Map!E:E)</f>
        <v>Raw materials</v>
      </c>
      <c r="J331" t="str">
        <f>_xlfn.XLOOKUP($A331,Map!$A:$A,Map!F:F)</f>
        <v>Other expenses</v>
      </c>
    </row>
    <row r="332" spans="1:10" hidden="1" x14ac:dyDescent="0.25">
      <c r="A332" s="90">
        <v>510004</v>
      </c>
      <c r="B332" s="90" t="s">
        <v>725</v>
      </c>
      <c r="D332" s="91">
        <v>0</v>
      </c>
      <c r="E332" s="91">
        <v>412227.81199999998</v>
      </c>
      <c r="F332" s="91">
        <f t="shared" ref="F332:F343" si="2">D332-E332</f>
        <v>-412227.81199999998</v>
      </c>
      <c r="G332" t="str">
        <f>_xlfn.XLOOKUP($A332,Map!$A:$A,Map!C:C)</f>
        <v>IS</v>
      </c>
      <c r="H332" t="str">
        <f>_xlfn.XLOOKUP($A332,Map!$A:$A,Map!D:D)</f>
        <v>Cost of sales</v>
      </c>
      <c r="I332" t="str">
        <f>_xlfn.XLOOKUP($A332,Map!$A:$A,Map!E:E)</f>
        <v>Raw materials</v>
      </c>
      <c r="J332" t="str">
        <f>_xlfn.XLOOKUP($A332,Map!$A:$A,Map!F:F)</f>
        <v>Other expenses</v>
      </c>
    </row>
    <row r="333" spans="1:10" hidden="1" x14ac:dyDescent="0.25">
      <c r="A333" s="90">
        <v>510004</v>
      </c>
      <c r="B333" s="90" t="s">
        <v>725</v>
      </c>
      <c r="D333" s="91">
        <v>382422.3</v>
      </c>
      <c r="E333" s="91">
        <v>0</v>
      </c>
      <c r="F333" s="91">
        <f t="shared" si="2"/>
        <v>382422.3</v>
      </c>
      <c r="G333" t="str">
        <f>_xlfn.XLOOKUP($A333,Map!$A:$A,Map!C:C)</f>
        <v>IS</v>
      </c>
      <c r="H333" t="str">
        <f>_xlfn.XLOOKUP($A333,Map!$A:$A,Map!D:D)</f>
        <v>Cost of sales</v>
      </c>
      <c r="I333" t="str">
        <f>_xlfn.XLOOKUP($A333,Map!$A:$A,Map!E:E)</f>
        <v>Raw materials</v>
      </c>
      <c r="J333" t="str">
        <f>_xlfn.XLOOKUP($A333,Map!$A:$A,Map!F:F)</f>
        <v>Other expenses</v>
      </c>
    </row>
    <row r="334" spans="1:10" hidden="1" x14ac:dyDescent="0.25">
      <c r="A334" s="90">
        <v>510004</v>
      </c>
      <c r="B334" s="90" t="s">
        <v>725</v>
      </c>
      <c r="D334" s="91">
        <v>0</v>
      </c>
      <c r="E334" s="91">
        <v>40195.656999999999</v>
      </c>
      <c r="F334" s="91">
        <f t="shared" si="2"/>
        <v>-40195.656999999999</v>
      </c>
      <c r="G334" t="str">
        <f>_xlfn.XLOOKUP($A334,Map!$A:$A,Map!C:C)</f>
        <v>IS</v>
      </c>
      <c r="H334" t="str">
        <f>_xlfn.XLOOKUP($A334,Map!$A:$A,Map!D:D)</f>
        <v>Cost of sales</v>
      </c>
      <c r="I334" t="str">
        <f>_xlfn.XLOOKUP($A334,Map!$A:$A,Map!E:E)</f>
        <v>Raw materials</v>
      </c>
      <c r="J334" t="str">
        <f>_xlfn.XLOOKUP($A334,Map!$A:$A,Map!F:F)</f>
        <v>Other expenses</v>
      </c>
    </row>
    <row r="335" spans="1:10" hidden="1" x14ac:dyDescent="0.25">
      <c r="A335" s="90">
        <v>510004</v>
      </c>
      <c r="B335" s="90" t="s">
        <v>725</v>
      </c>
      <c r="D335" s="91">
        <v>36701.129999999997</v>
      </c>
      <c r="E335" s="91">
        <v>0</v>
      </c>
      <c r="F335" s="91">
        <f t="shared" si="2"/>
        <v>36701.129999999997</v>
      </c>
      <c r="G335" t="str">
        <f>_xlfn.XLOOKUP($A335,Map!$A:$A,Map!C:C)</f>
        <v>IS</v>
      </c>
      <c r="H335" t="str">
        <f>_xlfn.XLOOKUP($A335,Map!$A:$A,Map!D:D)</f>
        <v>Cost of sales</v>
      </c>
      <c r="I335" t="str">
        <f>_xlfn.XLOOKUP($A335,Map!$A:$A,Map!E:E)</f>
        <v>Raw materials</v>
      </c>
      <c r="J335" t="str">
        <f>_xlfn.XLOOKUP($A335,Map!$A:$A,Map!F:F)</f>
        <v>Other expenses</v>
      </c>
    </row>
    <row r="336" spans="1:10" hidden="1" x14ac:dyDescent="0.25">
      <c r="A336" s="90">
        <v>510002</v>
      </c>
      <c r="B336" s="90" t="s">
        <v>725</v>
      </c>
      <c r="D336" s="91">
        <v>0</v>
      </c>
      <c r="E336" s="91">
        <v>186668.5</v>
      </c>
      <c r="F336" s="91">
        <f t="shared" si="2"/>
        <v>-186668.5</v>
      </c>
      <c r="G336" t="str">
        <f>_xlfn.XLOOKUP($A336,Map!$A:$A,Map!C:C)</f>
        <v>IS</v>
      </c>
      <c r="H336" t="str">
        <f>_xlfn.XLOOKUP($A336,Map!$A:$A,Map!D:D)</f>
        <v>Cost of sales</v>
      </c>
      <c r="I336" t="str">
        <f>_xlfn.XLOOKUP($A336,Map!$A:$A,Map!E:E)</f>
        <v>Direct Labor</v>
      </c>
      <c r="J336" t="str">
        <f>_xlfn.XLOOKUP($A336,Map!$A:$A,Map!F:F)</f>
        <v>Direct Labor</v>
      </c>
    </row>
    <row r="337" spans="1:10" hidden="1" x14ac:dyDescent="0.25">
      <c r="A337" s="90">
        <v>510002</v>
      </c>
      <c r="B337" s="90" t="s">
        <v>725</v>
      </c>
      <c r="D337" s="91">
        <v>0</v>
      </c>
      <c r="E337" s="91">
        <v>32850</v>
      </c>
      <c r="F337" s="91">
        <f t="shared" si="2"/>
        <v>-32850</v>
      </c>
      <c r="G337" t="str">
        <f>_xlfn.XLOOKUP($A337,Map!$A:$A,Map!C:C)</f>
        <v>IS</v>
      </c>
      <c r="H337" t="str">
        <f>_xlfn.XLOOKUP($A337,Map!$A:$A,Map!D:D)</f>
        <v>Cost of sales</v>
      </c>
      <c r="I337" t="str">
        <f>_xlfn.XLOOKUP($A337,Map!$A:$A,Map!E:E)</f>
        <v>Direct Labor</v>
      </c>
      <c r="J337" t="str">
        <f>_xlfn.XLOOKUP($A337,Map!$A:$A,Map!F:F)</f>
        <v>Direct Labor</v>
      </c>
    </row>
    <row r="338" spans="1:10" hidden="1" x14ac:dyDescent="0.25">
      <c r="A338" s="90">
        <v>510002</v>
      </c>
      <c r="B338" s="90" t="s">
        <v>725</v>
      </c>
      <c r="D338" s="91">
        <v>0</v>
      </c>
      <c r="E338" s="91">
        <v>3400</v>
      </c>
      <c r="F338" s="91">
        <f t="shared" si="2"/>
        <v>-3400</v>
      </c>
      <c r="G338" t="str">
        <f>_xlfn.XLOOKUP($A338,Map!$A:$A,Map!C:C)</f>
        <v>IS</v>
      </c>
      <c r="H338" t="str">
        <f>_xlfn.XLOOKUP($A338,Map!$A:$A,Map!D:D)</f>
        <v>Cost of sales</v>
      </c>
      <c r="I338" t="str">
        <f>_xlfn.XLOOKUP($A338,Map!$A:$A,Map!E:E)</f>
        <v>Direct Labor</v>
      </c>
      <c r="J338" t="str">
        <f>_xlfn.XLOOKUP($A338,Map!$A:$A,Map!F:F)</f>
        <v>Direct Labor</v>
      </c>
    </row>
    <row r="339" spans="1:10" hidden="1" x14ac:dyDescent="0.25">
      <c r="A339" s="90">
        <v>510002</v>
      </c>
      <c r="B339" s="90" t="s">
        <v>725</v>
      </c>
      <c r="D339" s="91">
        <v>0</v>
      </c>
      <c r="E339" s="91">
        <v>39427.5</v>
      </c>
      <c r="F339" s="91">
        <f t="shared" si="2"/>
        <v>-39427.5</v>
      </c>
      <c r="G339" t="str">
        <f>_xlfn.XLOOKUP($A339,Map!$A:$A,Map!C:C)</f>
        <v>IS</v>
      </c>
      <c r="H339" t="str">
        <f>_xlfn.XLOOKUP($A339,Map!$A:$A,Map!D:D)</f>
        <v>Cost of sales</v>
      </c>
      <c r="I339" t="str">
        <f>_xlfn.XLOOKUP($A339,Map!$A:$A,Map!E:E)</f>
        <v>Direct Labor</v>
      </c>
      <c r="J339" t="str">
        <f>_xlfn.XLOOKUP($A339,Map!$A:$A,Map!F:F)</f>
        <v>Direct Labor</v>
      </c>
    </row>
    <row r="340" spans="1:10" hidden="1" x14ac:dyDescent="0.25">
      <c r="A340" s="90">
        <v>510002</v>
      </c>
      <c r="B340" s="90" t="s">
        <v>725</v>
      </c>
      <c r="D340" s="91">
        <v>0</v>
      </c>
      <c r="E340" s="91">
        <v>1724</v>
      </c>
      <c r="F340" s="91">
        <f t="shared" si="2"/>
        <v>-1724</v>
      </c>
      <c r="G340" t="str">
        <f>_xlfn.XLOOKUP($A340,Map!$A:$A,Map!C:C)</f>
        <v>IS</v>
      </c>
      <c r="H340" t="str">
        <f>_xlfn.XLOOKUP($A340,Map!$A:$A,Map!D:D)</f>
        <v>Cost of sales</v>
      </c>
      <c r="I340" t="str">
        <f>_xlfn.XLOOKUP($A340,Map!$A:$A,Map!E:E)</f>
        <v>Direct Labor</v>
      </c>
      <c r="J340" t="str">
        <f>_xlfn.XLOOKUP($A340,Map!$A:$A,Map!F:F)</f>
        <v>Direct Labor</v>
      </c>
    </row>
    <row r="341" spans="1:10" hidden="1" x14ac:dyDescent="0.25">
      <c r="A341" s="90">
        <v>510002</v>
      </c>
      <c r="B341" s="90" t="s">
        <v>725</v>
      </c>
      <c r="D341" s="91">
        <v>0</v>
      </c>
      <c r="E341" s="91">
        <v>2238</v>
      </c>
      <c r="F341" s="91">
        <f t="shared" si="2"/>
        <v>-2238</v>
      </c>
      <c r="G341" t="str">
        <f>_xlfn.XLOOKUP($A341,Map!$A:$A,Map!C:C)</f>
        <v>IS</v>
      </c>
      <c r="H341" t="str">
        <f>_xlfn.XLOOKUP($A341,Map!$A:$A,Map!D:D)</f>
        <v>Cost of sales</v>
      </c>
      <c r="I341" t="str">
        <f>_xlfn.XLOOKUP($A341,Map!$A:$A,Map!E:E)</f>
        <v>Direct Labor</v>
      </c>
      <c r="J341" t="str">
        <f>_xlfn.XLOOKUP($A341,Map!$A:$A,Map!F:F)</f>
        <v>Direct Labor</v>
      </c>
    </row>
    <row r="342" spans="1:10" hidden="1" x14ac:dyDescent="0.25">
      <c r="A342" s="90">
        <v>510002</v>
      </c>
      <c r="B342" s="90" t="s">
        <v>725</v>
      </c>
      <c r="D342" s="91">
        <v>0</v>
      </c>
      <c r="E342" s="91">
        <v>22257</v>
      </c>
      <c r="F342" s="91">
        <f t="shared" si="2"/>
        <v>-22257</v>
      </c>
      <c r="G342" t="str">
        <f>_xlfn.XLOOKUP($A342,Map!$A:$A,Map!C:C)</f>
        <v>IS</v>
      </c>
      <c r="H342" t="str">
        <f>_xlfn.XLOOKUP($A342,Map!$A:$A,Map!D:D)</f>
        <v>Cost of sales</v>
      </c>
      <c r="I342" t="str">
        <f>_xlfn.XLOOKUP($A342,Map!$A:$A,Map!E:E)</f>
        <v>Direct Labor</v>
      </c>
      <c r="J342" t="str">
        <f>_xlfn.XLOOKUP($A342,Map!$A:$A,Map!F:F)</f>
        <v>Direct Labor</v>
      </c>
    </row>
    <row r="343" spans="1:10" hidden="1" x14ac:dyDescent="0.25">
      <c r="A343" s="90">
        <v>510002</v>
      </c>
      <c r="B343" s="90" t="s">
        <v>725</v>
      </c>
      <c r="D343" s="91">
        <v>0</v>
      </c>
      <c r="E343" s="91">
        <v>1460</v>
      </c>
      <c r="F343" s="91">
        <f t="shared" si="2"/>
        <v>-1460</v>
      </c>
      <c r="G343" t="str">
        <f>_xlfn.XLOOKUP($A343,Map!$A:$A,Map!C:C)</f>
        <v>IS</v>
      </c>
      <c r="H343" t="str">
        <f>_xlfn.XLOOKUP($A343,Map!$A:$A,Map!D:D)</f>
        <v>Cost of sales</v>
      </c>
      <c r="I343" t="str">
        <f>_xlfn.XLOOKUP($A343,Map!$A:$A,Map!E:E)</f>
        <v>Direct Labor</v>
      </c>
      <c r="J343" t="str">
        <f>_xlfn.XLOOKUP($A343,Map!$A:$A,Map!F:F)</f>
        <v>Direct Labor</v>
      </c>
    </row>
    <row r="344" spans="1:10" hidden="1" x14ac:dyDescent="0.25">
      <c r="A344" s="90">
        <v>600031</v>
      </c>
      <c r="B344" s="90" t="s">
        <v>726</v>
      </c>
      <c r="D344" s="91">
        <v>613.33299999999997</v>
      </c>
      <c r="E344" s="91">
        <v>0</v>
      </c>
      <c r="F344" s="91">
        <f t="shared" ref="F344:F377" si="3">D344-E344</f>
        <v>613.33299999999997</v>
      </c>
      <c r="G344" t="str">
        <f>_xlfn.XLOOKUP($A344,Map!$A:$A,Map!C:C)</f>
        <v>IS</v>
      </c>
      <c r="H344" t="str">
        <f>_xlfn.XLOOKUP($A344,Map!$A:$A,Map!D:D)</f>
        <v>Depreciation expenses</v>
      </c>
      <c r="I344" t="str">
        <f>_xlfn.XLOOKUP($A344,Map!$A:$A,Map!E:E)</f>
        <v>Depreciation expenses</v>
      </c>
      <c r="J344" t="str">
        <f>_xlfn.XLOOKUP($A344,Map!$A:$A,Map!F:F)</f>
        <v>Depreciation of property, plant and equipment</v>
      </c>
    </row>
    <row r="345" spans="1:10" hidden="1" x14ac:dyDescent="0.25">
      <c r="A345" s="90">
        <v>600030</v>
      </c>
      <c r="B345" s="90" t="s">
        <v>726</v>
      </c>
      <c r="D345" s="91">
        <v>821.92</v>
      </c>
      <c r="E345" s="91">
        <v>0</v>
      </c>
      <c r="F345" s="91">
        <f t="shared" si="3"/>
        <v>821.92</v>
      </c>
      <c r="G345" t="str">
        <f>_xlfn.XLOOKUP($A345,Map!$A:$A,Map!C:C)</f>
        <v>IS</v>
      </c>
      <c r="H345" t="str">
        <f>_xlfn.XLOOKUP($A345,Map!$A:$A,Map!D:D)</f>
        <v>Depreciation expenses</v>
      </c>
      <c r="I345" t="str">
        <f>_xlfn.XLOOKUP($A345,Map!$A:$A,Map!E:E)</f>
        <v>Depreciation expenses</v>
      </c>
      <c r="J345" t="str">
        <f>_xlfn.XLOOKUP($A345,Map!$A:$A,Map!F:F)</f>
        <v>Depreciation of property, plant and equipment</v>
      </c>
    </row>
    <row r="346" spans="1:10" hidden="1" x14ac:dyDescent="0.25">
      <c r="A346" s="90">
        <v>600029</v>
      </c>
      <c r="B346" s="90" t="s">
        <v>726</v>
      </c>
      <c r="D346" s="91">
        <v>285446.89</v>
      </c>
      <c r="E346" s="91">
        <v>0</v>
      </c>
      <c r="F346" s="91">
        <f t="shared" si="3"/>
        <v>285446.89</v>
      </c>
      <c r="G346" t="str">
        <f>_xlfn.XLOOKUP($A346,Map!$A:$A,Map!C:C)</f>
        <v>IS</v>
      </c>
      <c r="H346" t="str">
        <f>_xlfn.XLOOKUP($A346,Map!$A:$A,Map!D:D)</f>
        <v>Cost of sales</v>
      </c>
      <c r="I346" t="str">
        <f>_xlfn.XLOOKUP($A346,Map!$A:$A,Map!E:E)</f>
        <v>Depreciation - Machines</v>
      </c>
      <c r="J346" t="str">
        <f>_xlfn.XLOOKUP($A346,Map!$A:$A,Map!F:F)</f>
        <v>Depreciation of property, plant and equipment</v>
      </c>
    </row>
    <row r="347" spans="1:10" hidden="1" x14ac:dyDescent="0.25">
      <c r="A347" s="90">
        <v>600028</v>
      </c>
      <c r="B347" s="90" t="s">
        <v>726</v>
      </c>
      <c r="D347" s="91">
        <v>3753</v>
      </c>
      <c r="E347" s="91">
        <v>0</v>
      </c>
      <c r="F347" s="91">
        <f t="shared" si="3"/>
        <v>3753</v>
      </c>
      <c r="G347" t="str">
        <f>_xlfn.XLOOKUP($A347,Map!$A:$A,Map!C:C)</f>
        <v>IS</v>
      </c>
      <c r="H347" t="str">
        <f>_xlfn.XLOOKUP($A347,Map!$A:$A,Map!D:D)</f>
        <v>Cost of sales</v>
      </c>
      <c r="I347" t="str">
        <f>_xlfn.XLOOKUP($A347,Map!$A:$A,Map!E:E)</f>
        <v>Overhead - Consumables &amp; SP</v>
      </c>
      <c r="J347" t="str">
        <f>_xlfn.XLOOKUP($A347,Map!$A:$A,Map!F:F)</f>
        <v xml:space="preserve">Education &amp; Furniture Allowances </v>
      </c>
    </row>
    <row r="348" spans="1:10" hidden="1" x14ac:dyDescent="0.25">
      <c r="A348" s="90">
        <v>600027</v>
      </c>
      <c r="B348" s="90" t="s">
        <v>726</v>
      </c>
      <c r="D348" s="91">
        <v>51333.34</v>
      </c>
      <c r="E348" s="91">
        <v>0</v>
      </c>
      <c r="F348" s="91">
        <f t="shared" si="3"/>
        <v>51333.34</v>
      </c>
      <c r="G348" t="str">
        <f>_xlfn.XLOOKUP($A348,Map!$A:$A,Map!C:C)</f>
        <v>IS</v>
      </c>
      <c r="H348" t="str">
        <f>_xlfn.XLOOKUP($A348,Map!$A:$A,Map!D:D)</f>
        <v>Cost of sales</v>
      </c>
      <c r="I348" t="str">
        <f>_xlfn.XLOOKUP($A348,Map!$A:$A,Map!E:E)</f>
        <v>Overhead - Rent</v>
      </c>
      <c r="J348" t="str">
        <f>_xlfn.XLOOKUP($A348,Map!$A:$A,Map!F:F)</f>
        <v>Production hall rental</v>
      </c>
    </row>
    <row r="349" spans="1:10" hidden="1" x14ac:dyDescent="0.25">
      <c r="A349" s="90">
        <v>600024</v>
      </c>
      <c r="B349" s="90" t="s">
        <v>726</v>
      </c>
      <c r="D349" s="91">
        <v>1352</v>
      </c>
      <c r="E349" s="91">
        <v>0</v>
      </c>
      <c r="F349" s="91">
        <f t="shared" si="3"/>
        <v>1352</v>
      </c>
      <c r="G349" t="str">
        <f>_xlfn.XLOOKUP($A349,Map!$A:$A,Map!C:C)</f>
        <v>IS</v>
      </c>
      <c r="H349" t="str">
        <f>_xlfn.XLOOKUP($A349,Map!$A:$A,Map!D:D)</f>
        <v>Cost of sales</v>
      </c>
      <c r="I349" t="str">
        <f>_xlfn.XLOOKUP($A349,Map!$A:$A,Map!E:E)</f>
        <v>Overhead - Rent</v>
      </c>
      <c r="J349" t="str">
        <f>_xlfn.XLOOKUP($A349,Map!$A:$A,Map!F:F)</f>
        <v>Pump rental expenses</v>
      </c>
    </row>
    <row r="350" spans="1:10" hidden="1" x14ac:dyDescent="0.25">
      <c r="A350" s="90">
        <v>600020</v>
      </c>
      <c r="B350" s="90" t="s">
        <v>726</v>
      </c>
      <c r="D350" s="91">
        <v>3390</v>
      </c>
      <c r="E350" s="91">
        <v>0</v>
      </c>
      <c r="F350" s="91">
        <f t="shared" si="3"/>
        <v>3390</v>
      </c>
      <c r="G350" t="str">
        <f>_xlfn.XLOOKUP($A350,Map!$A:$A,Map!C:C)</f>
        <v>IS</v>
      </c>
      <c r="H350" t="str">
        <f>_xlfn.XLOOKUP($A350,Map!$A:$A,Map!D:D)</f>
        <v>Cost of sales</v>
      </c>
      <c r="I350" t="str">
        <f>_xlfn.XLOOKUP($A350,Map!$A:$A,Map!E:E)</f>
        <v>Overhead - R&amp;M</v>
      </c>
      <c r="J350" t="str">
        <f>_xlfn.XLOOKUP($A350,Map!$A:$A,Map!F:F)</f>
        <v>Machine and equipment</v>
      </c>
    </row>
    <row r="351" spans="1:10" hidden="1" x14ac:dyDescent="0.25">
      <c r="A351" s="90">
        <v>600019</v>
      </c>
      <c r="B351" s="90" t="s">
        <v>726</v>
      </c>
      <c r="D351" s="91">
        <v>14092</v>
      </c>
      <c r="E351" s="91">
        <v>0</v>
      </c>
      <c r="F351" s="91">
        <f t="shared" si="3"/>
        <v>14092</v>
      </c>
      <c r="G351" t="str">
        <f>_xlfn.XLOOKUP($A351,Map!$A:$A,Map!C:C)</f>
        <v>IS</v>
      </c>
      <c r="H351" t="str">
        <f>_xlfn.XLOOKUP($A351,Map!$A:$A,Map!D:D)</f>
        <v>Cost of sales</v>
      </c>
      <c r="I351" t="str">
        <f>_xlfn.XLOOKUP($A351,Map!$A:$A,Map!E:E)</f>
        <v>Overhead - Utility</v>
      </c>
      <c r="J351" t="str">
        <f>_xlfn.XLOOKUP($A351,Map!$A:$A,Map!F:F)</f>
        <v>Fuel and oil</v>
      </c>
    </row>
    <row r="352" spans="1:10" hidden="1" x14ac:dyDescent="0.25">
      <c r="A352" s="90">
        <v>600018</v>
      </c>
      <c r="B352" s="90" t="s">
        <v>726</v>
      </c>
      <c r="D352" s="91">
        <v>5250</v>
      </c>
      <c r="E352" s="91">
        <v>0</v>
      </c>
      <c r="F352" s="91">
        <f t="shared" si="3"/>
        <v>5250</v>
      </c>
      <c r="G352" t="str">
        <f>_xlfn.XLOOKUP($A352,Map!$A:$A,Map!C:C)</f>
        <v>IS</v>
      </c>
      <c r="H352" t="str">
        <f>_xlfn.XLOOKUP($A352,Map!$A:$A,Map!D:D)</f>
        <v>Cost of sales</v>
      </c>
      <c r="I352" t="str">
        <f>_xlfn.XLOOKUP($A352,Map!$A:$A,Map!E:E)</f>
        <v>Overhead - Utility</v>
      </c>
      <c r="J352" t="str">
        <f>_xlfn.XLOOKUP($A352,Map!$A:$A,Map!F:F)</f>
        <v>Water expenses</v>
      </c>
    </row>
    <row r="353" spans="1:10" hidden="1" x14ac:dyDescent="0.25">
      <c r="A353" s="90">
        <v>600017</v>
      </c>
      <c r="B353" s="90" t="s">
        <v>726</v>
      </c>
      <c r="D353" s="91">
        <v>224385.1</v>
      </c>
      <c r="E353" s="91">
        <v>0</v>
      </c>
      <c r="F353" s="91">
        <f t="shared" si="3"/>
        <v>224385.1</v>
      </c>
      <c r="G353" t="str">
        <f>_xlfn.XLOOKUP($A353,Map!$A:$A,Map!C:C)</f>
        <v>IS</v>
      </c>
      <c r="H353" t="str">
        <f>_xlfn.XLOOKUP($A353,Map!$A:$A,Map!D:D)</f>
        <v>Cost of sales</v>
      </c>
      <c r="I353" t="str">
        <f>_xlfn.XLOOKUP($A353,Map!$A:$A,Map!E:E)</f>
        <v>Overhead - Utility</v>
      </c>
      <c r="J353" t="str">
        <f>_xlfn.XLOOKUP($A353,Map!$A:$A,Map!F:F)</f>
        <v>Electricity expenses</v>
      </c>
    </row>
    <row r="354" spans="1:10" hidden="1" x14ac:dyDescent="0.25">
      <c r="A354" s="90">
        <v>600016</v>
      </c>
      <c r="B354" s="90" t="s">
        <v>726</v>
      </c>
      <c r="D354" s="91">
        <v>1E-3</v>
      </c>
      <c r="E354" s="91">
        <v>0</v>
      </c>
      <c r="F354" s="91">
        <f t="shared" si="3"/>
        <v>1E-3</v>
      </c>
      <c r="G354" t="str">
        <f>_xlfn.XLOOKUP($A354,Map!$A:$A,Map!C:C)</f>
        <v>IS</v>
      </c>
      <c r="H354" t="str">
        <f>_xlfn.XLOOKUP($A354,Map!$A:$A,Map!D:D)</f>
        <v>Cost of sales</v>
      </c>
      <c r="I354" t="str">
        <f>_xlfn.XLOOKUP($A354,Map!$A:$A,Map!E:E)</f>
        <v>Overhead - Consumables &amp; SP</v>
      </c>
      <c r="J354" t="str">
        <f>_xlfn.XLOOKUP($A354,Map!$A:$A,Map!F:F)</f>
        <v>Tools</v>
      </c>
    </row>
    <row r="355" spans="1:10" hidden="1" x14ac:dyDescent="0.25">
      <c r="A355" s="90">
        <v>600016</v>
      </c>
      <c r="B355" s="90" t="s">
        <v>726</v>
      </c>
      <c r="D355" s="91">
        <v>1E-3</v>
      </c>
      <c r="E355" s="91">
        <v>0</v>
      </c>
      <c r="F355" s="91">
        <f t="shared" si="3"/>
        <v>1E-3</v>
      </c>
      <c r="G355" t="str">
        <f>_xlfn.XLOOKUP($A355,Map!$A:$A,Map!C:C)</f>
        <v>IS</v>
      </c>
      <c r="H355" t="str">
        <f>_xlfn.XLOOKUP($A355,Map!$A:$A,Map!D:D)</f>
        <v>Cost of sales</v>
      </c>
      <c r="I355" t="str">
        <f>_xlfn.XLOOKUP($A355,Map!$A:$A,Map!E:E)</f>
        <v>Overhead - Consumables &amp; SP</v>
      </c>
      <c r="J355" t="str">
        <f>_xlfn.XLOOKUP($A355,Map!$A:$A,Map!F:F)</f>
        <v>Tools</v>
      </c>
    </row>
    <row r="356" spans="1:10" hidden="1" x14ac:dyDescent="0.25">
      <c r="A356" s="90">
        <v>600016</v>
      </c>
      <c r="B356" s="90" t="s">
        <v>726</v>
      </c>
      <c r="D356" s="91">
        <v>1E-3</v>
      </c>
      <c r="E356" s="91">
        <v>0</v>
      </c>
      <c r="F356" s="91">
        <f t="shared" si="3"/>
        <v>1E-3</v>
      </c>
      <c r="G356" t="str">
        <f>_xlfn.XLOOKUP($A356,Map!$A:$A,Map!C:C)</f>
        <v>IS</v>
      </c>
      <c r="H356" t="str">
        <f>_xlfn.XLOOKUP($A356,Map!$A:$A,Map!D:D)</f>
        <v>Cost of sales</v>
      </c>
      <c r="I356" t="str">
        <f>_xlfn.XLOOKUP($A356,Map!$A:$A,Map!E:E)</f>
        <v>Overhead - Consumables &amp; SP</v>
      </c>
      <c r="J356" t="str">
        <f>_xlfn.XLOOKUP($A356,Map!$A:$A,Map!F:F)</f>
        <v>Tools</v>
      </c>
    </row>
    <row r="357" spans="1:10" hidden="1" x14ac:dyDescent="0.25">
      <c r="A357" s="90">
        <v>600016</v>
      </c>
      <c r="B357" s="90" t="s">
        <v>726</v>
      </c>
      <c r="D357" s="91">
        <v>1E-3</v>
      </c>
      <c r="E357" s="91">
        <v>0</v>
      </c>
      <c r="F357" s="91">
        <f t="shared" si="3"/>
        <v>1E-3</v>
      </c>
      <c r="G357" t="str">
        <f>_xlfn.XLOOKUP($A357,Map!$A:$A,Map!C:C)</f>
        <v>IS</v>
      </c>
      <c r="H357" t="str">
        <f>_xlfn.XLOOKUP($A357,Map!$A:$A,Map!D:D)</f>
        <v>Cost of sales</v>
      </c>
      <c r="I357" t="str">
        <f>_xlfn.XLOOKUP($A357,Map!$A:$A,Map!E:E)</f>
        <v>Overhead - Consumables &amp; SP</v>
      </c>
      <c r="J357" t="str">
        <f>_xlfn.XLOOKUP($A357,Map!$A:$A,Map!F:F)</f>
        <v>Tools</v>
      </c>
    </row>
    <row r="358" spans="1:10" hidden="1" x14ac:dyDescent="0.25">
      <c r="A358" s="90">
        <v>600016</v>
      </c>
      <c r="B358" s="90" t="s">
        <v>726</v>
      </c>
      <c r="D358" s="91">
        <v>15185.394</v>
      </c>
      <c r="E358" s="91">
        <v>0</v>
      </c>
      <c r="F358" s="91">
        <f t="shared" si="3"/>
        <v>15185.394</v>
      </c>
      <c r="G358" t="str">
        <f>_xlfn.XLOOKUP($A358,Map!$A:$A,Map!C:C)</f>
        <v>IS</v>
      </c>
      <c r="H358" t="str">
        <f>_xlfn.XLOOKUP($A358,Map!$A:$A,Map!D:D)</f>
        <v>Cost of sales</v>
      </c>
      <c r="I358" t="str">
        <f>_xlfn.XLOOKUP($A358,Map!$A:$A,Map!E:E)</f>
        <v>Overhead - Consumables &amp; SP</v>
      </c>
      <c r="J358" t="str">
        <f>_xlfn.XLOOKUP($A358,Map!$A:$A,Map!F:F)</f>
        <v>Tools</v>
      </c>
    </row>
    <row r="359" spans="1:10" hidden="1" x14ac:dyDescent="0.25">
      <c r="A359" s="90">
        <v>600015</v>
      </c>
      <c r="B359" s="90" t="s">
        <v>726</v>
      </c>
      <c r="D359" s="91">
        <v>73242.399999999994</v>
      </c>
      <c r="E359" s="91">
        <v>0</v>
      </c>
      <c r="F359" s="91">
        <f t="shared" si="3"/>
        <v>73242.399999999994</v>
      </c>
      <c r="G359" t="str">
        <f>_xlfn.XLOOKUP($A359,Map!$A:$A,Map!C:C)</f>
        <v>IS</v>
      </c>
      <c r="H359" t="str">
        <f>_xlfn.XLOOKUP($A359,Map!$A:$A,Map!D:D)</f>
        <v>Cost of sales</v>
      </c>
      <c r="I359" t="str">
        <f>_xlfn.XLOOKUP($A359,Map!$A:$A,Map!E:E)</f>
        <v>Overhead - Consumables &amp; SP</v>
      </c>
      <c r="J359" t="str">
        <f>_xlfn.XLOOKUP($A359,Map!$A:$A,Map!F:F)</f>
        <v>Consumables</v>
      </c>
    </row>
    <row r="360" spans="1:10" hidden="1" x14ac:dyDescent="0.25">
      <c r="A360" s="90">
        <v>600014</v>
      </c>
      <c r="B360" s="90" t="s">
        <v>726</v>
      </c>
      <c r="D360" s="91">
        <v>31397.001</v>
      </c>
      <c r="E360" s="91">
        <v>0</v>
      </c>
      <c r="F360" s="91">
        <f t="shared" si="3"/>
        <v>31397.001</v>
      </c>
      <c r="G360" t="str">
        <f>_xlfn.XLOOKUP($A360,Map!$A:$A,Map!C:C)</f>
        <v>IS</v>
      </c>
      <c r="H360" t="str">
        <f>_xlfn.XLOOKUP($A360,Map!$A:$A,Map!D:D)</f>
        <v>Cost of sales</v>
      </c>
      <c r="I360" t="str">
        <f>_xlfn.XLOOKUP($A360,Map!$A:$A,Map!E:E)</f>
        <v>Overhead - Consumables &amp; SP</v>
      </c>
      <c r="J360" t="str">
        <f>_xlfn.XLOOKUP($A360,Map!$A:$A,Map!F:F)</f>
        <v>Consumables</v>
      </c>
    </row>
    <row r="361" spans="1:10" hidden="1" x14ac:dyDescent="0.25">
      <c r="A361" s="90">
        <v>600013</v>
      </c>
      <c r="B361" s="90" t="s">
        <v>726</v>
      </c>
      <c r="D361" s="91">
        <v>140</v>
      </c>
      <c r="E361" s="91">
        <v>0</v>
      </c>
      <c r="F361" s="91">
        <f t="shared" si="3"/>
        <v>140</v>
      </c>
      <c r="G361" t="str">
        <f>_xlfn.XLOOKUP($A361,Map!$A:$A,Map!C:C)</f>
        <v>IS</v>
      </c>
      <c r="H361" t="str">
        <f>_xlfn.XLOOKUP($A361,Map!$A:$A,Map!D:D)</f>
        <v>Cost of sales</v>
      </c>
      <c r="I361" t="str">
        <f>_xlfn.XLOOKUP($A361,Map!$A:$A,Map!E:E)</f>
        <v>Overhead - Labor Cost</v>
      </c>
      <c r="J361" t="str">
        <f>_xlfn.XLOOKUP($A361,Map!$A:$A,Map!F:F)</f>
        <v>Telephone allowance</v>
      </c>
    </row>
    <row r="362" spans="1:10" hidden="1" x14ac:dyDescent="0.25">
      <c r="A362" s="90">
        <v>600011</v>
      </c>
      <c r="B362" s="90" t="s">
        <v>726</v>
      </c>
      <c r="D362" s="91">
        <v>1000</v>
      </c>
      <c r="E362" s="91">
        <v>0</v>
      </c>
      <c r="F362" s="91">
        <f t="shared" si="3"/>
        <v>1000</v>
      </c>
      <c r="G362" t="str">
        <f>_xlfn.XLOOKUP($A362,Map!$A:$A,Map!C:C)</f>
        <v>IS</v>
      </c>
      <c r="H362" t="str">
        <f>_xlfn.XLOOKUP($A362,Map!$A:$A,Map!D:D)</f>
        <v>Cost of sales</v>
      </c>
      <c r="I362" t="str">
        <f>_xlfn.XLOOKUP($A362,Map!$A:$A,Map!E:E)</f>
        <v>Overhead - Labor Cost</v>
      </c>
      <c r="J362" t="str">
        <f>_xlfn.XLOOKUP($A362,Map!$A:$A,Map!F:F)</f>
        <v>Air tickets</v>
      </c>
    </row>
    <row r="363" spans="1:10" hidden="1" x14ac:dyDescent="0.25">
      <c r="A363" s="90">
        <v>600009</v>
      </c>
      <c r="B363" s="90" t="s">
        <v>726</v>
      </c>
      <c r="D363" s="91">
        <v>16515</v>
      </c>
      <c r="E363" s="91">
        <v>0</v>
      </c>
      <c r="F363" s="91">
        <f t="shared" si="3"/>
        <v>16515</v>
      </c>
      <c r="G363" t="str">
        <f>_xlfn.XLOOKUP($A363,Map!$A:$A,Map!C:C)</f>
        <v>IS</v>
      </c>
      <c r="H363" t="str">
        <f>_xlfn.XLOOKUP($A363,Map!$A:$A,Map!D:D)</f>
        <v>Cost of sales</v>
      </c>
      <c r="I363" t="str">
        <f>_xlfn.XLOOKUP($A363,Map!$A:$A,Map!E:E)</f>
        <v>Overhead - Labor Cost</v>
      </c>
      <c r="J363" t="str">
        <f>_xlfn.XLOOKUP($A363,Map!$A:$A,Map!F:F)</f>
        <v>Vacation pay</v>
      </c>
    </row>
    <row r="364" spans="1:10" hidden="1" x14ac:dyDescent="0.25">
      <c r="A364" s="90">
        <v>600008</v>
      </c>
      <c r="B364" s="90" t="s">
        <v>726</v>
      </c>
      <c r="D364" s="91">
        <v>27105</v>
      </c>
      <c r="E364" s="91">
        <v>0</v>
      </c>
      <c r="F364" s="91">
        <f t="shared" si="3"/>
        <v>27105</v>
      </c>
      <c r="G364" t="str">
        <f>_xlfn.XLOOKUP($A364,Map!$A:$A,Map!C:C)</f>
        <v>IS</v>
      </c>
      <c r="H364" t="str">
        <f>_xlfn.XLOOKUP($A364,Map!$A:$A,Map!D:D)</f>
        <v>Cost of sales</v>
      </c>
      <c r="I364" t="str">
        <f>_xlfn.XLOOKUP($A364,Map!$A:$A,Map!E:E)</f>
        <v>Overhead - Labor Cost</v>
      </c>
      <c r="J364" t="str">
        <f>_xlfn.XLOOKUP($A364,Map!$A:$A,Map!F:F)</f>
        <v>Air tickets</v>
      </c>
    </row>
    <row r="365" spans="1:10" hidden="1" x14ac:dyDescent="0.25">
      <c r="A365" s="90">
        <v>600007</v>
      </c>
      <c r="B365" s="90" t="s">
        <v>726</v>
      </c>
      <c r="D365" s="91">
        <v>667</v>
      </c>
      <c r="E365" s="91">
        <v>0</v>
      </c>
      <c r="F365" s="91">
        <f t="shared" si="3"/>
        <v>667</v>
      </c>
      <c r="G365" t="str">
        <f>_xlfn.XLOOKUP($A365,Map!$A:$A,Map!C:C)</f>
        <v>IS</v>
      </c>
      <c r="H365" t="str">
        <f>_xlfn.XLOOKUP($A365,Map!$A:$A,Map!D:D)</f>
        <v>Cost of sales</v>
      </c>
      <c r="I365" t="str">
        <f>_xlfn.XLOOKUP($A365,Map!$A:$A,Map!E:E)</f>
        <v>Overhead - Labor Cost</v>
      </c>
      <c r="J365" t="str">
        <f>_xlfn.XLOOKUP($A365,Map!$A:$A,Map!F:F)</f>
        <v>Transportation allowance</v>
      </c>
    </row>
    <row r="366" spans="1:10" hidden="1" x14ac:dyDescent="0.25">
      <c r="A366" s="90">
        <v>600006</v>
      </c>
      <c r="B366" s="90" t="s">
        <v>726</v>
      </c>
      <c r="D366" s="91">
        <v>26077.68</v>
      </c>
      <c r="E366" s="91">
        <v>0</v>
      </c>
      <c r="F366" s="91">
        <f t="shared" si="3"/>
        <v>26077.68</v>
      </c>
      <c r="G366" t="str">
        <f>_xlfn.XLOOKUP($A366,Map!$A:$A,Map!C:C)</f>
        <v>IS</v>
      </c>
      <c r="H366" t="str">
        <f>_xlfn.XLOOKUP($A366,Map!$A:$A,Map!D:D)</f>
        <v>Cost of sales</v>
      </c>
      <c r="I366" t="str">
        <f>_xlfn.XLOOKUP($A366,Map!$A:$A,Map!E:E)</f>
        <v>Overhead - Labor Cost</v>
      </c>
      <c r="J366" t="str">
        <f>_xlfn.XLOOKUP($A366,Map!$A:$A,Map!F:F)</f>
        <v xml:space="preserve">Food &amp; Housing </v>
      </c>
    </row>
    <row r="367" spans="1:10" hidden="1" x14ac:dyDescent="0.25">
      <c r="A367" s="90">
        <v>600005</v>
      </c>
      <c r="B367" s="90" t="s">
        <v>726</v>
      </c>
      <c r="D367" s="91">
        <v>62750</v>
      </c>
      <c r="E367" s="91">
        <v>0</v>
      </c>
      <c r="F367" s="91">
        <f t="shared" si="3"/>
        <v>62750</v>
      </c>
      <c r="G367" t="str">
        <f>_xlfn.XLOOKUP($A367,Map!$A:$A,Map!C:C)</f>
        <v>IS</v>
      </c>
      <c r="H367" t="str">
        <f>_xlfn.XLOOKUP($A367,Map!$A:$A,Map!D:D)</f>
        <v>General and Admin</v>
      </c>
      <c r="I367" t="str">
        <f>_xlfn.XLOOKUP($A367,Map!$A:$A,Map!E:E)</f>
        <v>Govt license and fees (including modon)</v>
      </c>
      <c r="J367" t="str">
        <f>_xlfn.XLOOKUP($A367,Map!$A:$A,Map!F:F)</f>
        <v>Government fees</v>
      </c>
    </row>
    <row r="368" spans="1:10" hidden="1" x14ac:dyDescent="0.25">
      <c r="A368" s="90">
        <v>600004</v>
      </c>
      <c r="B368" s="90" t="s">
        <v>726</v>
      </c>
      <c r="D368" s="91">
        <v>8583.0300000000007</v>
      </c>
      <c r="E368" s="91">
        <v>0</v>
      </c>
      <c r="F368" s="91">
        <f t="shared" si="3"/>
        <v>8583.0300000000007</v>
      </c>
      <c r="G368" t="str">
        <f>_xlfn.XLOOKUP($A368,Map!$A:$A,Map!C:C)</f>
        <v>IS</v>
      </c>
      <c r="H368" t="str">
        <f>_xlfn.XLOOKUP($A368,Map!$A:$A,Map!D:D)</f>
        <v>Cost of sales</v>
      </c>
      <c r="I368" t="str">
        <f>_xlfn.XLOOKUP($A368,Map!$A:$A,Map!E:E)</f>
        <v>Overhead - Labor Cost</v>
      </c>
      <c r="J368" t="str">
        <f>_xlfn.XLOOKUP($A368,Map!$A:$A,Map!F:F)</f>
        <v>Medical insurance</v>
      </c>
    </row>
    <row r="369" spans="1:10" hidden="1" x14ac:dyDescent="0.25">
      <c r="A369" s="90">
        <v>600003</v>
      </c>
      <c r="B369" s="90" t="s">
        <v>726</v>
      </c>
      <c r="D369" s="91">
        <v>2615</v>
      </c>
      <c r="E369" s="91">
        <v>0</v>
      </c>
      <c r="F369" s="91">
        <f t="shared" si="3"/>
        <v>2615</v>
      </c>
      <c r="G369" t="str">
        <f>_xlfn.XLOOKUP($A369,Map!$A:$A,Map!C:C)</f>
        <v>IS</v>
      </c>
      <c r="H369" t="str">
        <f>_xlfn.XLOOKUP($A369,Map!$A:$A,Map!D:D)</f>
        <v>Cost of sales</v>
      </c>
      <c r="I369" t="str">
        <f>_xlfn.XLOOKUP($A369,Map!$A:$A,Map!E:E)</f>
        <v>Overhead - Labor Cost</v>
      </c>
      <c r="J369" t="str">
        <f>_xlfn.XLOOKUP($A369,Map!$A:$A,Map!F:F)</f>
        <v xml:space="preserve">Food &amp; Housing </v>
      </c>
    </row>
    <row r="370" spans="1:10" hidden="1" x14ac:dyDescent="0.25">
      <c r="A370" s="90">
        <v>600002</v>
      </c>
      <c r="B370" s="90" t="s">
        <v>726</v>
      </c>
      <c r="D370" s="91">
        <v>9233</v>
      </c>
      <c r="E370" s="91">
        <v>0</v>
      </c>
      <c r="F370" s="91">
        <f t="shared" si="3"/>
        <v>9233</v>
      </c>
      <c r="G370" t="str">
        <f>_xlfn.XLOOKUP($A370,Map!$A:$A,Map!C:C)</f>
        <v>IS</v>
      </c>
      <c r="H370" t="str">
        <f>_xlfn.XLOOKUP($A370,Map!$A:$A,Map!D:D)</f>
        <v>Cost of sales</v>
      </c>
      <c r="I370" t="str">
        <f>_xlfn.XLOOKUP($A370,Map!$A:$A,Map!E:E)</f>
        <v>Overhead - Labor Cost</v>
      </c>
      <c r="J370" t="str">
        <f>_xlfn.XLOOKUP($A370,Map!$A:$A,Map!F:F)</f>
        <v>Overtime pay</v>
      </c>
    </row>
    <row r="371" spans="1:10" hidden="1" x14ac:dyDescent="0.25">
      <c r="A371" s="90">
        <v>600001</v>
      </c>
      <c r="B371" s="90" t="s">
        <v>726</v>
      </c>
      <c r="D371" s="91">
        <v>91794</v>
      </c>
      <c r="E371" s="91">
        <v>0</v>
      </c>
      <c r="F371" s="91">
        <f t="shared" si="3"/>
        <v>91794</v>
      </c>
      <c r="G371" t="str">
        <f>_xlfn.XLOOKUP($A371,Map!$A:$A,Map!C:C)</f>
        <v>IS</v>
      </c>
      <c r="H371" t="str">
        <f>_xlfn.XLOOKUP($A371,Map!$A:$A,Map!D:D)</f>
        <v>Cost of sales</v>
      </c>
      <c r="I371" t="str">
        <f>_xlfn.XLOOKUP($A371,Map!$A:$A,Map!E:E)</f>
        <v>Overhead - Labor Cost</v>
      </c>
      <c r="J371" t="str">
        <f>_xlfn.XLOOKUP($A371,Map!$A:$A,Map!F:F)</f>
        <v>Salaries and wages</v>
      </c>
    </row>
    <row r="372" spans="1:10" hidden="1" x14ac:dyDescent="0.25">
      <c r="A372" s="90">
        <v>520042</v>
      </c>
      <c r="B372" s="90" t="s">
        <v>726</v>
      </c>
      <c r="D372" s="91">
        <v>142220.84</v>
      </c>
      <c r="E372" s="91">
        <v>0</v>
      </c>
      <c r="F372" s="91">
        <f t="shared" si="3"/>
        <v>142220.84</v>
      </c>
      <c r="G372" t="str">
        <f>_xlfn.XLOOKUP($A372,Map!$A:$A,Map!C:C)</f>
        <v>IS</v>
      </c>
      <c r="H372" t="str">
        <f>_xlfn.XLOOKUP($A372,Map!$A:$A,Map!D:D)</f>
        <v>Cost of sales</v>
      </c>
      <c r="I372" t="str">
        <f>_xlfn.XLOOKUP($A372,Map!$A:$A,Map!E:E)</f>
        <v>Raw materials</v>
      </c>
      <c r="J372" t="str">
        <f>_xlfn.XLOOKUP($A372,Map!$A:$A,Map!F:F)</f>
        <v>Inventory Adjustment</v>
      </c>
    </row>
    <row r="373" spans="1:10" hidden="1" x14ac:dyDescent="0.25">
      <c r="A373" s="90">
        <v>520041</v>
      </c>
      <c r="B373" s="90" t="s">
        <v>726</v>
      </c>
      <c r="D373" s="91">
        <v>0</v>
      </c>
      <c r="E373" s="91">
        <v>663061.43200000003</v>
      </c>
      <c r="F373" s="91">
        <f t="shared" si="3"/>
        <v>-663061.43200000003</v>
      </c>
      <c r="G373" t="str">
        <f>_xlfn.XLOOKUP($A373,Map!$A:$A,Map!C:C)</f>
        <v>IS</v>
      </c>
      <c r="H373" t="str">
        <f>_xlfn.XLOOKUP($A373,Map!$A:$A,Map!D:D)</f>
        <v>Cost of sales</v>
      </c>
      <c r="I373" t="str">
        <f>_xlfn.XLOOKUP($A373,Map!$A:$A,Map!E:E)</f>
        <v>Raw materials</v>
      </c>
      <c r="J373" t="str">
        <f>_xlfn.XLOOKUP($A373,Map!$A:$A,Map!F:F)</f>
        <v>Other expenses</v>
      </c>
    </row>
    <row r="374" spans="1:10" hidden="1" x14ac:dyDescent="0.25">
      <c r="A374" s="90">
        <v>510004</v>
      </c>
      <c r="B374" s="90" t="s">
        <v>726</v>
      </c>
      <c r="D374" s="91">
        <v>0</v>
      </c>
      <c r="E374" s="91">
        <v>88139.11</v>
      </c>
      <c r="F374" s="91">
        <f t="shared" si="3"/>
        <v>-88139.11</v>
      </c>
      <c r="G374" t="str">
        <f>_xlfn.XLOOKUP($A374,Map!$A:$A,Map!C:C)</f>
        <v>IS</v>
      </c>
      <c r="H374" t="str">
        <f>_xlfn.XLOOKUP($A374,Map!$A:$A,Map!D:D)</f>
        <v>Cost of sales</v>
      </c>
      <c r="I374" t="str">
        <f>_xlfn.XLOOKUP($A374,Map!$A:$A,Map!E:E)</f>
        <v>Raw materials</v>
      </c>
      <c r="J374" t="str">
        <f>_xlfn.XLOOKUP($A374,Map!$A:$A,Map!F:F)</f>
        <v>Other expenses</v>
      </c>
    </row>
    <row r="375" spans="1:10" hidden="1" x14ac:dyDescent="0.25">
      <c r="A375" s="90">
        <v>510004</v>
      </c>
      <c r="B375" s="90" t="s">
        <v>726</v>
      </c>
      <c r="D375" s="91">
        <v>0</v>
      </c>
      <c r="E375" s="91">
        <v>12384.63</v>
      </c>
      <c r="F375" s="91">
        <f t="shared" si="3"/>
        <v>-12384.63</v>
      </c>
      <c r="G375" t="str">
        <f>_xlfn.XLOOKUP($A375,Map!$A:$A,Map!C:C)</f>
        <v>IS</v>
      </c>
      <c r="H375" t="str">
        <f>_xlfn.XLOOKUP($A375,Map!$A:$A,Map!D:D)</f>
        <v>Cost of sales</v>
      </c>
      <c r="I375" t="str">
        <f>_xlfn.XLOOKUP($A375,Map!$A:$A,Map!E:E)</f>
        <v>Raw materials</v>
      </c>
      <c r="J375" t="str">
        <f>_xlfn.XLOOKUP($A375,Map!$A:$A,Map!F:F)</f>
        <v>Other expenses</v>
      </c>
    </row>
    <row r="376" spans="1:10" hidden="1" x14ac:dyDescent="0.25">
      <c r="A376" s="90">
        <v>510004</v>
      </c>
      <c r="B376" s="90" t="s">
        <v>726</v>
      </c>
      <c r="D376" s="91">
        <v>0</v>
      </c>
      <c r="E376" s="91">
        <v>309994.34000000003</v>
      </c>
      <c r="F376" s="91">
        <f t="shared" si="3"/>
        <v>-309994.34000000003</v>
      </c>
      <c r="G376" t="str">
        <f>_xlfn.XLOOKUP($A376,Map!$A:$A,Map!C:C)</f>
        <v>IS</v>
      </c>
      <c r="H376" t="str">
        <f>_xlfn.XLOOKUP($A376,Map!$A:$A,Map!D:D)</f>
        <v>Cost of sales</v>
      </c>
      <c r="I376" t="str">
        <f>_xlfn.XLOOKUP($A376,Map!$A:$A,Map!E:E)</f>
        <v>Raw materials</v>
      </c>
      <c r="J376" t="str">
        <f>_xlfn.XLOOKUP($A376,Map!$A:$A,Map!F:F)</f>
        <v>Other expenses</v>
      </c>
    </row>
    <row r="377" spans="1:10" hidden="1" x14ac:dyDescent="0.25">
      <c r="A377" s="90">
        <v>510004</v>
      </c>
      <c r="B377" s="90" t="s">
        <v>726</v>
      </c>
      <c r="D377" s="91">
        <v>0</v>
      </c>
      <c r="E377" s="91">
        <v>25383.42</v>
      </c>
      <c r="F377" s="91">
        <f t="shared" si="3"/>
        <v>-25383.42</v>
      </c>
      <c r="G377" t="str">
        <f>_xlfn.XLOOKUP($A377,Map!$A:$A,Map!C:C)</f>
        <v>IS</v>
      </c>
      <c r="H377" t="str">
        <f>_xlfn.XLOOKUP($A377,Map!$A:$A,Map!D:D)</f>
        <v>Cost of sales</v>
      </c>
      <c r="I377" t="str">
        <f>_xlfn.XLOOKUP($A377,Map!$A:$A,Map!E:E)</f>
        <v>Raw materials</v>
      </c>
      <c r="J377" t="str">
        <f>_xlfn.XLOOKUP($A377,Map!$A:$A,Map!F:F)</f>
        <v>Other expenses</v>
      </c>
    </row>
    <row r="378" spans="1:10" hidden="1" x14ac:dyDescent="0.25">
      <c r="A378" s="90">
        <v>520041</v>
      </c>
      <c r="B378" s="90" t="s">
        <v>726</v>
      </c>
      <c r="D378" s="91">
        <v>0</v>
      </c>
      <c r="E378" s="91">
        <v>54117.487000000001</v>
      </c>
      <c r="F378" s="91">
        <f t="shared" ref="F378:F406" si="4">D378-E378</f>
        <v>-54117.487000000001</v>
      </c>
      <c r="G378" t="str">
        <f>_xlfn.XLOOKUP($A378,Map!$A:$A,Map!C:C)</f>
        <v>IS</v>
      </c>
      <c r="H378" t="str">
        <f>_xlfn.XLOOKUP($A378,Map!$A:$A,Map!D:D)</f>
        <v>Cost of sales</v>
      </c>
      <c r="I378" t="str">
        <f>_xlfn.XLOOKUP($A378,Map!$A:$A,Map!E:E)</f>
        <v>Raw materials</v>
      </c>
      <c r="J378" t="str">
        <f>_xlfn.XLOOKUP($A378,Map!$A:$A,Map!F:F)</f>
        <v>Other expenses</v>
      </c>
    </row>
    <row r="379" spans="1:10" hidden="1" x14ac:dyDescent="0.25">
      <c r="A379" s="90">
        <v>520037</v>
      </c>
      <c r="B379" s="90" t="s">
        <v>726</v>
      </c>
      <c r="D379" s="91">
        <v>5325.1</v>
      </c>
      <c r="E379" s="91">
        <v>0</v>
      </c>
      <c r="F379" s="91">
        <f t="shared" si="4"/>
        <v>5325.1</v>
      </c>
      <c r="G379" t="str">
        <f>_xlfn.XLOOKUP($A379,Map!$A:$A,Map!C:C)</f>
        <v>IS</v>
      </c>
      <c r="H379" t="str">
        <f>_xlfn.XLOOKUP($A379,Map!$A:$A,Map!D:D)</f>
        <v>Cost of sales</v>
      </c>
      <c r="I379" t="str">
        <f>_xlfn.XLOOKUP($A379,Map!$A:$A,Map!E:E)</f>
        <v>Raw materials</v>
      </c>
      <c r="J379" t="str">
        <f>_xlfn.XLOOKUP($A379,Map!$A:$A,Map!F:F)</f>
        <v>Raw materials</v>
      </c>
    </row>
    <row r="380" spans="1:10" hidden="1" x14ac:dyDescent="0.25">
      <c r="A380" s="90">
        <v>520036</v>
      </c>
      <c r="B380" s="90" t="s">
        <v>726</v>
      </c>
      <c r="D380" s="91">
        <v>0</v>
      </c>
      <c r="E380" s="91">
        <v>6.0000000000000001E-3</v>
      </c>
      <c r="F380" s="91">
        <f t="shared" si="4"/>
        <v>-6.0000000000000001E-3</v>
      </c>
      <c r="G380" t="str">
        <f>_xlfn.XLOOKUP($A380,Map!$A:$A,Map!C:C)</f>
        <v>IS</v>
      </c>
      <c r="H380" t="str">
        <f>_xlfn.XLOOKUP($A380,Map!$A:$A,Map!D:D)</f>
        <v>Cost of sales</v>
      </c>
      <c r="I380" t="str">
        <f>_xlfn.XLOOKUP($A380,Map!$A:$A,Map!E:E)</f>
        <v>Raw materials</v>
      </c>
      <c r="J380" t="str">
        <f>_xlfn.XLOOKUP($A380,Map!$A:$A,Map!F:F)</f>
        <v>Raw materials</v>
      </c>
    </row>
    <row r="381" spans="1:10" hidden="1" x14ac:dyDescent="0.25">
      <c r="A381" s="90">
        <v>520021</v>
      </c>
      <c r="B381" s="90" t="s">
        <v>726</v>
      </c>
      <c r="D381" s="91">
        <v>2704</v>
      </c>
      <c r="E381" s="91">
        <v>0</v>
      </c>
      <c r="F381" s="91">
        <f t="shared" si="4"/>
        <v>2704</v>
      </c>
      <c r="G381" t="str">
        <f>_xlfn.XLOOKUP($A381,Map!$A:$A,Map!C:C)</f>
        <v>IS</v>
      </c>
      <c r="H381" t="str">
        <f>_xlfn.XLOOKUP($A381,Map!$A:$A,Map!D:D)</f>
        <v>Cost of sales</v>
      </c>
      <c r="I381" t="str">
        <f>_xlfn.XLOOKUP($A381,Map!$A:$A,Map!E:E)</f>
        <v>Direct Labor</v>
      </c>
      <c r="J381" t="str">
        <f>_xlfn.XLOOKUP($A381,Map!$A:$A,Map!F:F)</f>
        <v>Medical insurance</v>
      </c>
    </row>
    <row r="382" spans="1:10" hidden="1" x14ac:dyDescent="0.25">
      <c r="A382" s="90">
        <v>520011</v>
      </c>
      <c r="B382" s="90" t="s">
        <v>726</v>
      </c>
      <c r="D382" s="91">
        <v>9369</v>
      </c>
      <c r="E382" s="91">
        <v>0</v>
      </c>
      <c r="F382" s="91">
        <f t="shared" si="4"/>
        <v>9369</v>
      </c>
      <c r="G382" t="str">
        <f>_xlfn.XLOOKUP($A382,Map!$A:$A,Map!C:C)</f>
        <v>IS</v>
      </c>
      <c r="H382" t="str">
        <f>_xlfn.XLOOKUP($A382,Map!$A:$A,Map!D:D)</f>
        <v>Cost of sales</v>
      </c>
      <c r="I382" t="str">
        <f>_xlfn.XLOOKUP($A382,Map!$A:$A,Map!E:E)</f>
        <v>Direct Labor</v>
      </c>
      <c r="J382" t="str">
        <f>_xlfn.XLOOKUP($A382,Map!$A:$A,Map!F:F)</f>
        <v>Overtime pay</v>
      </c>
    </row>
    <row r="383" spans="1:10" hidden="1" x14ac:dyDescent="0.25">
      <c r="A383" s="90">
        <v>520011</v>
      </c>
      <c r="B383" s="90" t="s">
        <v>726</v>
      </c>
      <c r="D383" s="91">
        <v>9787</v>
      </c>
      <c r="E383" s="91">
        <v>0</v>
      </c>
      <c r="F383" s="91">
        <f t="shared" si="4"/>
        <v>9787</v>
      </c>
      <c r="G383" t="str">
        <f>_xlfn.XLOOKUP($A383,Map!$A:$A,Map!C:C)</f>
        <v>IS</v>
      </c>
      <c r="H383" t="str">
        <f>_xlfn.XLOOKUP($A383,Map!$A:$A,Map!D:D)</f>
        <v>Cost of sales</v>
      </c>
      <c r="I383" t="str">
        <f>_xlfn.XLOOKUP($A383,Map!$A:$A,Map!E:E)</f>
        <v>Direct Labor</v>
      </c>
      <c r="J383" t="str">
        <f>_xlfn.XLOOKUP($A383,Map!$A:$A,Map!F:F)</f>
        <v>Overtime pay</v>
      </c>
    </row>
    <row r="384" spans="1:10" hidden="1" x14ac:dyDescent="0.25">
      <c r="A384" s="90">
        <v>520006</v>
      </c>
      <c r="B384" s="90" t="s">
        <v>726</v>
      </c>
      <c r="D384" s="91">
        <v>6405</v>
      </c>
      <c r="E384" s="91">
        <v>0</v>
      </c>
      <c r="F384" s="91">
        <f t="shared" si="4"/>
        <v>6405</v>
      </c>
      <c r="G384" t="str">
        <f>_xlfn.XLOOKUP($A384,Map!$A:$A,Map!C:C)</f>
        <v>IS</v>
      </c>
      <c r="H384" t="str">
        <f>_xlfn.XLOOKUP($A384,Map!$A:$A,Map!D:D)</f>
        <v>Cost of sales</v>
      </c>
      <c r="I384" t="str">
        <f>_xlfn.XLOOKUP($A384,Map!$A:$A,Map!E:E)</f>
        <v>Direct Labor</v>
      </c>
      <c r="J384" t="str">
        <f>_xlfn.XLOOKUP($A384,Map!$A:$A,Map!F:F)</f>
        <v>Medical insurance</v>
      </c>
    </row>
    <row r="385" spans="1:10" hidden="1" x14ac:dyDescent="0.25">
      <c r="A385" s="90">
        <v>520006</v>
      </c>
      <c r="B385" s="90" t="s">
        <v>726</v>
      </c>
      <c r="D385" s="91">
        <v>3208</v>
      </c>
      <c r="E385" s="91">
        <v>0</v>
      </c>
      <c r="F385" s="91">
        <f t="shared" si="4"/>
        <v>3208</v>
      </c>
      <c r="G385" t="str">
        <f>_xlfn.XLOOKUP($A385,Map!$A:$A,Map!C:C)</f>
        <v>IS</v>
      </c>
      <c r="H385" t="str">
        <f>_xlfn.XLOOKUP($A385,Map!$A:$A,Map!D:D)</f>
        <v>Cost of sales</v>
      </c>
      <c r="I385" t="str">
        <f>_xlfn.XLOOKUP($A385,Map!$A:$A,Map!E:E)</f>
        <v>Direct Labor</v>
      </c>
      <c r="J385" t="str">
        <f>_xlfn.XLOOKUP($A385,Map!$A:$A,Map!F:F)</f>
        <v>Medical insurance</v>
      </c>
    </row>
    <row r="386" spans="1:10" hidden="1" x14ac:dyDescent="0.25">
      <c r="A386" s="90">
        <v>520006</v>
      </c>
      <c r="B386" s="90" t="s">
        <v>726</v>
      </c>
      <c r="D386" s="91">
        <v>2057</v>
      </c>
      <c r="E386" s="91">
        <v>0</v>
      </c>
      <c r="F386" s="91">
        <f t="shared" si="4"/>
        <v>2057</v>
      </c>
      <c r="G386" t="str">
        <f>_xlfn.XLOOKUP($A386,Map!$A:$A,Map!C:C)</f>
        <v>IS</v>
      </c>
      <c r="H386" t="str">
        <f>_xlfn.XLOOKUP($A386,Map!$A:$A,Map!D:D)</f>
        <v>Cost of sales</v>
      </c>
      <c r="I386" t="str">
        <f>_xlfn.XLOOKUP($A386,Map!$A:$A,Map!E:E)</f>
        <v>Direct Labor</v>
      </c>
      <c r="J386" t="str">
        <f>_xlfn.XLOOKUP($A386,Map!$A:$A,Map!F:F)</f>
        <v>Medical insurance</v>
      </c>
    </row>
    <row r="387" spans="1:10" hidden="1" x14ac:dyDescent="0.25">
      <c r="A387" s="90">
        <v>520006</v>
      </c>
      <c r="B387" s="90" t="s">
        <v>726</v>
      </c>
      <c r="D387" s="91">
        <v>1724</v>
      </c>
      <c r="E387" s="91">
        <v>0</v>
      </c>
      <c r="F387" s="91">
        <f t="shared" si="4"/>
        <v>1724</v>
      </c>
      <c r="G387" t="str">
        <f>_xlfn.XLOOKUP($A387,Map!$A:$A,Map!C:C)</f>
        <v>IS</v>
      </c>
      <c r="H387" t="str">
        <f>_xlfn.XLOOKUP($A387,Map!$A:$A,Map!D:D)</f>
        <v>Cost of sales</v>
      </c>
      <c r="I387" t="str">
        <f>_xlfn.XLOOKUP($A387,Map!$A:$A,Map!E:E)</f>
        <v>Direct Labor</v>
      </c>
      <c r="J387" t="str">
        <f>_xlfn.XLOOKUP($A387,Map!$A:$A,Map!F:F)</f>
        <v>Medical insurance</v>
      </c>
    </row>
    <row r="388" spans="1:10" hidden="1" x14ac:dyDescent="0.25">
      <c r="A388" s="90">
        <v>520006</v>
      </c>
      <c r="B388" s="90" t="s">
        <v>726</v>
      </c>
      <c r="D388" s="91">
        <v>2238</v>
      </c>
      <c r="E388" s="91">
        <v>0</v>
      </c>
      <c r="F388" s="91">
        <f t="shared" si="4"/>
        <v>2238</v>
      </c>
      <c r="G388" t="str">
        <f>_xlfn.XLOOKUP($A388,Map!$A:$A,Map!C:C)</f>
        <v>IS</v>
      </c>
      <c r="H388" t="str">
        <f>_xlfn.XLOOKUP($A388,Map!$A:$A,Map!D:D)</f>
        <v>Cost of sales</v>
      </c>
      <c r="I388" t="str">
        <f>_xlfn.XLOOKUP($A388,Map!$A:$A,Map!E:E)</f>
        <v>Direct Labor</v>
      </c>
      <c r="J388" t="str">
        <f>_xlfn.XLOOKUP($A388,Map!$A:$A,Map!F:F)</f>
        <v>Medical insurance</v>
      </c>
    </row>
    <row r="389" spans="1:10" hidden="1" x14ac:dyDescent="0.25">
      <c r="A389" s="90">
        <v>520006</v>
      </c>
      <c r="B389" s="90" t="s">
        <v>726</v>
      </c>
      <c r="D389" s="91">
        <v>1460</v>
      </c>
      <c r="E389" s="91">
        <v>0</v>
      </c>
      <c r="F389" s="91">
        <f t="shared" si="4"/>
        <v>1460</v>
      </c>
      <c r="G389" t="str">
        <f>_xlfn.XLOOKUP($A389,Map!$A:$A,Map!C:C)</f>
        <v>IS</v>
      </c>
      <c r="H389" t="str">
        <f>_xlfn.XLOOKUP($A389,Map!$A:$A,Map!D:D)</f>
        <v>Cost of sales</v>
      </c>
      <c r="I389" t="str">
        <f>_xlfn.XLOOKUP($A389,Map!$A:$A,Map!E:E)</f>
        <v>Direct Labor</v>
      </c>
      <c r="J389" t="str">
        <f>_xlfn.XLOOKUP($A389,Map!$A:$A,Map!F:F)</f>
        <v>Medical insurance</v>
      </c>
    </row>
    <row r="390" spans="1:10" hidden="1" x14ac:dyDescent="0.25">
      <c r="A390" s="90">
        <v>520004</v>
      </c>
      <c r="B390" s="90" t="s">
        <v>726</v>
      </c>
      <c r="D390" s="91">
        <v>4800</v>
      </c>
      <c r="E390" s="91">
        <v>0</v>
      </c>
      <c r="F390" s="91">
        <f t="shared" si="4"/>
        <v>4800</v>
      </c>
      <c r="G390" t="str">
        <f>_xlfn.XLOOKUP($A390,Map!$A:$A,Map!C:C)</f>
        <v>IS</v>
      </c>
      <c r="H390" t="str">
        <f>_xlfn.XLOOKUP($A390,Map!$A:$A,Map!D:D)</f>
        <v>Cost of sales</v>
      </c>
      <c r="I390" t="str">
        <f>_xlfn.XLOOKUP($A390,Map!$A:$A,Map!E:E)</f>
        <v>Direct Labor</v>
      </c>
      <c r="J390" t="str">
        <f>_xlfn.XLOOKUP($A390,Map!$A:$A,Map!F:F)</f>
        <v>Food and housing</v>
      </c>
    </row>
    <row r="391" spans="1:10" hidden="1" x14ac:dyDescent="0.25">
      <c r="A391" s="90">
        <v>520004</v>
      </c>
      <c r="B391" s="90" t="s">
        <v>726</v>
      </c>
      <c r="D391" s="91">
        <v>3233</v>
      </c>
      <c r="E391" s="91">
        <v>0</v>
      </c>
      <c r="F391" s="91">
        <f t="shared" si="4"/>
        <v>3233</v>
      </c>
      <c r="G391" t="str">
        <f>_xlfn.XLOOKUP($A391,Map!$A:$A,Map!C:C)</f>
        <v>IS</v>
      </c>
      <c r="H391" t="str">
        <f>_xlfn.XLOOKUP($A391,Map!$A:$A,Map!D:D)</f>
        <v>Cost of sales</v>
      </c>
      <c r="I391" t="str">
        <f>_xlfn.XLOOKUP($A391,Map!$A:$A,Map!E:E)</f>
        <v>Direct Labor</v>
      </c>
      <c r="J391" t="str">
        <f>_xlfn.XLOOKUP($A391,Map!$A:$A,Map!F:F)</f>
        <v>Food and housing</v>
      </c>
    </row>
    <row r="392" spans="1:10" hidden="1" x14ac:dyDescent="0.25">
      <c r="A392" s="90">
        <v>520003</v>
      </c>
      <c r="B392" s="90" t="s">
        <v>726</v>
      </c>
      <c r="D392" s="91">
        <v>3140</v>
      </c>
      <c r="E392" s="91">
        <v>0</v>
      </c>
      <c r="F392" s="91">
        <f t="shared" si="4"/>
        <v>3140</v>
      </c>
      <c r="G392" t="str">
        <f>_xlfn.XLOOKUP($A392,Map!$A:$A,Map!C:C)</f>
        <v>IS</v>
      </c>
      <c r="H392" t="str">
        <f>_xlfn.XLOOKUP($A392,Map!$A:$A,Map!D:D)</f>
        <v>Cost of sales</v>
      </c>
      <c r="I392" t="str">
        <f>_xlfn.XLOOKUP($A392,Map!$A:$A,Map!E:E)</f>
        <v>Direct Labor</v>
      </c>
      <c r="J392" t="str">
        <f>_xlfn.XLOOKUP($A392,Map!$A:$A,Map!F:F)</f>
        <v>Transportation allowance</v>
      </c>
    </row>
    <row r="393" spans="1:10" hidden="1" x14ac:dyDescent="0.25">
      <c r="A393" s="90">
        <v>520001</v>
      </c>
      <c r="B393" s="90" t="s">
        <v>726</v>
      </c>
      <c r="D393" s="91">
        <v>130583.5</v>
      </c>
      <c r="E393" s="91">
        <v>0</v>
      </c>
      <c r="F393" s="91">
        <f t="shared" si="4"/>
        <v>130583.5</v>
      </c>
      <c r="G393" t="str">
        <f>_xlfn.XLOOKUP($A393,Map!$A:$A,Map!C:C)</f>
        <v>IS</v>
      </c>
      <c r="H393" t="str">
        <f>_xlfn.XLOOKUP($A393,Map!$A:$A,Map!D:D)</f>
        <v>Cost of sales</v>
      </c>
      <c r="I393" t="str">
        <f>_xlfn.XLOOKUP($A393,Map!$A:$A,Map!E:E)</f>
        <v>Direct Labor</v>
      </c>
      <c r="J393" t="str">
        <f>_xlfn.XLOOKUP($A393,Map!$A:$A,Map!F:F)</f>
        <v>Salaries and wages</v>
      </c>
    </row>
    <row r="394" spans="1:10" hidden="1" x14ac:dyDescent="0.25">
      <c r="A394" s="90">
        <v>520001</v>
      </c>
      <c r="B394" s="90" t="s">
        <v>726</v>
      </c>
      <c r="D394" s="91">
        <v>17223</v>
      </c>
      <c r="E394" s="91">
        <v>0</v>
      </c>
      <c r="F394" s="91">
        <f t="shared" si="4"/>
        <v>17223</v>
      </c>
      <c r="G394" t="str">
        <f>_xlfn.XLOOKUP($A394,Map!$A:$A,Map!C:C)</f>
        <v>IS</v>
      </c>
      <c r="H394" t="str">
        <f>_xlfn.XLOOKUP($A394,Map!$A:$A,Map!D:D)</f>
        <v>Cost of sales</v>
      </c>
      <c r="I394" t="str">
        <f>_xlfn.XLOOKUP($A394,Map!$A:$A,Map!E:E)</f>
        <v>Direct Labor</v>
      </c>
      <c r="J394" t="str">
        <f>_xlfn.XLOOKUP($A394,Map!$A:$A,Map!F:F)</f>
        <v>Salaries and wages</v>
      </c>
    </row>
    <row r="395" spans="1:10" hidden="1" x14ac:dyDescent="0.25">
      <c r="A395" s="90">
        <v>520001</v>
      </c>
      <c r="B395" s="90" t="s">
        <v>726</v>
      </c>
      <c r="D395" s="91">
        <v>33961.5</v>
      </c>
      <c r="E395" s="91">
        <v>0</v>
      </c>
      <c r="F395" s="91">
        <f t="shared" si="4"/>
        <v>33961.5</v>
      </c>
      <c r="G395" t="str">
        <f>_xlfn.XLOOKUP($A395,Map!$A:$A,Map!C:C)</f>
        <v>IS</v>
      </c>
      <c r="H395" t="str">
        <f>_xlfn.XLOOKUP($A395,Map!$A:$A,Map!D:D)</f>
        <v>Cost of sales</v>
      </c>
      <c r="I395" t="str">
        <f>_xlfn.XLOOKUP($A395,Map!$A:$A,Map!E:E)</f>
        <v>Direct Labor</v>
      </c>
      <c r="J395" t="str">
        <f>_xlfn.XLOOKUP($A395,Map!$A:$A,Map!F:F)</f>
        <v>Salaries and wages</v>
      </c>
    </row>
    <row r="396" spans="1:10" hidden="1" x14ac:dyDescent="0.25">
      <c r="A396" s="90">
        <v>520001</v>
      </c>
      <c r="B396" s="90" t="s">
        <v>726</v>
      </c>
      <c r="D396" s="91">
        <v>11217</v>
      </c>
      <c r="E396" s="91">
        <v>0</v>
      </c>
      <c r="F396" s="91">
        <f t="shared" si="4"/>
        <v>11217</v>
      </c>
      <c r="G396" t="str">
        <f>_xlfn.XLOOKUP($A396,Map!$A:$A,Map!C:C)</f>
        <v>IS</v>
      </c>
      <c r="H396" t="str">
        <f>_xlfn.XLOOKUP($A396,Map!$A:$A,Map!D:D)</f>
        <v>Cost of sales</v>
      </c>
      <c r="I396" t="str">
        <f>_xlfn.XLOOKUP($A396,Map!$A:$A,Map!E:E)</f>
        <v>Direct Labor</v>
      </c>
      <c r="J396" t="str">
        <f>_xlfn.XLOOKUP($A396,Map!$A:$A,Map!F:F)</f>
        <v>Salaries and wages</v>
      </c>
    </row>
    <row r="397" spans="1:10" hidden="1" x14ac:dyDescent="0.25">
      <c r="A397" s="90">
        <v>520001</v>
      </c>
      <c r="B397" s="90" t="s">
        <v>726</v>
      </c>
      <c r="D397" s="91">
        <v>21668</v>
      </c>
      <c r="E397" s="91">
        <v>0</v>
      </c>
      <c r="F397" s="91">
        <f t="shared" si="4"/>
        <v>21668</v>
      </c>
      <c r="G397" t="str">
        <f>_xlfn.XLOOKUP($A397,Map!$A:$A,Map!C:C)</f>
        <v>IS</v>
      </c>
      <c r="H397" t="str">
        <f>_xlfn.XLOOKUP($A397,Map!$A:$A,Map!D:D)</f>
        <v>Cost of sales</v>
      </c>
      <c r="I397" t="str">
        <f>_xlfn.XLOOKUP($A397,Map!$A:$A,Map!E:E)</f>
        <v>Direct Labor</v>
      </c>
      <c r="J397" t="str">
        <f>_xlfn.XLOOKUP($A397,Map!$A:$A,Map!F:F)</f>
        <v>Salaries and wages</v>
      </c>
    </row>
    <row r="398" spans="1:10" hidden="1" x14ac:dyDescent="0.25">
      <c r="A398" s="90">
        <v>510004</v>
      </c>
      <c r="B398" s="90" t="s">
        <v>726</v>
      </c>
      <c r="D398" s="91">
        <v>0</v>
      </c>
      <c r="E398" s="91">
        <v>9281.92</v>
      </c>
      <c r="F398" s="91">
        <f t="shared" si="4"/>
        <v>-9281.92</v>
      </c>
      <c r="G398" t="str">
        <f>_xlfn.XLOOKUP($A398,Map!$A:$A,Map!C:C)</f>
        <v>IS</v>
      </c>
      <c r="H398" t="str">
        <f>_xlfn.XLOOKUP($A398,Map!$A:$A,Map!D:D)</f>
        <v>Cost of sales</v>
      </c>
      <c r="I398" t="str">
        <f>_xlfn.XLOOKUP($A398,Map!$A:$A,Map!E:E)</f>
        <v>Raw materials</v>
      </c>
      <c r="J398" t="str">
        <f>_xlfn.XLOOKUP($A398,Map!$A:$A,Map!F:F)</f>
        <v>Other expenses</v>
      </c>
    </row>
    <row r="399" spans="1:10" hidden="1" x14ac:dyDescent="0.25">
      <c r="A399" s="90">
        <v>510002</v>
      </c>
      <c r="B399" s="90" t="s">
        <v>726</v>
      </c>
      <c r="D399" s="91">
        <v>0</v>
      </c>
      <c r="E399" s="91">
        <v>67357</v>
      </c>
      <c r="F399" s="91">
        <f t="shared" si="4"/>
        <v>-67357</v>
      </c>
      <c r="G399" t="str">
        <f>_xlfn.XLOOKUP($A399,Map!$A:$A,Map!C:C)</f>
        <v>IS</v>
      </c>
      <c r="H399" t="str">
        <f>_xlfn.XLOOKUP($A399,Map!$A:$A,Map!D:D)</f>
        <v>Cost of sales</v>
      </c>
      <c r="I399" t="str">
        <f>_xlfn.XLOOKUP($A399,Map!$A:$A,Map!E:E)</f>
        <v>Direct Labor</v>
      </c>
      <c r="J399" t="str">
        <f>_xlfn.XLOOKUP($A399,Map!$A:$A,Map!F:F)</f>
        <v>Direct Labor</v>
      </c>
    </row>
    <row r="400" spans="1:10" hidden="1" x14ac:dyDescent="0.25">
      <c r="A400" s="90">
        <v>510002</v>
      </c>
      <c r="B400" s="90" t="s">
        <v>726</v>
      </c>
      <c r="D400" s="91">
        <v>0</v>
      </c>
      <c r="E400" s="91">
        <v>68781</v>
      </c>
      <c r="F400" s="91">
        <f t="shared" si="4"/>
        <v>-68781</v>
      </c>
      <c r="G400" t="str">
        <f>_xlfn.XLOOKUP($A400,Map!$A:$A,Map!C:C)</f>
        <v>IS</v>
      </c>
      <c r="H400" t="str">
        <f>_xlfn.XLOOKUP($A400,Map!$A:$A,Map!D:D)</f>
        <v>Cost of sales</v>
      </c>
      <c r="I400" t="str">
        <f>_xlfn.XLOOKUP($A400,Map!$A:$A,Map!E:E)</f>
        <v>Direct Labor</v>
      </c>
      <c r="J400" t="str">
        <f>_xlfn.XLOOKUP($A400,Map!$A:$A,Map!F:F)</f>
        <v>Direct Labor</v>
      </c>
    </row>
    <row r="401" spans="1:10" hidden="1" x14ac:dyDescent="0.25">
      <c r="A401" s="90">
        <v>510002</v>
      </c>
      <c r="B401" s="90" t="s">
        <v>726</v>
      </c>
      <c r="D401" s="91">
        <v>77976</v>
      </c>
      <c r="E401" s="91">
        <v>0</v>
      </c>
      <c r="F401" s="91">
        <f t="shared" si="4"/>
        <v>77976</v>
      </c>
      <c r="G401" t="str">
        <f>_xlfn.XLOOKUP($A401,Map!$A:$A,Map!C:C)</f>
        <v>IS</v>
      </c>
      <c r="H401" t="str">
        <f>_xlfn.XLOOKUP($A401,Map!$A:$A,Map!D:D)</f>
        <v>Cost of sales</v>
      </c>
      <c r="I401" t="str">
        <f>_xlfn.XLOOKUP($A401,Map!$A:$A,Map!E:E)</f>
        <v>Direct Labor</v>
      </c>
      <c r="J401" t="str">
        <f>_xlfn.XLOOKUP($A401,Map!$A:$A,Map!F:F)</f>
        <v>Direct Labor</v>
      </c>
    </row>
    <row r="402" spans="1:10" hidden="1" x14ac:dyDescent="0.25">
      <c r="A402" s="90">
        <v>510002</v>
      </c>
      <c r="B402" s="90" t="s">
        <v>726</v>
      </c>
      <c r="D402" s="91">
        <v>0</v>
      </c>
      <c r="E402" s="91">
        <v>12941</v>
      </c>
      <c r="F402" s="91">
        <f t="shared" si="4"/>
        <v>-12941</v>
      </c>
      <c r="G402" t="str">
        <f>_xlfn.XLOOKUP($A402,Map!$A:$A,Map!C:C)</f>
        <v>IS</v>
      </c>
      <c r="H402" t="str">
        <f>_xlfn.XLOOKUP($A402,Map!$A:$A,Map!D:D)</f>
        <v>Cost of sales</v>
      </c>
      <c r="I402" t="str">
        <f>_xlfn.XLOOKUP($A402,Map!$A:$A,Map!E:E)</f>
        <v>Direct Labor</v>
      </c>
      <c r="J402" t="str">
        <f>_xlfn.XLOOKUP($A402,Map!$A:$A,Map!F:F)</f>
        <v>Direct Labor</v>
      </c>
    </row>
    <row r="403" spans="1:10" hidden="1" x14ac:dyDescent="0.25">
      <c r="A403" s="90">
        <v>510002</v>
      </c>
      <c r="B403" s="90" t="s">
        <v>726</v>
      </c>
      <c r="D403" s="91">
        <v>0</v>
      </c>
      <c r="E403" s="91">
        <v>27010</v>
      </c>
      <c r="F403" s="91">
        <f t="shared" si="4"/>
        <v>-27010</v>
      </c>
      <c r="G403" t="str">
        <f>_xlfn.XLOOKUP($A403,Map!$A:$A,Map!C:C)</f>
        <v>IS</v>
      </c>
      <c r="H403" t="str">
        <f>_xlfn.XLOOKUP($A403,Map!$A:$A,Map!D:D)</f>
        <v>Cost of sales</v>
      </c>
      <c r="I403" t="str">
        <f>_xlfn.XLOOKUP($A403,Map!$A:$A,Map!E:E)</f>
        <v>Direct Labor</v>
      </c>
      <c r="J403" t="str">
        <f>_xlfn.XLOOKUP($A403,Map!$A:$A,Map!F:F)</f>
        <v>Direct Labor</v>
      </c>
    </row>
    <row r="404" spans="1:10" hidden="1" x14ac:dyDescent="0.25">
      <c r="A404" s="90">
        <v>510002</v>
      </c>
      <c r="B404" s="90" t="s">
        <v>726</v>
      </c>
      <c r="D404" s="91">
        <v>0</v>
      </c>
      <c r="E404" s="91">
        <v>27910.687000000002</v>
      </c>
      <c r="F404" s="91">
        <f t="shared" si="4"/>
        <v>-27910.687000000002</v>
      </c>
      <c r="G404" t="str">
        <f>_xlfn.XLOOKUP($A404,Map!$A:$A,Map!C:C)</f>
        <v>IS</v>
      </c>
      <c r="H404" t="str">
        <f>_xlfn.XLOOKUP($A404,Map!$A:$A,Map!D:D)</f>
        <v>Cost of sales</v>
      </c>
      <c r="I404" t="str">
        <f>_xlfn.XLOOKUP($A404,Map!$A:$A,Map!E:E)</f>
        <v>Direct Labor</v>
      </c>
      <c r="J404" t="str">
        <f>_xlfn.XLOOKUP($A404,Map!$A:$A,Map!F:F)</f>
        <v>Direct Labor</v>
      </c>
    </row>
    <row r="405" spans="1:10" hidden="1" x14ac:dyDescent="0.25">
      <c r="A405" s="90">
        <v>510002</v>
      </c>
      <c r="B405" s="90" t="s">
        <v>726</v>
      </c>
      <c r="D405" s="91">
        <v>0</v>
      </c>
      <c r="E405" s="91">
        <v>2704</v>
      </c>
      <c r="F405" s="91">
        <f t="shared" si="4"/>
        <v>-2704</v>
      </c>
      <c r="G405" t="str">
        <f>_xlfn.XLOOKUP($A405,Map!$A:$A,Map!C:C)</f>
        <v>IS</v>
      </c>
      <c r="H405" t="str">
        <f>_xlfn.XLOOKUP($A405,Map!$A:$A,Map!D:D)</f>
        <v>Cost of sales</v>
      </c>
      <c r="I405" t="str">
        <f>_xlfn.XLOOKUP($A405,Map!$A:$A,Map!E:E)</f>
        <v>Direct Labor</v>
      </c>
      <c r="J405" t="str">
        <f>_xlfn.XLOOKUP($A405,Map!$A:$A,Map!F:F)</f>
        <v>Direct Labor</v>
      </c>
    </row>
    <row r="406" spans="1:10" hidden="1" x14ac:dyDescent="0.25">
      <c r="A406" s="90">
        <v>420003</v>
      </c>
      <c r="B406" s="90" t="s">
        <v>726</v>
      </c>
      <c r="D406" s="91">
        <v>0</v>
      </c>
      <c r="E406" s="91">
        <v>77976</v>
      </c>
      <c r="F406" s="91">
        <f t="shared" si="4"/>
        <v>-77976</v>
      </c>
      <c r="G406" t="str">
        <f>_xlfn.XLOOKUP($A406,Map!$A:$A,Map!C:C)</f>
        <v>IS</v>
      </c>
      <c r="H406" t="str">
        <f>_xlfn.XLOOKUP($A406,Map!$A:$A,Map!D:D)</f>
        <v>Sales</v>
      </c>
      <c r="I406" t="str">
        <f>_xlfn.XLOOKUP($A406,Map!$A:$A,Map!E:E)</f>
        <v>Sales</v>
      </c>
      <c r="J406" t="str">
        <f>_xlfn.XLOOKUP($A406,Map!$A:$A,Map!F:F)</f>
        <v>Scrap sales</v>
      </c>
    </row>
    <row r="407" spans="1:10" hidden="1" x14ac:dyDescent="0.25">
      <c r="A407" s="90">
        <v>600031</v>
      </c>
      <c r="B407" s="150" t="s">
        <v>727</v>
      </c>
      <c r="D407" s="91">
        <v>1226.664</v>
      </c>
      <c r="E407" s="91">
        <v>0</v>
      </c>
      <c r="F407" s="91">
        <f t="shared" ref="F407:F470" si="5">D407-E407</f>
        <v>1226.664</v>
      </c>
      <c r="G407" t="str">
        <f>_xlfn.XLOOKUP($A407,Map!$A:$A,Map!C:C)</f>
        <v>IS</v>
      </c>
      <c r="H407" t="str">
        <f>_xlfn.XLOOKUP($A407,Map!$A:$A,Map!D:D)</f>
        <v>Depreciation expenses</v>
      </c>
      <c r="I407" t="str">
        <f>_xlfn.XLOOKUP($A407,Map!$A:$A,Map!E:E)</f>
        <v>Depreciation expenses</v>
      </c>
      <c r="J407" t="str">
        <f>_xlfn.XLOOKUP($A407,Map!$A:$A,Map!F:F)</f>
        <v>Depreciation of property, plant and equipment</v>
      </c>
    </row>
    <row r="408" spans="1:10" hidden="1" x14ac:dyDescent="0.25">
      <c r="A408" s="90">
        <v>600030</v>
      </c>
      <c r="B408" s="90" t="s">
        <v>726</v>
      </c>
      <c r="D408" s="91">
        <v>1627.17</v>
      </c>
      <c r="E408" s="91">
        <v>0</v>
      </c>
      <c r="F408" s="91">
        <f t="shared" si="5"/>
        <v>1627.17</v>
      </c>
      <c r="G408" t="str">
        <f>_xlfn.XLOOKUP($A408,Map!$A:$A,Map!C:C)</f>
        <v>IS</v>
      </c>
      <c r="H408" t="str">
        <f>_xlfn.XLOOKUP($A408,Map!$A:$A,Map!D:D)</f>
        <v>Depreciation expenses</v>
      </c>
      <c r="I408" t="str">
        <f>_xlfn.XLOOKUP($A408,Map!$A:$A,Map!E:E)</f>
        <v>Depreciation expenses</v>
      </c>
      <c r="J408" t="str">
        <f>_xlfn.XLOOKUP($A408,Map!$A:$A,Map!F:F)</f>
        <v>Depreciation of property, plant and equipment</v>
      </c>
    </row>
    <row r="409" spans="1:10" hidden="1" x14ac:dyDescent="0.25">
      <c r="A409" s="90">
        <v>600029</v>
      </c>
      <c r="B409" s="90" t="s">
        <v>726</v>
      </c>
      <c r="D409" s="91">
        <v>569925.29</v>
      </c>
      <c r="E409" s="91">
        <v>0</v>
      </c>
      <c r="F409" s="91">
        <f t="shared" si="5"/>
        <v>569925.29</v>
      </c>
      <c r="G409" t="str">
        <f>_xlfn.XLOOKUP($A409,Map!$A:$A,Map!C:C)</f>
        <v>IS</v>
      </c>
      <c r="H409" t="str">
        <f>_xlfn.XLOOKUP($A409,Map!$A:$A,Map!D:D)</f>
        <v>Cost of sales</v>
      </c>
      <c r="I409" t="str">
        <f>_xlfn.XLOOKUP($A409,Map!$A:$A,Map!E:E)</f>
        <v>Depreciation - Machines</v>
      </c>
      <c r="J409" t="str">
        <f>_xlfn.XLOOKUP($A409,Map!$A:$A,Map!F:F)</f>
        <v>Depreciation of property, plant and equipment</v>
      </c>
    </row>
    <row r="410" spans="1:10" hidden="1" x14ac:dyDescent="0.25">
      <c r="A410" s="90">
        <v>600027</v>
      </c>
      <c r="B410" s="90" t="s">
        <v>726</v>
      </c>
      <c r="D410" s="91">
        <v>102666.68</v>
      </c>
      <c r="E410" s="91">
        <v>0</v>
      </c>
      <c r="F410" s="91">
        <f t="shared" si="5"/>
        <v>102666.68</v>
      </c>
      <c r="G410" t="str">
        <f>_xlfn.XLOOKUP($A410,Map!$A:$A,Map!C:C)</f>
        <v>IS</v>
      </c>
      <c r="H410" t="str">
        <f>_xlfn.XLOOKUP($A410,Map!$A:$A,Map!D:D)</f>
        <v>Cost of sales</v>
      </c>
      <c r="I410" t="str">
        <f>_xlfn.XLOOKUP($A410,Map!$A:$A,Map!E:E)</f>
        <v>Overhead - Rent</v>
      </c>
      <c r="J410" t="str">
        <f>_xlfn.XLOOKUP($A410,Map!$A:$A,Map!F:F)</f>
        <v>Production hall rental</v>
      </c>
    </row>
    <row r="411" spans="1:10" hidden="1" x14ac:dyDescent="0.25">
      <c r="A411" s="90">
        <v>600024</v>
      </c>
      <c r="B411" s="90" t="s">
        <v>726</v>
      </c>
      <c r="D411" s="91">
        <v>2823</v>
      </c>
      <c r="E411" s="91">
        <v>0</v>
      </c>
      <c r="F411" s="91">
        <f t="shared" si="5"/>
        <v>2823</v>
      </c>
      <c r="G411" t="str">
        <f>_xlfn.XLOOKUP($A411,Map!$A:$A,Map!C:C)</f>
        <v>IS</v>
      </c>
      <c r="H411" t="str">
        <f>_xlfn.XLOOKUP($A411,Map!$A:$A,Map!D:D)</f>
        <v>Cost of sales</v>
      </c>
      <c r="I411" t="str">
        <f>_xlfn.XLOOKUP($A411,Map!$A:$A,Map!E:E)</f>
        <v>Overhead - Rent</v>
      </c>
      <c r="J411" t="str">
        <f>_xlfn.XLOOKUP($A411,Map!$A:$A,Map!F:F)</f>
        <v>Pump rental expenses</v>
      </c>
    </row>
    <row r="412" spans="1:10" hidden="1" x14ac:dyDescent="0.25">
      <c r="A412" s="90">
        <v>600022</v>
      </c>
      <c r="B412" s="90" t="s">
        <v>726</v>
      </c>
      <c r="D412" s="91">
        <v>300</v>
      </c>
      <c r="E412" s="91">
        <v>0</v>
      </c>
      <c r="F412" s="91">
        <f t="shared" si="5"/>
        <v>300</v>
      </c>
      <c r="G412" t="str">
        <f>_xlfn.XLOOKUP($A412,Map!$A:$A,Map!C:C)</f>
        <v>IS</v>
      </c>
      <c r="H412" t="str">
        <f>_xlfn.XLOOKUP($A412,Map!$A:$A,Map!D:D)</f>
        <v>Cost of sales</v>
      </c>
      <c r="I412" t="str">
        <f>_xlfn.XLOOKUP($A412,Map!$A:$A,Map!E:E)</f>
        <v>Overhead - R&amp;M</v>
      </c>
      <c r="J412" t="str">
        <f>_xlfn.XLOOKUP($A412,Map!$A:$A,Map!F:F)</f>
        <v>Building maintenance</v>
      </c>
    </row>
    <row r="413" spans="1:10" hidden="1" x14ac:dyDescent="0.25">
      <c r="A413" s="90">
        <v>600020</v>
      </c>
      <c r="B413" s="90" t="s">
        <v>726</v>
      </c>
      <c r="D413" s="91">
        <v>17192</v>
      </c>
      <c r="E413" s="91">
        <v>0</v>
      </c>
      <c r="F413" s="91">
        <f t="shared" si="5"/>
        <v>17192</v>
      </c>
      <c r="G413" t="str">
        <f>_xlfn.XLOOKUP($A413,Map!$A:$A,Map!C:C)</f>
        <v>IS</v>
      </c>
      <c r="H413" t="str">
        <f>_xlfn.XLOOKUP($A413,Map!$A:$A,Map!D:D)</f>
        <v>Cost of sales</v>
      </c>
      <c r="I413" t="str">
        <f>_xlfn.XLOOKUP($A413,Map!$A:$A,Map!E:E)</f>
        <v>Overhead - R&amp;M</v>
      </c>
      <c r="J413" t="str">
        <f>_xlfn.XLOOKUP($A413,Map!$A:$A,Map!F:F)</f>
        <v>Machine and equipment</v>
      </c>
    </row>
    <row r="414" spans="1:10" hidden="1" x14ac:dyDescent="0.25">
      <c r="A414" s="90">
        <v>600020</v>
      </c>
      <c r="B414" s="90" t="s">
        <v>726</v>
      </c>
      <c r="D414" s="91">
        <v>483</v>
      </c>
      <c r="E414" s="91">
        <v>0</v>
      </c>
      <c r="F414" s="91">
        <f t="shared" si="5"/>
        <v>483</v>
      </c>
      <c r="G414" t="str">
        <f>_xlfn.XLOOKUP($A414,Map!$A:$A,Map!C:C)</f>
        <v>IS</v>
      </c>
      <c r="H414" t="str">
        <f>_xlfn.XLOOKUP($A414,Map!$A:$A,Map!D:D)</f>
        <v>Cost of sales</v>
      </c>
      <c r="I414" t="str">
        <f>_xlfn.XLOOKUP($A414,Map!$A:$A,Map!E:E)</f>
        <v>Overhead - R&amp;M</v>
      </c>
      <c r="J414" t="str">
        <f>_xlfn.XLOOKUP($A414,Map!$A:$A,Map!F:F)</f>
        <v>Machine and equipment</v>
      </c>
    </row>
    <row r="415" spans="1:10" hidden="1" x14ac:dyDescent="0.25">
      <c r="A415" s="90">
        <v>600019</v>
      </c>
      <c r="B415" s="90" t="s">
        <v>726</v>
      </c>
      <c r="D415" s="91">
        <v>28130</v>
      </c>
      <c r="E415" s="91">
        <v>0</v>
      </c>
      <c r="F415" s="91">
        <f t="shared" si="5"/>
        <v>28130</v>
      </c>
      <c r="G415" t="str">
        <f>_xlfn.XLOOKUP($A415,Map!$A:$A,Map!C:C)</f>
        <v>IS</v>
      </c>
      <c r="H415" t="str">
        <f>_xlfn.XLOOKUP($A415,Map!$A:$A,Map!D:D)</f>
        <v>Cost of sales</v>
      </c>
      <c r="I415" t="str">
        <f>_xlfn.XLOOKUP($A415,Map!$A:$A,Map!E:E)</f>
        <v>Overhead - Utility</v>
      </c>
      <c r="J415" t="str">
        <f>_xlfn.XLOOKUP($A415,Map!$A:$A,Map!F:F)</f>
        <v>Fuel and oil</v>
      </c>
    </row>
    <row r="416" spans="1:10" hidden="1" x14ac:dyDescent="0.25">
      <c r="A416" s="90">
        <v>600018</v>
      </c>
      <c r="B416" s="90" t="s">
        <v>726</v>
      </c>
      <c r="D416" s="91">
        <v>11690</v>
      </c>
      <c r="E416" s="91">
        <v>0</v>
      </c>
      <c r="F416" s="91">
        <f t="shared" si="5"/>
        <v>11690</v>
      </c>
      <c r="G416" t="str">
        <f>_xlfn.XLOOKUP($A416,Map!$A:$A,Map!C:C)</f>
        <v>IS</v>
      </c>
      <c r="H416" t="str">
        <f>_xlfn.XLOOKUP($A416,Map!$A:$A,Map!D:D)</f>
        <v>Cost of sales</v>
      </c>
      <c r="I416" t="str">
        <f>_xlfn.XLOOKUP($A416,Map!$A:$A,Map!E:E)</f>
        <v>Overhead - Utility</v>
      </c>
      <c r="J416" t="str">
        <f>_xlfn.XLOOKUP($A416,Map!$A:$A,Map!F:F)</f>
        <v>Water expenses</v>
      </c>
    </row>
    <row r="417" spans="1:10" hidden="1" x14ac:dyDescent="0.25">
      <c r="A417" s="90">
        <v>600017</v>
      </c>
      <c r="B417" s="90" t="s">
        <v>726</v>
      </c>
      <c r="D417" s="91">
        <v>391822.8</v>
      </c>
      <c r="E417" s="91">
        <v>0</v>
      </c>
      <c r="F417" s="91">
        <f t="shared" si="5"/>
        <v>391822.8</v>
      </c>
      <c r="G417" t="str">
        <f>_xlfn.XLOOKUP($A417,Map!$A:$A,Map!C:C)</f>
        <v>IS</v>
      </c>
      <c r="H417" t="str">
        <f>_xlfn.XLOOKUP($A417,Map!$A:$A,Map!D:D)</f>
        <v>Cost of sales</v>
      </c>
      <c r="I417" t="str">
        <f>_xlfn.XLOOKUP($A417,Map!$A:$A,Map!E:E)</f>
        <v>Overhead - Utility</v>
      </c>
      <c r="J417" t="str">
        <f>_xlfn.XLOOKUP($A417,Map!$A:$A,Map!F:F)</f>
        <v>Electricity expenses</v>
      </c>
    </row>
    <row r="418" spans="1:10" hidden="1" x14ac:dyDescent="0.25">
      <c r="A418" s="90">
        <v>600016</v>
      </c>
      <c r="B418" s="90" t="s">
        <v>726</v>
      </c>
      <c r="D418" s="91">
        <v>284624.17</v>
      </c>
      <c r="E418" s="91">
        <v>0</v>
      </c>
      <c r="F418" s="91">
        <f t="shared" si="5"/>
        <v>284624.17</v>
      </c>
      <c r="G418" t="str">
        <f>_xlfn.XLOOKUP($A418,Map!$A:$A,Map!C:C)</f>
        <v>IS</v>
      </c>
      <c r="H418" t="str">
        <f>_xlfn.XLOOKUP($A418,Map!$A:$A,Map!D:D)</f>
        <v>Cost of sales</v>
      </c>
      <c r="I418" t="str">
        <f>_xlfn.XLOOKUP($A418,Map!$A:$A,Map!E:E)</f>
        <v>Overhead - Consumables &amp; SP</v>
      </c>
      <c r="J418" t="str">
        <f>_xlfn.XLOOKUP($A418,Map!$A:$A,Map!F:F)</f>
        <v>Tools</v>
      </c>
    </row>
    <row r="419" spans="1:10" hidden="1" x14ac:dyDescent="0.25">
      <c r="A419" s="90">
        <v>600016</v>
      </c>
      <c r="B419" s="90" t="s">
        <v>726</v>
      </c>
      <c r="D419" s="91">
        <v>104613.15</v>
      </c>
      <c r="E419" s="91">
        <v>0</v>
      </c>
      <c r="F419" s="91">
        <f t="shared" si="5"/>
        <v>104613.15</v>
      </c>
      <c r="G419" t="str">
        <f>_xlfn.XLOOKUP($A419,Map!$A:$A,Map!C:C)</f>
        <v>IS</v>
      </c>
      <c r="H419" t="str">
        <f>_xlfn.XLOOKUP($A419,Map!$A:$A,Map!D:D)</f>
        <v>Cost of sales</v>
      </c>
      <c r="I419" t="str">
        <f>_xlfn.XLOOKUP($A419,Map!$A:$A,Map!E:E)</f>
        <v>Overhead - Consumables &amp; SP</v>
      </c>
      <c r="J419" t="str">
        <f>_xlfn.XLOOKUP($A419,Map!$A:$A,Map!F:F)</f>
        <v>Tools</v>
      </c>
    </row>
    <row r="420" spans="1:10" hidden="1" x14ac:dyDescent="0.25">
      <c r="A420" s="90">
        <v>600016</v>
      </c>
      <c r="B420" s="90" t="s">
        <v>726</v>
      </c>
      <c r="D420" s="91">
        <v>97309.33</v>
      </c>
      <c r="E420" s="91">
        <v>0</v>
      </c>
      <c r="F420" s="91">
        <f t="shared" si="5"/>
        <v>97309.33</v>
      </c>
      <c r="G420" t="str">
        <f>_xlfn.XLOOKUP($A420,Map!$A:$A,Map!C:C)</f>
        <v>IS</v>
      </c>
      <c r="H420" t="str">
        <f>_xlfn.XLOOKUP($A420,Map!$A:$A,Map!D:D)</f>
        <v>Cost of sales</v>
      </c>
      <c r="I420" t="str">
        <f>_xlfn.XLOOKUP($A420,Map!$A:$A,Map!E:E)</f>
        <v>Overhead - Consumables &amp; SP</v>
      </c>
      <c r="J420" t="str">
        <f>_xlfn.XLOOKUP($A420,Map!$A:$A,Map!F:F)</f>
        <v>Tools</v>
      </c>
    </row>
    <row r="421" spans="1:10" hidden="1" x14ac:dyDescent="0.25">
      <c r="A421" s="90">
        <v>600016</v>
      </c>
      <c r="B421" s="90" t="s">
        <v>726</v>
      </c>
      <c r="D421" s="91">
        <v>97309.33</v>
      </c>
      <c r="E421" s="91">
        <v>0</v>
      </c>
      <c r="F421" s="91">
        <f t="shared" si="5"/>
        <v>97309.33</v>
      </c>
      <c r="G421" t="str">
        <f>_xlfn.XLOOKUP($A421,Map!$A:$A,Map!C:C)</f>
        <v>IS</v>
      </c>
      <c r="H421" t="str">
        <f>_xlfn.XLOOKUP($A421,Map!$A:$A,Map!D:D)</f>
        <v>Cost of sales</v>
      </c>
      <c r="I421" t="str">
        <f>_xlfn.XLOOKUP($A421,Map!$A:$A,Map!E:E)</f>
        <v>Overhead - Consumables &amp; SP</v>
      </c>
      <c r="J421" t="str">
        <f>_xlfn.XLOOKUP($A421,Map!$A:$A,Map!F:F)</f>
        <v>Tools</v>
      </c>
    </row>
    <row r="422" spans="1:10" hidden="1" x14ac:dyDescent="0.25">
      <c r="A422" s="90">
        <v>600016</v>
      </c>
      <c r="B422" s="90" t="s">
        <v>726</v>
      </c>
      <c r="D422" s="91">
        <v>59929.430999999997</v>
      </c>
      <c r="E422" s="91">
        <v>0</v>
      </c>
      <c r="F422" s="91">
        <f t="shared" si="5"/>
        <v>59929.430999999997</v>
      </c>
      <c r="G422" t="str">
        <f>_xlfn.XLOOKUP($A422,Map!$A:$A,Map!C:C)</f>
        <v>IS</v>
      </c>
      <c r="H422" t="str">
        <f>_xlfn.XLOOKUP($A422,Map!$A:$A,Map!D:D)</f>
        <v>Cost of sales</v>
      </c>
      <c r="I422" t="str">
        <f>_xlfn.XLOOKUP($A422,Map!$A:$A,Map!E:E)</f>
        <v>Overhead - Consumables &amp; SP</v>
      </c>
      <c r="J422" t="str">
        <f>_xlfn.XLOOKUP($A422,Map!$A:$A,Map!F:F)</f>
        <v>Tools</v>
      </c>
    </row>
    <row r="423" spans="1:10" hidden="1" x14ac:dyDescent="0.25">
      <c r="A423" s="90">
        <v>600015</v>
      </c>
      <c r="B423" s="90" t="s">
        <v>726</v>
      </c>
      <c r="D423" s="91">
        <v>24407.200000000001</v>
      </c>
      <c r="E423" s="91">
        <v>0</v>
      </c>
      <c r="F423" s="91">
        <f t="shared" si="5"/>
        <v>24407.200000000001</v>
      </c>
      <c r="G423" t="str">
        <f>_xlfn.XLOOKUP($A423,Map!$A:$A,Map!C:C)</f>
        <v>IS</v>
      </c>
      <c r="H423" t="str">
        <f>_xlfn.XLOOKUP($A423,Map!$A:$A,Map!D:D)</f>
        <v>Cost of sales</v>
      </c>
      <c r="I423" t="str">
        <f>_xlfn.XLOOKUP($A423,Map!$A:$A,Map!E:E)</f>
        <v>Overhead - Consumables &amp; SP</v>
      </c>
      <c r="J423" t="str">
        <f>_xlfn.XLOOKUP($A423,Map!$A:$A,Map!F:F)</f>
        <v>Consumables</v>
      </c>
    </row>
    <row r="424" spans="1:10" hidden="1" x14ac:dyDescent="0.25">
      <c r="A424" s="90">
        <v>600014</v>
      </c>
      <c r="B424" s="90" t="s">
        <v>726</v>
      </c>
      <c r="D424" s="91">
        <v>431940.88</v>
      </c>
      <c r="E424" s="91">
        <v>0</v>
      </c>
      <c r="F424" s="91">
        <f t="shared" si="5"/>
        <v>431940.88</v>
      </c>
      <c r="G424" t="str">
        <f>_xlfn.XLOOKUP($A424,Map!$A:$A,Map!C:C)</f>
        <v>IS</v>
      </c>
      <c r="H424" t="str">
        <f>_xlfn.XLOOKUP($A424,Map!$A:$A,Map!D:D)</f>
        <v>Cost of sales</v>
      </c>
      <c r="I424" t="str">
        <f>_xlfn.XLOOKUP($A424,Map!$A:$A,Map!E:E)</f>
        <v>Overhead - Consumables &amp; SP</v>
      </c>
      <c r="J424" t="str">
        <f>_xlfn.XLOOKUP($A424,Map!$A:$A,Map!F:F)</f>
        <v>Consumables</v>
      </c>
    </row>
    <row r="425" spans="1:10" hidden="1" x14ac:dyDescent="0.25">
      <c r="A425" s="90">
        <v>600011</v>
      </c>
      <c r="B425" s="90" t="s">
        <v>726</v>
      </c>
      <c r="D425" s="91">
        <v>2000</v>
      </c>
      <c r="E425" s="91">
        <v>0</v>
      </c>
      <c r="F425" s="91">
        <f t="shared" si="5"/>
        <v>2000</v>
      </c>
      <c r="G425" t="str">
        <f>_xlfn.XLOOKUP($A425,Map!$A:$A,Map!C:C)</f>
        <v>IS</v>
      </c>
      <c r="H425" t="str">
        <f>_xlfn.XLOOKUP($A425,Map!$A:$A,Map!D:D)</f>
        <v>Cost of sales</v>
      </c>
      <c r="I425" t="str">
        <f>_xlfn.XLOOKUP($A425,Map!$A:$A,Map!E:E)</f>
        <v>Overhead - Labor Cost</v>
      </c>
      <c r="J425" t="str">
        <f>_xlfn.XLOOKUP($A425,Map!$A:$A,Map!F:F)</f>
        <v>Air tickets</v>
      </c>
    </row>
    <row r="426" spans="1:10" hidden="1" x14ac:dyDescent="0.25">
      <c r="A426" s="90">
        <v>600009</v>
      </c>
      <c r="B426" s="90" t="s">
        <v>726</v>
      </c>
      <c r="D426" s="91">
        <v>45475</v>
      </c>
      <c r="E426" s="91">
        <v>0</v>
      </c>
      <c r="F426" s="91">
        <f t="shared" si="5"/>
        <v>45475</v>
      </c>
      <c r="G426" t="str">
        <f>_xlfn.XLOOKUP($A426,Map!$A:$A,Map!C:C)</f>
        <v>IS</v>
      </c>
      <c r="H426" t="str">
        <f>_xlfn.XLOOKUP($A426,Map!$A:$A,Map!D:D)</f>
        <v>Cost of sales</v>
      </c>
      <c r="I426" t="str">
        <f>_xlfn.XLOOKUP($A426,Map!$A:$A,Map!E:E)</f>
        <v>Overhead - Labor Cost</v>
      </c>
      <c r="J426" t="str">
        <f>_xlfn.XLOOKUP($A426,Map!$A:$A,Map!F:F)</f>
        <v>Vacation pay</v>
      </c>
    </row>
    <row r="427" spans="1:10" hidden="1" x14ac:dyDescent="0.25">
      <c r="A427" s="90">
        <v>600008</v>
      </c>
      <c r="B427" s="90" t="s">
        <v>726</v>
      </c>
      <c r="D427" s="91">
        <v>41712</v>
      </c>
      <c r="E427" s="91">
        <v>0</v>
      </c>
      <c r="F427" s="91">
        <f t="shared" si="5"/>
        <v>41712</v>
      </c>
      <c r="G427" t="str">
        <f>_xlfn.XLOOKUP($A427,Map!$A:$A,Map!C:C)</f>
        <v>IS</v>
      </c>
      <c r="H427" t="str">
        <f>_xlfn.XLOOKUP($A427,Map!$A:$A,Map!D:D)</f>
        <v>Cost of sales</v>
      </c>
      <c r="I427" t="str">
        <f>_xlfn.XLOOKUP($A427,Map!$A:$A,Map!E:E)</f>
        <v>Overhead - Labor Cost</v>
      </c>
      <c r="J427" t="str">
        <f>_xlfn.XLOOKUP($A427,Map!$A:$A,Map!F:F)</f>
        <v>Air tickets</v>
      </c>
    </row>
    <row r="428" spans="1:10" hidden="1" x14ac:dyDescent="0.25">
      <c r="A428" s="90">
        <v>600007</v>
      </c>
      <c r="B428" s="90" t="s">
        <v>726</v>
      </c>
      <c r="D428" s="91">
        <v>540</v>
      </c>
      <c r="E428" s="91">
        <v>0</v>
      </c>
      <c r="F428" s="91">
        <f t="shared" si="5"/>
        <v>540</v>
      </c>
      <c r="G428" t="str">
        <f>_xlfn.XLOOKUP($A428,Map!$A:$A,Map!C:C)</f>
        <v>IS</v>
      </c>
      <c r="H428" t="str">
        <f>_xlfn.XLOOKUP($A428,Map!$A:$A,Map!D:D)</f>
        <v>Cost of sales</v>
      </c>
      <c r="I428" t="str">
        <f>_xlfn.XLOOKUP($A428,Map!$A:$A,Map!E:E)</f>
        <v>Overhead - Labor Cost</v>
      </c>
      <c r="J428" t="str">
        <f>_xlfn.XLOOKUP($A428,Map!$A:$A,Map!F:F)</f>
        <v>Transportation allowance</v>
      </c>
    </row>
    <row r="429" spans="1:10" hidden="1" x14ac:dyDescent="0.25">
      <c r="A429" s="90">
        <v>600006</v>
      </c>
      <c r="B429" s="90" t="s">
        <v>726</v>
      </c>
      <c r="D429" s="91">
        <v>52655.360000000001</v>
      </c>
      <c r="E429" s="91">
        <v>0</v>
      </c>
      <c r="F429" s="91">
        <f t="shared" si="5"/>
        <v>52655.360000000001</v>
      </c>
      <c r="G429" t="str">
        <f>_xlfn.XLOOKUP($A429,Map!$A:$A,Map!C:C)</f>
        <v>IS</v>
      </c>
      <c r="H429" t="str">
        <f>_xlfn.XLOOKUP($A429,Map!$A:$A,Map!D:D)</f>
        <v>Cost of sales</v>
      </c>
      <c r="I429" t="str">
        <f>_xlfn.XLOOKUP($A429,Map!$A:$A,Map!E:E)</f>
        <v>Overhead - Labor Cost</v>
      </c>
      <c r="J429" t="str">
        <f>_xlfn.XLOOKUP($A429,Map!$A:$A,Map!F:F)</f>
        <v xml:space="preserve">Food &amp; Housing </v>
      </c>
    </row>
    <row r="430" spans="1:10" hidden="1" x14ac:dyDescent="0.25">
      <c r="A430" s="90">
        <v>600005</v>
      </c>
      <c r="B430" s="90" t="s">
        <v>726</v>
      </c>
      <c r="D430" s="91">
        <v>121540</v>
      </c>
      <c r="E430" s="91">
        <v>0</v>
      </c>
      <c r="F430" s="91">
        <f t="shared" si="5"/>
        <v>121540</v>
      </c>
      <c r="G430" t="str">
        <f>_xlfn.XLOOKUP($A430,Map!$A:$A,Map!C:C)</f>
        <v>IS</v>
      </c>
      <c r="H430" t="str">
        <f>_xlfn.XLOOKUP($A430,Map!$A:$A,Map!D:D)</f>
        <v>General and Admin</v>
      </c>
      <c r="I430" t="str">
        <f>_xlfn.XLOOKUP($A430,Map!$A:$A,Map!E:E)</f>
        <v>Govt license and fees (including modon)</v>
      </c>
      <c r="J430" t="str">
        <f>_xlfn.XLOOKUP($A430,Map!$A:$A,Map!F:F)</f>
        <v>Government fees</v>
      </c>
    </row>
    <row r="431" spans="1:10" hidden="1" x14ac:dyDescent="0.25">
      <c r="A431" s="90">
        <v>600004</v>
      </c>
      <c r="B431" s="90" t="s">
        <v>726</v>
      </c>
      <c r="D431" s="91">
        <v>15760.38</v>
      </c>
      <c r="E431" s="91">
        <v>0</v>
      </c>
      <c r="F431" s="91">
        <f t="shared" si="5"/>
        <v>15760.38</v>
      </c>
      <c r="G431" t="str">
        <f>_xlfn.XLOOKUP($A431,Map!$A:$A,Map!C:C)</f>
        <v>IS</v>
      </c>
      <c r="H431" t="str">
        <f>_xlfn.XLOOKUP($A431,Map!$A:$A,Map!D:D)</f>
        <v>Cost of sales</v>
      </c>
      <c r="I431" t="str">
        <f>_xlfn.XLOOKUP($A431,Map!$A:$A,Map!E:E)</f>
        <v>Overhead - Labor Cost</v>
      </c>
      <c r="J431" t="str">
        <f>_xlfn.XLOOKUP($A431,Map!$A:$A,Map!F:F)</f>
        <v>Medical insurance</v>
      </c>
    </row>
    <row r="432" spans="1:10" hidden="1" x14ac:dyDescent="0.25">
      <c r="A432" s="90">
        <v>600003</v>
      </c>
      <c r="B432" s="90" t="s">
        <v>726</v>
      </c>
      <c r="D432" s="91">
        <v>5414</v>
      </c>
      <c r="E432" s="91">
        <v>0</v>
      </c>
      <c r="F432" s="91">
        <f t="shared" si="5"/>
        <v>5414</v>
      </c>
      <c r="G432" t="str">
        <f>_xlfn.XLOOKUP($A432,Map!$A:$A,Map!C:C)</f>
        <v>IS</v>
      </c>
      <c r="H432" t="str">
        <f>_xlfn.XLOOKUP($A432,Map!$A:$A,Map!D:D)</f>
        <v>Cost of sales</v>
      </c>
      <c r="I432" t="str">
        <f>_xlfn.XLOOKUP($A432,Map!$A:$A,Map!E:E)</f>
        <v>Overhead - Labor Cost</v>
      </c>
      <c r="J432" t="str">
        <f>_xlfn.XLOOKUP($A432,Map!$A:$A,Map!F:F)</f>
        <v xml:space="preserve">Food &amp; Housing </v>
      </c>
    </row>
    <row r="433" spans="1:10" hidden="1" x14ac:dyDescent="0.25">
      <c r="A433" s="90">
        <v>600002</v>
      </c>
      <c r="B433" s="90" t="s">
        <v>726</v>
      </c>
      <c r="D433" s="91">
        <v>20186</v>
      </c>
      <c r="E433" s="91">
        <v>0</v>
      </c>
      <c r="F433" s="91">
        <f t="shared" si="5"/>
        <v>20186</v>
      </c>
      <c r="G433" t="str">
        <f>_xlfn.XLOOKUP($A433,Map!$A:$A,Map!C:C)</f>
        <v>IS</v>
      </c>
      <c r="H433" t="str">
        <f>_xlfn.XLOOKUP($A433,Map!$A:$A,Map!D:D)</f>
        <v>Cost of sales</v>
      </c>
      <c r="I433" t="str">
        <f>_xlfn.XLOOKUP($A433,Map!$A:$A,Map!E:E)</f>
        <v>Overhead - Labor Cost</v>
      </c>
      <c r="J433" t="str">
        <f>_xlfn.XLOOKUP($A433,Map!$A:$A,Map!F:F)</f>
        <v>Overtime pay</v>
      </c>
    </row>
    <row r="434" spans="1:10" hidden="1" x14ac:dyDescent="0.25">
      <c r="A434" s="90">
        <v>600001</v>
      </c>
      <c r="B434" s="90" t="s">
        <v>726</v>
      </c>
      <c r="D434" s="91">
        <v>206527.55799999999</v>
      </c>
      <c r="E434" s="91">
        <v>0</v>
      </c>
      <c r="F434" s="91">
        <f t="shared" si="5"/>
        <v>206527.55799999999</v>
      </c>
      <c r="G434" t="str">
        <f>_xlfn.XLOOKUP($A434,Map!$A:$A,Map!C:C)</f>
        <v>IS</v>
      </c>
      <c r="H434" t="str">
        <f>_xlfn.XLOOKUP($A434,Map!$A:$A,Map!D:D)</f>
        <v>Cost of sales</v>
      </c>
      <c r="I434" t="str">
        <f>_xlfn.XLOOKUP($A434,Map!$A:$A,Map!E:E)</f>
        <v>Overhead - Labor Cost</v>
      </c>
      <c r="J434" t="str">
        <f>_xlfn.XLOOKUP($A434,Map!$A:$A,Map!F:F)</f>
        <v>Salaries and wages</v>
      </c>
    </row>
    <row r="435" spans="1:10" hidden="1" x14ac:dyDescent="0.25">
      <c r="A435" s="90">
        <v>520042</v>
      </c>
      <c r="B435" s="90" t="s">
        <v>726</v>
      </c>
      <c r="D435" s="91">
        <v>0</v>
      </c>
      <c r="E435" s="91">
        <v>31280.116000000002</v>
      </c>
      <c r="F435" s="91">
        <f t="shared" si="5"/>
        <v>-31280.116000000002</v>
      </c>
      <c r="G435" t="str">
        <f>_xlfn.XLOOKUP($A435,Map!$A:$A,Map!C:C)</f>
        <v>IS</v>
      </c>
      <c r="H435" t="str">
        <f>_xlfn.XLOOKUP($A435,Map!$A:$A,Map!D:D)</f>
        <v>Cost of sales</v>
      </c>
      <c r="I435" t="str">
        <f>_xlfn.XLOOKUP($A435,Map!$A:$A,Map!E:E)</f>
        <v>Raw materials</v>
      </c>
      <c r="J435" t="str">
        <f>_xlfn.XLOOKUP($A435,Map!$A:$A,Map!F:F)</f>
        <v>Inventory Adjustment</v>
      </c>
    </row>
    <row r="436" spans="1:10" hidden="1" x14ac:dyDescent="0.25">
      <c r="A436" s="90">
        <v>520042</v>
      </c>
      <c r="B436" s="90" t="s">
        <v>726</v>
      </c>
      <c r="D436" s="91">
        <v>0</v>
      </c>
      <c r="E436" s="91">
        <v>209006.266</v>
      </c>
      <c r="F436" s="91">
        <f t="shared" si="5"/>
        <v>-209006.266</v>
      </c>
      <c r="G436" t="str">
        <f>_xlfn.XLOOKUP($A436,Map!$A:$A,Map!C:C)</f>
        <v>IS</v>
      </c>
      <c r="H436" t="str">
        <f>_xlfn.XLOOKUP($A436,Map!$A:$A,Map!D:D)</f>
        <v>Cost of sales</v>
      </c>
      <c r="I436" t="str">
        <f>_xlfn.XLOOKUP($A436,Map!$A:$A,Map!E:E)</f>
        <v>Raw materials</v>
      </c>
      <c r="J436" t="str">
        <f>_xlfn.XLOOKUP($A436,Map!$A:$A,Map!F:F)</f>
        <v>Inventory Adjustment</v>
      </c>
    </row>
    <row r="437" spans="1:10" hidden="1" x14ac:dyDescent="0.25">
      <c r="A437" s="90">
        <v>520021</v>
      </c>
      <c r="B437" s="90" t="s">
        <v>726</v>
      </c>
      <c r="D437" s="91">
        <v>2310</v>
      </c>
      <c r="E437" s="91">
        <v>0</v>
      </c>
      <c r="F437" s="91">
        <f t="shared" si="5"/>
        <v>2310</v>
      </c>
      <c r="G437" t="str">
        <f>_xlfn.XLOOKUP($A437,Map!$A:$A,Map!C:C)</f>
        <v>IS</v>
      </c>
      <c r="H437" t="str">
        <f>_xlfn.XLOOKUP($A437,Map!$A:$A,Map!D:D)</f>
        <v>Cost of sales</v>
      </c>
      <c r="I437" t="str">
        <f>_xlfn.XLOOKUP($A437,Map!$A:$A,Map!E:E)</f>
        <v>Direct Labor</v>
      </c>
      <c r="J437" t="str">
        <f>_xlfn.XLOOKUP($A437,Map!$A:$A,Map!F:F)</f>
        <v>Medical insurance</v>
      </c>
    </row>
    <row r="438" spans="1:10" hidden="1" x14ac:dyDescent="0.25">
      <c r="A438" s="90">
        <v>520011</v>
      </c>
      <c r="B438" s="90" t="s">
        <v>726</v>
      </c>
      <c r="D438" s="91">
        <v>9041</v>
      </c>
      <c r="E438" s="91">
        <v>0</v>
      </c>
      <c r="F438" s="91">
        <f t="shared" si="5"/>
        <v>9041</v>
      </c>
      <c r="G438" t="str">
        <f>_xlfn.XLOOKUP($A438,Map!$A:$A,Map!C:C)</f>
        <v>IS</v>
      </c>
      <c r="H438" t="str">
        <f>_xlfn.XLOOKUP($A438,Map!$A:$A,Map!D:D)</f>
        <v>Cost of sales</v>
      </c>
      <c r="I438" t="str">
        <f>_xlfn.XLOOKUP($A438,Map!$A:$A,Map!E:E)</f>
        <v>Direct Labor</v>
      </c>
      <c r="J438" t="str">
        <f>_xlfn.XLOOKUP($A438,Map!$A:$A,Map!F:F)</f>
        <v>Overtime pay</v>
      </c>
    </row>
    <row r="439" spans="1:10" hidden="1" x14ac:dyDescent="0.25">
      <c r="A439" s="90">
        <v>520011</v>
      </c>
      <c r="B439" s="90" t="s">
        <v>726</v>
      </c>
      <c r="D439" s="91">
        <v>18904</v>
      </c>
      <c r="E439" s="91">
        <v>0</v>
      </c>
      <c r="F439" s="91">
        <f t="shared" si="5"/>
        <v>18904</v>
      </c>
      <c r="G439" t="str">
        <f>_xlfn.XLOOKUP($A439,Map!$A:$A,Map!C:C)</f>
        <v>IS</v>
      </c>
      <c r="H439" t="str">
        <f>_xlfn.XLOOKUP($A439,Map!$A:$A,Map!D:D)</f>
        <v>Cost of sales</v>
      </c>
      <c r="I439" t="str">
        <f>_xlfn.XLOOKUP($A439,Map!$A:$A,Map!E:E)</f>
        <v>Direct Labor</v>
      </c>
      <c r="J439" t="str">
        <f>_xlfn.XLOOKUP($A439,Map!$A:$A,Map!F:F)</f>
        <v>Overtime pay</v>
      </c>
    </row>
    <row r="440" spans="1:10" hidden="1" x14ac:dyDescent="0.25">
      <c r="A440" s="90">
        <v>520006</v>
      </c>
      <c r="B440" s="90" t="s">
        <v>726</v>
      </c>
      <c r="D440" s="91">
        <v>12810</v>
      </c>
      <c r="E440" s="91">
        <v>0</v>
      </c>
      <c r="F440" s="91">
        <f t="shared" si="5"/>
        <v>12810</v>
      </c>
      <c r="G440" t="str">
        <f>_xlfn.XLOOKUP($A440,Map!$A:$A,Map!C:C)</f>
        <v>IS</v>
      </c>
      <c r="H440" t="str">
        <f>_xlfn.XLOOKUP($A440,Map!$A:$A,Map!D:D)</f>
        <v>Cost of sales</v>
      </c>
      <c r="I440" t="str">
        <f>_xlfn.XLOOKUP($A440,Map!$A:$A,Map!E:E)</f>
        <v>Direct Labor</v>
      </c>
      <c r="J440" t="str">
        <f>_xlfn.XLOOKUP($A440,Map!$A:$A,Map!F:F)</f>
        <v>Medical insurance</v>
      </c>
    </row>
    <row r="441" spans="1:10" hidden="1" x14ac:dyDescent="0.25">
      <c r="A441" s="90">
        <v>520006</v>
      </c>
      <c r="B441" s="90" t="s">
        <v>726</v>
      </c>
      <c r="D441" s="91">
        <v>6416</v>
      </c>
      <c r="E441" s="91">
        <v>0</v>
      </c>
      <c r="F441" s="91">
        <f t="shared" si="5"/>
        <v>6416</v>
      </c>
      <c r="G441" t="str">
        <f>_xlfn.XLOOKUP($A441,Map!$A:$A,Map!C:C)</f>
        <v>IS</v>
      </c>
      <c r="H441" t="str">
        <f>_xlfn.XLOOKUP($A441,Map!$A:$A,Map!D:D)</f>
        <v>Cost of sales</v>
      </c>
      <c r="I441" t="str">
        <f>_xlfn.XLOOKUP($A441,Map!$A:$A,Map!E:E)</f>
        <v>Direct Labor</v>
      </c>
      <c r="J441" t="str">
        <f>_xlfn.XLOOKUP($A441,Map!$A:$A,Map!F:F)</f>
        <v>Medical insurance</v>
      </c>
    </row>
    <row r="442" spans="1:10" hidden="1" x14ac:dyDescent="0.25">
      <c r="A442" s="90">
        <v>520006</v>
      </c>
      <c r="B442" s="90" t="s">
        <v>726</v>
      </c>
      <c r="D442" s="91">
        <v>4114</v>
      </c>
      <c r="E442" s="91">
        <v>0</v>
      </c>
      <c r="F442" s="91">
        <f t="shared" si="5"/>
        <v>4114</v>
      </c>
      <c r="G442" t="str">
        <f>_xlfn.XLOOKUP($A442,Map!$A:$A,Map!C:C)</f>
        <v>IS</v>
      </c>
      <c r="H442" t="str">
        <f>_xlfn.XLOOKUP($A442,Map!$A:$A,Map!D:D)</f>
        <v>Cost of sales</v>
      </c>
      <c r="I442" t="str">
        <f>_xlfn.XLOOKUP($A442,Map!$A:$A,Map!E:E)</f>
        <v>Direct Labor</v>
      </c>
      <c r="J442" t="str">
        <f>_xlfn.XLOOKUP($A442,Map!$A:$A,Map!F:F)</f>
        <v>Medical insurance</v>
      </c>
    </row>
    <row r="443" spans="1:10" hidden="1" x14ac:dyDescent="0.25">
      <c r="A443" s="90">
        <v>520006</v>
      </c>
      <c r="B443" s="90" t="s">
        <v>726</v>
      </c>
      <c r="D443" s="91">
        <v>3448</v>
      </c>
      <c r="E443" s="91">
        <v>0</v>
      </c>
      <c r="F443" s="91">
        <f t="shared" si="5"/>
        <v>3448</v>
      </c>
      <c r="G443" t="str">
        <f>_xlfn.XLOOKUP($A443,Map!$A:$A,Map!C:C)</f>
        <v>IS</v>
      </c>
      <c r="H443" t="str">
        <f>_xlfn.XLOOKUP($A443,Map!$A:$A,Map!D:D)</f>
        <v>Cost of sales</v>
      </c>
      <c r="I443" t="str">
        <f>_xlfn.XLOOKUP($A443,Map!$A:$A,Map!E:E)</f>
        <v>Direct Labor</v>
      </c>
      <c r="J443" t="str">
        <f>_xlfn.XLOOKUP($A443,Map!$A:$A,Map!F:F)</f>
        <v>Medical insurance</v>
      </c>
    </row>
    <row r="444" spans="1:10" hidden="1" x14ac:dyDescent="0.25">
      <c r="A444" s="90">
        <v>520006</v>
      </c>
      <c r="B444" s="90" t="s">
        <v>726</v>
      </c>
      <c r="D444" s="91">
        <v>4476</v>
      </c>
      <c r="E444" s="91">
        <v>0</v>
      </c>
      <c r="F444" s="91">
        <f t="shared" si="5"/>
        <v>4476</v>
      </c>
      <c r="G444" t="str">
        <f>_xlfn.XLOOKUP($A444,Map!$A:$A,Map!C:C)</f>
        <v>IS</v>
      </c>
      <c r="H444" t="str">
        <f>_xlfn.XLOOKUP($A444,Map!$A:$A,Map!D:D)</f>
        <v>Cost of sales</v>
      </c>
      <c r="I444" t="str">
        <f>_xlfn.XLOOKUP($A444,Map!$A:$A,Map!E:E)</f>
        <v>Direct Labor</v>
      </c>
      <c r="J444" t="str">
        <f>_xlfn.XLOOKUP($A444,Map!$A:$A,Map!F:F)</f>
        <v>Medical insurance</v>
      </c>
    </row>
    <row r="445" spans="1:10" hidden="1" x14ac:dyDescent="0.25">
      <c r="A445" s="90">
        <v>520006</v>
      </c>
      <c r="B445" s="90" t="s">
        <v>726</v>
      </c>
      <c r="D445" s="91">
        <v>2920</v>
      </c>
      <c r="E445" s="91">
        <v>0</v>
      </c>
      <c r="F445" s="91">
        <f t="shared" si="5"/>
        <v>2920</v>
      </c>
      <c r="G445" t="str">
        <f>_xlfn.XLOOKUP($A445,Map!$A:$A,Map!C:C)</f>
        <v>IS</v>
      </c>
      <c r="H445" t="str">
        <f>_xlfn.XLOOKUP($A445,Map!$A:$A,Map!D:D)</f>
        <v>Cost of sales</v>
      </c>
      <c r="I445" t="str">
        <f>_xlfn.XLOOKUP($A445,Map!$A:$A,Map!E:E)</f>
        <v>Direct Labor</v>
      </c>
      <c r="J445" t="str">
        <f>_xlfn.XLOOKUP($A445,Map!$A:$A,Map!F:F)</f>
        <v>Medical insurance</v>
      </c>
    </row>
    <row r="446" spans="1:10" hidden="1" x14ac:dyDescent="0.25">
      <c r="A446" s="90">
        <v>520004</v>
      </c>
      <c r="B446" s="90" t="s">
        <v>726</v>
      </c>
      <c r="D446" s="91">
        <v>9014</v>
      </c>
      <c r="E446" s="91">
        <v>0</v>
      </c>
      <c r="F446" s="91">
        <f t="shared" si="5"/>
        <v>9014</v>
      </c>
      <c r="G446" t="str">
        <f>_xlfn.XLOOKUP($A446,Map!$A:$A,Map!C:C)</f>
        <v>IS</v>
      </c>
      <c r="H446" t="str">
        <f>_xlfn.XLOOKUP($A446,Map!$A:$A,Map!D:D)</f>
        <v>Cost of sales</v>
      </c>
      <c r="I446" t="str">
        <f>_xlfn.XLOOKUP($A446,Map!$A:$A,Map!E:E)</f>
        <v>Direct Labor</v>
      </c>
      <c r="J446" t="str">
        <f>_xlfn.XLOOKUP($A446,Map!$A:$A,Map!F:F)</f>
        <v>Food and housing</v>
      </c>
    </row>
    <row r="447" spans="1:10" hidden="1" x14ac:dyDescent="0.25">
      <c r="A447" s="90">
        <v>520004</v>
      </c>
      <c r="B447" s="90" t="s">
        <v>726</v>
      </c>
      <c r="D447" s="91">
        <v>6680</v>
      </c>
      <c r="E447" s="91">
        <v>0</v>
      </c>
      <c r="F447" s="91">
        <f t="shared" si="5"/>
        <v>6680</v>
      </c>
      <c r="G447" t="str">
        <f>_xlfn.XLOOKUP($A447,Map!$A:$A,Map!C:C)</f>
        <v>IS</v>
      </c>
      <c r="H447" t="str">
        <f>_xlfn.XLOOKUP($A447,Map!$A:$A,Map!D:D)</f>
        <v>Cost of sales</v>
      </c>
      <c r="I447" t="str">
        <f>_xlfn.XLOOKUP($A447,Map!$A:$A,Map!E:E)</f>
        <v>Direct Labor</v>
      </c>
      <c r="J447" t="str">
        <f>_xlfn.XLOOKUP($A447,Map!$A:$A,Map!F:F)</f>
        <v>Food and housing</v>
      </c>
    </row>
    <row r="448" spans="1:10" hidden="1" x14ac:dyDescent="0.25">
      <c r="A448" s="90">
        <v>520003</v>
      </c>
      <c r="B448" s="90" t="s">
        <v>726</v>
      </c>
      <c r="D448" s="91">
        <v>5367</v>
      </c>
      <c r="E448" s="91">
        <v>0</v>
      </c>
      <c r="F448" s="91">
        <f t="shared" si="5"/>
        <v>5367</v>
      </c>
      <c r="G448" t="str">
        <f>_xlfn.XLOOKUP($A448,Map!$A:$A,Map!C:C)</f>
        <v>IS</v>
      </c>
      <c r="H448" t="str">
        <f>_xlfn.XLOOKUP($A448,Map!$A:$A,Map!D:D)</f>
        <v>Cost of sales</v>
      </c>
      <c r="I448" t="str">
        <f>_xlfn.XLOOKUP($A448,Map!$A:$A,Map!E:E)</f>
        <v>Direct Labor</v>
      </c>
      <c r="J448" t="str">
        <f>_xlfn.XLOOKUP($A448,Map!$A:$A,Map!F:F)</f>
        <v>Transportation allowance</v>
      </c>
    </row>
    <row r="449" spans="1:10" hidden="1" x14ac:dyDescent="0.25">
      <c r="A449" s="90">
        <v>520001</v>
      </c>
      <c r="B449" s="90" t="s">
        <v>726</v>
      </c>
      <c r="D449" s="91">
        <v>262900</v>
      </c>
      <c r="E449" s="91">
        <v>0</v>
      </c>
      <c r="F449" s="91">
        <f t="shared" si="5"/>
        <v>262900</v>
      </c>
      <c r="G449" t="str">
        <f>_xlfn.XLOOKUP($A449,Map!$A:$A,Map!C:C)</f>
        <v>IS</v>
      </c>
      <c r="H449" t="str">
        <f>_xlfn.XLOOKUP($A449,Map!$A:$A,Map!D:D)</f>
        <v>Cost of sales</v>
      </c>
      <c r="I449" t="str">
        <f>_xlfn.XLOOKUP($A449,Map!$A:$A,Map!E:E)</f>
        <v>Direct Labor</v>
      </c>
      <c r="J449" t="str">
        <f>_xlfn.XLOOKUP($A449,Map!$A:$A,Map!F:F)</f>
        <v>Salaries and wages</v>
      </c>
    </row>
    <row r="450" spans="1:10" hidden="1" x14ac:dyDescent="0.25">
      <c r="A450" s="90">
        <v>520001</v>
      </c>
      <c r="B450" s="90" t="s">
        <v>726</v>
      </c>
      <c r="D450" s="91">
        <v>36209</v>
      </c>
      <c r="E450" s="91">
        <v>0</v>
      </c>
      <c r="F450" s="91">
        <f t="shared" si="5"/>
        <v>36209</v>
      </c>
      <c r="G450" t="str">
        <f>_xlfn.XLOOKUP($A450,Map!$A:$A,Map!C:C)</f>
        <v>IS</v>
      </c>
      <c r="H450" t="str">
        <f>_xlfn.XLOOKUP($A450,Map!$A:$A,Map!D:D)</f>
        <v>Cost of sales</v>
      </c>
      <c r="I450" t="str">
        <f>_xlfn.XLOOKUP($A450,Map!$A:$A,Map!E:E)</f>
        <v>Direct Labor</v>
      </c>
      <c r="J450" t="str">
        <f>_xlfn.XLOOKUP($A450,Map!$A:$A,Map!F:F)</f>
        <v>Salaries and wages</v>
      </c>
    </row>
    <row r="451" spans="1:10" hidden="1" x14ac:dyDescent="0.25">
      <c r="A451" s="90">
        <v>520001</v>
      </c>
      <c r="B451" s="90" t="s">
        <v>726</v>
      </c>
      <c r="D451" s="91">
        <v>64619</v>
      </c>
      <c r="E451" s="91">
        <v>0</v>
      </c>
      <c r="F451" s="91">
        <f t="shared" si="5"/>
        <v>64619</v>
      </c>
      <c r="G451" t="str">
        <f>_xlfn.XLOOKUP($A451,Map!$A:$A,Map!C:C)</f>
        <v>IS</v>
      </c>
      <c r="H451" t="str">
        <f>_xlfn.XLOOKUP($A451,Map!$A:$A,Map!D:D)</f>
        <v>Cost of sales</v>
      </c>
      <c r="I451" t="str">
        <f>_xlfn.XLOOKUP($A451,Map!$A:$A,Map!E:E)</f>
        <v>Direct Labor</v>
      </c>
      <c r="J451" t="str">
        <f>_xlfn.XLOOKUP($A451,Map!$A:$A,Map!F:F)</f>
        <v>Salaries and wages</v>
      </c>
    </row>
    <row r="452" spans="1:10" hidden="1" x14ac:dyDescent="0.25">
      <c r="A452" s="90">
        <v>520001</v>
      </c>
      <c r="B452" s="90" t="s">
        <v>726</v>
      </c>
      <c r="D452" s="91">
        <v>19853</v>
      </c>
      <c r="E452" s="91">
        <v>0</v>
      </c>
      <c r="F452" s="91">
        <f t="shared" si="5"/>
        <v>19853</v>
      </c>
      <c r="G452" t="str">
        <f>_xlfn.XLOOKUP($A452,Map!$A:$A,Map!C:C)</f>
        <v>IS</v>
      </c>
      <c r="H452" t="str">
        <f>_xlfn.XLOOKUP($A452,Map!$A:$A,Map!D:D)</f>
        <v>Cost of sales</v>
      </c>
      <c r="I452" t="str">
        <f>_xlfn.XLOOKUP($A452,Map!$A:$A,Map!E:E)</f>
        <v>Direct Labor</v>
      </c>
      <c r="J452" t="str">
        <f>_xlfn.XLOOKUP($A452,Map!$A:$A,Map!F:F)</f>
        <v>Salaries and wages</v>
      </c>
    </row>
    <row r="453" spans="1:10" hidden="1" x14ac:dyDescent="0.25">
      <c r="A453" s="90">
        <v>520001</v>
      </c>
      <c r="B453" s="90" t="s">
        <v>726</v>
      </c>
      <c r="D453" s="91">
        <v>44041</v>
      </c>
      <c r="E453" s="91">
        <v>0</v>
      </c>
      <c r="F453" s="91">
        <f t="shared" si="5"/>
        <v>44041</v>
      </c>
      <c r="G453" t="str">
        <f>_xlfn.XLOOKUP($A453,Map!$A:$A,Map!C:C)</f>
        <v>IS</v>
      </c>
      <c r="H453" t="str">
        <f>_xlfn.XLOOKUP($A453,Map!$A:$A,Map!D:D)</f>
        <v>Cost of sales</v>
      </c>
      <c r="I453" t="str">
        <f>_xlfn.XLOOKUP($A453,Map!$A:$A,Map!E:E)</f>
        <v>Direct Labor</v>
      </c>
      <c r="J453" t="str">
        <f>_xlfn.XLOOKUP($A453,Map!$A:$A,Map!F:F)</f>
        <v>Salaries and wages</v>
      </c>
    </row>
    <row r="454" spans="1:10" hidden="1" x14ac:dyDescent="0.25">
      <c r="A454" s="90">
        <v>510005</v>
      </c>
      <c r="B454" s="90" t="s">
        <v>726</v>
      </c>
      <c r="D454" s="91">
        <v>6872.9129999999996</v>
      </c>
      <c r="E454" s="91">
        <v>0</v>
      </c>
      <c r="F454" s="91">
        <f t="shared" si="5"/>
        <v>6872.9129999999996</v>
      </c>
      <c r="G454" t="str">
        <f>_xlfn.XLOOKUP($A454,Map!$A:$A,Map!C:C)</f>
        <v>IS</v>
      </c>
      <c r="H454" t="str">
        <f>_xlfn.XLOOKUP($A454,Map!$A:$A,Map!D:D)</f>
        <v>Cost of sales</v>
      </c>
      <c r="I454" t="str">
        <f>_xlfn.XLOOKUP($A454,Map!$A:$A,Map!E:E)</f>
        <v>Raw materials</v>
      </c>
      <c r="J454" t="str">
        <f>_xlfn.XLOOKUP($A454,Map!$A:$A,Map!F:F)</f>
        <v>Other expenses</v>
      </c>
    </row>
    <row r="455" spans="1:10" hidden="1" x14ac:dyDescent="0.25">
      <c r="A455" s="90">
        <v>510004</v>
      </c>
      <c r="B455" s="90" t="s">
        <v>726</v>
      </c>
      <c r="D455" s="91">
        <v>0</v>
      </c>
      <c r="E455" s="91">
        <v>574781.51</v>
      </c>
      <c r="F455" s="91">
        <f t="shared" si="5"/>
        <v>-574781.51</v>
      </c>
      <c r="G455" t="str">
        <f>_xlfn.XLOOKUP($A455,Map!$A:$A,Map!C:C)</f>
        <v>IS</v>
      </c>
      <c r="H455" t="str">
        <f>_xlfn.XLOOKUP($A455,Map!$A:$A,Map!D:D)</f>
        <v>Cost of sales</v>
      </c>
      <c r="I455" t="str">
        <f>_xlfn.XLOOKUP($A455,Map!$A:$A,Map!E:E)</f>
        <v>Raw materials</v>
      </c>
      <c r="J455" t="str">
        <f>_xlfn.XLOOKUP($A455,Map!$A:$A,Map!F:F)</f>
        <v>Other expenses</v>
      </c>
    </row>
    <row r="456" spans="1:10" hidden="1" x14ac:dyDescent="0.25">
      <c r="A456" s="90">
        <v>510004</v>
      </c>
      <c r="B456" s="90" t="s">
        <v>726</v>
      </c>
      <c r="D456" s="91">
        <v>0</v>
      </c>
      <c r="E456" s="91">
        <v>293597.25</v>
      </c>
      <c r="F456" s="91">
        <f t="shared" si="5"/>
        <v>-293597.25</v>
      </c>
      <c r="G456" t="str">
        <f>_xlfn.XLOOKUP($A456,Map!$A:$A,Map!C:C)</f>
        <v>IS</v>
      </c>
      <c r="H456" t="str">
        <f>_xlfn.XLOOKUP($A456,Map!$A:$A,Map!D:D)</f>
        <v>Cost of sales</v>
      </c>
      <c r="I456" t="str">
        <f>_xlfn.XLOOKUP($A456,Map!$A:$A,Map!E:E)</f>
        <v>Raw materials</v>
      </c>
      <c r="J456" t="str">
        <f>_xlfn.XLOOKUP($A456,Map!$A:$A,Map!F:F)</f>
        <v>Other expenses</v>
      </c>
    </row>
    <row r="457" spans="1:10" hidden="1" x14ac:dyDescent="0.25">
      <c r="A457" s="90">
        <v>510004</v>
      </c>
      <c r="B457" s="90" t="s">
        <v>726</v>
      </c>
      <c r="D457" s="91">
        <v>0</v>
      </c>
      <c r="E457" s="91">
        <v>15750.89</v>
      </c>
      <c r="F457" s="91">
        <f t="shared" si="5"/>
        <v>-15750.89</v>
      </c>
      <c r="G457" t="str">
        <f>_xlfn.XLOOKUP($A457,Map!$A:$A,Map!C:C)</f>
        <v>IS</v>
      </c>
      <c r="H457" t="str">
        <f>_xlfn.XLOOKUP($A457,Map!$A:$A,Map!D:D)</f>
        <v>Cost of sales</v>
      </c>
      <c r="I457" t="str">
        <f>_xlfn.XLOOKUP($A457,Map!$A:$A,Map!E:E)</f>
        <v>Raw materials</v>
      </c>
      <c r="J457" t="str">
        <f>_xlfn.XLOOKUP($A457,Map!$A:$A,Map!F:F)</f>
        <v>Other expenses</v>
      </c>
    </row>
    <row r="458" spans="1:10" hidden="1" x14ac:dyDescent="0.25">
      <c r="A458" s="90">
        <v>510004</v>
      </c>
      <c r="B458" s="90" t="s">
        <v>726</v>
      </c>
      <c r="D458" s="91">
        <v>0</v>
      </c>
      <c r="E458" s="91">
        <v>287890.19</v>
      </c>
      <c r="F458" s="91">
        <f t="shared" si="5"/>
        <v>-287890.19</v>
      </c>
      <c r="G458" t="str">
        <f>_xlfn.XLOOKUP($A458,Map!$A:$A,Map!C:C)</f>
        <v>IS</v>
      </c>
      <c r="H458" t="str">
        <f>_xlfn.XLOOKUP($A458,Map!$A:$A,Map!D:D)</f>
        <v>Cost of sales</v>
      </c>
      <c r="I458" t="str">
        <f>_xlfn.XLOOKUP($A458,Map!$A:$A,Map!E:E)</f>
        <v>Raw materials</v>
      </c>
      <c r="J458" t="str">
        <f>_xlfn.XLOOKUP($A458,Map!$A:$A,Map!F:F)</f>
        <v>Other expenses</v>
      </c>
    </row>
    <row r="459" spans="1:10" hidden="1" x14ac:dyDescent="0.25">
      <c r="A459" s="90">
        <v>510004</v>
      </c>
      <c r="B459" s="90" t="s">
        <v>726</v>
      </c>
      <c r="D459" s="91">
        <v>0</v>
      </c>
      <c r="E459" s="91">
        <v>266936.32000000001</v>
      </c>
      <c r="F459" s="91">
        <f t="shared" si="5"/>
        <v>-266936.32000000001</v>
      </c>
      <c r="G459" t="str">
        <f>_xlfn.XLOOKUP($A459,Map!$A:$A,Map!C:C)</f>
        <v>IS</v>
      </c>
      <c r="H459" t="str">
        <f>_xlfn.XLOOKUP($A459,Map!$A:$A,Map!D:D)</f>
        <v>Cost of sales</v>
      </c>
      <c r="I459" t="str">
        <f>_xlfn.XLOOKUP($A459,Map!$A:$A,Map!E:E)</f>
        <v>Raw materials</v>
      </c>
      <c r="J459" t="str">
        <f>_xlfn.XLOOKUP($A459,Map!$A:$A,Map!F:F)</f>
        <v>Other expenses</v>
      </c>
    </row>
    <row r="460" spans="1:10" hidden="1" x14ac:dyDescent="0.25">
      <c r="A460" s="90">
        <v>510004</v>
      </c>
      <c r="B460" s="90" t="s">
        <v>726</v>
      </c>
      <c r="D460" s="91">
        <v>0</v>
      </c>
      <c r="E460" s="91">
        <v>54069.71</v>
      </c>
      <c r="F460" s="91">
        <f t="shared" si="5"/>
        <v>-54069.71</v>
      </c>
      <c r="G460" t="str">
        <f>_xlfn.XLOOKUP($A460,Map!$A:$A,Map!C:C)</f>
        <v>IS</v>
      </c>
      <c r="H460" t="str">
        <f>_xlfn.XLOOKUP($A460,Map!$A:$A,Map!D:D)</f>
        <v>Cost of sales</v>
      </c>
      <c r="I460" t="str">
        <f>_xlfn.XLOOKUP($A460,Map!$A:$A,Map!E:E)</f>
        <v>Raw materials</v>
      </c>
      <c r="J460" t="str">
        <f>_xlfn.XLOOKUP($A460,Map!$A:$A,Map!F:F)</f>
        <v>Other expenses</v>
      </c>
    </row>
    <row r="461" spans="1:10" hidden="1" x14ac:dyDescent="0.25">
      <c r="A461" s="90">
        <v>510004</v>
      </c>
      <c r="B461" s="90" t="s">
        <v>726</v>
      </c>
      <c r="D461" s="91">
        <v>0</v>
      </c>
      <c r="E461" s="91">
        <v>13687.81</v>
      </c>
      <c r="F461" s="91">
        <f t="shared" si="5"/>
        <v>-13687.81</v>
      </c>
      <c r="G461" t="str">
        <f>_xlfn.XLOOKUP($A461,Map!$A:$A,Map!C:C)</f>
        <v>IS</v>
      </c>
      <c r="H461" t="str">
        <f>_xlfn.XLOOKUP($A461,Map!$A:$A,Map!D:D)</f>
        <v>Cost of sales</v>
      </c>
      <c r="I461" t="str">
        <f>_xlfn.XLOOKUP($A461,Map!$A:$A,Map!E:E)</f>
        <v>Raw materials</v>
      </c>
      <c r="J461" t="str">
        <f>_xlfn.XLOOKUP($A461,Map!$A:$A,Map!F:F)</f>
        <v>Other expenses</v>
      </c>
    </row>
    <row r="462" spans="1:10" hidden="1" x14ac:dyDescent="0.25">
      <c r="A462" s="90">
        <v>510004</v>
      </c>
      <c r="B462" s="90" t="s">
        <v>726</v>
      </c>
      <c r="D462" s="91">
        <v>0</v>
      </c>
      <c r="E462" s="91">
        <v>121752.34</v>
      </c>
      <c r="F462" s="91">
        <f t="shared" si="5"/>
        <v>-121752.34</v>
      </c>
      <c r="G462" t="str">
        <f>_xlfn.XLOOKUP($A462,Map!$A:$A,Map!C:C)</f>
        <v>IS</v>
      </c>
      <c r="H462" t="str">
        <f>_xlfn.XLOOKUP($A462,Map!$A:$A,Map!D:D)</f>
        <v>Cost of sales</v>
      </c>
      <c r="I462" t="str">
        <f>_xlfn.XLOOKUP($A462,Map!$A:$A,Map!E:E)</f>
        <v>Raw materials</v>
      </c>
      <c r="J462" t="str">
        <f>_xlfn.XLOOKUP($A462,Map!$A:$A,Map!F:F)</f>
        <v>Other expenses</v>
      </c>
    </row>
    <row r="463" spans="1:10" hidden="1" x14ac:dyDescent="0.25">
      <c r="A463" s="90">
        <v>510004</v>
      </c>
      <c r="B463" s="90" t="s">
        <v>726</v>
      </c>
      <c r="D463" s="91">
        <v>0</v>
      </c>
      <c r="E463" s="91">
        <v>1004553.31</v>
      </c>
      <c r="F463" s="91">
        <f t="shared" si="5"/>
        <v>-1004553.31</v>
      </c>
      <c r="G463" t="str">
        <f>_xlfn.XLOOKUP($A463,Map!$A:$A,Map!C:C)</f>
        <v>IS</v>
      </c>
      <c r="H463" t="str">
        <f>_xlfn.XLOOKUP($A463,Map!$A:$A,Map!D:D)</f>
        <v>Cost of sales</v>
      </c>
      <c r="I463" t="str">
        <f>_xlfn.XLOOKUP($A463,Map!$A:$A,Map!E:E)</f>
        <v>Raw materials</v>
      </c>
      <c r="J463" t="str">
        <f>_xlfn.XLOOKUP($A463,Map!$A:$A,Map!F:F)</f>
        <v>Other expenses</v>
      </c>
    </row>
    <row r="464" spans="1:10" hidden="1" x14ac:dyDescent="0.25">
      <c r="A464" s="90">
        <v>510004</v>
      </c>
      <c r="B464" s="90" t="s">
        <v>726</v>
      </c>
      <c r="D464" s="91">
        <v>0</v>
      </c>
      <c r="E464" s="91">
        <v>82403.86</v>
      </c>
      <c r="F464" s="91">
        <f t="shared" si="5"/>
        <v>-82403.86</v>
      </c>
      <c r="G464" t="str">
        <f>_xlfn.XLOOKUP($A464,Map!$A:$A,Map!C:C)</f>
        <v>IS</v>
      </c>
      <c r="H464" t="str">
        <f>_xlfn.XLOOKUP($A464,Map!$A:$A,Map!D:D)</f>
        <v>Cost of sales</v>
      </c>
      <c r="I464" t="str">
        <f>_xlfn.XLOOKUP($A464,Map!$A:$A,Map!E:E)</f>
        <v>Raw materials</v>
      </c>
      <c r="J464" t="str">
        <f>_xlfn.XLOOKUP($A464,Map!$A:$A,Map!F:F)</f>
        <v>Other expenses</v>
      </c>
    </row>
    <row r="465" spans="1:10" hidden="1" x14ac:dyDescent="0.25">
      <c r="A465" s="90">
        <v>510002</v>
      </c>
      <c r="B465" s="90" t="s">
        <v>726</v>
      </c>
      <c r="D465" s="91">
        <v>0</v>
      </c>
      <c r="E465" s="91">
        <v>6680</v>
      </c>
      <c r="F465" s="91">
        <f t="shared" si="5"/>
        <v>-6680</v>
      </c>
      <c r="G465" t="str">
        <f>_xlfn.XLOOKUP($A465,Map!$A:$A,Map!C:C)</f>
        <v>IS</v>
      </c>
      <c r="H465" t="str">
        <f>_xlfn.XLOOKUP($A465,Map!$A:$A,Map!D:D)</f>
        <v>Cost of sales</v>
      </c>
      <c r="I465" t="str">
        <f>_xlfn.XLOOKUP($A465,Map!$A:$A,Map!E:E)</f>
        <v>Direct Labor</v>
      </c>
      <c r="J465" t="str">
        <f>_xlfn.XLOOKUP($A465,Map!$A:$A,Map!F:F)</f>
        <v>Direct Labor</v>
      </c>
    </row>
    <row r="466" spans="1:10" hidden="1" x14ac:dyDescent="0.25">
      <c r="A466" s="90">
        <v>510002</v>
      </c>
      <c r="B466" s="90" t="s">
        <v>726</v>
      </c>
      <c r="D466" s="91">
        <v>0</v>
      </c>
      <c r="E466" s="91">
        <v>300808</v>
      </c>
      <c r="F466" s="91">
        <f t="shared" si="5"/>
        <v>-300808</v>
      </c>
      <c r="G466" t="str">
        <f>_xlfn.XLOOKUP($A466,Map!$A:$A,Map!C:C)</f>
        <v>IS</v>
      </c>
      <c r="H466" t="str">
        <f>_xlfn.XLOOKUP($A466,Map!$A:$A,Map!D:D)</f>
        <v>Cost of sales</v>
      </c>
      <c r="I466" t="str">
        <f>_xlfn.XLOOKUP($A466,Map!$A:$A,Map!E:E)</f>
        <v>Direct Labor</v>
      </c>
      <c r="J466" t="str">
        <f>_xlfn.XLOOKUP($A466,Map!$A:$A,Map!F:F)</f>
        <v>Direct Labor</v>
      </c>
    </row>
    <row r="467" spans="1:10" hidden="1" x14ac:dyDescent="0.25">
      <c r="A467" s="90">
        <v>510002</v>
      </c>
      <c r="B467" s="90" t="s">
        <v>726</v>
      </c>
      <c r="D467" s="91">
        <v>0</v>
      </c>
      <c r="E467" s="91">
        <v>20487</v>
      </c>
      <c r="F467" s="91">
        <f t="shared" si="5"/>
        <v>-20487</v>
      </c>
      <c r="G467" t="str">
        <f>_xlfn.XLOOKUP($A467,Map!$A:$A,Map!C:C)</f>
        <v>IS</v>
      </c>
      <c r="H467" t="str">
        <f>_xlfn.XLOOKUP($A467,Map!$A:$A,Map!D:D)</f>
        <v>Cost of sales</v>
      </c>
      <c r="I467" t="str">
        <f>_xlfn.XLOOKUP($A467,Map!$A:$A,Map!E:E)</f>
        <v>Direct Labor</v>
      </c>
      <c r="J467" t="str">
        <f>_xlfn.XLOOKUP($A467,Map!$A:$A,Map!F:F)</f>
        <v>Direct Labor</v>
      </c>
    </row>
    <row r="468" spans="1:10" hidden="1" x14ac:dyDescent="0.25">
      <c r="A468" s="90">
        <v>510002</v>
      </c>
      <c r="B468" s="90" t="s">
        <v>726</v>
      </c>
      <c r="D468" s="91">
        <v>0</v>
      </c>
      <c r="E468" s="91">
        <v>61529</v>
      </c>
      <c r="F468" s="91">
        <f t="shared" si="5"/>
        <v>-61529</v>
      </c>
      <c r="G468" t="str">
        <f>_xlfn.XLOOKUP($A468,Map!$A:$A,Map!C:C)</f>
        <v>IS</v>
      </c>
      <c r="H468" t="str">
        <f>_xlfn.XLOOKUP($A468,Map!$A:$A,Map!D:D)</f>
        <v>Cost of sales</v>
      </c>
      <c r="I468" t="str">
        <f>_xlfn.XLOOKUP($A468,Map!$A:$A,Map!E:E)</f>
        <v>Direct Labor</v>
      </c>
      <c r="J468" t="str">
        <f>_xlfn.XLOOKUP($A468,Map!$A:$A,Map!F:F)</f>
        <v>Direct Labor</v>
      </c>
    </row>
    <row r="469" spans="1:10" hidden="1" x14ac:dyDescent="0.25">
      <c r="A469" s="90">
        <v>510002</v>
      </c>
      <c r="B469" s="90" t="s">
        <v>726</v>
      </c>
      <c r="D469" s="91">
        <v>0</v>
      </c>
      <c r="E469" s="91">
        <v>68733</v>
      </c>
      <c r="F469" s="91">
        <f t="shared" si="5"/>
        <v>-68733</v>
      </c>
      <c r="G469" t="str">
        <f>_xlfn.XLOOKUP($A469,Map!$A:$A,Map!C:C)</f>
        <v>IS</v>
      </c>
      <c r="H469" t="str">
        <f>_xlfn.XLOOKUP($A469,Map!$A:$A,Map!D:D)</f>
        <v>Cost of sales</v>
      </c>
      <c r="I469" t="str">
        <f>_xlfn.XLOOKUP($A469,Map!$A:$A,Map!E:E)</f>
        <v>Direct Labor</v>
      </c>
      <c r="J469" t="str">
        <f>_xlfn.XLOOKUP($A469,Map!$A:$A,Map!F:F)</f>
        <v>Direct Labor</v>
      </c>
    </row>
    <row r="470" spans="1:10" hidden="1" x14ac:dyDescent="0.25">
      <c r="A470" s="90">
        <v>510002</v>
      </c>
      <c r="B470" s="90" t="s">
        <v>726</v>
      </c>
      <c r="D470" s="91">
        <v>0</v>
      </c>
      <c r="E470" s="91">
        <v>3448</v>
      </c>
      <c r="F470" s="91">
        <f t="shared" si="5"/>
        <v>-3448</v>
      </c>
      <c r="G470" t="str">
        <f>_xlfn.XLOOKUP($A470,Map!$A:$A,Map!C:C)</f>
        <v>IS</v>
      </c>
      <c r="H470" t="str">
        <f>_xlfn.XLOOKUP($A470,Map!$A:$A,Map!D:D)</f>
        <v>Cost of sales</v>
      </c>
      <c r="I470" t="str">
        <f>_xlfn.XLOOKUP($A470,Map!$A:$A,Map!E:E)</f>
        <v>Direct Labor</v>
      </c>
      <c r="J470" t="str">
        <f>_xlfn.XLOOKUP($A470,Map!$A:$A,Map!F:F)</f>
        <v>Direct Labor</v>
      </c>
    </row>
    <row r="471" spans="1:10" hidden="1" x14ac:dyDescent="0.25">
      <c r="A471" s="90">
        <v>510002</v>
      </c>
      <c r="B471" s="90" t="s">
        <v>726</v>
      </c>
      <c r="D471" s="91">
        <v>0</v>
      </c>
      <c r="E471" s="91">
        <v>4476</v>
      </c>
      <c r="F471" s="91">
        <f t="shared" ref="F471:F474" si="6">D471-E471</f>
        <v>-4476</v>
      </c>
      <c r="G471" t="str">
        <f>_xlfn.XLOOKUP($A471,Map!$A:$A,Map!C:C)</f>
        <v>IS</v>
      </c>
      <c r="H471" t="str">
        <f>_xlfn.XLOOKUP($A471,Map!$A:$A,Map!D:D)</f>
        <v>Cost of sales</v>
      </c>
      <c r="I471" t="str">
        <f>_xlfn.XLOOKUP($A471,Map!$A:$A,Map!E:E)</f>
        <v>Direct Labor</v>
      </c>
      <c r="J471" t="str">
        <f>_xlfn.XLOOKUP($A471,Map!$A:$A,Map!F:F)</f>
        <v>Direct Labor</v>
      </c>
    </row>
    <row r="472" spans="1:10" hidden="1" x14ac:dyDescent="0.25">
      <c r="A472" s="90">
        <v>510002</v>
      </c>
      <c r="B472" s="90" t="s">
        <v>726</v>
      </c>
      <c r="D472" s="91">
        <v>0</v>
      </c>
      <c r="E472" s="91">
        <v>44041</v>
      </c>
      <c r="F472" s="91">
        <f t="shared" si="6"/>
        <v>-44041</v>
      </c>
      <c r="G472" t="str">
        <f>_xlfn.XLOOKUP($A472,Map!$A:$A,Map!C:C)</f>
        <v>IS</v>
      </c>
      <c r="H472" t="str">
        <f>_xlfn.XLOOKUP($A472,Map!$A:$A,Map!D:D)</f>
        <v>Cost of sales</v>
      </c>
      <c r="I472" t="str">
        <f>_xlfn.XLOOKUP($A472,Map!$A:$A,Map!E:E)</f>
        <v>Direct Labor</v>
      </c>
      <c r="J472" t="str">
        <f>_xlfn.XLOOKUP($A472,Map!$A:$A,Map!F:F)</f>
        <v>Direct Labor</v>
      </c>
    </row>
    <row r="473" spans="1:10" hidden="1" x14ac:dyDescent="0.25">
      <c r="A473" s="90">
        <v>510002</v>
      </c>
      <c r="B473" s="90" t="s">
        <v>726</v>
      </c>
      <c r="D473" s="91">
        <v>0</v>
      </c>
      <c r="E473" s="91">
        <v>2920</v>
      </c>
      <c r="F473" s="91">
        <f t="shared" si="6"/>
        <v>-2920</v>
      </c>
      <c r="G473" t="str">
        <f>_xlfn.XLOOKUP($A473,Map!$A:$A,Map!C:C)</f>
        <v>IS</v>
      </c>
      <c r="H473" t="str">
        <f>_xlfn.XLOOKUP($A473,Map!$A:$A,Map!D:D)</f>
        <v>Cost of sales</v>
      </c>
      <c r="I473" t="str">
        <f>_xlfn.XLOOKUP($A473,Map!$A:$A,Map!E:E)</f>
        <v>Direct Labor</v>
      </c>
      <c r="J473" t="str">
        <f>_xlfn.XLOOKUP($A473,Map!$A:$A,Map!F:F)</f>
        <v>Direct Labor</v>
      </c>
    </row>
    <row r="474" spans="1:10" hidden="1" x14ac:dyDescent="0.25">
      <c r="A474" s="90">
        <v>510001</v>
      </c>
      <c r="B474" s="90" t="s">
        <v>726</v>
      </c>
      <c r="D474" s="91">
        <v>209006.266</v>
      </c>
      <c r="E474" s="91">
        <v>0</v>
      </c>
      <c r="F474" s="91">
        <f t="shared" si="6"/>
        <v>209006.266</v>
      </c>
      <c r="G474" t="str">
        <f>_xlfn.XLOOKUP($A474,Map!$A:$A,Map!C:C)</f>
        <v>IS</v>
      </c>
      <c r="H474" t="str">
        <f>_xlfn.XLOOKUP($A474,Map!$A:$A,Map!D:D)</f>
        <v>Cost of sales</v>
      </c>
      <c r="I474" t="str">
        <f>_xlfn.XLOOKUP($A474,Map!$A:$A,Map!E:E)</f>
        <v>Raw materials</v>
      </c>
      <c r="J474" t="str">
        <f>_xlfn.XLOOKUP($A474,Map!$A:$A,Map!F:F)</f>
        <v>Raw materials</v>
      </c>
    </row>
    <row r="475" spans="1:10" hidden="1" x14ac:dyDescent="0.25">
      <c r="A475" s="90">
        <v>600031</v>
      </c>
      <c r="B475" s="150" t="s">
        <v>728</v>
      </c>
      <c r="D475" s="91">
        <v>613.33299999999997</v>
      </c>
      <c r="E475" s="91">
        <v>0</v>
      </c>
      <c r="F475" s="91">
        <f t="shared" ref="F475:F538" si="7">D475-E475</f>
        <v>613.33299999999997</v>
      </c>
      <c r="G475" t="str">
        <f>_xlfn.XLOOKUP($A475,Map!$A:$A,Map!C:C)</f>
        <v>IS</v>
      </c>
      <c r="H475" t="str">
        <f>_xlfn.XLOOKUP($A475,Map!$A:$A,Map!D:D)</f>
        <v>Depreciation expenses</v>
      </c>
      <c r="I475" t="str">
        <f>_xlfn.XLOOKUP($A475,Map!$A:$A,Map!E:E)</f>
        <v>Depreciation expenses</v>
      </c>
      <c r="J475" t="str">
        <f>_xlfn.XLOOKUP($A475,Map!$A:$A,Map!F:F)</f>
        <v>Depreciation of property, plant and equipment</v>
      </c>
    </row>
    <row r="476" spans="1:10" hidden="1" x14ac:dyDescent="0.25">
      <c r="A476" s="90">
        <v>600030</v>
      </c>
      <c r="B476" s="90" t="s">
        <v>726</v>
      </c>
      <c r="D476" s="91">
        <v>790.66899999999998</v>
      </c>
      <c r="E476" s="91">
        <v>0</v>
      </c>
      <c r="F476" s="91">
        <f t="shared" si="7"/>
        <v>790.66899999999998</v>
      </c>
      <c r="G476" t="str">
        <f>_xlfn.XLOOKUP($A476,Map!$A:$A,Map!C:C)</f>
        <v>IS</v>
      </c>
      <c r="H476" t="str">
        <f>_xlfn.XLOOKUP($A476,Map!$A:$A,Map!D:D)</f>
        <v>Depreciation expenses</v>
      </c>
      <c r="I476" t="str">
        <f>_xlfn.XLOOKUP($A476,Map!$A:$A,Map!E:E)</f>
        <v>Depreciation expenses</v>
      </c>
      <c r="J476" t="str">
        <f>_xlfn.XLOOKUP($A476,Map!$A:$A,Map!F:F)</f>
        <v>Depreciation of property, plant and equipment</v>
      </c>
    </row>
    <row r="477" spans="1:10" hidden="1" x14ac:dyDescent="0.25">
      <c r="A477" s="90">
        <v>600029</v>
      </c>
      <c r="B477" s="90" t="s">
        <v>726</v>
      </c>
      <c r="D477" s="91">
        <v>289379.01</v>
      </c>
      <c r="E477" s="91">
        <v>0</v>
      </c>
      <c r="F477" s="91">
        <f t="shared" si="7"/>
        <v>289379.01</v>
      </c>
      <c r="G477" t="str">
        <f>_xlfn.XLOOKUP($A477,Map!$A:$A,Map!C:C)</f>
        <v>IS</v>
      </c>
      <c r="H477" t="str">
        <f>_xlfn.XLOOKUP($A477,Map!$A:$A,Map!D:D)</f>
        <v>Cost of sales</v>
      </c>
      <c r="I477" t="str">
        <f>_xlfn.XLOOKUP($A477,Map!$A:$A,Map!E:E)</f>
        <v>Depreciation - Machines</v>
      </c>
      <c r="J477" t="str">
        <f>_xlfn.XLOOKUP($A477,Map!$A:$A,Map!F:F)</f>
        <v>Depreciation of property, plant and equipment</v>
      </c>
    </row>
    <row r="478" spans="1:10" hidden="1" x14ac:dyDescent="0.25">
      <c r="A478" s="90">
        <v>600027</v>
      </c>
      <c r="B478" s="90" t="s">
        <v>726</v>
      </c>
      <c r="D478" s="91">
        <v>51333.34</v>
      </c>
      <c r="E478" s="91">
        <v>0</v>
      </c>
      <c r="F478" s="91">
        <f t="shared" si="7"/>
        <v>51333.34</v>
      </c>
      <c r="G478" t="str">
        <f>_xlfn.XLOOKUP($A478,Map!$A:$A,Map!C:C)</f>
        <v>IS</v>
      </c>
      <c r="H478" t="str">
        <f>_xlfn.XLOOKUP($A478,Map!$A:$A,Map!D:D)</f>
        <v>Cost of sales</v>
      </c>
      <c r="I478" t="str">
        <f>_xlfn.XLOOKUP($A478,Map!$A:$A,Map!E:E)</f>
        <v>Overhead - Rent</v>
      </c>
      <c r="J478" t="str">
        <f>_xlfn.XLOOKUP($A478,Map!$A:$A,Map!F:F)</f>
        <v>Production hall rental</v>
      </c>
    </row>
    <row r="479" spans="1:10" hidden="1" x14ac:dyDescent="0.25">
      <c r="A479" s="90">
        <v>600019</v>
      </c>
      <c r="B479" s="90" t="s">
        <v>726</v>
      </c>
      <c r="D479" s="91">
        <v>7370</v>
      </c>
      <c r="E479" s="91">
        <v>0</v>
      </c>
      <c r="F479" s="91">
        <f t="shared" si="7"/>
        <v>7370</v>
      </c>
      <c r="G479" t="str">
        <f>_xlfn.XLOOKUP($A479,Map!$A:$A,Map!C:C)</f>
        <v>IS</v>
      </c>
      <c r="H479" t="str">
        <f>_xlfn.XLOOKUP($A479,Map!$A:$A,Map!D:D)</f>
        <v>Cost of sales</v>
      </c>
      <c r="I479" t="str">
        <f>_xlfn.XLOOKUP($A479,Map!$A:$A,Map!E:E)</f>
        <v>Overhead - Utility</v>
      </c>
      <c r="J479" t="str">
        <f>_xlfn.XLOOKUP($A479,Map!$A:$A,Map!F:F)</f>
        <v>Fuel and oil</v>
      </c>
    </row>
    <row r="480" spans="1:10" hidden="1" x14ac:dyDescent="0.25">
      <c r="A480" s="90">
        <v>600018</v>
      </c>
      <c r="B480" s="90" t="s">
        <v>726</v>
      </c>
      <c r="D480" s="91">
        <v>6860</v>
      </c>
      <c r="E480" s="91">
        <v>0</v>
      </c>
      <c r="F480" s="91">
        <f t="shared" si="7"/>
        <v>6860</v>
      </c>
      <c r="G480" t="str">
        <f>_xlfn.XLOOKUP($A480,Map!$A:$A,Map!C:C)</f>
        <v>IS</v>
      </c>
      <c r="H480" t="str">
        <f>_xlfn.XLOOKUP($A480,Map!$A:$A,Map!D:D)</f>
        <v>Cost of sales</v>
      </c>
      <c r="I480" t="str">
        <f>_xlfn.XLOOKUP($A480,Map!$A:$A,Map!E:E)</f>
        <v>Overhead - Utility</v>
      </c>
      <c r="J480" t="str">
        <f>_xlfn.XLOOKUP($A480,Map!$A:$A,Map!F:F)</f>
        <v>Water expenses</v>
      </c>
    </row>
    <row r="481" spans="1:10" hidden="1" x14ac:dyDescent="0.25">
      <c r="A481" s="90">
        <v>600017</v>
      </c>
      <c r="B481" s="90" t="s">
        <v>726</v>
      </c>
      <c r="D481" s="91">
        <v>147764.79999999999</v>
      </c>
      <c r="E481" s="91">
        <v>0</v>
      </c>
      <c r="F481" s="91">
        <f t="shared" si="7"/>
        <v>147764.79999999999</v>
      </c>
      <c r="G481" t="str">
        <f>_xlfn.XLOOKUP($A481,Map!$A:$A,Map!C:C)</f>
        <v>IS</v>
      </c>
      <c r="H481" t="str">
        <f>_xlfn.XLOOKUP($A481,Map!$A:$A,Map!D:D)</f>
        <v>Cost of sales</v>
      </c>
      <c r="I481" t="str">
        <f>_xlfn.XLOOKUP($A481,Map!$A:$A,Map!E:E)</f>
        <v>Overhead - Utility</v>
      </c>
      <c r="J481" t="str">
        <f>_xlfn.XLOOKUP($A481,Map!$A:$A,Map!F:F)</f>
        <v>Electricity expenses</v>
      </c>
    </row>
    <row r="482" spans="1:10" hidden="1" x14ac:dyDescent="0.25">
      <c r="A482" s="90">
        <v>600016</v>
      </c>
      <c r="B482" s="90" t="s">
        <v>726</v>
      </c>
      <c r="D482" s="91">
        <v>6129</v>
      </c>
      <c r="E482" s="91">
        <v>0</v>
      </c>
      <c r="F482" s="91">
        <f t="shared" si="7"/>
        <v>6129</v>
      </c>
      <c r="G482" t="str">
        <f>_xlfn.XLOOKUP($A482,Map!$A:$A,Map!C:C)</f>
        <v>IS</v>
      </c>
      <c r="H482" t="str">
        <f>_xlfn.XLOOKUP($A482,Map!$A:$A,Map!D:D)</f>
        <v>Cost of sales</v>
      </c>
      <c r="I482" t="str">
        <f>_xlfn.XLOOKUP($A482,Map!$A:$A,Map!E:E)</f>
        <v>Overhead - Consumables &amp; SP</v>
      </c>
      <c r="J482" t="str">
        <f>_xlfn.XLOOKUP($A482,Map!$A:$A,Map!F:F)</f>
        <v>Tools</v>
      </c>
    </row>
    <row r="483" spans="1:10" hidden="1" x14ac:dyDescent="0.25">
      <c r="A483" s="90">
        <v>600014</v>
      </c>
      <c r="B483" s="90" t="s">
        <v>726</v>
      </c>
      <c r="D483" s="91">
        <v>59892</v>
      </c>
      <c r="E483" s="91">
        <v>0</v>
      </c>
      <c r="F483" s="91">
        <f t="shared" si="7"/>
        <v>59892</v>
      </c>
      <c r="G483" t="str">
        <f>_xlfn.XLOOKUP($A483,Map!$A:$A,Map!C:C)</f>
        <v>IS</v>
      </c>
      <c r="H483" t="str">
        <f>_xlfn.XLOOKUP($A483,Map!$A:$A,Map!D:D)</f>
        <v>Cost of sales</v>
      </c>
      <c r="I483" t="str">
        <f>_xlfn.XLOOKUP($A483,Map!$A:$A,Map!E:E)</f>
        <v>Overhead - Consumables &amp; SP</v>
      </c>
      <c r="J483" t="str">
        <f>_xlfn.XLOOKUP($A483,Map!$A:$A,Map!F:F)</f>
        <v>Consumables</v>
      </c>
    </row>
    <row r="484" spans="1:10" hidden="1" x14ac:dyDescent="0.25">
      <c r="A484" s="90">
        <v>600013</v>
      </c>
      <c r="B484" s="90" t="s">
        <v>726</v>
      </c>
      <c r="D484" s="91">
        <v>400</v>
      </c>
      <c r="E484" s="91">
        <v>0</v>
      </c>
      <c r="F484" s="91">
        <f t="shared" si="7"/>
        <v>400</v>
      </c>
      <c r="G484" t="str">
        <f>_xlfn.XLOOKUP($A484,Map!$A:$A,Map!C:C)</f>
        <v>IS</v>
      </c>
      <c r="H484" t="str">
        <f>_xlfn.XLOOKUP($A484,Map!$A:$A,Map!D:D)</f>
        <v>Cost of sales</v>
      </c>
      <c r="I484" t="str">
        <f>_xlfn.XLOOKUP($A484,Map!$A:$A,Map!E:E)</f>
        <v>Overhead - Labor Cost</v>
      </c>
      <c r="J484" t="str">
        <f>_xlfn.XLOOKUP($A484,Map!$A:$A,Map!F:F)</f>
        <v>Telephone allowance</v>
      </c>
    </row>
    <row r="485" spans="1:10" hidden="1" x14ac:dyDescent="0.25">
      <c r="A485" s="90">
        <v>600009</v>
      </c>
      <c r="B485" s="90" t="s">
        <v>726</v>
      </c>
      <c r="D485" s="91">
        <v>8325</v>
      </c>
      <c r="E485" s="91">
        <v>0</v>
      </c>
      <c r="F485" s="91">
        <f t="shared" si="7"/>
        <v>8325</v>
      </c>
      <c r="G485" t="str">
        <f>_xlfn.XLOOKUP($A485,Map!$A:$A,Map!C:C)</f>
        <v>IS</v>
      </c>
      <c r="H485" t="str">
        <f>_xlfn.XLOOKUP($A485,Map!$A:$A,Map!D:D)</f>
        <v>Cost of sales</v>
      </c>
      <c r="I485" t="str">
        <f>_xlfn.XLOOKUP($A485,Map!$A:$A,Map!E:E)</f>
        <v>Overhead - Labor Cost</v>
      </c>
      <c r="J485" t="str">
        <f>_xlfn.XLOOKUP($A485,Map!$A:$A,Map!F:F)</f>
        <v>Vacation pay</v>
      </c>
    </row>
    <row r="486" spans="1:10" hidden="1" x14ac:dyDescent="0.25">
      <c r="A486" s="90">
        <v>600008</v>
      </c>
      <c r="B486" s="90" t="s">
        <v>726</v>
      </c>
      <c r="D486" s="91">
        <v>3661</v>
      </c>
      <c r="E486" s="91">
        <v>0</v>
      </c>
      <c r="F486" s="91">
        <f t="shared" si="7"/>
        <v>3661</v>
      </c>
      <c r="G486" t="str">
        <f>_xlfn.XLOOKUP($A486,Map!$A:$A,Map!C:C)</f>
        <v>IS</v>
      </c>
      <c r="H486" t="str">
        <f>_xlfn.XLOOKUP($A486,Map!$A:$A,Map!D:D)</f>
        <v>Cost of sales</v>
      </c>
      <c r="I486" t="str">
        <f>_xlfn.XLOOKUP($A486,Map!$A:$A,Map!E:E)</f>
        <v>Overhead - Labor Cost</v>
      </c>
      <c r="J486" t="str">
        <f>_xlfn.XLOOKUP($A486,Map!$A:$A,Map!F:F)</f>
        <v>Air tickets</v>
      </c>
    </row>
    <row r="487" spans="1:10" hidden="1" x14ac:dyDescent="0.25">
      <c r="A487" s="90">
        <v>600007</v>
      </c>
      <c r="B487" s="90" t="s">
        <v>726</v>
      </c>
      <c r="D487" s="91">
        <v>500</v>
      </c>
      <c r="E487" s="91">
        <v>0</v>
      </c>
      <c r="F487" s="91">
        <f t="shared" si="7"/>
        <v>500</v>
      </c>
      <c r="G487" t="str">
        <f>_xlfn.XLOOKUP($A487,Map!$A:$A,Map!C:C)</f>
        <v>IS</v>
      </c>
      <c r="H487" t="str">
        <f>_xlfn.XLOOKUP($A487,Map!$A:$A,Map!D:D)</f>
        <v>Cost of sales</v>
      </c>
      <c r="I487" t="str">
        <f>_xlfn.XLOOKUP($A487,Map!$A:$A,Map!E:E)</f>
        <v>Overhead - Labor Cost</v>
      </c>
      <c r="J487" t="str">
        <f>_xlfn.XLOOKUP($A487,Map!$A:$A,Map!F:F)</f>
        <v>Transportation allowance</v>
      </c>
    </row>
    <row r="488" spans="1:10" hidden="1" x14ac:dyDescent="0.25">
      <c r="A488" s="90">
        <v>600006</v>
      </c>
      <c r="B488" s="90" t="s">
        <v>726</v>
      </c>
      <c r="D488" s="91">
        <v>0.02</v>
      </c>
      <c r="E488" s="91">
        <v>0</v>
      </c>
      <c r="F488" s="91">
        <f t="shared" si="7"/>
        <v>0.02</v>
      </c>
      <c r="G488" t="str">
        <f>_xlfn.XLOOKUP($A488,Map!$A:$A,Map!C:C)</f>
        <v>IS</v>
      </c>
      <c r="H488" t="str">
        <f>_xlfn.XLOOKUP($A488,Map!$A:$A,Map!D:D)</f>
        <v>Cost of sales</v>
      </c>
      <c r="I488" t="str">
        <f>_xlfn.XLOOKUP($A488,Map!$A:$A,Map!E:E)</f>
        <v>Overhead - Labor Cost</v>
      </c>
      <c r="J488" t="str">
        <f>_xlfn.XLOOKUP($A488,Map!$A:$A,Map!F:F)</f>
        <v xml:space="preserve">Food &amp; Housing </v>
      </c>
    </row>
    <row r="489" spans="1:10" hidden="1" x14ac:dyDescent="0.25">
      <c r="A489" s="90">
        <v>600005</v>
      </c>
      <c r="B489" s="90" t="s">
        <v>726</v>
      </c>
      <c r="D489" s="91">
        <v>34050</v>
      </c>
      <c r="E489" s="91">
        <v>0</v>
      </c>
      <c r="F489" s="91">
        <f t="shared" si="7"/>
        <v>34050</v>
      </c>
      <c r="G489" t="str">
        <f>_xlfn.XLOOKUP($A489,Map!$A:$A,Map!C:C)</f>
        <v>IS</v>
      </c>
      <c r="H489" t="str">
        <f>_xlfn.XLOOKUP($A489,Map!$A:$A,Map!D:D)</f>
        <v>General and Admin</v>
      </c>
      <c r="I489" t="str">
        <f>_xlfn.XLOOKUP($A489,Map!$A:$A,Map!E:E)</f>
        <v>Govt license and fees (including modon)</v>
      </c>
      <c r="J489" t="str">
        <f>_xlfn.XLOOKUP($A489,Map!$A:$A,Map!F:F)</f>
        <v>Government fees</v>
      </c>
    </row>
    <row r="490" spans="1:10" hidden="1" x14ac:dyDescent="0.25">
      <c r="A490" s="90">
        <v>600004</v>
      </c>
      <c r="B490" s="90" t="s">
        <v>726</v>
      </c>
      <c r="D490" s="91">
        <v>7354.43</v>
      </c>
      <c r="E490" s="91">
        <v>0</v>
      </c>
      <c r="F490" s="91">
        <f t="shared" si="7"/>
        <v>7354.43</v>
      </c>
      <c r="G490" t="str">
        <f>_xlfn.XLOOKUP($A490,Map!$A:$A,Map!C:C)</f>
        <v>IS</v>
      </c>
      <c r="H490" t="str">
        <f>_xlfn.XLOOKUP($A490,Map!$A:$A,Map!D:D)</f>
        <v>Cost of sales</v>
      </c>
      <c r="I490" t="str">
        <f>_xlfn.XLOOKUP($A490,Map!$A:$A,Map!E:E)</f>
        <v>Overhead - Labor Cost</v>
      </c>
      <c r="J490" t="str">
        <f>_xlfn.XLOOKUP($A490,Map!$A:$A,Map!F:F)</f>
        <v>Medical insurance</v>
      </c>
    </row>
    <row r="491" spans="1:10" hidden="1" x14ac:dyDescent="0.25">
      <c r="A491" s="90">
        <v>600003</v>
      </c>
      <c r="B491" s="90" t="s">
        <v>726</v>
      </c>
      <c r="D491" s="91">
        <v>3240</v>
      </c>
      <c r="E491" s="91">
        <v>0</v>
      </c>
      <c r="F491" s="91">
        <f t="shared" si="7"/>
        <v>3240</v>
      </c>
      <c r="G491" t="str">
        <f>_xlfn.XLOOKUP($A491,Map!$A:$A,Map!C:C)</f>
        <v>IS</v>
      </c>
      <c r="H491" t="str">
        <f>_xlfn.XLOOKUP($A491,Map!$A:$A,Map!D:D)</f>
        <v>Cost of sales</v>
      </c>
      <c r="I491" t="str">
        <f>_xlfn.XLOOKUP($A491,Map!$A:$A,Map!E:E)</f>
        <v>Overhead - Labor Cost</v>
      </c>
      <c r="J491" t="str">
        <f>_xlfn.XLOOKUP($A491,Map!$A:$A,Map!F:F)</f>
        <v xml:space="preserve">Food &amp; Housing </v>
      </c>
    </row>
    <row r="492" spans="1:10" hidden="1" x14ac:dyDescent="0.25">
      <c r="A492" s="90">
        <v>600002</v>
      </c>
      <c r="B492" s="90" t="s">
        <v>726</v>
      </c>
      <c r="D492" s="91">
        <v>12374</v>
      </c>
      <c r="E492" s="91">
        <v>0</v>
      </c>
      <c r="F492" s="91">
        <f t="shared" si="7"/>
        <v>12374</v>
      </c>
      <c r="G492" t="str">
        <f>_xlfn.XLOOKUP($A492,Map!$A:$A,Map!C:C)</f>
        <v>IS</v>
      </c>
      <c r="H492" t="str">
        <f>_xlfn.XLOOKUP($A492,Map!$A:$A,Map!D:D)</f>
        <v>Cost of sales</v>
      </c>
      <c r="I492" t="str">
        <f>_xlfn.XLOOKUP($A492,Map!$A:$A,Map!E:E)</f>
        <v>Overhead - Labor Cost</v>
      </c>
      <c r="J492" t="str">
        <f>_xlfn.XLOOKUP($A492,Map!$A:$A,Map!F:F)</f>
        <v>Overtime pay</v>
      </c>
    </row>
    <row r="493" spans="1:10" hidden="1" x14ac:dyDescent="0.25">
      <c r="A493" s="90">
        <v>600001</v>
      </c>
      <c r="B493" s="90" t="s">
        <v>726</v>
      </c>
      <c r="D493" s="91">
        <v>76867</v>
      </c>
      <c r="E493" s="91">
        <v>0</v>
      </c>
      <c r="F493" s="91">
        <f t="shared" si="7"/>
        <v>76867</v>
      </c>
      <c r="G493" t="str">
        <f>_xlfn.XLOOKUP($A493,Map!$A:$A,Map!C:C)</f>
        <v>IS</v>
      </c>
      <c r="H493" t="str">
        <f>_xlfn.XLOOKUP($A493,Map!$A:$A,Map!D:D)</f>
        <v>Cost of sales</v>
      </c>
      <c r="I493" t="str">
        <f>_xlfn.XLOOKUP($A493,Map!$A:$A,Map!E:E)</f>
        <v>Overhead - Labor Cost</v>
      </c>
      <c r="J493" t="str">
        <f>_xlfn.XLOOKUP($A493,Map!$A:$A,Map!F:F)</f>
        <v>Salaries and wages</v>
      </c>
    </row>
    <row r="494" spans="1:10" hidden="1" x14ac:dyDescent="0.25">
      <c r="A494" s="90">
        <v>520042</v>
      </c>
      <c r="B494" s="90" t="s">
        <v>726</v>
      </c>
      <c r="D494" s="91">
        <v>8136.9250000000002</v>
      </c>
      <c r="E494" s="91">
        <v>0</v>
      </c>
      <c r="F494" s="91">
        <f t="shared" si="7"/>
        <v>8136.9250000000002</v>
      </c>
      <c r="G494" t="str">
        <f>_xlfn.XLOOKUP($A494,Map!$A:$A,Map!C:C)</f>
        <v>IS</v>
      </c>
      <c r="H494" t="str">
        <f>_xlfn.XLOOKUP($A494,Map!$A:$A,Map!D:D)</f>
        <v>Cost of sales</v>
      </c>
      <c r="I494" t="str">
        <f>_xlfn.XLOOKUP($A494,Map!$A:$A,Map!E:E)</f>
        <v>Raw materials</v>
      </c>
      <c r="J494" t="str">
        <f>_xlfn.XLOOKUP($A494,Map!$A:$A,Map!F:F)</f>
        <v>Inventory Adjustment</v>
      </c>
    </row>
    <row r="495" spans="1:10" hidden="1" x14ac:dyDescent="0.25">
      <c r="A495" s="90">
        <v>520037</v>
      </c>
      <c r="B495" s="90" t="s">
        <v>726</v>
      </c>
      <c r="D495" s="91">
        <v>0</v>
      </c>
      <c r="E495" s="91">
        <v>7894.3549999999996</v>
      </c>
      <c r="F495" s="91">
        <f t="shared" si="7"/>
        <v>-7894.3549999999996</v>
      </c>
      <c r="G495" t="str">
        <f>_xlfn.XLOOKUP($A495,Map!$A:$A,Map!C:C)</f>
        <v>IS</v>
      </c>
      <c r="H495" t="str">
        <f>_xlfn.XLOOKUP($A495,Map!$A:$A,Map!D:D)</f>
        <v>Cost of sales</v>
      </c>
      <c r="I495" t="str">
        <f>_xlfn.XLOOKUP($A495,Map!$A:$A,Map!E:E)</f>
        <v>Raw materials</v>
      </c>
      <c r="J495" t="str">
        <f>_xlfn.XLOOKUP($A495,Map!$A:$A,Map!F:F)</f>
        <v>Raw materials</v>
      </c>
    </row>
    <row r="496" spans="1:10" hidden="1" x14ac:dyDescent="0.25">
      <c r="A496" s="90">
        <v>520036</v>
      </c>
      <c r="B496" s="90" t="s">
        <v>726</v>
      </c>
      <c r="D496" s="91">
        <v>1E-3</v>
      </c>
      <c r="E496" s="91">
        <v>0</v>
      </c>
      <c r="F496" s="91">
        <f t="shared" si="7"/>
        <v>1E-3</v>
      </c>
      <c r="G496" t="str">
        <f>_xlfn.XLOOKUP($A496,Map!$A:$A,Map!C:C)</f>
        <v>IS</v>
      </c>
      <c r="H496" t="str">
        <f>_xlfn.XLOOKUP($A496,Map!$A:$A,Map!D:D)</f>
        <v>Cost of sales</v>
      </c>
      <c r="I496" t="str">
        <f>_xlfn.XLOOKUP($A496,Map!$A:$A,Map!E:E)</f>
        <v>Raw materials</v>
      </c>
      <c r="J496" t="str">
        <f>_xlfn.XLOOKUP($A496,Map!$A:$A,Map!F:F)</f>
        <v>Raw materials</v>
      </c>
    </row>
    <row r="497" spans="1:10" hidden="1" x14ac:dyDescent="0.25">
      <c r="A497" s="90">
        <v>520021</v>
      </c>
      <c r="B497" s="90" t="s">
        <v>726</v>
      </c>
      <c r="D497" s="91">
        <v>4920</v>
      </c>
      <c r="E497" s="91">
        <v>0</v>
      </c>
      <c r="F497" s="91">
        <f t="shared" si="7"/>
        <v>4920</v>
      </c>
      <c r="G497" t="str">
        <f>_xlfn.XLOOKUP($A497,Map!$A:$A,Map!C:C)</f>
        <v>IS</v>
      </c>
      <c r="H497" t="str">
        <f>_xlfn.XLOOKUP($A497,Map!$A:$A,Map!D:D)</f>
        <v>Cost of sales</v>
      </c>
      <c r="I497" t="str">
        <f>_xlfn.XLOOKUP($A497,Map!$A:$A,Map!E:E)</f>
        <v>Direct Labor</v>
      </c>
      <c r="J497" t="str">
        <f>_xlfn.XLOOKUP($A497,Map!$A:$A,Map!F:F)</f>
        <v>Medical insurance</v>
      </c>
    </row>
    <row r="498" spans="1:10" hidden="1" x14ac:dyDescent="0.25">
      <c r="A498" s="90">
        <v>520011</v>
      </c>
      <c r="B498" s="90" t="s">
        <v>726</v>
      </c>
      <c r="D498" s="91">
        <v>14127</v>
      </c>
      <c r="E498" s="91">
        <v>0</v>
      </c>
      <c r="F498" s="91">
        <f t="shared" si="7"/>
        <v>14127</v>
      </c>
      <c r="G498" t="str">
        <f>_xlfn.XLOOKUP($A498,Map!$A:$A,Map!C:C)</f>
        <v>IS</v>
      </c>
      <c r="H498" t="str">
        <f>_xlfn.XLOOKUP($A498,Map!$A:$A,Map!D:D)</f>
        <v>Cost of sales</v>
      </c>
      <c r="I498" t="str">
        <f>_xlfn.XLOOKUP($A498,Map!$A:$A,Map!E:E)</f>
        <v>Direct Labor</v>
      </c>
      <c r="J498" t="str">
        <f>_xlfn.XLOOKUP($A498,Map!$A:$A,Map!F:F)</f>
        <v>Overtime pay</v>
      </c>
    </row>
    <row r="499" spans="1:10" hidden="1" x14ac:dyDescent="0.25">
      <c r="A499" s="90">
        <v>520011</v>
      </c>
      <c r="B499" s="90" t="s">
        <v>726</v>
      </c>
      <c r="D499" s="91">
        <v>13893</v>
      </c>
      <c r="E499" s="91">
        <v>0</v>
      </c>
      <c r="F499" s="91">
        <f t="shared" si="7"/>
        <v>13893</v>
      </c>
      <c r="G499" t="str">
        <f>_xlfn.XLOOKUP($A499,Map!$A:$A,Map!C:C)</f>
        <v>IS</v>
      </c>
      <c r="H499" t="str">
        <f>_xlfn.XLOOKUP($A499,Map!$A:$A,Map!D:D)</f>
        <v>Cost of sales</v>
      </c>
      <c r="I499" t="str">
        <f>_xlfn.XLOOKUP($A499,Map!$A:$A,Map!E:E)</f>
        <v>Direct Labor</v>
      </c>
      <c r="J499" t="str">
        <f>_xlfn.XLOOKUP($A499,Map!$A:$A,Map!F:F)</f>
        <v>Overtime pay</v>
      </c>
    </row>
    <row r="500" spans="1:10" hidden="1" x14ac:dyDescent="0.25">
      <c r="A500" s="90">
        <v>520006</v>
      </c>
      <c r="B500" s="90" t="s">
        <v>726</v>
      </c>
      <c r="D500" s="91">
        <v>6405</v>
      </c>
      <c r="E500" s="91">
        <v>0</v>
      </c>
      <c r="F500" s="91">
        <f t="shared" si="7"/>
        <v>6405</v>
      </c>
      <c r="G500" t="str">
        <f>_xlfn.XLOOKUP($A500,Map!$A:$A,Map!C:C)</f>
        <v>IS</v>
      </c>
      <c r="H500" t="str">
        <f>_xlfn.XLOOKUP($A500,Map!$A:$A,Map!D:D)</f>
        <v>Cost of sales</v>
      </c>
      <c r="I500" t="str">
        <f>_xlfn.XLOOKUP($A500,Map!$A:$A,Map!E:E)</f>
        <v>Direct Labor</v>
      </c>
      <c r="J500" t="str">
        <f>_xlfn.XLOOKUP($A500,Map!$A:$A,Map!F:F)</f>
        <v>Medical insurance</v>
      </c>
    </row>
    <row r="501" spans="1:10" hidden="1" x14ac:dyDescent="0.25">
      <c r="A501" s="90">
        <v>520006</v>
      </c>
      <c r="B501" s="90" t="s">
        <v>726</v>
      </c>
      <c r="D501" s="91">
        <v>3208</v>
      </c>
      <c r="E501" s="91">
        <v>0</v>
      </c>
      <c r="F501" s="91">
        <f t="shared" si="7"/>
        <v>3208</v>
      </c>
      <c r="G501" t="str">
        <f>_xlfn.XLOOKUP($A501,Map!$A:$A,Map!C:C)</f>
        <v>IS</v>
      </c>
      <c r="H501" t="str">
        <f>_xlfn.XLOOKUP($A501,Map!$A:$A,Map!D:D)</f>
        <v>Cost of sales</v>
      </c>
      <c r="I501" t="str">
        <f>_xlfn.XLOOKUP($A501,Map!$A:$A,Map!E:E)</f>
        <v>Direct Labor</v>
      </c>
      <c r="J501" t="str">
        <f>_xlfn.XLOOKUP($A501,Map!$A:$A,Map!F:F)</f>
        <v>Medical insurance</v>
      </c>
    </row>
    <row r="502" spans="1:10" hidden="1" x14ac:dyDescent="0.25">
      <c r="A502" s="90">
        <v>520006</v>
      </c>
      <c r="B502" s="90" t="s">
        <v>726</v>
      </c>
      <c r="D502" s="91">
        <v>2057</v>
      </c>
      <c r="E502" s="91">
        <v>0</v>
      </c>
      <c r="F502" s="91">
        <f t="shared" si="7"/>
        <v>2057</v>
      </c>
      <c r="G502" t="str">
        <f>_xlfn.XLOOKUP($A502,Map!$A:$A,Map!C:C)</f>
        <v>IS</v>
      </c>
      <c r="H502" t="str">
        <f>_xlfn.XLOOKUP($A502,Map!$A:$A,Map!D:D)</f>
        <v>Cost of sales</v>
      </c>
      <c r="I502" t="str">
        <f>_xlfn.XLOOKUP($A502,Map!$A:$A,Map!E:E)</f>
        <v>Direct Labor</v>
      </c>
      <c r="J502" t="str">
        <f>_xlfn.XLOOKUP($A502,Map!$A:$A,Map!F:F)</f>
        <v>Medical insurance</v>
      </c>
    </row>
    <row r="503" spans="1:10" hidden="1" x14ac:dyDescent="0.25">
      <c r="A503" s="90">
        <v>520006</v>
      </c>
      <c r="B503" s="90" t="s">
        <v>726</v>
      </c>
      <c r="D503" s="91">
        <v>1724</v>
      </c>
      <c r="E503" s="91">
        <v>0</v>
      </c>
      <c r="F503" s="91">
        <f t="shared" si="7"/>
        <v>1724</v>
      </c>
      <c r="G503" t="str">
        <f>_xlfn.XLOOKUP($A503,Map!$A:$A,Map!C:C)</f>
        <v>IS</v>
      </c>
      <c r="H503" t="str">
        <f>_xlfn.XLOOKUP($A503,Map!$A:$A,Map!D:D)</f>
        <v>Cost of sales</v>
      </c>
      <c r="I503" t="str">
        <f>_xlfn.XLOOKUP($A503,Map!$A:$A,Map!E:E)</f>
        <v>Direct Labor</v>
      </c>
      <c r="J503" t="str">
        <f>_xlfn.XLOOKUP($A503,Map!$A:$A,Map!F:F)</f>
        <v>Medical insurance</v>
      </c>
    </row>
    <row r="504" spans="1:10" hidden="1" x14ac:dyDescent="0.25">
      <c r="A504" s="90">
        <v>520006</v>
      </c>
      <c r="B504" s="90" t="s">
        <v>726</v>
      </c>
      <c r="D504" s="91">
        <v>2238</v>
      </c>
      <c r="E504" s="91">
        <v>0</v>
      </c>
      <c r="F504" s="91">
        <f t="shared" si="7"/>
        <v>2238</v>
      </c>
      <c r="G504" t="str">
        <f>_xlfn.XLOOKUP($A504,Map!$A:$A,Map!C:C)</f>
        <v>IS</v>
      </c>
      <c r="H504" t="str">
        <f>_xlfn.XLOOKUP($A504,Map!$A:$A,Map!D:D)</f>
        <v>Cost of sales</v>
      </c>
      <c r="I504" t="str">
        <f>_xlfn.XLOOKUP($A504,Map!$A:$A,Map!E:E)</f>
        <v>Direct Labor</v>
      </c>
      <c r="J504" t="str">
        <f>_xlfn.XLOOKUP($A504,Map!$A:$A,Map!F:F)</f>
        <v>Medical insurance</v>
      </c>
    </row>
    <row r="505" spans="1:10" hidden="1" x14ac:dyDescent="0.25">
      <c r="A505" s="90">
        <v>520006</v>
      </c>
      <c r="B505" s="90" t="s">
        <v>726</v>
      </c>
      <c r="D505" s="91">
        <v>1460</v>
      </c>
      <c r="E505" s="91">
        <v>0</v>
      </c>
      <c r="F505" s="91">
        <f t="shared" si="7"/>
        <v>1460</v>
      </c>
      <c r="G505" t="str">
        <f>_xlfn.XLOOKUP($A505,Map!$A:$A,Map!C:C)</f>
        <v>IS</v>
      </c>
      <c r="H505" t="str">
        <f>_xlfn.XLOOKUP($A505,Map!$A:$A,Map!D:D)</f>
        <v>Cost of sales</v>
      </c>
      <c r="I505" t="str">
        <f>_xlfn.XLOOKUP($A505,Map!$A:$A,Map!E:E)</f>
        <v>Direct Labor</v>
      </c>
      <c r="J505" t="str">
        <f>_xlfn.XLOOKUP($A505,Map!$A:$A,Map!F:F)</f>
        <v>Medical insurance</v>
      </c>
    </row>
    <row r="506" spans="1:10" hidden="1" x14ac:dyDescent="0.25">
      <c r="A506" s="90">
        <v>520006</v>
      </c>
      <c r="B506" s="90" t="s">
        <v>726</v>
      </c>
      <c r="D506" s="91">
        <v>2701.17</v>
      </c>
      <c r="E506" s="91">
        <v>0</v>
      </c>
      <c r="F506" s="91">
        <f t="shared" si="7"/>
        <v>2701.17</v>
      </c>
      <c r="G506" t="str">
        <f>_xlfn.XLOOKUP($A506,Map!$A:$A,Map!C:C)</f>
        <v>IS</v>
      </c>
      <c r="H506" t="str">
        <f>_xlfn.XLOOKUP($A506,Map!$A:$A,Map!D:D)</f>
        <v>Cost of sales</v>
      </c>
      <c r="I506" t="str">
        <f>_xlfn.XLOOKUP($A506,Map!$A:$A,Map!E:E)</f>
        <v>Direct Labor</v>
      </c>
      <c r="J506" t="str">
        <f>_xlfn.XLOOKUP($A506,Map!$A:$A,Map!F:F)</f>
        <v>Medical insurance</v>
      </c>
    </row>
    <row r="507" spans="1:10" hidden="1" x14ac:dyDescent="0.25">
      <c r="A507" s="90">
        <v>520004</v>
      </c>
      <c r="B507" s="90" t="s">
        <v>726</v>
      </c>
      <c r="D507" s="91">
        <v>4130</v>
      </c>
      <c r="E507" s="91">
        <v>0</v>
      </c>
      <c r="F507" s="91">
        <f t="shared" si="7"/>
        <v>4130</v>
      </c>
      <c r="G507" t="str">
        <f>_xlfn.XLOOKUP($A507,Map!$A:$A,Map!C:C)</f>
        <v>IS</v>
      </c>
      <c r="H507" t="str">
        <f>_xlfn.XLOOKUP($A507,Map!$A:$A,Map!D:D)</f>
        <v>Cost of sales</v>
      </c>
      <c r="I507" t="str">
        <f>_xlfn.XLOOKUP($A507,Map!$A:$A,Map!E:E)</f>
        <v>Direct Labor</v>
      </c>
      <c r="J507" t="str">
        <f>_xlfn.XLOOKUP($A507,Map!$A:$A,Map!F:F)</f>
        <v>Food and housing</v>
      </c>
    </row>
    <row r="508" spans="1:10" hidden="1" x14ac:dyDescent="0.25">
      <c r="A508" s="90">
        <v>520004</v>
      </c>
      <c r="B508" s="90" t="s">
        <v>726</v>
      </c>
      <c r="D508" s="91">
        <v>4530</v>
      </c>
      <c r="E508" s="91">
        <v>0</v>
      </c>
      <c r="F508" s="91">
        <f t="shared" si="7"/>
        <v>4530</v>
      </c>
      <c r="G508" t="str">
        <f>_xlfn.XLOOKUP($A508,Map!$A:$A,Map!C:C)</f>
        <v>IS</v>
      </c>
      <c r="H508" t="str">
        <f>_xlfn.XLOOKUP($A508,Map!$A:$A,Map!D:D)</f>
        <v>Cost of sales</v>
      </c>
      <c r="I508" t="str">
        <f>_xlfn.XLOOKUP($A508,Map!$A:$A,Map!E:E)</f>
        <v>Direct Labor</v>
      </c>
      <c r="J508" t="str">
        <f>_xlfn.XLOOKUP($A508,Map!$A:$A,Map!F:F)</f>
        <v>Food and housing</v>
      </c>
    </row>
    <row r="509" spans="1:10" hidden="1" x14ac:dyDescent="0.25">
      <c r="A509" s="90">
        <v>520004</v>
      </c>
      <c r="B509" s="90" t="s">
        <v>726</v>
      </c>
      <c r="D509" s="91">
        <v>2200</v>
      </c>
      <c r="E509" s="91">
        <v>0</v>
      </c>
      <c r="F509" s="91">
        <f t="shared" si="7"/>
        <v>2200</v>
      </c>
      <c r="G509" t="str">
        <f>_xlfn.XLOOKUP($A509,Map!$A:$A,Map!C:C)</f>
        <v>IS</v>
      </c>
      <c r="H509" t="str">
        <f>_xlfn.XLOOKUP($A509,Map!$A:$A,Map!D:D)</f>
        <v>Cost of sales</v>
      </c>
      <c r="I509" t="str">
        <f>_xlfn.XLOOKUP($A509,Map!$A:$A,Map!E:E)</f>
        <v>Direct Labor</v>
      </c>
      <c r="J509" t="str">
        <f>_xlfn.XLOOKUP($A509,Map!$A:$A,Map!F:F)</f>
        <v>Food and housing</v>
      </c>
    </row>
    <row r="510" spans="1:10" hidden="1" x14ac:dyDescent="0.25">
      <c r="A510" s="90">
        <v>520004</v>
      </c>
      <c r="B510" s="90" t="s">
        <v>726</v>
      </c>
      <c r="D510" s="91">
        <v>1400</v>
      </c>
      <c r="E510" s="91">
        <v>0</v>
      </c>
      <c r="F510" s="91">
        <f t="shared" si="7"/>
        <v>1400</v>
      </c>
      <c r="G510" t="str">
        <f>_xlfn.XLOOKUP($A510,Map!$A:$A,Map!C:C)</f>
        <v>IS</v>
      </c>
      <c r="H510" t="str">
        <f>_xlfn.XLOOKUP($A510,Map!$A:$A,Map!D:D)</f>
        <v>Cost of sales</v>
      </c>
      <c r="I510" t="str">
        <f>_xlfn.XLOOKUP($A510,Map!$A:$A,Map!E:E)</f>
        <v>Direct Labor</v>
      </c>
      <c r="J510" t="str">
        <f>_xlfn.XLOOKUP($A510,Map!$A:$A,Map!F:F)</f>
        <v>Food and housing</v>
      </c>
    </row>
    <row r="511" spans="1:10" hidden="1" x14ac:dyDescent="0.25">
      <c r="A511" s="90">
        <v>520004</v>
      </c>
      <c r="B511" s="90" t="s">
        <v>726</v>
      </c>
      <c r="D511" s="91">
        <v>2200</v>
      </c>
      <c r="E511" s="91">
        <v>0</v>
      </c>
      <c r="F511" s="91">
        <f t="shared" si="7"/>
        <v>2200</v>
      </c>
      <c r="G511" t="str">
        <f>_xlfn.XLOOKUP($A511,Map!$A:$A,Map!C:C)</f>
        <v>IS</v>
      </c>
      <c r="H511" t="str">
        <f>_xlfn.XLOOKUP($A511,Map!$A:$A,Map!D:D)</f>
        <v>Cost of sales</v>
      </c>
      <c r="I511" t="str">
        <f>_xlfn.XLOOKUP($A511,Map!$A:$A,Map!E:E)</f>
        <v>Direct Labor</v>
      </c>
      <c r="J511" t="str">
        <f>_xlfn.XLOOKUP($A511,Map!$A:$A,Map!F:F)</f>
        <v>Food and housing</v>
      </c>
    </row>
    <row r="512" spans="1:10" hidden="1" x14ac:dyDescent="0.25">
      <c r="A512" s="90">
        <v>520003</v>
      </c>
      <c r="B512" s="90" t="s">
        <v>726</v>
      </c>
      <c r="D512" s="91">
        <v>1700</v>
      </c>
      <c r="E512" s="91">
        <v>0</v>
      </c>
      <c r="F512" s="91">
        <f t="shared" si="7"/>
        <v>1700</v>
      </c>
      <c r="G512" t="str">
        <f>_xlfn.XLOOKUP($A512,Map!$A:$A,Map!C:C)</f>
        <v>IS</v>
      </c>
      <c r="H512" t="str">
        <f>_xlfn.XLOOKUP($A512,Map!$A:$A,Map!D:D)</f>
        <v>Cost of sales</v>
      </c>
      <c r="I512" t="str">
        <f>_xlfn.XLOOKUP($A512,Map!$A:$A,Map!E:E)</f>
        <v>Direct Labor</v>
      </c>
      <c r="J512" t="str">
        <f>_xlfn.XLOOKUP($A512,Map!$A:$A,Map!F:F)</f>
        <v>Transportation allowance</v>
      </c>
    </row>
    <row r="513" spans="1:10" hidden="1" x14ac:dyDescent="0.25">
      <c r="A513" s="90">
        <v>520002</v>
      </c>
      <c r="B513" s="90" t="s">
        <v>726</v>
      </c>
      <c r="D513" s="91">
        <v>0</v>
      </c>
      <c r="E513" s="91">
        <v>7200</v>
      </c>
      <c r="F513" s="91">
        <f t="shared" si="7"/>
        <v>-7200</v>
      </c>
      <c r="G513" t="str">
        <f>_xlfn.XLOOKUP($A513,Map!$A:$A,Map!C:C)</f>
        <v>IS</v>
      </c>
      <c r="H513" t="str">
        <f>_xlfn.XLOOKUP($A513,Map!$A:$A,Map!D:D)</f>
        <v>Cost of sales</v>
      </c>
      <c r="I513" t="str">
        <f>_xlfn.XLOOKUP($A513,Map!$A:$A,Map!E:E)</f>
        <v>Direct Labor</v>
      </c>
      <c r="J513" t="str">
        <f>_xlfn.XLOOKUP($A513,Map!$A:$A,Map!F:F)</f>
        <v>Overtime pay</v>
      </c>
    </row>
    <row r="514" spans="1:10" hidden="1" x14ac:dyDescent="0.25">
      <c r="A514" s="90">
        <v>520002</v>
      </c>
      <c r="B514" s="90" t="s">
        <v>726</v>
      </c>
      <c r="D514" s="91">
        <v>7200</v>
      </c>
      <c r="E514" s="91">
        <v>0</v>
      </c>
      <c r="F514" s="91">
        <f t="shared" si="7"/>
        <v>7200</v>
      </c>
      <c r="G514" t="str">
        <f>_xlfn.XLOOKUP($A514,Map!$A:$A,Map!C:C)</f>
        <v>IS</v>
      </c>
      <c r="H514" t="str">
        <f>_xlfn.XLOOKUP($A514,Map!$A:$A,Map!D:D)</f>
        <v>Cost of sales</v>
      </c>
      <c r="I514" t="str">
        <f>_xlfn.XLOOKUP($A514,Map!$A:$A,Map!E:E)</f>
        <v>Direct Labor</v>
      </c>
      <c r="J514" t="str">
        <f>_xlfn.XLOOKUP($A514,Map!$A:$A,Map!F:F)</f>
        <v>Overtime pay</v>
      </c>
    </row>
    <row r="515" spans="1:10" hidden="1" x14ac:dyDescent="0.25">
      <c r="A515" s="90">
        <v>520002</v>
      </c>
      <c r="B515" s="90" t="s">
        <v>726</v>
      </c>
      <c r="D515" s="91">
        <v>3662</v>
      </c>
      <c r="E515" s="91">
        <v>0</v>
      </c>
      <c r="F515" s="91">
        <f t="shared" si="7"/>
        <v>3662</v>
      </c>
      <c r="G515" t="str">
        <f>_xlfn.XLOOKUP($A515,Map!$A:$A,Map!C:C)</f>
        <v>IS</v>
      </c>
      <c r="H515" t="str">
        <f>_xlfn.XLOOKUP($A515,Map!$A:$A,Map!D:D)</f>
        <v>Cost of sales</v>
      </c>
      <c r="I515" t="str">
        <f>_xlfn.XLOOKUP($A515,Map!$A:$A,Map!E:E)</f>
        <v>Direct Labor</v>
      </c>
      <c r="J515" t="str">
        <f>_xlfn.XLOOKUP($A515,Map!$A:$A,Map!F:F)</f>
        <v>Overtime pay</v>
      </c>
    </row>
    <row r="516" spans="1:10" hidden="1" x14ac:dyDescent="0.25">
      <c r="A516" s="90">
        <v>520002</v>
      </c>
      <c r="B516" s="90" t="s">
        <v>726</v>
      </c>
      <c r="D516" s="91">
        <v>8997</v>
      </c>
      <c r="E516" s="91">
        <v>0</v>
      </c>
      <c r="F516" s="91">
        <f t="shared" si="7"/>
        <v>8997</v>
      </c>
      <c r="G516" t="str">
        <f>_xlfn.XLOOKUP($A516,Map!$A:$A,Map!C:C)</f>
        <v>IS</v>
      </c>
      <c r="H516" t="str">
        <f>_xlfn.XLOOKUP($A516,Map!$A:$A,Map!D:D)</f>
        <v>Cost of sales</v>
      </c>
      <c r="I516" t="str">
        <f>_xlfn.XLOOKUP($A516,Map!$A:$A,Map!E:E)</f>
        <v>Direct Labor</v>
      </c>
      <c r="J516" t="str">
        <f>_xlfn.XLOOKUP($A516,Map!$A:$A,Map!F:F)</f>
        <v>Overtime pay</v>
      </c>
    </row>
    <row r="517" spans="1:10" hidden="1" x14ac:dyDescent="0.25">
      <c r="A517" s="90">
        <v>520002</v>
      </c>
      <c r="B517" s="90" t="s">
        <v>726</v>
      </c>
      <c r="D517" s="91">
        <v>6648</v>
      </c>
      <c r="E517" s="91">
        <v>0</v>
      </c>
      <c r="F517" s="91">
        <f t="shared" si="7"/>
        <v>6648</v>
      </c>
      <c r="G517" t="str">
        <f>_xlfn.XLOOKUP($A517,Map!$A:$A,Map!C:C)</f>
        <v>IS</v>
      </c>
      <c r="H517" t="str">
        <f>_xlfn.XLOOKUP($A517,Map!$A:$A,Map!D:D)</f>
        <v>Cost of sales</v>
      </c>
      <c r="I517" t="str">
        <f>_xlfn.XLOOKUP($A517,Map!$A:$A,Map!E:E)</f>
        <v>Direct Labor</v>
      </c>
      <c r="J517" t="str">
        <f>_xlfn.XLOOKUP($A517,Map!$A:$A,Map!F:F)</f>
        <v>Overtime pay</v>
      </c>
    </row>
    <row r="518" spans="1:10" hidden="1" x14ac:dyDescent="0.25">
      <c r="A518" s="90">
        <v>520001</v>
      </c>
      <c r="B518" s="90" t="s">
        <v>726</v>
      </c>
      <c r="D518" s="91">
        <v>26609</v>
      </c>
      <c r="E518" s="91">
        <v>0</v>
      </c>
      <c r="F518" s="91">
        <f t="shared" si="7"/>
        <v>26609</v>
      </c>
      <c r="G518" t="str">
        <f>_xlfn.XLOOKUP($A518,Map!$A:$A,Map!C:C)</f>
        <v>IS</v>
      </c>
      <c r="H518" t="str">
        <f>_xlfn.XLOOKUP($A518,Map!$A:$A,Map!D:D)</f>
        <v>Cost of sales</v>
      </c>
      <c r="I518" t="str">
        <f>_xlfn.XLOOKUP($A518,Map!$A:$A,Map!E:E)</f>
        <v>Direct Labor</v>
      </c>
      <c r="J518" t="str">
        <f>_xlfn.XLOOKUP($A518,Map!$A:$A,Map!F:F)</f>
        <v>Salaries and wages</v>
      </c>
    </row>
    <row r="519" spans="1:10" hidden="1" x14ac:dyDescent="0.25">
      <c r="A519" s="90">
        <v>520001</v>
      </c>
      <c r="B519" s="90" t="s">
        <v>726</v>
      </c>
      <c r="D519" s="91">
        <v>30820</v>
      </c>
      <c r="E519" s="91">
        <v>0</v>
      </c>
      <c r="F519" s="91">
        <f t="shared" si="7"/>
        <v>30820</v>
      </c>
      <c r="G519" t="str">
        <f>_xlfn.XLOOKUP($A519,Map!$A:$A,Map!C:C)</f>
        <v>IS</v>
      </c>
      <c r="H519" t="str">
        <f>_xlfn.XLOOKUP($A519,Map!$A:$A,Map!D:D)</f>
        <v>Cost of sales</v>
      </c>
      <c r="I519" t="str">
        <f>_xlfn.XLOOKUP($A519,Map!$A:$A,Map!E:E)</f>
        <v>Direct Labor</v>
      </c>
      <c r="J519" t="str">
        <f>_xlfn.XLOOKUP($A519,Map!$A:$A,Map!F:F)</f>
        <v>Salaries and wages</v>
      </c>
    </row>
    <row r="520" spans="1:10" hidden="1" x14ac:dyDescent="0.25">
      <c r="A520" s="90">
        <v>520001</v>
      </c>
      <c r="B520" s="90" t="s">
        <v>726</v>
      </c>
      <c r="D520" s="91">
        <v>14113</v>
      </c>
      <c r="E520" s="91">
        <v>0</v>
      </c>
      <c r="F520" s="91">
        <f t="shared" si="7"/>
        <v>14113</v>
      </c>
      <c r="G520" t="str">
        <f>_xlfn.XLOOKUP($A520,Map!$A:$A,Map!C:C)</f>
        <v>IS</v>
      </c>
      <c r="H520" t="str">
        <f>_xlfn.XLOOKUP($A520,Map!$A:$A,Map!D:D)</f>
        <v>Cost of sales</v>
      </c>
      <c r="I520" t="str">
        <f>_xlfn.XLOOKUP($A520,Map!$A:$A,Map!E:E)</f>
        <v>Direct Labor</v>
      </c>
      <c r="J520" t="str">
        <f>_xlfn.XLOOKUP($A520,Map!$A:$A,Map!F:F)</f>
        <v>Salaries and wages</v>
      </c>
    </row>
    <row r="521" spans="1:10" hidden="1" x14ac:dyDescent="0.25">
      <c r="A521" s="90">
        <v>520001</v>
      </c>
      <c r="B521" s="90" t="s">
        <v>726</v>
      </c>
      <c r="D521" s="91">
        <v>7065</v>
      </c>
      <c r="E521" s="91">
        <v>0</v>
      </c>
      <c r="F521" s="91">
        <f t="shared" si="7"/>
        <v>7065</v>
      </c>
      <c r="G521" t="str">
        <f>_xlfn.XLOOKUP($A521,Map!$A:$A,Map!C:C)</f>
        <v>IS</v>
      </c>
      <c r="H521" t="str">
        <f>_xlfn.XLOOKUP($A521,Map!$A:$A,Map!D:D)</f>
        <v>Cost of sales</v>
      </c>
      <c r="I521" t="str">
        <f>_xlfn.XLOOKUP($A521,Map!$A:$A,Map!E:E)</f>
        <v>Direct Labor</v>
      </c>
      <c r="J521" t="str">
        <f>_xlfn.XLOOKUP($A521,Map!$A:$A,Map!F:F)</f>
        <v>Salaries and wages</v>
      </c>
    </row>
    <row r="522" spans="1:10" hidden="1" x14ac:dyDescent="0.25">
      <c r="A522" s="90">
        <v>520001</v>
      </c>
      <c r="B522" s="90" t="s">
        <v>726</v>
      </c>
      <c r="D522" s="91">
        <v>13840</v>
      </c>
      <c r="E522" s="91">
        <v>0</v>
      </c>
      <c r="F522" s="91">
        <f t="shared" si="7"/>
        <v>13840</v>
      </c>
      <c r="G522" t="str">
        <f>_xlfn.XLOOKUP($A522,Map!$A:$A,Map!C:C)</f>
        <v>IS</v>
      </c>
      <c r="H522" t="str">
        <f>_xlfn.XLOOKUP($A522,Map!$A:$A,Map!D:D)</f>
        <v>Cost of sales</v>
      </c>
      <c r="I522" t="str">
        <f>_xlfn.XLOOKUP($A522,Map!$A:$A,Map!E:E)</f>
        <v>Direct Labor</v>
      </c>
      <c r="J522" t="str">
        <f>_xlfn.XLOOKUP($A522,Map!$A:$A,Map!F:F)</f>
        <v>Salaries and wages</v>
      </c>
    </row>
    <row r="523" spans="1:10" hidden="1" x14ac:dyDescent="0.25">
      <c r="A523" s="90">
        <v>510004</v>
      </c>
      <c r="B523" s="90" t="s">
        <v>726</v>
      </c>
      <c r="D523" s="91">
        <v>0</v>
      </c>
      <c r="E523" s="91">
        <v>150248</v>
      </c>
      <c r="F523" s="91">
        <f t="shared" si="7"/>
        <v>-150248</v>
      </c>
      <c r="G523" t="str">
        <f>_xlfn.XLOOKUP($A523,Map!$A:$A,Map!C:C)</f>
        <v>IS</v>
      </c>
      <c r="H523" t="str">
        <f>_xlfn.XLOOKUP($A523,Map!$A:$A,Map!D:D)</f>
        <v>Cost of sales</v>
      </c>
      <c r="I523" t="str">
        <f>_xlfn.XLOOKUP($A523,Map!$A:$A,Map!E:E)</f>
        <v>Raw materials</v>
      </c>
      <c r="J523" t="str">
        <f>_xlfn.XLOOKUP($A523,Map!$A:$A,Map!F:F)</f>
        <v>Other expenses</v>
      </c>
    </row>
    <row r="524" spans="1:10" hidden="1" x14ac:dyDescent="0.25">
      <c r="A524" s="90">
        <v>510004</v>
      </c>
      <c r="B524" s="90" t="s">
        <v>726</v>
      </c>
      <c r="D524" s="91">
        <v>0</v>
      </c>
      <c r="E524" s="91">
        <v>74268.86</v>
      </c>
      <c r="F524" s="91">
        <f t="shared" si="7"/>
        <v>-74268.86</v>
      </c>
      <c r="G524" t="str">
        <f>_xlfn.XLOOKUP($A524,Map!$A:$A,Map!C:C)</f>
        <v>IS</v>
      </c>
      <c r="H524" t="str">
        <f>_xlfn.XLOOKUP($A524,Map!$A:$A,Map!D:D)</f>
        <v>Cost of sales</v>
      </c>
      <c r="I524" t="str">
        <f>_xlfn.XLOOKUP($A524,Map!$A:$A,Map!E:E)</f>
        <v>Raw materials</v>
      </c>
      <c r="J524" t="str">
        <f>_xlfn.XLOOKUP($A524,Map!$A:$A,Map!F:F)</f>
        <v>Other expenses</v>
      </c>
    </row>
    <row r="525" spans="1:10" hidden="1" x14ac:dyDescent="0.25">
      <c r="A525" s="90">
        <v>510004</v>
      </c>
      <c r="B525" s="90" t="s">
        <v>726</v>
      </c>
      <c r="D525" s="91">
        <v>0</v>
      </c>
      <c r="E525" s="91">
        <v>3840.8530000000001</v>
      </c>
      <c r="F525" s="91">
        <f t="shared" si="7"/>
        <v>-3840.8530000000001</v>
      </c>
      <c r="G525" t="str">
        <f>_xlfn.XLOOKUP($A525,Map!$A:$A,Map!C:C)</f>
        <v>IS</v>
      </c>
      <c r="H525" t="str">
        <f>_xlfn.XLOOKUP($A525,Map!$A:$A,Map!D:D)</f>
        <v>Cost of sales</v>
      </c>
      <c r="I525" t="str">
        <f>_xlfn.XLOOKUP($A525,Map!$A:$A,Map!E:E)</f>
        <v>Raw materials</v>
      </c>
      <c r="J525" t="str">
        <f>_xlfn.XLOOKUP($A525,Map!$A:$A,Map!F:F)</f>
        <v>Other expenses</v>
      </c>
    </row>
    <row r="526" spans="1:10" hidden="1" x14ac:dyDescent="0.25">
      <c r="A526" s="90">
        <v>510004</v>
      </c>
      <c r="B526" s="90" t="s">
        <v>726</v>
      </c>
      <c r="D526" s="91">
        <v>0</v>
      </c>
      <c r="E526" s="91">
        <v>78319.509999999995</v>
      </c>
      <c r="F526" s="91">
        <f t="shared" si="7"/>
        <v>-78319.509999999995</v>
      </c>
      <c r="G526" t="str">
        <f>_xlfn.XLOOKUP($A526,Map!$A:$A,Map!C:C)</f>
        <v>IS</v>
      </c>
      <c r="H526" t="str">
        <f>_xlfn.XLOOKUP($A526,Map!$A:$A,Map!D:D)</f>
        <v>Cost of sales</v>
      </c>
      <c r="I526" t="str">
        <f>_xlfn.XLOOKUP($A526,Map!$A:$A,Map!E:E)</f>
        <v>Raw materials</v>
      </c>
      <c r="J526" t="str">
        <f>_xlfn.XLOOKUP($A526,Map!$A:$A,Map!F:F)</f>
        <v>Other expenses</v>
      </c>
    </row>
    <row r="527" spans="1:10" hidden="1" x14ac:dyDescent="0.25">
      <c r="A527" s="90">
        <v>510004</v>
      </c>
      <c r="B527" s="90" t="s">
        <v>726</v>
      </c>
      <c r="D527" s="91">
        <v>0</v>
      </c>
      <c r="E527" s="91">
        <v>80638.087</v>
      </c>
      <c r="F527" s="91">
        <f t="shared" si="7"/>
        <v>-80638.087</v>
      </c>
      <c r="G527" t="str">
        <f>_xlfn.XLOOKUP($A527,Map!$A:$A,Map!C:C)</f>
        <v>IS</v>
      </c>
      <c r="H527" t="str">
        <f>_xlfn.XLOOKUP($A527,Map!$A:$A,Map!D:D)</f>
        <v>Cost of sales</v>
      </c>
      <c r="I527" t="str">
        <f>_xlfn.XLOOKUP($A527,Map!$A:$A,Map!E:E)</f>
        <v>Raw materials</v>
      </c>
      <c r="J527" t="str">
        <f>_xlfn.XLOOKUP($A527,Map!$A:$A,Map!F:F)</f>
        <v>Other expenses</v>
      </c>
    </row>
    <row r="528" spans="1:10" hidden="1" x14ac:dyDescent="0.25">
      <c r="A528" s="90">
        <v>510004</v>
      </c>
      <c r="B528" s="90" t="s">
        <v>726</v>
      </c>
      <c r="D528" s="91">
        <v>0</v>
      </c>
      <c r="E528" s="91">
        <v>15365.954</v>
      </c>
      <c r="F528" s="91">
        <f t="shared" si="7"/>
        <v>-15365.954</v>
      </c>
      <c r="G528" t="str">
        <f>_xlfn.XLOOKUP($A528,Map!$A:$A,Map!C:C)</f>
        <v>IS</v>
      </c>
      <c r="H528" t="str">
        <f>_xlfn.XLOOKUP($A528,Map!$A:$A,Map!D:D)</f>
        <v>Cost of sales</v>
      </c>
      <c r="I528" t="str">
        <f>_xlfn.XLOOKUP($A528,Map!$A:$A,Map!E:E)</f>
        <v>Raw materials</v>
      </c>
      <c r="J528" t="str">
        <f>_xlfn.XLOOKUP($A528,Map!$A:$A,Map!F:F)</f>
        <v>Other expenses</v>
      </c>
    </row>
    <row r="529" spans="1:10" hidden="1" x14ac:dyDescent="0.25">
      <c r="A529" s="90">
        <v>510004</v>
      </c>
      <c r="B529" s="90" t="s">
        <v>726</v>
      </c>
      <c r="D529" s="91">
        <v>0</v>
      </c>
      <c r="E529" s="91">
        <v>3315.8119999999999</v>
      </c>
      <c r="F529" s="91">
        <f t="shared" si="7"/>
        <v>-3315.8119999999999</v>
      </c>
      <c r="G529" t="str">
        <f>_xlfn.XLOOKUP($A529,Map!$A:$A,Map!C:C)</f>
        <v>IS</v>
      </c>
      <c r="H529" t="str">
        <f>_xlfn.XLOOKUP($A529,Map!$A:$A,Map!D:D)</f>
        <v>Cost of sales</v>
      </c>
      <c r="I529" t="str">
        <f>_xlfn.XLOOKUP($A529,Map!$A:$A,Map!E:E)</f>
        <v>Raw materials</v>
      </c>
      <c r="J529" t="str">
        <f>_xlfn.XLOOKUP($A529,Map!$A:$A,Map!F:F)</f>
        <v>Other expenses</v>
      </c>
    </row>
    <row r="530" spans="1:10" hidden="1" x14ac:dyDescent="0.25">
      <c r="A530" s="90">
        <v>510004</v>
      </c>
      <c r="B530" s="90" t="s">
        <v>726</v>
      </c>
      <c r="D530" s="91">
        <v>0</v>
      </c>
      <c r="E530" s="91">
        <v>32187.177</v>
      </c>
      <c r="F530" s="91">
        <f t="shared" si="7"/>
        <v>-32187.177</v>
      </c>
      <c r="G530" t="str">
        <f>_xlfn.XLOOKUP($A530,Map!$A:$A,Map!C:C)</f>
        <v>IS</v>
      </c>
      <c r="H530" t="str">
        <f>_xlfn.XLOOKUP($A530,Map!$A:$A,Map!D:D)</f>
        <v>Cost of sales</v>
      </c>
      <c r="I530" t="str">
        <f>_xlfn.XLOOKUP($A530,Map!$A:$A,Map!E:E)</f>
        <v>Raw materials</v>
      </c>
      <c r="J530" t="str">
        <f>_xlfn.XLOOKUP($A530,Map!$A:$A,Map!F:F)</f>
        <v>Other expenses</v>
      </c>
    </row>
    <row r="531" spans="1:10" hidden="1" x14ac:dyDescent="0.25">
      <c r="A531" s="90">
        <v>510004</v>
      </c>
      <c r="B531" s="90" t="s">
        <v>726</v>
      </c>
      <c r="D531" s="91">
        <v>0</v>
      </c>
      <c r="E531" s="91">
        <v>249878.84700000001</v>
      </c>
      <c r="F531" s="91">
        <f t="shared" si="7"/>
        <v>-249878.84700000001</v>
      </c>
      <c r="G531" t="str">
        <f>_xlfn.XLOOKUP($A531,Map!$A:$A,Map!C:C)</f>
        <v>IS</v>
      </c>
      <c r="H531" t="str">
        <f>_xlfn.XLOOKUP($A531,Map!$A:$A,Map!D:D)</f>
        <v>Cost of sales</v>
      </c>
      <c r="I531" t="str">
        <f>_xlfn.XLOOKUP($A531,Map!$A:$A,Map!E:E)</f>
        <v>Raw materials</v>
      </c>
      <c r="J531" t="str">
        <f>_xlfn.XLOOKUP($A531,Map!$A:$A,Map!F:F)</f>
        <v>Other expenses</v>
      </c>
    </row>
    <row r="532" spans="1:10" hidden="1" x14ac:dyDescent="0.25">
      <c r="A532" s="90">
        <v>510004</v>
      </c>
      <c r="B532" s="90" t="s">
        <v>726</v>
      </c>
      <c r="D532" s="91">
        <v>0</v>
      </c>
      <c r="E532" s="91">
        <v>21332.342000000001</v>
      </c>
      <c r="F532" s="91">
        <f t="shared" si="7"/>
        <v>-21332.342000000001</v>
      </c>
      <c r="G532" t="str">
        <f>_xlfn.XLOOKUP($A532,Map!$A:$A,Map!C:C)</f>
        <v>IS</v>
      </c>
      <c r="H532" t="str">
        <f>_xlfn.XLOOKUP($A532,Map!$A:$A,Map!D:D)</f>
        <v>Cost of sales</v>
      </c>
      <c r="I532" t="str">
        <f>_xlfn.XLOOKUP($A532,Map!$A:$A,Map!E:E)</f>
        <v>Raw materials</v>
      </c>
      <c r="J532" t="str">
        <f>_xlfn.XLOOKUP($A532,Map!$A:$A,Map!F:F)</f>
        <v>Other expenses</v>
      </c>
    </row>
    <row r="533" spans="1:10" hidden="1" x14ac:dyDescent="0.25">
      <c r="A533" s="90">
        <v>510004</v>
      </c>
      <c r="B533" s="90" t="s">
        <v>726</v>
      </c>
      <c r="D533" s="91">
        <v>0</v>
      </c>
      <c r="E533" s="91">
        <v>153.73099999999999</v>
      </c>
      <c r="F533" s="91">
        <f t="shared" si="7"/>
        <v>-153.73099999999999</v>
      </c>
      <c r="G533" t="str">
        <f>_xlfn.XLOOKUP($A533,Map!$A:$A,Map!C:C)</f>
        <v>IS</v>
      </c>
      <c r="H533" t="str">
        <f>_xlfn.XLOOKUP($A533,Map!$A:$A,Map!D:D)</f>
        <v>Cost of sales</v>
      </c>
      <c r="I533" t="str">
        <f>_xlfn.XLOOKUP($A533,Map!$A:$A,Map!E:E)</f>
        <v>Raw materials</v>
      </c>
      <c r="J533" t="str">
        <f>_xlfn.XLOOKUP($A533,Map!$A:$A,Map!F:F)</f>
        <v>Other expenses</v>
      </c>
    </row>
    <row r="534" spans="1:10" hidden="1" x14ac:dyDescent="0.25">
      <c r="A534" s="90">
        <v>510002</v>
      </c>
      <c r="B534" s="90" t="s">
        <v>726</v>
      </c>
      <c r="D534" s="91">
        <v>0</v>
      </c>
      <c r="E534" s="91">
        <v>7231.17</v>
      </c>
      <c r="F534" s="91">
        <f t="shared" si="7"/>
        <v>-7231.17</v>
      </c>
      <c r="G534" t="str">
        <f>_xlfn.XLOOKUP($A534,Map!$A:$A,Map!C:C)</f>
        <v>IS</v>
      </c>
      <c r="H534" t="str">
        <f>_xlfn.XLOOKUP($A534,Map!$A:$A,Map!D:D)</f>
        <v>Cost of sales</v>
      </c>
      <c r="I534" t="str">
        <f>_xlfn.XLOOKUP($A534,Map!$A:$A,Map!E:E)</f>
        <v>Direct Labor</v>
      </c>
      <c r="J534" t="str">
        <f>_xlfn.XLOOKUP($A534,Map!$A:$A,Map!F:F)</f>
        <v>Direct Labor</v>
      </c>
    </row>
    <row r="535" spans="1:10" hidden="1" x14ac:dyDescent="0.25">
      <c r="A535" s="90">
        <v>510002</v>
      </c>
      <c r="B535" s="90" t="s">
        <v>726</v>
      </c>
      <c r="D535" s="91">
        <v>0</v>
      </c>
      <c r="E535" s="91">
        <v>62241</v>
      </c>
      <c r="F535" s="91">
        <f t="shared" si="7"/>
        <v>-62241</v>
      </c>
      <c r="G535" t="str">
        <f>_xlfn.XLOOKUP($A535,Map!$A:$A,Map!C:C)</f>
        <v>IS</v>
      </c>
      <c r="H535" t="str">
        <f>_xlfn.XLOOKUP($A535,Map!$A:$A,Map!D:D)</f>
        <v>Cost of sales</v>
      </c>
      <c r="I535" t="str">
        <f>_xlfn.XLOOKUP($A535,Map!$A:$A,Map!E:E)</f>
        <v>Direct Labor</v>
      </c>
      <c r="J535" t="str">
        <f>_xlfn.XLOOKUP($A535,Map!$A:$A,Map!F:F)</f>
        <v>Direct Labor</v>
      </c>
    </row>
    <row r="536" spans="1:10" hidden="1" x14ac:dyDescent="0.25">
      <c r="A536" s="90">
        <v>510002</v>
      </c>
      <c r="B536" s="90" t="s">
        <v>726</v>
      </c>
      <c r="D536" s="91">
        <v>0</v>
      </c>
      <c r="E536" s="91">
        <v>13025</v>
      </c>
      <c r="F536" s="91">
        <f t="shared" si="7"/>
        <v>-13025</v>
      </c>
      <c r="G536" t="str">
        <f>_xlfn.XLOOKUP($A536,Map!$A:$A,Map!C:C)</f>
        <v>IS</v>
      </c>
      <c r="H536" t="str">
        <f>_xlfn.XLOOKUP($A536,Map!$A:$A,Map!D:D)</f>
        <v>Cost of sales</v>
      </c>
      <c r="I536" t="str">
        <f>_xlfn.XLOOKUP($A536,Map!$A:$A,Map!E:E)</f>
        <v>Direct Labor</v>
      </c>
      <c r="J536" t="str">
        <f>_xlfn.XLOOKUP($A536,Map!$A:$A,Map!F:F)</f>
        <v>Direct Labor</v>
      </c>
    </row>
    <row r="537" spans="1:10" hidden="1" x14ac:dyDescent="0.25">
      <c r="A537" s="90">
        <v>510002</v>
      </c>
      <c r="B537" s="90" t="s">
        <v>726</v>
      </c>
      <c r="D537" s="91">
        <v>0</v>
      </c>
      <c r="E537" s="91">
        <v>47921</v>
      </c>
      <c r="F537" s="91">
        <f t="shared" si="7"/>
        <v>-47921</v>
      </c>
      <c r="G537" t="str">
        <f>_xlfn.XLOOKUP($A537,Map!$A:$A,Map!C:C)</f>
        <v>IS</v>
      </c>
      <c r="H537" t="str">
        <f>_xlfn.XLOOKUP($A537,Map!$A:$A,Map!D:D)</f>
        <v>Cost of sales</v>
      </c>
      <c r="I537" t="str">
        <f>_xlfn.XLOOKUP($A537,Map!$A:$A,Map!E:E)</f>
        <v>Direct Labor</v>
      </c>
      <c r="J537" t="str">
        <f>_xlfn.XLOOKUP($A537,Map!$A:$A,Map!F:F)</f>
        <v>Direct Labor</v>
      </c>
    </row>
    <row r="538" spans="1:10" hidden="1" x14ac:dyDescent="0.25">
      <c r="A538" s="90">
        <v>510002</v>
      </c>
      <c r="B538" s="90" t="s">
        <v>726</v>
      </c>
      <c r="D538" s="91">
        <v>0</v>
      </c>
      <c r="E538" s="91">
        <v>16170</v>
      </c>
      <c r="F538" s="91">
        <f t="shared" si="7"/>
        <v>-16170</v>
      </c>
      <c r="G538" t="str">
        <f>_xlfn.XLOOKUP($A538,Map!$A:$A,Map!C:C)</f>
        <v>IS</v>
      </c>
      <c r="H538" t="str">
        <f>_xlfn.XLOOKUP($A538,Map!$A:$A,Map!D:D)</f>
        <v>Cost of sales</v>
      </c>
      <c r="I538" t="str">
        <f>_xlfn.XLOOKUP($A538,Map!$A:$A,Map!E:E)</f>
        <v>Direct Labor</v>
      </c>
      <c r="J538" t="str">
        <f>_xlfn.XLOOKUP($A538,Map!$A:$A,Map!F:F)</f>
        <v>Direct Labor</v>
      </c>
    </row>
    <row r="539" spans="1:10" hidden="1" x14ac:dyDescent="0.25">
      <c r="A539" s="90">
        <v>510002</v>
      </c>
      <c r="B539" s="90" t="s">
        <v>726</v>
      </c>
      <c r="D539" s="91">
        <v>0</v>
      </c>
      <c r="E539" s="91">
        <v>2200</v>
      </c>
      <c r="F539" s="91">
        <f t="shared" ref="F539:F543" si="8">D539-E539</f>
        <v>-2200</v>
      </c>
      <c r="G539" t="str">
        <f>_xlfn.XLOOKUP($A539,Map!$A:$A,Map!C:C)</f>
        <v>IS</v>
      </c>
      <c r="H539" t="str">
        <f>_xlfn.XLOOKUP($A539,Map!$A:$A,Map!D:D)</f>
        <v>Cost of sales</v>
      </c>
      <c r="I539" t="str">
        <f>_xlfn.XLOOKUP($A539,Map!$A:$A,Map!E:E)</f>
        <v>Direct Labor</v>
      </c>
      <c r="J539" t="str">
        <f>_xlfn.XLOOKUP($A539,Map!$A:$A,Map!F:F)</f>
        <v>Direct Labor</v>
      </c>
    </row>
    <row r="540" spans="1:10" hidden="1" x14ac:dyDescent="0.25">
      <c r="A540" s="90">
        <v>510002</v>
      </c>
      <c r="B540" s="90" t="s">
        <v>726</v>
      </c>
      <c r="D540" s="91">
        <v>0</v>
      </c>
      <c r="E540" s="91">
        <v>11235</v>
      </c>
      <c r="F540" s="91">
        <f t="shared" si="8"/>
        <v>-11235</v>
      </c>
      <c r="G540" t="str">
        <f>_xlfn.XLOOKUP($A540,Map!$A:$A,Map!C:C)</f>
        <v>IS</v>
      </c>
      <c r="H540" t="str">
        <f>_xlfn.XLOOKUP($A540,Map!$A:$A,Map!D:D)</f>
        <v>Cost of sales</v>
      </c>
      <c r="I540" t="str">
        <f>_xlfn.XLOOKUP($A540,Map!$A:$A,Map!E:E)</f>
        <v>Direct Labor</v>
      </c>
      <c r="J540" t="str">
        <f>_xlfn.XLOOKUP($A540,Map!$A:$A,Map!F:F)</f>
        <v>Direct Labor</v>
      </c>
    </row>
    <row r="541" spans="1:10" hidden="1" x14ac:dyDescent="0.25">
      <c r="A541" s="90">
        <v>510002</v>
      </c>
      <c r="B541" s="90" t="s">
        <v>726</v>
      </c>
      <c r="D541" s="91">
        <v>0</v>
      </c>
      <c r="E541" s="91">
        <v>1724</v>
      </c>
      <c r="F541" s="91">
        <f t="shared" si="8"/>
        <v>-1724</v>
      </c>
      <c r="G541" t="str">
        <f>_xlfn.XLOOKUP($A541,Map!$A:$A,Map!C:C)</f>
        <v>IS</v>
      </c>
      <c r="H541" t="str">
        <f>_xlfn.XLOOKUP($A541,Map!$A:$A,Map!D:D)</f>
        <v>Cost of sales</v>
      </c>
      <c r="I541" t="str">
        <f>_xlfn.XLOOKUP($A541,Map!$A:$A,Map!E:E)</f>
        <v>Direct Labor</v>
      </c>
      <c r="J541" t="str">
        <f>_xlfn.XLOOKUP($A541,Map!$A:$A,Map!F:F)</f>
        <v>Direct Labor</v>
      </c>
    </row>
    <row r="542" spans="1:10" hidden="1" x14ac:dyDescent="0.25">
      <c r="A542" s="90">
        <v>510002</v>
      </c>
      <c r="B542" s="90" t="s">
        <v>726</v>
      </c>
      <c r="D542" s="91">
        <v>0</v>
      </c>
      <c r="E542" s="91">
        <v>25037</v>
      </c>
      <c r="F542" s="91">
        <f t="shared" si="8"/>
        <v>-25037</v>
      </c>
      <c r="G542" t="str">
        <f>_xlfn.XLOOKUP($A542,Map!$A:$A,Map!C:C)</f>
        <v>IS</v>
      </c>
      <c r="H542" t="str">
        <f>_xlfn.XLOOKUP($A542,Map!$A:$A,Map!D:D)</f>
        <v>Cost of sales</v>
      </c>
      <c r="I542" t="str">
        <f>_xlfn.XLOOKUP($A542,Map!$A:$A,Map!E:E)</f>
        <v>Direct Labor</v>
      </c>
      <c r="J542" t="str">
        <f>_xlfn.XLOOKUP($A542,Map!$A:$A,Map!F:F)</f>
        <v>Direct Labor</v>
      </c>
    </row>
    <row r="543" spans="1:10" hidden="1" x14ac:dyDescent="0.25">
      <c r="A543" s="90">
        <v>510002</v>
      </c>
      <c r="B543" s="90" t="s">
        <v>726</v>
      </c>
      <c r="D543" s="91">
        <v>0</v>
      </c>
      <c r="E543" s="91">
        <v>1460</v>
      </c>
      <c r="F543" s="91">
        <f t="shared" si="8"/>
        <v>-1460</v>
      </c>
      <c r="G543" t="str">
        <f>_xlfn.XLOOKUP($A543,Map!$A:$A,Map!C:C)</f>
        <v>IS</v>
      </c>
      <c r="H543" t="str">
        <f>_xlfn.XLOOKUP($A543,Map!$A:$A,Map!D:D)</f>
        <v>Cost of sales</v>
      </c>
      <c r="I543" t="str">
        <f>_xlfn.XLOOKUP($A543,Map!$A:$A,Map!E:E)</f>
        <v>Direct Labor</v>
      </c>
      <c r="J543" t="str">
        <f>_xlfn.XLOOKUP($A543,Map!$A:$A,Map!F:F)</f>
        <v>Direct Labor</v>
      </c>
    </row>
    <row r="544" spans="1:10" hidden="1" x14ac:dyDescent="0.25">
      <c r="A544" s="90">
        <v>520041</v>
      </c>
      <c r="B544" s="150" t="s">
        <v>728</v>
      </c>
      <c r="D544" s="91">
        <v>0</v>
      </c>
      <c r="E544" s="91">
        <v>1897684.22</v>
      </c>
      <c r="F544" s="91">
        <f t="shared" ref="F544:F568" si="9">D544-E544</f>
        <v>-1897684.22</v>
      </c>
      <c r="G544" t="str">
        <f>_xlfn.XLOOKUP($A544,Map!$A:$A,Map!C:C)</f>
        <v>IS</v>
      </c>
      <c r="H544" t="str">
        <f>_xlfn.XLOOKUP($A544,Map!$A:$A,Map!D:D)</f>
        <v>Cost of sales</v>
      </c>
      <c r="I544" t="str">
        <f>_xlfn.XLOOKUP($A544,Map!$A:$A,Map!E:E)</f>
        <v>Raw materials</v>
      </c>
      <c r="J544" t="str">
        <f>_xlfn.XLOOKUP($A544,Map!$A:$A,Map!F:F)</f>
        <v>Other expenses</v>
      </c>
    </row>
    <row r="545" spans="1:10" hidden="1" x14ac:dyDescent="0.25">
      <c r="A545" s="90">
        <v>520037</v>
      </c>
      <c r="B545" s="90" t="s">
        <v>726</v>
      </c>
      <c r="D545" s="91">
        <v>0</v>
      </c>
      <c r="E545" s="91">
        <v>59270.186000000002</v>
      </c>
      <c r="F545" s="91">
        <f t="shared" si="9"/>
        <v>-59270.186000000002</v>
      </c>
      <c r="G545" t="str">
        <f>_xlfn.XLOOKUP($A545,Map!$A:$A,Map!C:C)</f>
        <v>IS</v>
      </c>
      <c r="H545" t="str">
        <f>_xlfn.XLOOKUP($A545,Map!$A:$A,Map!D:D)</f>
        <v>Cost of sales</v>
      </c>
      <c r="I545" t="str">
        <f>_xlfn.XLOOKUP($A545,Map!$A:$A,Map!E:E)</f>
        <v>Raw materials</v>
      </c>
      <c r="J545" t="str">
        <f>_xlfn.XLOOKUP($A545,Map!$A:$A,Map!F:F)</f>
        <v>Raw materials</v>
      </c>
    </row>
    <row r="546" spans="1:10" hidden="1" x14ac:dyDescent="0.25">
      <c r="A546" s="90">
        <v>520002</v>
      </c>
      <c r="B546" s="90" t="s">
        <v>726</v>
      </c>
      <c r="D546" s="91">
        <v>1423.329</v>
      </c>
      <c r="E546" s="91">
        <v>0</v>
      </c>
      <c r="F546" s="91">
        <f t="shared" si="9"/>
        <v>1423.329</v>
      </c>
      <c r="G546" t="str">
        <f>_xlfn.XLOOKUP($A546,Map!$A:$A,Map!C:C)</f>
        <v>IS</v>
      </c>
      <c r="H546" t="str">
        <f>_xlfn.XLOOKUP($A546,Map!$A:$A,Map!D:D)</f>
        <v>Cost of sales</v>
      </c>
      <c r="I546" t="str">
        <f>_xlfn.XLOOKUP($A546,Map!$A:$A,Map!E:E)</f>
        <v>Direct Labor</v>
      </c>
      <c r="J546" t="str">
        <f>_xlfn.XLOOKUP($A546,Map!$A:$A,Map!F:F)</f>
        <v>Overtime pay</v>
      </c>
    </row>
    <row r="547" spans="1:10" hidden="1" x14ac:dyDescent="0.25">
      <c r="A547" s="90">
        <v>510004</v>
      </c>
      <c r="B547" s="90" t="s">
        <v>726</v>
      </c>
      <c r="D547" s="91">
        <v>401622.83299999998</v>
      </c>
      <c r="E547" s="91">
        <v>0</v>
      </c>
      <c r="F547" s="91">
        <f t="shared" si="9"/>
        <v>401622.83299999998</v>
      </c>
      <c r="G547" t="str">
        <f>_xlfn.XLOOKUP($A547,Map!$A:$A,Map!C:C)</f>
        <v>IS</v>
      </c>
      <c r="H547" t="str">
        <f>_xlfn.XLOOKUP($A547,Map!$A:$A,Map!D:D)</f>
        <v>Cost of sales</v>
      </c>
      <c r="I547" t="str">
        <f>_xlfn.XLOOKUP($A547,Map!$A:$A,Map!E:E)</f>
        <v>Raw materials</v>
      </c>
      <c r="J547" t="str">
        <f>_xlfn.XLOOKUP($A547,Map!$A:$A,Map!F:F)</f>
        <v>Other expenses</v>
      </c>
    </row>
    <row r="548" spans="1:10" hidden="1" x14ac:dyDescent="0.25">
      <c r="A548" s="90">
        <v>510004</v>
      </c>
      <c r="B548" s="90" t="s">
        <v>726</v>
      </c>
      <c r="D548" s="91">
        <v>198525.57</v>
      </c>
      <c r="E548" s="91">
        <v>0</v>
      </c>
      <c r="F548" s="91">
        <f t="shared" si="9"/>
        <v>198525.57</v>
      </c>
      <c r="G548" t="str">
        <f>_xlfn.XLOOKUP($A548,Map!$A:$A,Map!C:C)</f>
        <v>IS</v>
      </c>
      <c r="H548" t="str">
        <f>_xlfn.XLOOKUP($A548,Map!$A:$A,Map!D:D)</f>
        <v>Cost of sales</v>
      </c>
      <c r="I548" t="str">
        <f>_xlfn.XLOOKUP($A548,Map!$A:$A,Map!E:E)</f>
        <v>Raw materials</v>
      </c>
      <c r="J548" t="str">
        <f>_xlfn.XLOOKUP($A548,Map!$A:$A,Map!F:F)</f>
        <v>Other expenses</v>
      </c>
    </row>
    <row r="549" spans="1:10" hidden="1" x14ac:dyDescent="0.25">
      <c r="A549" s="90">
        <v>510004</v>
      </c>
      <c r="B549" s="90" t="s">
        <v>726</v>
      </c>
      <c r="D549" s="91">
        <v>10266.853999999999</v>
      </c>
      <c r="E549" s="91">
        <v>0</v>
      </c>
      <c r="F549" s="91">
        <f t="shared" si="9"/>
        <v>10266.853999999999</v>
      </c>
      <c r="G549" t="str">
        <f>_xlfn.XLOOKUP($A549,Map!$A:$A,Map!C:C)</f>
        <v>IS</v>
      </c>
      <c r="H549" t="str">
        <f>_xlfn.XLOOKUP($A549,Map!$A:$A,Map!D:D)</f>
        <v>Cost of sales</v>
      </c>
      <c r="I549" t="str">
        <f>_xlfn.XLOOKUP($A549,Map!$A:$A,Map!E:E)</f>
        <v>Raw materials</v>
      </c>
      <c r="J549" t="str">
        <f>_xlfn.XLOOKUP($A549,Map!$A:$A,Map!F:F)</f>
        <v>Other expenses</v>
      </c>
    </row>
    <row r="550" spans="1:10" hidden="1" x14ac:dyDescent="0.25">
      <c r="A550" s="90">
        <v>510004</v>
      </c>
      <c r="B550" s="90" t="s">
        <v>726</v>
      </c>
      <c r="D550" s="91">
        <v>209353.22700000001</v>
      </c>
      <c r="E550" s="91">
        <v>0</v>
      </c>
      <c r="F550" s="91">
        <f t="shared" si="9"/>
        <v>209353.22700000001</v>
      </c>
      <c r="G550" t="str">
        <f>_xlfn.XLOOKUP($A550,Map!$A:$A,Map!C:C)</f>
        <v>IS</v>
      </c>
      <c r="H550" t="str">
        <f>_xlfn.XLOOKUP($A550,Map!$A:$A,Map!D:D)</f>
        <v>Cost of sales</v>
      </c>
      <c r="I550" t="str">
        <f>_xlfn.XLOOKUP($A550,Map!$A:$A,Map!E:E)</f>
        <v>Raw materials</v>
      </c>
      <c r="J550" t="str">
        <f>_xlfn.XLOOKUP($A550,Map!$A:$A,Map!F:F)</f>
        <v>Other expenses</v>
      </c>
    </row>
    <row r="551" spans="1:10" hidden="1" x14ac:dyDescent="0.25">
      <c r="A551" s="90">
        <v>510004</v>
      </c>
      <c r="B551" s="90" t="s">
        <v>726</v>
      </c>
      <c r="D551" s="91">
        <v>215550.93400000001</v>
      </c>
      <c r="E551" s="91">
        <v>0</v>
      </c>
      <c r="F551" s="91">
        <f t="shared" si="9"/>
        <v>215550.93400000001</v>
      </c>
      <c r="G551" t="str">
        <f>_xlfn.XLOOKUP($A551,Map!$A:$A,Map!C:C)</f>
        <v>IS</v>
      </c>
      <c r="H551" t="str">
        <f>_xlfn.XLOOKUP($A551,Map!$A:$A,Map!D:D)</f>
        <v>Cost of sales</v>
      </c>
      <c r="I551" t="str">
        <f>_xlfn.XLOOKUP($A551,Map!$A:$A,Map!E:E)</f>
        <v>Raw materials</v>
      </c>
      <c r="J551" t="str">
        <f>_xlfn.XLOOKUP($A551,Map!$A:$A,Map!F:F)</f>
        <v>Other expenses</v>
      </c>
    </row>
    <row r="552" spans="1:10" hidden="1" x14ac:dyDescent="0.25">
      <c r="A552" s="90">
        <v>510004</v>
      </c>
      <c r="B552" s="90" t="s">
        <v>726</v>
      </c>
      <c r="D552" s="91">
        <v>41074.209000000003</v>
      </c>
      <c r="E552" s="91">
        <v>0</v>
      </c>
      <c r="F552" s="91">
        <f t="shared" si="9"/>
        <v>41074.209000000003</v>
      </c>
      <c r="G552" t="str">
        <f>_xlfn.XLOOKUP($A552,Map!$A:$A,Map!C:C)</f>
        <v>IS</v>
      </c>
      <c r="H552" t="str">
        <f>_xlfn.XLOOKUP($A552,Map!$A:$A,Map!D:D)</f>
        <v>Cost of sales</v>
      </c>
      <c r="I552" t="str">
        <f>_xlfn.XLOOKUP($A552,Map!$A:$A,Map!E:E)</f>
        <v>Raw materials</v>
      </c>
      <c r="J552" t="str">
        <f>_xlfn.XLOOKUP($A552,Map!$A:$A,Map!F:F)</f>
        <v>Other expenses</v>
      </c>
    </row>
    <row r="553" spans="1:10" hidden="1" x14ac:dyDescent="0.25">
      <c r="A553" s="90">
        <v>510004</v>
      </c>
      <c r="B553" s="90" t="s">
        <v>726</v>
      </c>
      <c r="D553" s="91">
        <v>8863.3860000000004</v>
      </c>
      <c r="E553" s="91">
        <v>0</v>
      </c>
      <c r="F553" s="91">
        <f t="shared" si="9"/>
        <v>8863.3860000000004</v>
      </c>
      <c r="G553" t="str">
        <f>_xlfn.XLOOKUP($A553,Map!$A:$A,Map!C:C)</f>
        <v>IS</v>
      </c>
      <c r="H553" t="str">
        <f>_xlfn.XLOOKUP($A553,Map!$A:$A,Map!D:D)</f>
        <v>Cost of sales</v>
      </c>
      <c r="I553" t="str">
        <f>_xlfn.XLOOKUP($A553,Map!$A:$A,Map!E:E)</f>
        <v>Raw materials</v>
      </c>
      <c r="J553" t="str">
        <f>_xlfn.XLOOKUP($A553,Map!$A:$A,Map!F:F)</f>
        <v>Other expenses</v>
      </c>
    </row>
    <row r="554" spans="1:10" hidden="1" x14ac:dyDescent="0.25">
      <c r="A554" s="90">
        <v>510004</v>
      </c>
      <c r="B554" s="90" t="s">
        <v>726</v>
      </c>
      <c r="D554" s="91">
        <v>86038.451000000001</v>
      </c>
      <c r="E554" s="91">
        <v>0</v>
      </c>
      <c r="F554" s="91">
        <f t="shared" si="9"/>
        <v>86038.451000000001</v>
      </c>
      <c r="G554" t="str">
        <f>_xlfn.XLOOKUP($A554,Map!$A:$A,Map!C:C)</f>
        <v>IS</v>
      </c>
      <c r="H554" t="str">
        <f>_xlfn.XLOOKUP($A554,Map!$A:$A,Map!D:D)</f>
        <v>Cost of sales</v>
      </c>
      <c r="I554" t="str">
        <f>_xlfn.XLOOKUP($A554,Map!$A:$A,Map!E:E)</f>
        <v>Raw materials</v>
      </c>
      <c r="J554" t="str">
        <f>_xlfn.XLOOKUP($A554,Map!$A:$A,Map!F:F)</f>
        <v>Other expenses</v>
      </c>
    </row>
    <row r="555" spans="1:10" hidden="1" x14ac:dyDescent="0.25">
      <c r="A555" s="90">
        <v>510004</v>
      </c>
      <c r="B555" s="90" t="s">
        <v>726</v>
      </c>
      <c r="D555" s="91">
        <v>667942.66899999999</v>
      </c>
      <c r="E555" s="91">
        <v>0</v>
      </c>
      <c r="F555" s="91">
        <f t="shared" si="9"/>
        <v>667942.66899999999</v>
      </c>
      <c r="G555" t="str">
        <f>_xlfn.XLOOKUP($A555,Map!$A:$A,Map!C:C)</f>
        <v>IS</v>
      </c>
      <c r="H555" t="str">
        <f>_xlfn.XLOOKUP($A555,Map!$A:$A,Map!D:D)</f>
        <v>Cost of sales</v>
      </c>
      <c r="I555" t="str">
        <f>_xlfn.XLOOKUP($A555,Map!$A:$A,Map!E:E)</f>
        <v>Raw materials</v>
      </c>
      <c r="J555" t="str">
        <f>_xlfn.XLOOKUP($A555,Map!$A:$A,Map!F:F)</f>
        <v>Other expenses</v>
      </c>
    </row>
    <row r="556" spans="1:10" hidden="1" x14ac:dyDescent="0.25">
      <c r="A556" s="90">
        <v>510004</v>
      </c>
      <c r="B556" s="90" t="s">
        <v>726</v>
      </c>
      <c r="D556" s="91">
        <v>57022.758999999998</v>
      </c>
      <c r="E556" s="91">
        <v>0</v>
      </c>
      <c r="F556" s="91">
        <f t="shared" si="9"/>
        <v>57022.758999999998</v>
      </c>
      <c r="G556" t="str">
        <f>_xlfn.XLOOKUP($A556,Map!$A:$A,Map!C:C)</f>
        <v>IS</v>
      </c>
      <c r="H556" t="str">
        <f>_xlfn.XLOOKUP($A556,Map!$A:$A,Map!D:D)</f>
        <v>Cost of sales</v>
      </c>
      <c r="I556" t="str">
        <f>_xlfn.XLOOKUP($A556,Map!$A:$A,Map!E:E)</f>
        <v>Raw materials</v>
      </c>
      <c r="J556" t="str">
        <f>_xlfn.XLOOKUP($A556,Map!$A:$A,Map!F:F)</f>
        <v>Other expenses</v>
      </c>
    </row>
    <row r="557" spans="1:10" hidden="1" x14ac:dyDescent="0.25">
      <c r="A557" s="90">
        <v>510004</v>
      </c>
      <c r="B557" s="90" t="s">
        <v>726</v>
      </c>
      <c r="D557" s="91">
        <v>155.65600000000001</v>
      </c>
      <c r="E557" s="91">
        <v>0</v>
      </c>
      <c r="F557" s="91">
        <f t="shared" si="9"/>
        <v>155.65600000000001</v>
      </c>
      <c r="G557" t="str">
        <f>_xlfn.XLOOKUP($A557,Map!$A:$A,Map!C:C)</f>
        <v>IS</v>
      </c>
      <c r="H557" t="str">
        <f>_xlfn.XLOOKUP($A557,Map!$A:$A,Map!D:D)</f>
        <v>Cost of sales</v>
      </c>
      <c r="I557" t="str">
        <f>_xlfn.XLOOKUP($A557,Map!$A:$A,Map!E:E)</f>
        <v>Raw materials</v>
      </c>
      <c r="J557" t="str">
        <f>_xlfn.XLOOKUP($A557,Map!$A:$A,Map!F:F)</f>
        <v>Other expenses</v>
      </c>
    </row>
    <row r="558" spans="1:10" hidden="1" x14ac:dyDescent="0.25">
      <c r="A558" s="90">
        <v>510003</v>
      </c>
      <c r="B558" s="90" t="s">
        <v>726</v>
      </c>
      <c r="D558" s="91">
        <v>112.399</v>
      </c>
      <c r="E558" s="91">
        <v>0</v>
      </c>
      <c r="F558" s="91">
        <f t="shared" si="9"/>
        <v>112.399</v>
      </c>
      <c r="G558" t="str">
        <f>_xlfn.XLOOKUP($A558,Map!$A:$A,Map!C:C)</f>
        <v>IS</v>
      </c>
      <c r="H558" t="str">
        <f>_xlfn.XLOOKUP($A558,Map!$A:$A,Map!D:D)</f>
        <v>Cost of sales</v>
      </c>
      <c r="I558" t="str">
        <f>_xlfn.XLOOKUP($A558,Map!$A:$A,Map!E:E)</f>
        <v>Raw materials</v>
      </c>
      <c r="J558" t="str">
        <f>_xlfn.XLOOKUP($A558,Map!$A:$A,Map!F:F)</f>
        <v>Raw materials</v>
      </c>
    </row>
    <row r="559" spans="1:10" hidden="1" x14ac:dyDescent="0.25">
      <c r="A559" s="90">
        <v>510001</v>
      </c>
      <c r="B559" s="90" t="s">
        <v>726</v>
      </c>
      <c r="D559" s="91">
        <v>0</v>
      </c>
      <c r="E559" s="91">
        <v>10020.475</v>
      </c>
      <c r="F559" s="91">
        <f t="shared" si="9"/>
        <v>-10020.475</v>
      </c>
      <c r="G559" t="str">
        <f>_xlfn.XLOOKUP($A559,Map!$A:$A,Map!C:C)</f>
        <v>IS</v>
      </c>
      <c r="H559" t="str">
        <f>_xlfn.XLOOKUP($A559,Map!$A:$A,Map!D:D)</f>
        <v>Cost of sales</v>
      </c>
      <c r="I559" t="str">
        <f>_xlfn.XLOOKUP($A559,Map!$A:$A,Map!E:E)</f>
        <v>Raw materials</v>
      </c>
      <c r="J559" t="str">
        <f>_xlfn.XLOOKUP($A559,Map!$A:$A,Map!F:F)</f>
        <v>Raw materials</v>
      </c>
    </row>
    <row r="560" spans="1:10" hidden="1" x14ac:dyDescent="0.25">
      <c r="A560" s="90">
        <v>510001</v>
      </c>
      <c r="B560" s="90" t="s">
        <v>726</v>
      </c>
      <c r="D560" s="91">
        <v>0</v>
      </c>
      <c r="E560" s="91">
        <v>2459.1930000000002</v>
      </c>
      <c r="F560" s="91">
        <f t="shared" si="9"/>
        <v>-2459.1930000000002</v>
      </c>
      <c r="G560" t="str">
        <f>_xlfn.XLOOKUP($A560,Map!$A:$A,Map!C:C)</f>
        <v>IS</v>
      </c>
      <c r="H560" t="str">
        <f>_xlfn.XLOOKUP($A560,Map!$A:$A,Map!D:D)</f>
        <v>Cost of sales</v>
      </c>
      <c r="I560" t="str">
        <f>_xlfn.XLOOKUP($A560,Map!$A:$A,Map!E:E)</f>
        <v>Raw materials</v>
      </c>
      <c r="J560" t="str">
        <f>_xlfn.XLOOKUP($A560,Map!$A:$A,Map!F:F)</f>
        <v>Raw materials</v>
      </c>
    </row>
    <row r="561" spans="1:10" hidden="1" x14ac:dyDescent="0.25">
      <c r="A561" s="90">
        <v>510001</v>
      </c>
      <c r="B561" s="90" t="s">
        <v>726</v>
      </c>
      <c r="D561" s="91">
        <v>0</v>
      </c>
      <c r="E561" s="91">
        <v>2467.62</v>
      </c>
      <c r="F561" s="91">
        <f t="shared" si="9"/>
        <v>-2467.62</v>
      </c>
      <c r="G561" t="str">
        <f>_xlfn.XLOOKUP($A561,Map!$A:$A,Map!C:C)</f>
        <v>IS</v>
      </c>
      <c r="H561" t="str">
        <f>_xlfn.XLOOKUP($A561,Map!$A:$A,Map!D:D)</f>
        <v>Cost of sales</v>
      </c>
      <c r="I561" t="str">
        <f>_xlfn.XLOOKUP($A561,Map!$A:$A,Map!E:E)</f>
        <v>Raw materials</v>
      </c>
      <c r="J561" t="str">
        <f>_xlfn.XLOOKUP($A561,Map!$A:$A,Map!F:F)</f>
        <v>Raw materials</v>
      </c>
    </row>
    <row r="562" spans="1:10" hidden="1" x14ac:dyDescent="0.25">
      <c r="A562" s="90">
        <v>510001</v>
      </c>
      <c r="B562" s="90" t="s">
        <v>726</v>
      </c>
      <c r="D562" s="91">
        <v>0</v>
      </c>
      <c r="E562" s="91">
        <v>8786.8739999999998</v>
      </c>
      <c r="F562" s="91">
        <f t="shared" si="9"/>
        <v>-8786.8739999999998</v>
      </c>
      <c r="G562" t="str">
        <f>_xlfn.XLOOKUP($A562,Map!$A:$A,Map!C:C)</f>
        <v>IS</v>
      </c>
      <c r="H562" t="str">
        <f>_xlfn.XLOOKUP($A562,Map!$A:$A,Map!D:D)</f>
        <v>Cost of sales</v>
      </c>
      <c r="I562" t="str">
        <f>_xlfn.XLOOKUP($A562,Map!$A:$A,Map!E:E)</f>
        <v>Raw materials</v>
      </c>
      <c r="J562" t="str">
        <f>_xlfn.XLOOKUP($A562,Map!$A:$A,Map!F:F)</f>
        <v>Raw materials</v>
      </c>
    </row>
    <row r="563" spans="1:10" hidden="1" x14ac:dyDescent="0.25">
      <c r="A563" s="90">
        <v>510001</v>
      </c>
      <c r="B563" s="90" t="s">
        <v>726</v>
      </c>
      <c r="D563" s="91">
        <v>0</v>
      </c>
      <c r="E563" s="91">
        <v>3058.42</v>
      </c>
      <c r="F563" s="91">
        <f t="shared" si="9"/>
        <v>-3058.42</v>
      </c>
      <c r="G563" t="str">
        <f>_xlfn.XLOOKUP($A563,Map!$A:$A,Map!C:C)</f>
        <v>IS</v>
      </c>
      <c r="H563" t="str">
        <f>_xlfn.XLOOKUP($A563,Map!$A:$A,Map!D:D)</f>
        <v>Cost of sales</v>
      </c>
      <c r="I563" t="str">
        <f>_xlfn.XLOOKUP($A563,Map!$A:$A,Map!E:E)</f>
        <v>Raw materials</v>
      </c>
      <c r="J563" t="str">
        <f>_xlfn.XLOOKUP($A563,Map!$A:$A,Map!F:F)</f>
        <v>Raw materials</v>
      </c>
    </row>
    <row r="564" spans="1:10" hidden="1" x14ac:dyDescent="0.25">
      <c r="A564" s="90">
        <v>510001</v>
      </c>
      <c r="B564" s="90" t="s">
        <v>726</v>
      </c>
      <c r="D564" s="91">
        <v>0</v>
      </c>
      <c r="E564" s="91">
        <v>882.57799999999997</v>
      </c>
      <c r="F564" s="91">
        <f t="shared" si="9"/>
        <v>-882.57799999999997</v>
      </c>
      <c r="G564" t="str">
        <f>_xlfn.XLOOKUP($A564,Map!$A:$A,Map!C:C)</f>
        <v>IS</v>
      </c>
      <c r="H564" t="str">
        <f>_xlfn.XLOOKUP($A564,Map!$A:$A,Map!D:D)</f>
        <v>Cost of sales</v>
      </c>
      <c r="I564" t="str">
        <f>_xlfn.XLOOKUP($A564,Map!$A:$A,Map!E:E)</f>
        <v>Raw materials</v>
      </c>
      <c r="J564" t="str">
        <f>_xlfn.XLOOKUP($A564,Map!$A:$A,Map!F:F)</f>
        <v>Raw materials</v>
      </c>
    </row>
    <row r="565" spans="1:10" hidden="1" x14ac:dyDescent="0.25">
      <c r="A565" s="90">
        <v>510001</v>
      </c>
      <c r="B565" s="90" t="s">
        <v>726</v>
      </c>
      <c r="D565" s="91">
        <v>0</v>
      </c>
      <c r="E565" s="91">
        <v>985.60199999999998</v>
      </c>
      <c r="F565" s="91">
        <f t="shared" si="9"/>
        <v>-985.60199999999998</v>
      </c>
      <c r="G565" t="str">
        <f>_xlfn.XLOOKUP($A565,Map!$A:$A,Map!C:C)</f>
        <v>IS</v>
      </c>
      <c r="H565" t="str">
        <f>_xlfn.XLOOKUP($A565,Map!$A:$A,Map!D:D)</f>
        <v>Cost of sales</v>
      </c>
      <c r="I565" t="str">
        <f>_xlfn.XLOOKUP($A565,Map!$A:$A,Map!E:E)</f>
        <v>Raw materials</v>
      </c>
      <c r="J565" t="str">
        <f>_xlfn.XLOOKUP($A565,Map!$A:$A,Map!F:F)</f>
        <v>Raw materials</v>
      </c>
    </row>
    <row r="566" spans="1:10" hidden="1" x14ac:dyDescent="0.25">
      <c r="A566" s="90">
        <v>510001</v>
      </c>
      <c r="B566" s="90" t="s">
        <v>726</v>
      </c>
      <c r="D566" s="91">
        <v>0</v>
      </c>
      <c r="E566" s="91">
        <v>19838.472000000002</v>
      </c>
      <c r="F566" s="91">
        <f t="shared" si="9"/>
        <v>-19838.472000000002</v>
      </c>
      <c r="G566" t="str">
        <f>_xlfn.XLOOKUP($A566,Map!$A:$A,Map!C:C)</f>
        <v>IS</v>
      </c>
      <c r="H566" t="str">
        <f>_xlfn.XLOOKUP($A566,Map!$A:$A,Map!D:D)</f>
        <v>Cost of sales</v>
      </c>
      <c r="I566" t="str">
        <f>_xlfn.XLOOKUP($A566,Map!$A:$A,Map!E:E)</f>
        <v>Raw materials</v>
      </c>
      <c r="J566" t="str">
        <f>_xlfn.XLOOKUP($A566,Map!$A:$A,Map!F:F)</f>
        <v>Raw materials</v>
      </c>
    </row>
    <row r="567" spans="1:10" hidden="1" x14ac:dyDescent="0.25">
      <c r="A567" s="90">
        <v>510001</v>
      </c>
      <c r="B567" s="90" t="s">
        <v>726</v>
      </c>
      <c r="D567" s="91">
        <v>0</v>
      </c>
      <c r="E567" s="91">
        <v>674.976</v>
      </c>
      <c r="F567" s="91">
        <f t="shared" si="9"/>
        <v>-674.976</v>
      </c>
      <c r="G567" t="str">
        <f>_xlfn.XLOOKUP($A567,Map!$A:$A,Map!C:C)</f>
        <v>IS</v>
      </c>
      <c r="H567" t="str">
        <f>_xlfn.XLOOKUP($A567,Map!$A:$A,Map!D:D)</f>
        <v>Cost of sales</v>
      </c>
      <c r="I567" t="str">
        <f>_xlfn.XLOOKUP($A567,Map!$A:$A,Map!E:E)</f>
        <v>Raw materials</v>
      </c>
      <c r="J567" t="str">
        <f>_xlfn.XLOOKUP($A567,Map!$A:$A,Map!F:F)</f>
        <v>Raw materials</v>
      </c>
    </row>
    <row r="568" spans="1:10" hidden="1" x14ac:dyDescent="0.25">
      <c r="A568" s="90">
        <v>510001</v>
      </c>
      <c r="B568" s="90" t="s">
        <v>726</v>
      </c>
      <c r="D568" s="91">
        <v>108176.34</v>
      </c>
      <c r="E568" s="91">
        <v>0</v>
      </c>
      <c r="F568" s="91">
        <f t="shared" si="9"/>
        <v>108176.34</v>
      </c>
      <c r="G568" t="str">
        <f>_xlfn.XLOOKUP($A568,Map!$A:$A,Map!C:C)</f>
        <v>IS</v>
      </c>
      <c r="H568" t="str">
        <f>_xlfn.XLOOKUP($A568,Map!$A:$A,Map!D:D)</f>
        <v>Cost of sales</v>
      </c>
      <c r="I568" t="str">
        <f>_xlfn.XLOOKUP($A568,Map!$A:$A,Map!E:E)</f>
        <v>Raw materials</v>
      </c>
      <c r="J568" t="str">
        <f>_xlfn.XLOOKUP($A568,Map!$A:$A,Map!F:F)</f>
        <v>Raw materials</v>
      </c>
    </row>
    <row r="569" spans="1:10" hidden="1" x14ac:dyDescent="0.25">
      <c r="A569" s="90">
        <v>600031</v>
      </c>
      <c r="B569" s="150" t="s">
        <v>730</v>
      </c>
      <c r="D569" s="91">
        <v>1226.663</v>
      </c>
      <c r="E569" s="91">
        <v>0</v>
      </c>
      <c r="F569" s="91">
        <f t="shared" ref="F569:F632" si="10">D569-E569</f>
        <v>1226.663</v>
      </c>
      <c r="G569" t="str">
        <f>_xlfn.XLOOKUP($A569,Map!$A:$A,Map!C:C)</f>
        <v>IS</v>
      </c>
      <c r="H569" t="str">
        <f>_xlfn.XLOOKUP($A569,Map!$A:$A,Map!D:D)</f>
        <v>Depreciation expenses</v>
      </c>
      <c r="I569" t="str">
        <f>_xlfn.XLOOKUP($A569,Map!$A:$A,Map!E:E)</f>
        <v>Depreciation expenses</v>
      </c>
      <c r="J569" t="str">
        <f>_xlfn.XLOOKUP($A569,Map!$A:$A,Map!F:F)</f>
        <v>Depreciation of property, plant and equipment</v>
      </c>
    </row>
    <row r="570" spans="1:10" hidden="1" x14ac:dyDescent="0.25">
      <c r="A570" s="90">
        <v>600030</v>
      </c>
      <c r="B570" s="90" t="s">
        <v>729</v>
      </c>
      <c r="D570" s="91">
        <v>1338.84</v>
      </c>
      <c r="E570" s="91">
        <v>0</v>
      </c>
      <c r="F570" s="91">
        <f t="shared" si="10"/>
        <v>1338.84</v>
      </c>
      <c r="G570" t="str">
        <f>_xlfn.XLOOKUP($A570,Map!$A:$A,Map!C:C)</f>
        <v>IS</v>
      </c>
      <c r="H570" t="str">
        <f>_xlfn.XLOOKUP($A570,Map!$A:$A,Map!D:D)</f>
        <v>Depreciation expenses</v>
      </c>
      <c r="I570" t="str">
        <f>_xlfn.XLOOKUP($A570,Map!$A:$A,Map!E:E)</f>
        <v>Depreciation expenses</v>
      </c>
      <c r="J570" t="str">
        <f>_xlfn.XLOOKUP($A570,Map!$A:$A,Map!F:F)</f>
        <v>Depreciation of property, plant and equipment</v>
      </c>
    </row>
    <row r="571" spans="1:10" hidden="1" x14ac:dyDescent="0.25">
      <c r="A571" s="90">
        <v>600029</v>
      </c>
      <c r="B571" s="90" t="s">
        <v>729</v>
      </c>
      <c r="D571" s="91">
        <v>574692.71</v>
      </c>
      <c r="E571" s="91">
        <v>0</v>
      </c>
      <c r="F571" s="91">
        <f t="shared" si="10"/>
        <v>574692.71</v>
      </c>
      <c r="G571" t="str">
        <f>_xlfn.XLOOKUP($A571,Map!$A:$A,Map!C:C)</f>
        <v>IS</v>
      </c>
      <c r="H571" t="str">
        <f>_xlfn.XLOOKUP($A571,Map!$A:$A,Map!D:D)</f>
        <v>Cost of sales</v>
      </c>
      <c r="I571" t="str">
        <f>_xlfn.XLOOKUP($A571,Map!$A:$A,Map!E:E)</f>
        <v>Depreciation - Machines</v>
      </c>
      <c r="J571" t="str">
        <f>_xlfn.XLOOKUP($A571,Map!$A:$A,Map!F:F)</f>
        <v>Depreciation of property, plant and equipment</v>
      </c>
    </row>
    <row r="572" spans="1:10" hidden="1" x14ac:dyDescent="0.25">
      <c r="A572" s="90">
        <v>600027</v>
      </c>
      <c r="B572" s="90" t="s">
        <v>729</v>
      </c>
      <c r="D572" s="91">
        <v>102666.68</v>
      </c>
      <c r="E572" s="91">
        <v>0</v>
      </c>
      <c r="F572" s="91">
        <f t="shared" si="10"/>
        <v>102666.68</v>
      </c>
      <c r="G572" t="str">
        <f>_xlfn.XLOOKUP($A572,Map!$A:$A,Map!C:C)</f>
        <v>IS</v>
      </c>
      <c r="H572" t="str">
        <f>_xlfn.XLOOKUP($A572,Map!$A:$A,Map!D:D)</f>
        <v>Cost of sales</v>
      </c>
      <c r="I572" t="str">
        <f>_xlfn.XLOOKUP($A572,Map!$A:$A,Map!E:E)</f>
        <v>Overhead - Rent</v>
      </c>
      <c r="J572" t="str">
        <f>_xlfn.XLOOKUP($A572,Map!$A:$A,Map!F:F)</f>
        <v>Production hall rental</v>
      </c>
    </row>
    <row r="573" spans="1:10" hidden="1" x14ac:dyDescent="0.25">
      <c r="A573" s="90">
        <v>600024</v>
      </c>
      <c r="B573" s="90" t="s">
        <v>729</v>
      </c>
      <c r="D573" s="91">
        <v>23114</v>
      </c>
      <c r="E573" s="91">
        <v>0</v>
      </c>
      <c r="F573" s="91">
        <f t="shared" si="10"/>
        <v>23114</v>
      </c>
      <c r="G573" t="str">
        <f>_xlfn.XLOOKUP($A573,Map!$A:$A,Map!C:C)</f>
        <v>IS</v>
      </c>
      <c r="H573" t="str">
        <f>_xlfn.XLOOKUP($A573,Map!$A:$A,Map!D:D)</f>
        <v>Cost of sales</v>
      </c>
      <c r="I573" t="str">
        <f>_xlfn.XLOOKUP($A573,Map!$A:$A,Map!E:E)</f>
        <v>Overhead - Rent</v>
      </c>
      <c r="J573" t="str">
        <f>_xlfn.XLOOKUP($A573,Map!$A:$A,Map!F:F)</f>
        <v>Pump rental expenses</v>
      </c>
    </row>
    <row r="574" spans="1:10" hidden="1" x14ac:dyDescent="0.25">
      <c r="A574" s="90">
        <v>600024</v>
      </c>
      <c r="B574" s="90" t="s">
        <v>729</v>
      </c>
      <c r="D574" s="91">
        <v>10219</v>
      </c>
      <c r="E574" s="91">
        <v>0</v>
      </c>
      <c r="F574" s="91">
        <f t="shared" si="10"/>
        <v>10219</v>
      </c>
      <c r="G574" t="str">
        <f>_xlfn.XLOOKUP($A574,Map!$A:$A,Map!C:C)</f>
        <v>IS</v>
      </c>
      <c r="H574" t="str">
        <f>_xlfn.XLOOKUP($A574,Map!$A:$A,Map!D:D)</f>
        <v>Cost of sales</v>
      </c>
      <c r="I574" t="str">
        <f>_xlfn.XLOOKUP($A574,Map!$A:$A,Map!E:E)</f>
        <v>Overhead - Rent</v>
      </c>
      <c r="J574" t="str">
        <f>_xlfn.XLOOKUP($A574,Map!$A:$A,Map!F:F)</f>
        <v>Pump rental expenses</v>
      </c>
    </row>
    <row r="575" spans="1:10" hidden="1" x14ac:dyDescent="0.25">
      <c r="A575" s="90">
        <v>600021</v>
      </c>
      <c r="B575" s="90" t="s">
        <v>729</v>
      </c>
      <c r="D575" s="91">
        <v>3253</v>
      </c>
      <c r="E575" s="91">
        <v>0</v>
      </c>
      <c r="F575" s="91">
        <f t="shared" si="10"/>
        <v>3253</v>
      </c>
      <c r="G575" t="str">
        <f>_xlfn.XLOOKUP($A575,Map!$A:$A,Map!C:C)</f>
        <v>IS</v>
      </c>
      <c r="H575" t="str">
        <f>_xlfn.XLOOKUP($A575,Map!$A:$A,Map!D:D)</f>
        <v>Cost of sales</v>
      </c>
      <c r="I575" t="str">
        <f>_xlfn.XLOOKUP($A575,Map!$A:$A,Map!E:E)</f>
        <v>Overhead - R&amp;M</v>
      </c>
      <c r="J575" t="str">
        <f>_xlfn.XLOOKUP($A575,Map!$A:$A,Map!F:F)</f>
        <v>Vehicle maintenance</v>
      </c>
    </row>
    <row r="576" spans="1:10" hidden="1" x14ac:dyDescent="0.25">
      <c r="A576" s="90">
        <v>600020</v>
      </c>
      <c r="B576" s="90" t="s">
        <v>729</v>
      </c>
      <c r="D576" s="91">
        <v>5650</v>
      </c>
      <c r="E576" s="91">
        <v>0</v>
      </c>
      <c r="F576" s="91">
        <f t="shared" si="10"/>
        <v>5650</v>
      </c>
      <c r="G576" t="str">
        <f>_xlfn.XLOOKUP($A576,Map!$A:$A,Map!C:C)</f>
        <v>IS</v>
      </c>
      <c r="H576" t="str">
        <f>_xlfn.XLOOKUP($A576,Map!$A:$A,Map!D:D)</f>
        <v>Cost of sales</v>
      </c>
      <c r="I576" t="str">
        <f>_xlfn.XLOOKUP($A576,Map!$A:$A,Map!E:E)</f>
        <v>Overhead - R&amp;M</v>
      </c>
      <c r="J576" t="str">
        <f>_xlfn.XLOOKUP($A576,Map!$A:$A,Map!F:F)</f>
        <v>Machine and equipment</v>
      </c>
    </row>
    <row r="577" spans="1:10" hidden="1" x14ac:dyDescent="0.25">
      <c r="A577" s="90">
        <v>600019</v>
      </c>
      <c r="B577" s="90" t="s">
        <v>729</v>
      </c>
      <c r="D577" s="91">
        <v>18425</v>
      </c>
      <c r="E577" s="91">
        <v>0</v>
      </c>
      <c r="F577" s="91">
        <f t="shared" si="10"/>
        <v>18425</v>
      </c>
      <c r="G577" t="str">
        <f>_xlfn.XLOOKUP($A577,Map!$A:$A,Map!C:C)</f>
        <v>IS</v>
      </c>
      <c r="H577" t="str">
        <f>_xlfn.XLOOKUP($A577,Map!$A:$A,Map!D:D)</f>
        <v>Cost of sales</v>
      </c>
      <c r="I577" t="str">
        <f>_xlfn.XLOOKUP($A577,Map!$A:$A,Map!E:E)</f>
        <v>Overhead - Utility</v>
      </c>
      <c r="J577" t="str">
        <f>_xlfn.XLOOKUP($A577,Map!$A:$A,Map!F:F)</f>
        <v>Fuel and oil</v>
      </c>
    </row>
    <row r="578" spans="1:10" hidden="1" x14ac:dyDescent="0.25">
      <c r="A578" s="90">
        <v>600018</v>
      </c>
      <c r="B578" s="90" t="s">
        <v>729</v>
      </c>
      <c r="D578" s="91">
        <v>14910</v>
      </c>
      <c r="E578" s="91">
        <v>0</v>
      </c>
      <c r="F578" s="91">
        <f t="shared" si="10"/>
        <v>14910</v>
      </c>
      <c r="G578" t="str">
        <f>_xlfn.XLOOKUP($A578,Map!$A:$A,Map!C:C)</f>
        <v>IS</v>
      </c>
      <c r="H578" t="str">
        <f>_xlfn.XLOOKUP($A578,Map!$A:$A,Map!D:D)</f>
        <v>Cost of sales</v>
      </c>
      <c r="I578" t="str">
        <f>_xlfn.XLOOKUP($A578,Map!$A:$A,Map!E:E)</f>
        <v>Overhead - Utility</v>
      </c>
      <c r="J578" t="str">
        <f>_xlfn.XLOOKUP($A578,Map!$A:$A,Map!F:F)</f>
        <v>Water expenses</v>
      </c>
    </row>
    <row r="579" spans="1:10" hidden="1" x14ac:dyDescent="0.25">
      <c r="A579" s="90">
        <v>600017</v>
      </c>
      <c r="B579" s="90" t="s">
        <v>729</v>
      </c>
      <c r="D579" s="91">
        <v>305940</v>
      </c>
      <c r="E579" s="91">
        <v>0</v>
      </c>
      <c r="F579" s="91">
        <f t="shared" si="10"/>
        <v>305940</v>
      </c>
      <c r="G579" t="str">
        <f>_xlfn.XLOOKUP($A579,Map!$A:$A,Map!C:C)</f>
        <v>IS</v>
      </c>
      <c r="H579" t="str">
        <f>_xlfn.XLOOKUP($A579,Map!$A:$A,Map!D:D)</f>
        <v>Cost of sales</v>
      </c>
      <c r="I579" t="str">
        <f>_xlfn.XLOOKUP($A579,Map!$A:$A,Map!E:E)</f>
        <v>Overhead - Utility</v>
      </c>
      <c r="J579" t="str">
        <f>_xlfn.XLOOKUP($A579,Map!$A:$A,Map!F:F)</f>
        <v>Electricity expenses</v>
      </c>
    </row>
    <row r="580" spans="1:10" hidden="1" x14ac:dyDescent="0.25">
      <c r="A580" s="90">
        <v>600016</v>
      </c>
      <c r="B580" s="90" t="s">
        <v>729</v>
      </c>
      <c r="D580" s="91">
        <v>315018.90000000002</v>
      </c>
      <c r="E580" s="91">
        <v>0</v>
      </c>
      <c r="F580" s="91">
        <f t="shared" si="10"/>
        <v>315018.90000000002</v>
      </c>
      <c r="G580" t="str">
        <f>_xlfn.XLOOKUP($A580,Map!$A:$A,Map!C:C)</f>
        <v>IS</v>
      </c>
      <c r="H580" t="str">
        <f>_xlfn.XLOOKUP($A580,Map!$A:$A,Map!D:D)</f>
        <v>Cost of sales</v>
      </c>
      <c r="I580" t="str">
        <f>_xlfn.XLOOKUP($A580,Map!$A:$A,Map!E:E)</f>
        <v>Overhead - Consumables &amp; SP</v>
      </c>
      <c r="J580" t="str">
        <f>_xlfn.XLOOKUP($A580,Map!$A:$A,Map!F:F)</f>
        <v>Tools</v>
      </c>
    </row>
    <row r="581" spans="1:10" hidden="1" x14ac:dyDescent="0.25">
      <c r="A581" s="90">
        <v>600016</v>
      </c>
      <c r="B581" s="90" t="s">
        <v>729</v>
      </c>
      <c r="D581" s="91">
        <v>5992</v>
      </c>
      <c r="E581" s="91">
        <v>0</v>
      </c>
      <c r="F581" s="91">
        <f t="shared" si="10"/>
        <v>5992</v>
      </c>
      <c r="G581" t="str">
        <f>_xlfn.XLOOKUP($A581,Map!$A:$A,Map!C:C)</f>
        <v>IS</v>
      </c>
      <c r="H581" t="str">
        <f>_xlfn.XLOOKUP($A581,Map!$A:$A,Map!D:D)</f>
        <v>Cost of sales</v>
      </c>
      <c r="I581" t="str">
        <f>_xlfn.XLOOKUP($A581,Map!$A:$A,Map!E:E)</f>
        <v>Overhead - Consumables &amp; SP</v>
      </c>
      <c r="J581" t="str">
        <f>_xlfn.XLOOKUP($A581,Map!$A:$A,Map!F:F)</f>
        <v>Tools</v>
      </c>
    </row>
    <row r="582" spans="1:10" hidden="1" x14ac:dyDescent="0.25">
      <c r="A582" s="90">
        <v>600015</v>
      </c>
      <c r="B582" s="90" t="s">
        <v>729</v>
      </c>
      <c r="D582" s="91">
        <v>10250</v>
      </c>
      <c r="E582" s="91">
        <v>0</v>
      </c>
      <c r="F582" s="91">
        <f t="shared" si="10"/>
        <v>10250</v>
      </c>
      <c r="G582" t="str">
        <f>_xlfn.XLOOKUP($A582,Map!$A:$A,Map!C:C)</f>
        <v>IS</v>
      </c>
      <c r="H582" t="str">
        <f>_xlfn.XLOOKUP($A582,Map!$A:$A,Map!D:D)</f>
        <v>Cost of sales</v>
      </c>
      <c r="I582" t="str">
        <f>_xlfn.XLOOKUP($A582,Map!$A:$A,Map!E:E)</f>
        <v>Overhead - Consumables &amp; SP</v>
      </c>
      <c r="J582" t="str">
        <f>_xlfn.XLOOKUP($A582,Map!$A:$A,Map!F:F)</f>
        <v>Consumables</v>
      </c>
    </row>
    <row r="583" spans="1:10" hidden="1" x14ac:dyDescent="0.25">
      <c r="A583" s="90">
        <v>600015</v>
      </c>
      <c r="B583" s="90" t="s">
        <v>729</v>
      </c>
      <c r="D583" s="91">
        <v>8327.4</v>
      </c>
      <c r="E583" s="91">
        <v>0</v>
      </c>
      <c r="F583" s="91">
        <f t="shared" si="10"/>
        <v>8327.4</v>
      </c>
      <c r="G583" t="str">
        <f>_xlfn.XLOOKUP($A583,Map!$A:$A,Map!C:C)</f>
        <v>IS</v>
      </c>
      <c r="H583" t="str">
        <f>_xlfn.XLOOKUP($A583,Map!$A:$A,Map!D:D)</f>
        <v>Cost of sales</v>
      </c>
      <c r="I583" t="str">
        <f>_xlfn.XLOOKUP($A583,Map!$A:$A,Map!E:E)</f>
        <v>Overhead - Consumables &amp; SP</v>
      </c>
      <c r="J583" t="str">
        <f>_xlfn.XLOOKUP($A583,Map!$A:$A,Map!F:F)</f>
        <v>Consumables</v>
      </c>
    </row>
    <row r="584" spans="1:10" hidden="1" x14ac:dyDescent="0.25">
      <c r="A584" s="90">
        <v>600014</v>
      </c>
      <c r="B584" s="90" t="s">
        <v>729</v>
      </c>
      <c r="D584" s="91">
        <v>183818</v>
      </c>
      <c r="E584" s="91">
        <v>0</v>
      </c>
      <c r="F584" s="91">
        <f t="shared" si="10"/>
        <v>183818</v>
      </c>
      <c r="G584" t="str">
        <f>_xlfn.XLOOKUP($A584,Map!$A:$A,Map!C:C)</f>
        <v>IS</v>
      </c>
      <c r="H584" t="str">
        <f>_xlfn.XLOOKUP($A584,Map!$A:$A,Map!D:D)</f>
        <v>Cost of sales</v>
      </c>
      <c r="I584" t="str">
        <f>_xlfn.XLOOKUP($A584,Map!$A:$A,Map!E:E)</f>
        <v>Overhead - Consumables &amp; SP</v>
      </c>
      <c r="J584" t="str">
        <f>_xlfn.XLOOKUP($A584,Map!$A:$A,Map!F:F)</f>
        <v>Consumables</v>
      </c>
    </row>
    <row r="585" spans="1:10" hidden="1" x14ac:dyDescent="0.25">
      <c r="A585" s="90">
        <v>600011</v>
      </c>
      <c r="B585" s="90" t="s">
        <v>729</v>
      </c>
      <c r="D585" s="91">
        <v>5429</v>
      </c>
      <c r="E585" s="91">
        <v>0</v>
      </c>
      <c r="F585" s="91">
        <f t="shared" si="10"/>
        <v>5429</v>
      </c>
      <c r="G585" t="str">
        <f>_xlfn.XLOOKUP($A585,Map!$A:$A,Map!C:C)</f>
        <v>IS</v>
      </c>
      <c r="H585" t="str">
        <f>_xlfn.XLOOKUP($A585,Map!$A:$A,Map!D:D)</f>
        <v>Cost of sales</v>
      </c>
      <c r="I585" t="str">
        <f>_xlfn.XLOOKUP($A585,Map!$A:$A,Map!E:E)</f>
        <v>Overhead - Labor Cost</v>
      </c>
      <c r="J585" t="str">
        <f>_xlfn.XLOOKUP($A585,Map!$A:$A,Map!F:F)</f>
        <v>Air tickets</v>
      </c>
    </row>
    <row r="586" spans="1:10" hidden="1" x14ac:dyDescent="0.25">
      <c r="A586" s="90">
        <v>600009</v>
      </c>
      <c r="B586" s="90" t="s">
        <v>729</v>
      </c>
      <c r="D586" s="91">
        <v>21625</v>
      </c>
      <c r="E586" s="91">
        <v>0</v>
      </c>
      <c r="F586" s="91">
        <f t="shared" si="10"/>
        <v>21625</v>
      </c>
      <c r="G586" t="str">
        <f>_xlfn.XLOOKUP($A586,Map!$A:$A,Map!C:C)</f>
        <v>IS</v>
      </c>
      <c r="H586" t="str">
        <f>_xlfn.XLOOKUP($A586,Map!$A:$A,Map!D:D)</f>
        <v>Cost of sales</v>
      </c>
      <c r="I586" t="str">
        <f>_xlfn.XLOOKUP($A586,Map!$A:$A,Map!E:E)</f>
        <v>Overhead - Labor Cost</v>
      </c>
      <c r="J586" t="str">
        <f>_xlfn.XLOOKUP($A586,Map!$A:$A,Map!F:F)</f>
        <v>Vacation pay</v>
      </c>
    </row>
    <row r="587" spans="1:10" hidden="1" x14ac:dyDescent="0.25">
      <c r="A587" s="90">
        <v>600008</v>
      </c>
      <c r="B587" s="90" t="s">
        <v>729</v>
      </c>
      <c r="D587" s="91">
        <v>37642</v>
      </c>
      <c r="E587" s="91">
        <v>0</v>
      </c>
      <c r="F587" s="91">
        <f t="shared" si="10"/>
        <v>37642</v>
      </c>
      <c r="G587" t="str">
        <f>_xlfn.XLOOKUP($A587,Map!$A:$A,Map!C:C)</f>
        <v>IS</v>
      </c>
      <c r="H587" t="str">
        <f>_xlfn.XLOOKUP($A587,Map!$A:$A,Map!D:D)</f>
        <v>Cost of sales</v>
      </c>
      <c r="I587" t="str">
        <f>_xlfn.XLOOKUP($A587,Map!$A:$A,Map!E:E)</f>
        <v>Overhead - Labor Cost</v>
      </c>
      <c r="J587" t="str">
        <f>_xlfn.XLOOKUP($A587,Map!$A:$A,Map!F:F)</f>
        <v>Air tickets</v>
      </c>
    </row>
    <row r="588" spans="1:10" hidden="1" x14ac:dyDescent="0.25">
      <c r="A588" s="90">
        <v>600007</v>
      </c>
      <c r="B588" s="90" t="s">
        <v>729</v>
      </c>
      <c r="D588" s="91">
        <v>445</v>
      </c>
      <c r="E588" s="91">
        <v>0</v>
      </c>
      <c r="F588" s="91">
        <f t="shared" si="10"/>
        <v>445</v>
      </c>
      <c r="G588" t="str">
        <f>_xlfn.XLOOKUP($A588,Map!$A:$A,Map!C:C)</f>
        <v>IS</v>
      </c>
      <c r="H588" t="str">
        <f>_xlfn.XLOOKUP($A588,Map!$A:$A,Map!D:D)</f>
        <v>Cost of sales</v>
      </c>
      <c r="I588" t="str">
        <f>_xlfn.XLOOKUP($A588,Map!$A:$A,Map!E:E)</f>
        <v>Overhead - Labor Cost</v>
      </c>
      <c r="J588" t="str">
        <f>_xlfn.XLOOKUP($A588,Map!$A:$A,Map!F:F)</f>
        <v>Transportation allowance</v>
      </c>
    </row>
    <row r="589" spans="1:10" hidden="1" x14ac:dyDescent="0.25">
      <c r="A589" s="90">
        <v>600006</v>
      </c>
      <c r="B589" s="90" t="s">
        <v>729</v>
      </c>
      <c r="D589" s="91">
        <v>52155.360000000001</v>
      </c>
      <c r="E589" s="91">
        <v>0</v>
      </c>
      <c r="F589" s="91">
        <f t="shared" si="10"/>
        <v>52155.360000000001</v>
      </c>
      <c r="G589" t="str">
        <f>_xlfn.XLOOKUP($A589,Map!$A:$A,Map!C:C)</f>
        <v>IS</v>
      </c>
      <c r="H589" t="str">
        <f>_xlfn.XLOOKUP($A589,Map!$A:$A,Map!D:D)</f>
        <v>Cost of sales</v>
      </c>
      <c r="I589" t="str">
        <f>_xlfn.XLOOKUP($A589,Map!$A:$A,Map!E:E)</f>
        <v>Overhead - Labor Cost</v>
      </c>
      <c r="J589" t="str">
        <f>_xlfn.XLOOKUP($A589,Map!$A:$A,Map!F:F)</f>
        <v xml:space="preserve">Food &amp; Housing </v>
      </c>
    </row>
    <row r="590" spans="1:10" hidden="1" x14ac:dyDescent="0.25">
      <c r="A590" s="90">
        <v>600005</v>
      </c>
      <c r="B590" s="90" t="s">
        <v>729</v>
      </c>
      <c r="D590" s="91">
        <v>56650</v>
      </c>
      <c r="E590" s="91">
        <v>0</v>
      </c>
      <c r="F590" s="91">
        <f t="shared" si="10"/>
        <v>56650</v>
      </c>
      <c r="G590" t="str">
        <f>_xlfn.XLOOKUP($A590,Map!$A:$A,Map!C:C)</f>
        <v>IS</v>
      </c>
      <c r="H590" t="str">
        <f>_xlfn.XLOOKUP($A590,Map!$A:$A,Map!D:D)</f>
        <v>General and Admin</v>
      </c>
      <c r="I590" t="str">
        <f>_xlfn.XLOOKUP($A590,Map!$A:$A,Map!E:E)</f>
        <v>Govt license and fees (including modon)</v>
      </c>
      <c r="J590" t="str">
        <f>_xlfn.XLOOKUP($A590,Map!$A:$A,Map!F:F)</f>
        <v>Government fees</v>
      </c>
    </row>
    <row r="591" spans="1:10" hidden="1" x14ac:dyDescent="0.25">
      <c r="A591" s="90">
        <v>600004</v>
      </c>
      <c r="B591" s="90" t="s">
        <v>729</v>
      </c>
      <c r="D591" s="91">
        <v>17689.36</v>
      </c>
      <c r="E591" s="91">
        <v>0</v>
      </c>
      <c r="F591" s="91">
        <f t="shared" si="10"/>
        <v>17689.36</v>
      </c>
      <c r="G591" t="str">
        <f>_xlfn.XLOOKUP($A591,Map!$A:$A,Map!C:C)</f>
        <v>IS</v>
      </c>
      <c r="H591" t="str">
        <f>_xlfn.XLOOKUP($A591,Map!$A:$A,Map!D:D)</f>
        <v>Cost of sales</v>
      </c>
      <c r="I591" t="str">
        <f>_xlfn.XLOOKUP($A591,Map!$A:$A,Map!E:E)</f>
        <v>Overhead - Labor Cost</v>
      </c>
      <c r="J591" t="str">
        <f>_xlfn.XLOOKUP($A591,Map!$A:$A,Map!F:F)</f>
        <v>Medical insurance</v>
      </c>
    </row>
    <row r="592" spans="1:10" hidden="1" x14ac:dyDescent="0.25">
      <c r="A592" s="90">
        <v>600003</v>
      </c>
      <c r="B592" s="90" t="s">
        <v>729</v>
      </c>
      <c r="D592" s="91">
        <v>7934</v>
      </c>
      <c r="E592" s="91">
        <v>0</v>
      </c>
      <c r="F592" s="91">
        <f t="shared" si="10"/>
        <v>7934</v>
      </c>
      <c r="G592" t="str">
        <f>_xlfn.XLOOKUP($A592,Map!$A:$A,Map!C:C)</f>
        <v>IS</v>
      </c>
      <c r="H592" t="str">
        <f>_xlfn.XLOOKUP($A592,Map!$A:$A,Map!D:D)</f>
        <v>Cost of sales</v>
      </c>
      <c r="I592" t="str">
        <f>_xlfn.XLOOKUP($A592,Map!$A:$A,Map!E:E)</f>
        <v>Overhead - Labor Cost</v>
      </c>
      <c r="J592" t="str">
        <f>_xlfn.XLOOKUP($A592,Map!$A:$A,Map!F:F)</f>
        <v xml:space="preserve">Food &amp; Housing </v>
      </c>
    </row>
    <row r="593" spans="1:10" hidden="1" x14ac:dyDescent="0.25">
      <c r="A593" s="90">
        <v>600003</v>
      </c>
      <c r="B593" s="90" t="s">
        <v>729</v>
      </c>
      <c r="D593" s="91">
        <v>207</v>
      </c>
      <c r="E593" s="91">
        <v>0</v>
      </c>
      <c r="F593" s="91">
        <f t="shared" si="10"/>
        <v>207</v>
      </c>
      <c r="G593" t="str">
        <f>_xlfn.XLOOKUP($A593,Map!$A:$A,Map!C:C)</f>
        <v>IS</v>
      </c>
      <c r="H593" t="str">
        <f>_xlfn.XLOOKUP($A593,Map!$A:$A,Map!D:D)</f>
        <v>Cost of sales</v>
      </c>
      <c r="I593" t="str">
        <f>_xlfn.XLOOKUP($A593,Map!$A:$A,Map!E:E)</f>
        <v>Overhead - Labor Cost</v>
      </c>
      <c r="J593" t="str">
        <f>_xlfn.XLOOKUP($A593,Map!$A:$A,Map!F:F)</f>
        <v xml:space="preserve">Food &amp; Housing </v>
      </c>
    </row>
    <row r="594" spans="1:10" hidden="1" x14ac:dyDescent="0.25">
      <c r="A594" s="90">
        <v>600002</v>
      </c>
      <c r="B594" s="90" t="s">
        <v>729</v>
      </c>
      <c r="D594" s="91">
        <v>37341</v>
      </c>
      <c r="E594" s="91">
        <v>0</v>
      </c>
      <c r="F594" s="91">
        <f t="shared" si="10"/>
        <v>37341</v>
      </c>
      <c r="G594" t="str">
        <f>_xlfn.XLOOKUP($A594,Map!$A:$A,Map!C:C)</f>
        <v>IS</v>
      </c>
      <c r="H594" t="str">
        <f>_xlfn.XLOOKUP($A594,Map!$A:$A,Map!D:D)</f>
        <v>Cost of sales</v>
      </c>
      <c r="I594" t="str">
        <f>_xlfn.XLOOKUP($A594,Map!$A:$A,Map!E:E)</f>
        <v>Overhead - Labor Cost</v>
      </c>
      <c r="J594" t="str">
        <f>_xlfn.XLOOKUP($A594,Map!$A:$A,Map!F:F)</f>
        <v>Overtime pay</v>
      </c>
    </row>
    <row r="595" spans="1:10" hidden="1" x14ac:dyDescent="0.25">
      <c r="A595" s="90">
        <v>600001</v>
      </c>
      <c r="B595" s="90" t="s">
        <v>729</v>
      </c>
      <c r="D595" s="91">
        <v>194556.3</v>
      </c>
      <c r="E595" s="91">
        <v>0</v>
      </c>
      <c r="F595" s="91">
        <f t="shared" si="10"/>
        <v>194556.3</v>
      </c>
      <c r="G595" t="str">
        <f>_xlfn.XLOOKUP($A595,Map!$A:$A,Map!C:C)</f>
        <v>IS</v>
      </c>
      <c r="H595" t="str">
        <f>_xlfn.XLOOKUP($A595,Map!$A:$A,Map!D:D)</f>
        <v>Cost of sales</v>
      </c>
      <c r="I595" t="str">
        <f>_xlfn.XLOOKUP($A595,Map!$A:$A,Map!E:E)</f>
        <v>Overhead - Labor Cost</v>
      </c>
      <c r="J595" t="str">
        <f>_xlfn.XLOOKUP($A595,Map!$A:$A,Map!F:F)</f>
        <v>Salaries and wages</v>
      </c>
    </row>
    <row r="596" spans="1:10" hidden="1" x14ac:dyDescent="0.25">
      <c r="A596" s="90">
        <v>520042</v>
      </c>
      <c r="B596" s="90" t="s">
        <v>729</v>
      </c>
      <c r="D596" s="91">
        <v>0</v>
      </c>
      <c r="E596" s="91">
        <v>274432.43300000002</v>
      </c>
      <c r="F596" s="91">
        <f t="shared" si="10"/>
        <v>-274432.43300000002</v>
      </c>
      <c r="G596" t="str">
        <f>_xlfn.XLOOKUP($A596,Map!$A:$A,Map!C:C)</f>
        <v>IS</v>
      </c>
      <c r="H596" t="str">
        <f>_xlfn.XLOOKUP($A596,Map!$A:$A,Map!D:D)</f>
        <v>Cost of sales</v>
      </c>
      <c r="I596" t="str">
        <f>_xlfn.XLOOKUP($A596,Map!$A:$A,Map!E:E)</f>
        <v>Raw materials</v>
      </c>
      <c r="J596" t="str">
        <f>_xlfn.XLOOKUP($A596,Map!$A:$A,Map!F:F)</f>
        <v>Inventory Adjustment</v>
      </c>
    </row>
    <row r="597" spans="1:10" hidden="1" x14ac:dyDescent="0.25">
      <c r="A597" s="90">
        <v>520041</v>
      </c>
      <c r="B597" s="90" t="s">
        <v>729</v>
      </c>
      <c r="D597" s="91">
        <v>0</v>
      </c>
      <c r="E597" s="91">
        <v>1153527.8</v>
      </c>
      <c r="F597" s="91">
        <f t="shared" si="10"/>
        <v>-1153527.8</v>
      </c>
      <c r="G597" t="str">
        <f>_xlfn.XLOOKUP($A597,Map!$A:$A,Map!C:C)</f>
        <v>IS</v>
      </c>
      <c r="H597" t="str">
        <f>_xlfn.XLOOKUP($A597,Map!$A:$A,Map!D:D)</f>
        <v>Cost of sales</v>
      </c>
      <c r="I597" t="str">
        <f>_xlfn.XLOOKUP($A597,Map!$A:$A,Map!E:E)</f>
        <v>Raw materials</v>
      </c>
      <c r="J597" t="str">
        <f>_xlfn.XLOOKUP($A597,Map!$A:$A,Map!F:F)</f>
        <v>Other expenses</v>
      </c>
    </row>
    <row r="598" spans="1:10" hidden="1" x14ac:dyDescent="0.25">
      <c r="A598" s="90">
        <v>520037</v>
      </c>
      <c r="B598" s="90" t="s">
        <v>729</v>
      </c>
      <c r="D598" s="91">
        <v>7388.78</v>
      </c>
      <c r="E598" s="91">
        <v>0</v>
      </c>
      <c r="F598" s="91">
        <f t="shared" si="10"/>
        <v>7388.78</v>
      </c>
      <c r="G598" t="str">
        <f>_xlfn.XLOOKUP($A598,Map!$A:$A,Map!C:C)</f>
        <v>IS</v>
      </c>
      <c r="H598" t="str">
        <f>_xlfn.XLOOKUP($A598,Map!$A:$A,Map!D:D)</f>
        <v>Cost of sales</v>
      </c>
      <c r="I598" t="str">
        <f>_xlfn.XLOOKUP($A598,Map!$A:$A,Map!E:E)</f>
        <v>Raw materials</v>
      </c>
      <c r="J598" t="str">
        <f>_xlfn.XLOOKUP($A598,Map!$A:$A,Map!F:F)</f>
        <v>Raw materials</v>
      </c>
    </row>
    <row r="599" spans="1:10" hidden="1" x14ac:dyDescent="0.25">
      <c r="A599" s="90">
        <v>520036</v>
      </c>
      <c r="B599" s="90" t="s">
        <v>729</v>
      </c>
      <c r="D599" s="91">
        <v>0</v>
      </c>
      <c r="E599" s="91">
        <v>0.01</v>
      </c>
      <c r="F599" s="91">
        <f t="shared" si="10"/>
        <v>-0.01</v>
      </c>
      <c r="G599" t="str">
        <f>_xlfn.XLOOKUP($A599,Map!$A:$A,Map!C:C)</f>
        <v>IS</v>
      </c>
      <c r="H599" t="str">
        <f>_xlfn.XLOOKUP($A599,Map!$A:$A,Map!D:D)</f>
        <v>Cost of sales</v>
      </c>
      <c r="I599" t="str">
        <f>_xlfn.XLOOKUP($A599,Map!$A:$A,Map!E:E)</f>
        <v>Raw materials</v>
      </c>
      <c r="J599" t="str">
        <f>_xlfn.XLOOKUP($A599,Map!$A:$A,Map!F:F)</f>
        <v>Raw materials</v>
      </c>
    </row>
    <row r="600" spans="1:10" hidden="1" x14ac:dyDescent="0.25">
      <c r="A600" s="90">
        <v>520021</v>
      </c>
      <c r="B600" s="90" t="s">
        <v>729</v>
      </c>
      <c r="D600" s="91">
        <v>8180</v>
      </c>
      <c r="E600" s="91">
        <v>0</v>
      </c>
      <c r="F600" s="91">
        <f t="shared" si="10"/>
        <v>8180</v>
      </c>
      <c r="G600" t="str">
        <f>_xlfn.XLOOKUP($A600,Map!$A:$A,Map!C:C)</f>
        <v>IS</v>
      </c>
      <c r="H600" t="str">
        <f>_xlfn.XLOOKUP($A600,Map!$A:$A,Map!D:D)</f>
        <v>Cost of sales</v>
      </c>
      <c r="I600" t="str">
        <f>_xlfn.XLOOKUP($A600,Map!$A:$A,Map!E:E)</f>
        <v>Direct Labor</v>
      </c>
      <c r="J600" t="str">
        <f>_xlfn.XLOOKUP($A600,Map!$A:$A,Map!F:F)</f>
        <v>Medical insurance</v>
      </c>
    </row>
    <row r="601" spans="1:10" hidden="1" x14ac:dyDescent="0.25">
      <c r="A601" s="90">
        <v>520011</v>
      </c>
      <c r="B601" s="90" t="s">
        <v>729</v>
      </c>
      <c r="D601" s="91">
        <v>14683</v>
      </c>
      <c r="E601" s="91">
        <v>0</v>
      </c>
      <c r="F601" s="91">
        <f t="shared" si="10"/>
        <v>14683</v>
      </c>
      <c r="G601" t="str">
        <f>_xlfn.XLOOKUP($A601,Map!$A:$A,Map!C:C)</f>
        <v>IS</v>
      </c>
      <c r="H601" t="str">
        <f>_xlfn.XLOOKUP($A601,Map!$A:$A,Map!D:D)</f>
        <v>Cost of sales</v>
      </c>
      <c r="I601" t="str">
        <f>_xlfn.XLOOKUP($A601,Map!$A:$A,Map!E:E)</f>
        <v>Direct Labor</v>
      </c>
      <c r="J601" t="str">
        <f>_xlfn.XLOOKUP($A601,Map!$A:$A,Map!F:F)</f>
        <v>Overtime pay</v>
      </c>
    </row>
    <row r="602" spans="1:10" hidden="1" x14ac:dyDescent="0.25">
      <c r="A602" s="90">
        <v>520011</v>
      </c>
      <c r="B602" s="90" t="s">
        <v>729</v>
      </c>
      <c r="D602" s="91">
        <v>13796</v>
      </c>
      <c r="E602" s="91">
        <v>0</v>
      </c>
      <c r="F602" s="91">
        <f t="shared" si="10"/>
        <v>13796</v>
      </c>
      <c r="G602" t="str">
        <f>_xlfn.XLOOKUP($A602,Map!$A:$A,Map!C:C)</f>
        <v>IS</v>
      </c>
      <c r="H602" t="str">
        <f>_xlfn.XLOOKUP($A602,Map!$A:$A,Map!D:D)</f>
        <v>Cost of sales</v>
      </c>
      <c r="I602" t="str">
        <f>_xlfn.XLOOKUP($A602,Map!$A:$A,Map!E:E)</f>
        <v>Direct Labor</v>
      </c>
      <c r="J602" t="str">
        <f>_xlfn.XLOOKUP($A602,Map!$A:$A,Map!F:F)</f>
        <v>Overtime pay</v>
      </c>
    </row>
    <row r="603" spans="1:10" hidden="1" x14ac:dyDescent="0.25">
      <c r="A603" s="90">
        <v>520006</v>
      </c>
      <c r="B603" s="90" t="s">
        <v>729</v>
      </c>
      <c r="D603" s="91">
        <v>12810</v>
      </c>
      <c r="E603" s="91">
        <v>0</v>
      </c>
      <c r="F603" s="91">
        <f t="shared" si="10"/>
        <v>12810</v>
      </c>
      <c r="G603" t="str">
        <f>_xlfn.XLOOKUP($A603,Map!$A:$A,Map!C:C)</f>
        <v>IS</v>
      </c>
      <c r="H603" t="str">
        <f>_xlfn.XLOOKUP($A603,Map!$A:$A,Map!D:D)</f>
        <v>Cost of sales</v>
      </c>
      <c r="I603" t="str">
        <f>_xlfn.XLOOKUP($A603,Map!$A:$A,Map!E:E)</f>
        <v>Direct Labor</v>
      </c>
      <c r="J603" t="str">
        <f>_xlfn.XLOOKUP($A603,Map!$A:$A,Map!F:F)</f>
        <v>Medical insurance</v>
      </c>
    </row>
    <row r="604" spans="1:10" hidden="1" x14ac:dyDescent="0.25">
      <c r="A604" s="90">
        <v>520006</v>
      </c>
      <c r="B604" s="90" t="s">
        <v>729</v>
      </c>
      <c r="D604" s="91">
        <v>6416</v>
      </c>
      <c r="E604" s="91">
        <v>0</v>
      </c>
      <c r="F604" s="91">
        <f t="shared" si="10"/>
        <v>6416</v>
      </c>
      <c r="G604" t="str">
        <f>_xlfn.XLOOKUP($A604,Map!$A:$A,Map!C:C)</f>
        <v>IS</v>
      </c>
      <c r="H604" t="str">
        <f>_xlfn.XLOOKUP($A604,Map!$A:$A,Map!D:D)</f>
        <v>Cost of sales</v>
      </c>
      <c r="I604" t="str">
        <f>_xlfn.XLOOKUP($A604,Map!$A:$A,Map!E:E)</f>
        <v>Direct Labor</v>
      </c>
      <c r="J604" t="str">
        <f>_xlfn.XLOOKUP($A604,Map!$A:$A,Map!F:F)</f>
        <v>Medical insurance</v>
      </c>
    </row>
    <row r="605" spans="1:10" hidden="1" x14ac:dyDescent="0.25">
      <c r="A605" s="90">
        <v>520006</v>
      </c>
      <c r="B605" s="90" t="s">
        <v>729</v>
      </c>
      <c r="D605" s="91">
        <v>4114</v>
      </c>
      <c r="E605" s="91">
        <v>0</v>
      </c>
      <c r="F605" s="91">
        <f t="shared" si="10"/>
        <v>4114</v>
      </c>
      <c r="G605" t="str">
        <f>_xlfn.XLOOKUP($A605,Map!$A:$A,Map!C:C)</f>
        <v>IS</v>
      </c>
      <c r="H605" t="str">
        <f>_xlfn.XLOOKUP($A605,Map!$A:$A,Map!D:D)</f>
        <v>Cost of sales</v>
      </c>
      <c r="I605" t="str">
        <f>_xlfn.XLOOKUP($A605,Map!$A:$A,Map!E:E)</f>
        <v>Direct Labor</v>
      </c>
      <c r="J605" t="str">
        <f>_xlfn.XLOOKUP($A605,Map!$A:$A,Map!F:F)</f>
        <v>Medical insurance</v>
      </c>
    </row>
    <row r="606" spans="1:10" hidden="1" x14ac:dyDescent="0.25">
      <c r="A606" s="90">
        <v>520006</v>
      </c>
      <c r="B606" s="90" t="s">
        <v>729</v>
      </c>
      <c r="D606" s="91">
        <v>3448</v>
      </c>
      <c r="E606" s="91">
        <v>0</v>
      </c>
      <c r="F606" s="91">
        <f t="shared" si="10"/>
        <v>3448</v>
      </c>
      <c r="G606" t="str">
        <f>_xlfn.XLOOKUP($A606,Map!$A:$A,Map!C:C)</f>
        <v>IS</v>
      </c>
      <c r="H606" t="str">
        <f>_xlfn.XLOOKUP($A606,Map!$A:$A,Map!D:D)</f>
        <v>Cost of sales</v>
      </c>
      <c r="I606" t="str">
        <f>_xlfn.XLOOKUP($A606,Map!$A:$A,Map!E:E)</f>
        <v>Direct Labor</v>
      </c>
      <c r="J606" t="str">
        <f>_xlfn.XLOOKUP($A606,Map!$A:$A,Map!F:F)</f>
        <v>Medical insurance</v>
      </c>
    </row>
    <row r="607" spans="1:10" hidden="1" x14ac:dyDescent="0.25">
      <c r="A607" s="90">
        <v>520006</v>
      </c>
      <c r="B607" s="90" t="s">
        <v>729</v>
      </c>
      <c r="D607" s="91">
        <v>4476</v>
      </c>
      <c r="E607" s="91">
        <v>0</v>
      </c>
      <c r="F607" s="91">
        <f t="shared" si="10"/>
        <v>4476</v>
      </c>
      <c r="G607" t="str">
        <f>_xlfn.XLOOKUP($A607,Map!$A:$A,Map!C:C)</f>
        <v>IS</v>
      </c>
      <c r="H607" t="str">
        <f>_xlfn.XLOOKUP($A607,Map!$A:$A,Map!D:D)</f>
        <v>Cost of sales</v>
      </c>
      <c r="I607" t="str">
        <f>_xlfn.XLOOKUP($A607,Map!$A:$A,Map!E:E)</f>
        <v>Direct Labor</v>
      </c>
      <c r="J607" t="str">
        <f>_xlfn.XLOOKUP($A607,Map!$A:$A,Map!F:F)</f>
        <v>Medical insurance</v>
      </c>
    </row>
    <row r="608" spans="1:10" hidden="1" x14ac:dyDescent="0.25">
      <c r="A608" s="90">
        <v>520006</v>
      </c>
      <c r="B608" s="90" t="s">
        <v>729</v>
      </c>
      <c r="D608" s="91">
        <v>2920</v>
      </c>
      <c r="E608" s="91">
        <v>0</v>
      </c>
      <c r="F608" s="91">
        <f t="shared" si="10"/>
        <v>2920</v>
      </c>
      <c r="G608" t="str">
        <f>_xlfn.XLOOKUP($A608,Map!$A:$A,Map!C:C)</f>
        <v>IS</v>
      </c>
      <c r="H608" t="str">
        <f>_xlfn.XLOOKUP($A608,Map!$A:$A,Map!D:D)</f>
        <v>Cost of sales</v>
      </c>
      <c r="I608" t="str">
        <f>_xlfn.XLOOKUP($A608,Map!$A:$A,Map!E:E)</f>
        <v>Direct Labor</v>
      </c>
      <c r="J608" t="str">
        <f>_xlfn.XLOOKUP($A608,Map!$A:$A,Map!F:F)</f>
        <v>Medical insurance</v>
      </c>
    </row>
    <row r="609" spans="1:10" hidden="1" x14ac:dyDescent="0.25">
      <c r="A609" s="90">
        <v>520004</v>
      </c>
      <c r="B609" s="90" t="s">
        <v>729</v>
      </c>
      <c r="D609" s="91">
        <v>8119</v>
      </c>
      <c r="E609" s="91">
        <v>0</v>
      </c>
      <c r="F609" s="91">
        <f t="shared" si="10"/>
        <v>8119</v>
      </c>
      <c r="G609" t="str">
        <f>_xlfn.XLOOKUP($A609,Map!$A:$A,Map!C:C)</f>
        <v>IS</v>
      </c>
      <c r="H609" t="str">
        <f>_xlfn.XLOOKUP($A609,Map!$A:$A,Map!D:D)</f>
        <v>Cost of sales</v>
      </c>
      <c r="I609" t="str">
        <f>_xlfn.XLOOKUP($A609,Map!$A:$A,Map!E:E)</f>
        <v>Direct Labor</v>
      </c>
      <c r="J609" t="str">
        <f>_xlfn.XLOOKUP($A609,Map!$A:$A,Map!F:F)</f>
        <v>Food and housing</v>
      </c>
    </row>
    <row r="610" spans="1:10" hidden="1" x14ac:dyDescent="0.25">
      <c r="A610" s="90">
        <v>520004</v>
      </c>
      <c r="B610" s="90" t="s">
        <v>729</v>
      </c>
      <c r="D610" s="91">
        <v>5313</v>
      </c>
      <c r="E610" s="91">
        <v>0</v>
      </c>
      <c r="F610" s="91">
        <f t="shared" si="10"/>
        <v>5313</v>
      </c>
      <c r="G610" t="str">
        <f>_xlfn.XLOOKUP($A610,Map!$A:$A,Map!C:C)</f>
        <v>IS</v>
      </c>
      <c r="H610" t="str">
        <f>_xlfn.XLOOKUP($A610,Map!$A:$A,Map!D:D)</f>
        <v>Cost of sales</v>
      </c>
      <c r="I610" t="str">
        <f>_xlfn.XLOOKUP($A610,Map!$A:$A,Map!E:E)</f>
        <v>Direct Labor</v>
      </c>
      <c r="J610" t="str">
        <f>_xlfn.XLOOKUP($A610,Map!$A:$A,Map!F:F)</f>
        <v>Food and housing</v>
      </c>
    </row>
    <row r="611" spans="1:10" hidden="1" x14ac:dyDescent="0.25">
      <c r="A611" s="90">
        <v>520004</v>
      </c>
      <c r="B611" s="90" t="s">
        <v>729</v>
      </c>
      <c r="D611" s="91">
        <v>0</v>
      </c>
      <c r="E611" s="91">
        <v>91475</v>
      </c>
      <c r="F611" s="91">
        <f t="shared" si="10"/>
        <v>-91475</v>
      </c>
      <c r="G611" t="str">
        <f>_xlfn.XLOOKUP($A611,Map!$A:$A,Map!C:C)</f>
        <v>IS</v>
      </c>
      <c r="H611" t="str">
        <f>_xlfn.XLOOKUP($A611,Map!$A:$A,Map!D:D)</f>
        <v>Cost of sales</v>
      </c>
      <c r="I611" t="str">
        <f>_xlfn.XLOOKUP($A611,Map!$A:$A,Map!E:E)</f>
        <v>Direct Labor</v>
      </c>
      <c r="J611" t="str">
        <f>_xlfn.XLOOKUP($A611,Map!$A:$A,Map!F:F)</f>
        <v>Food and housing</v>
      </c>
    </row>
    <row r="612" spans="1:10" hidden="1" x14ac:dyDescent="0.25">
      <c r="A612" s="90">
        <v>520003</v>
      </c>
      <c r="B612" s="90" t="s">
        <v>729</v>
      </c>
      <c r="D612" s="91">
        <v>7200</v>
      </c>
      <c r="E612" s="91">
        <v>0</v>
      </c>
      <c r="F612" s="91">
        <f t="shared" si="10"/>
        <v>7200</v>
      </c>
      <c r="G612" t="str">
        <f>_xlfn.XLOOKUP($A612,Map!$A:$A,Map!C:C)</f>
        <v>IS</v>
      </c>
      <c r="H612" t="str">
        <f>_xlfn.XLOOKUP($A612,Map!$A:$A,Map!D:D)</f>
        <v>Cost of sales</v>
      </c>
      <c r="I612" t="str">
        <f>_xlfn.XLOOKUP($A612,Map!$A:$A,Map!E:E)</f>
        <v>Direct Labor</v>
      </c>
      <c r="J612" t="str">
        <f>_xlfn.XLOOKUP($A612,Map!$A:$A,Map!F:F)</f>
        <v>Transportation allowance</v>
      </c>
    </row>
    <row r="613" spans="1:10" hidden="1" x14ac:dyDescent="0.25">
      <c r="A613" s="90">
        <v>520001</v>
      </c>
      <c r="B613" s="90" t="s">
        <v>729</v>
      </c>
      <c r="D613" s="91">
        <v>258213.5</v>
      </c>
      <c r="E613" s="91">
        <v>0</v>
      </c>
      <c r="F613" s="91">
        <f t="shared" si="10"/>
        <v>258213.5</v>
      </c>
      <c r="G613" t="str">
        <f>_xlfn.XLOOKUP($A613,Map!$A:$A,Map!C:C)</f>
        <v>IS</v>
      </c>
      <c r="H613" t="str">
        <f>_xlfn.XLOOKUP($A613,Map!$A:$A,Map!D:D)</f>
        <v>Cost of sales</v>
      </c>
      <c r="I613" t="str">
        <f>_xlfn.XLOOKUP($A613,Map!$A:$A,Map!E:E)</f>
        <v>Direct Labor</v>
      </c>
      <c r="J613" t="str">
        <f>_xlfn.XLOOKUP($A613,Map!$A:$A,Map!F:F)</f>
        <v>Salaries and wages</v>
      </c>
    </row>
    <row r="614" spans="1:10" hidden="1" x14ac:dyDescent="0.25">
      <c r="A614" s="90">
        <v>520001</v>
      </c>
      <c r="B614" s="90" t="s">
        <v>729</v>
      </c>
      <c r="D614" s="91">
        <v>37200</v>
      </c>
      <c r="E614" s="91">
        <v>0</v>
      </c>
      <c r="F614" s="91">
        <f t="shared" si="10"/>
        <v>37200</v>
      </c>
      <c r="G614" t="str">
        <f>_xlfn.XLOOKUP($A614,Map!$A:$A,Map!C:C)</f>
        <v>IS</v>
      </c>
      <c r="H614" t="str">
        <f>_xlfn.XLOOKUP($A614,Map!$A:$A,Map!D:D)</f>
        <v>Cost of sales</v>
      </c>
      <c r="I614" t="str">
        <f>_xlfn.XLOOKUP($A614,Map!$A:$A,Map!E:E)</f>
        <v>Direct Labor</v>
      </c>
      <c r="J614" t="str">
        <f>_xlfn.XLOOKUP($A614,Map!$A:$A,Map!F:F)</f>
        <v>Salaries and wages</v>
      </c>
    </row>
    <row r="615" spans="1:10" hidden="1" x14ac:dyDescent="0.25">
      <c r="A615" s="90">
        <v>520001</v>
      </c>
      <c r="B615" s="90" t="s">
        <v>729</v>
      </c>
      <c r="D615" s="91">
        <v>69543.5</v>
      </c>
      <c r="E615" s="91">
        <v>0</v>
      </c>
      <c r="F615" s="91">
        <f t="shared" si="10"/>
        <v>69543.5</v>
      </c>
      <c r="G615" t="str">
        <f>_xlfn.XLOOKUP($A615,Map!$A:$A,Map!C:C)</f>
        <v>IS</v>
      </c>
      <c r="H615" t="str">
        <f>_xlfn.XLOOKUP($A615,Map!$A:$A,Map!D:D)</f>
        <v>Cost of sales</v>
      </c>
      <c r="I615" t="str">
        <f>_xlfn.XLOOKUP($A615,Map!$A:$A,Map!E:E)</f>
        <v>Direct Labor</v>
      </c>
      <c r="J615" t="str">
        <f>_xlfn.XLOOKUP($A615,Map!$A:$A,Map!F:F)</f>
        <v>Salaries and wages</v>
      </c>
    </row>
    <row r="616" spans="1:10" hidden="1" x14ac:dyDescent="0.25">
      <c r="A616" s="90">
        <v>520001</v>
      </c>
      <c r="B616" s="90" t="s">
        <v>729</v>
      </c>
      <c r="D616" s="91">
        <v>21592</v>
      </c>
      <c r="E616" s="91">
        <v>0</v>
      </c>
      <c r="F616" s="91">
        <f t="shared" si="10"/>
        <v>21592</v>
      </c>
      <c r="G616" t="str">
        <f>_xlfn.XLOOKUP($A616,Map!$A:$A,Map!C:C)</f>
        <v>IS</v>
      </c>
      <c r="H616" t="str">
        <f>_xlfn.XLOOKUP($A616,Map!$A:$A,Map!D:D)</f>
        <v>Cost of sales</v>
      </c>
      <c r="I616" t="str">
        <f>_xlfn.XLOOKUP($A616,Map!$A:$A,Map!E:E)</f>
        <v>Direct Labor</v>
      </c>
      <c r="J616" t="str">
        <f>_xlfn.XLOOKUP($A616,Map!$A:$A,Map!F:F)</f>
        <v>Salaries and wages</v>
      </c>
    </row>
    <row r="617" spans="1:10" hidden="1" x14ac:dyDescent="0.25">
      <c r="A617" s="90">
        <v>520001</v>
      </c>
      <c r="B617" s="90" t="s">
        <v>729</v>
      </c>
      <c r="D617" s="91">
        <v>42589</v>
      </c>
      <c r="E617" s="91">
        <v>0</v>
      </c>
      <c r="F617" s="91">
        <f t="shared" si="10"/>
        <v>42589</v>
      </c>
      <c r="G617" t="str">
        <f>_xlfn.XLOOKUP($A617,Map!$A:$A,Map!C:C)</f>
        <v>IS</v>
      </c>
      <c r="H617" t="str">
        <f>_xlfn.XLOOKUP($A617,Map!$A:$A,Map!D:D)</f>
        <v>Cost of sales</v>
      </c>
      <c r="I617" t="str">
        <f>_xlfn.XLOOKUP($A617,Map!$A:$A,Map!E:E)</f>
        <v>Direct Labor</v>
      </c>
      <c r="J617" t="str">
        <f>_xlfn.XLOOKUP($A617,Map!$A:$A,Map!F:F)</f>
        <v>Salaries and wages</v>
      </c>
    </row>
    <row r="618" spans="1:10" hidden="1" x14ac:dyDescent="0.25">
      <c r="A618" s="90">
        <v>510004</v>
      </c>
      <c r="B618" s="90" t="s">
        <v>729</v>
      </c>
      <c r="D618" s="91">
        <v>0</v>
      </c>
      <c r="E618" s="91">
        <v>439367.87</v>
      </c>
      <c r="F618" s="91">
        <f t="shared" si="10"/>
        <v>-439367.87</v>
      </c>
      <c r="G618" t="str">
        <f>_xlfn.XLOOKUP($A618,Map!$A:$A,Map!C:C)</f>
        <v>IS</v>
      </c>
      <c r="H618" t="str">
        <f>_xlfn.XLOOKUP($A618,Map!$A:$A,Map!D:D)</f>
        <v>Cost of sales</v>
      </c>
      <c r="I618" t="str">
        <f>_xlfn.XLOOKUP($A618,Map!$A:$A,Map!E:E)</f>
        <v>Raw materials</v>
      </c>
      <c r="J618" t="str">
        <f>_xlfn.XLOOKUP($A618,Map!$A:$A,Map!F:F)</f>
        <v>Other expenses</v>
      </c>
    </row>
    <row r="619" spans="1:10" hidden="1" x14ac:dyDescent="0.25">
      <c r="A619" s="90">
        <v>510004</v>
      </c>
      <c r="B619" s="90" t="s">
        <v>729</v>
      </c>
      <c r="D619" s="91">
        <v>0</v>
      </c>
      <c r="E619" s="91">
        <v>206421.11</v>
      </c>
      <c r="F619" s="91">
        <f t="shared" si="10"/>
        <v>-206421.11</v>
      </c>
      <c r="G619" t="str">
        <f>_xlfn.XLOOKUP($A619,Map!$A:$A,Map!C:C)</f>
        <v>IS</v>
      </c>
      <c r="H619" t="str">
        <f>_xlfn.XLOOKUP($A619,Map!$A:$A,Map!D:D)</f>
        <v>Cost of sales</v>
      </c>
      <c r="I619" t="str">
        <f>_xlfn.XLOOKUP($A619,Map!$A:$A,Map!E:E)</f>
        <v>Raw materials</v>
      </c>
      <c r="J619" t="str">
        <f>_xlfn.XLOOKUP($A619,Map!$A:$A,Map!F:F)</f>
        <v>Other expenses</v>
      </c>
    </row>
    <row r="620" spans="1:10" hidden="1" x14ac:dyDescent="0.25">
      <c r="A620" s="90">
        <v>510004</v>
      </c>
      <c r="B620" s="90" t="s">
        <v>729</v>
      </c>
      <c r="D620" s="91">
        <v>0</v>
      </c>
      <c r="E620" s="91">
        <v>10216.5</v>
      </c>
      <c r="F620" s="91">
        <f t="shared" si="10"/>
        <v>-10216.5</v>
      </c>
      <c r="G620" t="str">
        <f>_xlfn.XLOOKUP($A620,Map!$A:$A,Map!C:C)</f>
        <v>IS</v>
      </c>
      <c r="H620" t="str">
        <f>_xlfn.XLOOKUP($A620,Map!$A:$A,Map!D:D)</f>
        <v>Cost of sales</v>
      </c>
      <c r="I620" t="str">
        <f>_xlfn.XLOOKUP($A620,Map!$A:$A,Map!E:E)</f>
        <v>Raw materials</v>
      </c>
      <c r="J620" t="str">
        <f>_xlfn.XLOOKUP($A620,Map!$A:$A,Map!F:F)</f>
        <v>Other expenses</v>
      </c>
    </row>
    <row r="621" spans="1:10" hidden="1" x14ac:dyDescent="0.25">
      <c r="A621" s="90">
        <v>510004</v>
      </c>
      <c r="B621" s="90" t="s">
        <v>729</v>
      </c>
      <c r="D621" s="91">
        <v>0</v>
      </c>
      <c r="E621" s="91">
        <v>241810.8</v>
      </c>
      <c r="F621" s="91">
        <f t="shared" si="10"/>
        <v>-241810.8</v>
      </c>
      <c r="G621" t="str">
        <f>_xlfn.XLOOKUP($A621,Map!$A:$A,Map!C:C)</f>
        <v>IS</v>
      </c>
      <c r="H621" t="str">
        <f>_xlfn.XLOOKUP($A621,Map!$A:$A,Map!D:D)</f>
        <v>Cost of sales</v>
      </c>
      <c r="I621" t="str">
        <f>_xlfn.XLOOKUP($A621,Map!$A:$A,Map!E:E)</f>
        <v>Raw materials</v>
      </c>
      <c r="J621" t="str">
        <f>_xlfn.XLOOKUP($A621,Map!$A:$A,Map!F:F)</f>
        <v>Other expenses</v>
      </c>
    </row>
    <row r="622" spans="1:10" hidden="1" x14ac:dyDescent="0.25">
      <c r="A622" s="90">
        <v>510004</v>
      </c>
      <c r="B622" s="90" t="s">
        <v>729</v>
      </c>
      <c r="D622" s="91">
        <v>0</v>
      </c>
      <c r="E622" s="91">
        <v>239070.13</v>
      </c>
      <c r="F622" s="91">
        <f t="shared" si="10"/>
        <v>-239070.13</v>
      </c>
      <c r="G622" t="str">
        <f>_xlfn.XLOOKUP($A622,Map!$A:$A,Map!C:C)</f>
        <v>IS</v>
      </c>
      <c r="H622" t="str">
        <f>_xlfn.XLOOKUP($A622,Map!$A:$A,Map!D:D)</f>
        <v>Cost of sales</v>
      </c>
      <c r="I622" t="str">
        <f>_xlfn.XLOOKUP($A622,Map!$A:$A,Map!E:E)</f>
        <v>Raw materials</v>
      </c>
      <c r="J622" t="str">
        <f>_xlfn.XLOOKUP($A622,Map!$A:$A,Map!F:F)</f>
        <v>Other expenses</v>
      </c>
    </row>
    <row r="623" spans="1:10" hidden="1" x14ac:dyDescent="0.25">
      <c r="A623" s="90">
        <v>510004</v>
      </c>
      <c r="B623" s="90" t="s">
        <v>729</v>
      </c>
      <c r="D623" s="91">
        <v>0</v>
      </c>
      <c r="E623" s="91">
        <v>59180.75</v>
      </c>
      <c r="F623" s="91">
        <f t="shared" si="10"/>
        <v>-59180.75</v>
      </c>
      <c r="G623" t="str">
        <f>_xlfn.XLOOKUP($A623,Map!$A:$A,Map!C:C)</f>
        <v>IS</v>
      </c>
      <c r="H623" t="str">
        <f>_xlfn.XLOOKUP($A623,Map!$A:$A,Map!D:D)</f>
        <v>Cost of sales</v>
      </c>
      <c r="I623" t="str">
        <f>_xlfn.XLOOKUP($A623,Map!$A:$A,Map!E:E)</f>
        <v>Raw materials</v>
      </c>
      <c r="J623" t="str">
        <f>_xlfn.XLOOKUP($A623,Map!$A:$A,Map!F:F)</f>
        <v>Other expenses</v>
      </c>
    </row>
    <row r="624" spans="1:10" hidden="1" x14ac:dyDescent="0.25">
      <c r="A624" s="90">
        <v>510004</v>
      </c>
      <c r="B624" s="90" t="s">
        <v>729</v>
      </c>
      <c r="D624" s="91">
        <v>0</v>
      </c>
      <c r="E624" s="91">
        <v>8300</v>
      </c>
      <c r="F624" s="91">
        <f t="shared" si="10"/>
        <v>-8300</v>
      </c>
      <c r="G624" t="str">
        <f>_xlfn.XLOOKUP($A624,Map!$A:$A,Map!C:C)</f>
        <v>IS</v>
      </c>
      <c r="H624" t="str">
        <f>_xlfn.XLOOKUP($A624,Map!$A:$A,Map!D:D)</f>
        <v>Cost of sales</v>
      </c>
      <c r="I624" t="str">
        <f>_xlfn.XLOOKUP($A624,Map!$A:$A,Map!E:E)</f>
        <v>Raw materials</v>
      </c>
      <c r="J624" t="str">
        <f>_xlfn.XLOOKUP($A624,Map!$A:$A,Map!F:F)</f>
        <v>Other expenses</v>
      </c>
    </row>
    <row r="625" spans="1:10" hidden="1" x14ac:dyDescent="0.25">
      <c r="A625" s="90">
        <v>510004</v>
      </c>
      <c r="B625" s="90" t="s">
        <v>729</v>
      </c>
      <c r="D625" s="91">
        <v>0</v>
      </c>
      <c r="E625" s="91">
        <v>99481.04</v>
      </c>
      <c r="F625" s="91">
        <f t="shared" si="10"/>
        <v>-99481.04</v>
      </c>
      <c r="G625" t="str">
        <f>_xlfn.XLOOKUP($A625,Map!$A:$A,Map!C:C)</f>
        <v>IS</v>
      </c>
      <c r="H625" t="str">
        <f>_xlfn.XLOOKUP($A625,Map!$A:$A,Map!D:D)</f>
        <v>Cost of sales</v>
      </c>
      <c r="I625" t="str">
        <f>_xlfn.XLOOKUP($A625,Map!$A:$A,Map!E:E)</f>
        <v>Raw materials</v>
      </c>
      <c r="J625" t="str">
        <f>_xlfn.XLOOKUP($A625,Map!$A:$A,Map!F:F)</f>
        <v>Other expenses</v>
      </c>
    </row>
    <row r="626" spans="1:10" hidden="1" x14ac:dyDescent="0.25">
      <c r="A626" s="90">
        <v>510004</v>
      </c>
      <c r="B626" s="90" t="s">
        <v>729</v>
      </c>
      <c r="D626" s="91">
        <v>0</v>
      </c>
      <c r="E626" s="91">
        <v>657944</v>
      </c>
      <c r="F626" s="91">
        <f t="shared" si="10"/>
        <v>-657944</v>
      </c>
      <c r="G626" t="str">
        <f>_xlfn.XLOOKUP($A626,Map!$A:$A,Map!C:C)</f>
        <v>IS</v>
      </c>
      <c r="H626" t="str">
        <f>_xlfn.XLOOKUP($A626,Map!$A:$A,Map!D:D)</f>
        <v>Cost of sales</v>
      </c>
      <c r="I626" t="str">
        <f>_xlfn.XLOOKUP($A626,Map!$A:$A,Map!E:E)</f>
        <v>Raw materials</v>
      </c>
      <c r="J626" t="str">
        <f>_xlfn.XLOOKUP($A626,Map!$A:$A,Map!F:F)</f>
        <v>Other expenses</v>
      </c>
    </row>
    <row r="627" spans="1:10" hidden="1" x14ac:dyDescent="0.25">
      <c r="A627" s="90">
        <v>510004</v>
      </c>
      <c r="B627" s="90" t="s">
        <v>729</v>
      </c>
      <c r="D627" s="91">
        <v>0</v>
      </c>
      <c r="E627" s="91">
        <v>54724.01</v>
      </c>
      <c r="F627" s="91">
        <f t="shared" si="10"/>
        <v>-54724.01</v>
      </c>
      <c r="G627" t="str">
        <f>_xlfn.XLOOKUP($A627,Map!$A:$A,Map!C:C)</f>
        <v>IS</v>
      </c>
      <c r="H627" t="str">
        <f>_xlfn.XLOOKUP($A627,Map!$A:$A,Map!D:D)</f>
        <v>Cost of sales</v>
      </c>
      <c r="I627" t="str">
        <f>_xlfn.XLOOKUP($A627,Map!$A:$A,Map!E:E)</f>
        <v>Raw materials</v>
      </c>
      <c r="J627" t="str">
        <f>_xlfn.XLOOKUP($A627,Map!$A:$A,Map!F:F)</f>
        <v>Other expenses</v>
      </c>
    </row>
    <row r="628" spans="1:10" hidden="1" x14ac:dyDescent="0.25">
      <c r="A628" s="90">
        <v>510002</v>
      </c>
      <c r="B628" s="90" t="s">
        <v>729</v>
      </c>
      <c r="D628" s="91">
        <v>0</v>
      </c>
      <c r="E628" s="91">
        <v>442570</v>
      </c>
      <c r="F628" s="91">
        <f t="shared" si="10"/>
        <v>-442570</v>
      </c>
      <c r="G628" t="str">
        <f>_xlfn.XLOOKUP($A628,Map!$A:$A,Map!C:C)</f>
        <v>IS</v>
      </c>
      <c r="H628" t="str">
        <f>_xlfn.XLOOKUP($A628,Map!$A:$A,Map!D:D)</f>
        <v>Cost of sales</v>
      </c>
      <c r="I628" t="str">
        <f>_xlfn.XLOOKUP($A628,Map!$A:$A,Map!E:E)</f>
        <v>Direct Labor</v>
      </c>
      <c r="J628" t="str">
        <f>_xlfn.XLOOKUP($A628,Map!$A:$A,Map!F:F)</f>
        <v>Direct Labor</v>
      </c>
    </row>
    <row r="629" spans="1:10" hidden="1" x14ac:dyDescent="0.25">
      <c r="A629" s="90">
        <v>510002</v>
      </c>
      <c r="B629" s="90" t="s">
        <v>729</v>
      </c>
      <c r="D629" s="91">
        <v>0</v>
      </c>
      <c r="E629" s="91">
        <v>28479</v>
      </c>
      <c r="F629" s="91">
        <f t="shared" si="10"/>
        <v>-28479</v>
      </c>
      <c r="G629" t="str">
        <f>_xlfn.XLOOKUP($A629,Map!$A:$A,Map!C:C)</f>
        <v>IS</v>
      </c>
      <c r="H629" t="str">
        <f>_xlfn.XLOOKUP($A629,Map!$A:$A,Map!D:D)</f>
        <v>Cost of sales</v>
      </c>
      <c r="I629" t="str">
        <f>_xlfn.XLOOKUP($A629,Map!$A:$A,Map!E:E)</f>
        <v>Direct Labor</v>
      </c>
      <c r="J629" t="str">
        <f>_xlfn.XLOOKUP($A629,Map!$A:$A,Map!F:F)</f>
        <v>Direct Labor</v>
      </c>
    </row>
    <row r="630" spans="1:10" hidden="1" x14ac:dyDescent="0.25">
      <c r="A630" s="90">
        <v>510002</v>
      </c>
      <c r="B630" s="90" t="s">
        <v>729</v>
      </c>
      <c r="D630" s="91">
        <v>0</v>
      </c>
      <c r="E630" s="91">
        <v>41384</v>
      </c>
      <c r="F630" s="91">
        <f t="shared" si="10"/>
        <v>-41384</v>
      </c>
      <c r="G630" t="str">
        <f>_xlfn.XLOOKUP($A630,Map!$A:$A,Map!C:C)</f>
        <v>IS</v>
      </c>
      <c r="H630" t="str">
        <f>_xlfn.XLOOKUP($A630,Map!$A:$A,Map!D:D)</f>
        <v>Cost of sales</v>
      </c>
      <c r="I630" t="str">
        <f>_xlfn.XLOOKUP($A630,Map!$A:$A,Map!E:E)</f>
        <v>Direct Labor</v>
      </c>
      <c r="J630" t="str">
        <f>_xlfn.XLOOKUP($A630,Map!$A:$A,Map!F:F)</f>
        <v>Direct Labor</v>
      </c>
    </row>
    <row r="631" spans="1:10" hidden="1" x14ac:dyDescent="0.25">
      <c r="A631" s="90">
        <v>510002</v>
      </c>
      <c r="B631" s="90" t="s">
        <v>729</v>
      </c>
      <c r="D631" s="91">
        <v>525430.09</v>
      </c>
      <c r="E631" s="91">
        <v>0</v>
      </c>
      <c r="F631" s="91">
        <f t="shared" si="10"/>
        <v>525430.09</v>
      </c>
      <c r="G631" t="str">
        <f>_xlfn.XLOOKUP($A631,Map!$A:$A,Map!C:C)</f>
        <v>IS</v>
      </c>
      <c r="H631" t="str">
        <f>_xlfn.XLOOKUP($A631,Map!$A:$A,Map!D:D)</f>
        <v>Cost of sales</v>
      </c>
      <c r="I631" t="str">
        <f>_xlfn.XLOOKUP($A631,Map!$A:$A,Map!E:E)</f>
        <v>Direct Labor</v>
      </c>
      <c r="J631" t="str">
        <f>_xlfn.XLOOKUP($A631,Map!$A:$A,Map!F:F)</f>
        <v>Direct Labor</v>
      </c>
    </row>
    <row r="632" spans="1:10" hidden="1" x14ac:dyDescent="0.25">
      <c r="A632" s="90">
        <v>510002</v>
      </c>
      <c r="B632" s="90" t="s">
        <v>729</v>
      </c>
      <c r="D632" s="91">
        <v>0</v>
      </c>
      <c r="E632" s="91">
        <v>8180</v>
      </c>
      <c r="F632" s="91">
        <f t="shared" si="10"/>
        <v>-8180</v>
      </c>
      <c r="G632" t="str">
        <f>_xlfn.XLOOKUP($A632,Map!$A:$A,Map!C:C)</f>
        <v>IS</v>
      </c>
      <c r="H632" t="str">
        <f>_xlfn.XLOOKUP($A632,Map!$A:$A,Map!D:D)</f>
        <v>Cost of sales</v>
      </c>
      <c r="I632" t="str">
        <f>_xlfn.XLOOKUP($A632,Map!$A:$A,Map!E:E)</f>
        <v>Direct Labor</v>
      </c>
      <c r="J632" t="str">
        <f>_xlfn.XLOOKUP($A632,Map!$A:$A,Map!F:F)</f>
        <v>Direct Labor</v>
      </c>
    </row>
    <row r="633" spans="1:10" hidden="1" x14ac:dyDescent="0.25">
      <c r="A633" s="90">
        <v>510002</v>
      </c>
      <c r="B633" s="90" t="s">
        <v>729</v>
      </c>
      <c r="D633" s="91">
        <v>0</v>
      </c>
      <c r="E633" s="91">
        <v>343000</v>
      </c>
      <c r="F633" s="91">
        <f t="shared" ref="F633:F636" si="11">D633-E633</f>
        <v>-343000</v>
      </c>
      <c r="G633" t="str">
        <f>_xlfn.XLOOKUP($A633,Map!$A:$A,Map!C:C)</f>
        <v>IS</v>
      </c>
      <c r="H633" t="str">
        <f>_xlfn.XLOOKUP($A633,Map!$A:$A,Map!D:D)</f>
        <v>Cost of sales</v>
      </c>
      <c r="I633" t="str">
        <f>_xlfn.XLOOKUP($A633,Map!$A:$A,Map!E:E)</f>
        <v>Direct Labor</v>
      </c>
      <c r="J633" t="str">
        <f>_xlfn.XLOOKUP($A633,Map!$A:$A,Map!F:F)</f>
        <v>Direct Labor</v>
      </c>
    </row>
    <row r="634" spans="1:10" hidden="1" x14ac:dyDescent="0.25">
      <c r="A634" s="90">
        <v>510001</v>
      </c>
      <c r="B634" s="90" t="s">
        <v>729</v>
      </c>
      <c r="D634" s="91">
        <v>640303.56999999995</v>
      </c>
      <c r="E634" s="91">
        <v>0</v>
      </c>
      <c r="F634" s="91">
        <f t="shared" si="11"/>
        <v>640303.56999999995</v>
      </c>
      <c r="G634" t="str">
        <f>_xlfn.XLOOKUP($A634,Map!$A:$A,Map!C:C)</f>
        <v>IS</v>
      </c>
      <c r="H634" t="str">
        <f>_xlfn.XLOOKUP($A634,Map!$A:$A,Map!D:D)</f>
        <v>Cost of sales</v>
      </c>
      <c r="I634" t="str">
        <f>_xlfn.XLOOKUP($A634,Map!$A:$A,Map!E:E)</f>
        <v>Raw materials</v>
      </c>
      <c r="J634" t="str">
        <f>_xlfn.XLOOKUP($A634,Map!$A:$A,Map!F:F)</f>
        <v>Raw materials</v>
      </c>
    </row>
    <row r="635" spans="1:10" hidden="1" x14ac:dyDescent="0.25">
      <c r="A635" s="90">
        <v>510001</v>
      </c>
      <c r="B635" s="90" t="s">
        <v>729</v>
      </c>
      <c r="D635" s="91">
        <v>689312.82700000005</v>
      </c>
      <c r="E635" s="91">
        <v>0</v>
      </c>
      <c r="F635" s="91">
        <f t="shared" si="11"/>
        <v>689312.82700000005</v>
      </c>
      <c r="G635" t="str">
        <f>_xlfn.XLOOKUP($A635,Map!$A:$A,Map!C:C)</f>
        <v>IS</v>
      </c>
      <c r="H635" t="str">
        <f>_xlfn.XLOOKUP($A635,Map!$A:$A,Map!D:D)</f>
        <v>Cost of sales</v>
      </c>
      <c r="I635" t="str">
        <f>_xlfn.XLOOKUP($A635,Map!$A:$A,Map!E:E)</f>
        <v>Raw materials</v>
      </c>
      <c r="J635" t="str">
        <f>_xlfn.XLOOKUP($A635,Map!$A:$A,Map!F:F)</f>
        <v>Raw materials</v>
      </c>
    </row>
    <row r="636" spans="1:10" hidden="1" x14ac:dyDescent="0.25">
      <c r="A636" s="90">
        <v>420003</v>
      </c>
      <c r="B636" s="90" t="s">
        <v>729</v>
      </c>
      <c r="D636" s="91">
        <v>0</v>
      </c>
      <c r="E636" s="91">
        <v>2.7E-2</v>
      </c>
      <c r="F636" s="91">
        <f t="shared" si="11"/>
        <v>-2.7E-2</v>
      </c>
      <c r="G636" t="str">
        <f>_xlfn.XLOOKUP($A636,Map!$A:$A,Map!C:C)</f>
        <v>IS</v>
      </c>
      <c r="H636" t="str">
        <f>_xlfn.XLOOKUP($A636,Map!$A:$A,Map!D:D)</f>
        <v>Sales</v>
      </c>
      <c r="I636" t="str">
        <f>_xlfn.XLOOKUP($A636,Map!$A:$A,Map!E:E)</f>
        <v>Sales</v>
      </c>
      <c r="J636" t="str">
        <f>_xlfn.XLOOKUP($A636,Map!$A:$A,Map!F:F)</f>
        <v>Scrap sales</v>
      </c>
    </row>
    <row r="637" spans="1:10" hidden="1" x14ac:dyDescent="0.25">
      <c r="A637" s="90">
        <v>600031</v>
      </c>
      <c r="B637" s="90" t="s">
        <v>731</v>
      </c>
      <c r="D637" s="91">
        <v>613.33000000000004</v>
      </c>
      <c r="E637" s="91">
        <v>0</v>
      </c>
      <c r="F637" s="91">
        <f t="shared" ref="F637:F700" si="12">D637-E637</f>
        <v>613.33000000000004</v>
      </c>
      <c r="G637" t="str">
        <f>_xlfn.XLOOKUP($A637,Map!$A:$A,Map!C:C)</f>
        <v>IS</v>
      </c>
      <c r="H637" t="str">
        <f>_xlfn.XLOOKUP($A637,Map!$A:$A,Map!D:D)</f>
        <v>Depreciation expenses</v>
      </c>
      <c r="I637" t="str">
        <f>_xlfn.XLOOKUP($A637,Map!$A:$A,Map!E:E)</f>
        <v>Depreciation expenses</v>
      </c>
      <c r="J637" t="str">
        <f>_xlfn.XLOOKUP($A637,Map!$A:$A,Map!F:F)</f>
        <v>Depreciation of property, plant and equipment</v>
      </c>
    </row>
    <row r="638" spans="1:10" hidden="1" x14ac:dyDescent="0.25">
      <c r="A638" s="90">
        <v>600030</v>
      </c>
      <c r="B638" s="90" t="s">
        <v>731</v>
      </c>
      <c r="D638" s="91">
        <v>446.47500000000002</v>
      </c>
      <c r="E638" s="91">
        <v>0</v>
      </c>
      <c r="F638" s="91">
        <f t="shared" si="12"/>
        <v>446.47500000000002</v>
      </c>
      <c r="G638" t="str">
        <f>_xlfn.XLOOKUP($A638,Map!$A:$A,Map!C:C)</f>
        <v>IS</v>
      </c>
      <c r="H638" t="str">
        <f>_xlfn.XLOOKUP($A638,Map!$A:$A,Map!D:D)</f>
        <v>Depreciation expenses</v>
      </c>
      <c r="I638" t="str">
        <f>_xlfn.XLOOKUP($A638,Map!$A:$A,Map!E:E)</f>
        <v>Depreciation expenses</v>
      </c>
      <c r="J638" t="str">
        <f>_xlfn.XLOOKUP($A638,Map!$A:$A,Map!F:F)</f>
        <v>Depreciation of property, plant and equipment</v>
      </c>
    </row>
    <row r="639" spans="1:10" hidden="1" x14ac:dyDescent="0.25">
      <c r="A639" s="90">
        <v>600029</v>
      </c>
      <c r="B639" s="90" t="s">
        <v>731</v>
      </c>
      <c r="D639" s="91">
        <v>286088.69</v>
      </c>
      <c r="E639" s="91">
        <v>0</v>
      </c>
      <c r="F639" s="91">
        <f t="shared" si="12"/>
        <v>286088.69</v>
      </c>
      <c r="G639" t="str">
        <f>_xlfn.XLOOKUP($A639,Map!$A:$A,Map!C:C)</f>
        <v>IS</v>
      </c>
      <c r="H639" t="str">
        <f>_xlfn.XLOOKUP($A639,Map!$A:$A,Map!D:D)</f>
        <v>Cost of sales</v>
      </c>
      <c r="I639" t="str">
        <f>_xlfn.XLOOKUP($A639,Map!$A:$A,Map!E:E)</f>
        <v>Depreciation - Machines</v>
      </c>
      <c r="J639" t="str">
        <f>_xlfn.XLOOKUP($A639,Map!$A:$A,Map!F:F)</f>
        <v>Depreciation of property, plant and equipment</v>
      </c>
    </row>
    <row r="640" spans="1:10" hidden="1" x14ac:dyDescent="0.25">
      <c r="A640" s="90">
        <v>600028</v>
      </c>
      <c r="B640" s="90" t="s">
        <v>731</v>
      </c>
      <c r="D640" s="91">
        <v>5000</v>
      </c>
      <c r="E640" s="91">
        <v>0</v>
      </c>
      <c r="F640" s="91">
        <f t="shared" si="12"/>
        <v>5000</v>
      </c>
      <c r="G640" t="str">
        <f>_xlfn.XLOOKUP($A640,Map!$A:$A,Map!C:C)</f>
        <v>IS</v>
      </c>
      <c r="H640" t="str">
        <f>_xlfn.XLOOKUP($A640,Map!$A:$A,Map!D:D)</f>
        <v>Cost of sales</v>
      </c>
      <c r="I640" t="str">
        <f>_xlfn.XLOOKUP($A640,Map!$A:$A,Map!E:E)</f>
        <v>Overhead - Consumables &amp; SP</v>
      </c>
      <c r="J640" t="str">
        <f>_xlfn.XLOOKUP($A640,Map!$A:$A,Map!F:F)</f>
        <v xml:space="preserve">Education &amp; Furniture Allowances </v>
      </c>
    </row>
    <row r="641" spans="1:10" hidden="1" x14ac:dyDescent="0.25">
      <c r="A641" s="90">
        <v>600027</v>
      </c>
      <c r="B641" s="90" t="s">
        <v>731</v>
      </c>
      <c r="D641" s="91">
        <v>51333.34</v>
      </c>
      <c r="E641" s="91">
        <v>0</v>
      </c>
      <c r="F641" s="91">
        <f t="shared" si="12"/>
        <v>51333.34</v>
      </c>
      <c r="G641" t="str">
        <f>_xlfn.XLOOKUP($A641,Map!$A:$A,Map!C:C)</f>
        <v>IS</v>
      </c>
      <c r="H641" t="str">
        <f>_xlfn.XLOOKUP($A641,Map!$A:$A,Map!D:D)</f>
        <v>Cost of sales</v>
      </c>
      <c r="I641" t="str">
        <f>_xlfn.XLOOKUP($A641,Map!$A:$A,Map!E:E)</f>
        <v>Overhead - Rent</v>
      </c>
      <c r="J641" t="str">
        <f>_xlfn.XLOOKUP($A641,Map!$A:$A,Map!F:F)</f>
        <v>Production hall rental</v>
      </c>
    </row>
    <row r="642" spans="1:10" hidden="1" x14ac:dyDescent="0.25">
      <c r="A642" s="90">
        <v>600021</v>
      </c>
      <c r="B642" s="90" t="s">
        <v>731</v>
      </c>
      <c r="D642" s="91">
        <v>10128</v>
      </c>
      <c r="E642" s="91">
        <v>0</v>
      </c>
      <c r="F642" s="91">
        <f t="shared" si="12"/>
        <v>10128</v>
      </c>
      <c r="G642" t="str">
        <f>_xlfn.XLOOKUP($A642,Map!$A:$A,Map!C:C)</f>
        <v>IS</v>
      </c>
      <c r="H642" t="str">
        <f>_xlfn.XLOOKUP($A642,Map!$A:$A,Map!D:D)</f>
        <v>Cost of sales</v>
      </c>
      <c r="I642" t="str">
        <f>_xlfn.XLOOKUP($A642,Map!$A:$A,Map!E:E)</f>
        <v>Overhead - R&amp;M</v>
      </c>
      <c r="J642" t="str">
        <f>_xlfn.XLOOKUP($A642,Map!$A:$A,Map!F:F)</f>
        <v>Vehicle maintenance</v>
      </c>
    </row>
    <row r="643" spans="1:10" hidden="1" x14ac:dyDescent="0.25">
      <c r="A643" s="90">
        <v>600020</v>
      </c>
      <c r="B643" s="90" t="s">
        <v>731</v>
      </c>
      <c r="D643" s="91">
        <v>9040</v>
      </c>
      <c r="E643" s="91">
        <v>0</v>
      </c>
      <c r="F643" s="91">
        <f t="shared" si="12"/>
        <v>9040</v>
      </c>
      <c r="G643" t="str">
        <f>_xlfn.XLOOKUP($A643,Map!$A:$A,Map!C:C)</f>
        <v>IS</v>
      </c>
      <c r="H643" t="str">
        <f>_xlfn.XLOOKUP($A643,Map!$A:$A,Map!D:D)</f>
        <v>Cost of sales</v>
      </c>
      <c r="I643" t="str">
        <f>_xlfn.XLOOKUP($A643,Map!$A:$A,Map!E:E)</f>
        <v>Overhead - R&amp;M</v>
      </c>
      <c r="J643" t="str">
        <f>_xlfn.XLOOKUP($A643,Map!$A:$A,Map!F:F)</f>
        <v>Machine and equipment</v>
      </c>
    </row>
    <row r="644" spans="1:10" hidden="1" x14ac:dyDescent="0.25">
      <c r="A644" s="90">
        <v>600019</v>
      </c>
      <c r="B644" s="90" t="s">
        <v>731</v>
      </c>
      <c r="D644" s="91">
        <v>7370</v>
      </c>
      <c r="E644" s="91">
        <v>0</v>
      </c>
      <c r="F644" s="91">
        <f t="shared" si="12"/>
        <v>7370</v>
      </c>
      <c r="G644" t="str">
        <f>_xlfn.XLOOKUP($A644,Map!$A:$A,Map!C:C)</f>
        <v>IS</v>
      </c>
      <c r="H644" t="str">
        <f>_xlfn.XLOOKUP($A644,Map!$A:$A,Map!D:D)</f>
        <v>Cost of sales</v>
      </c>
      <c r="I644" t="str">
        <f>_xlfn.XLOOKUP($A644,Map!$A:$A,Map!E:E)</f>
        <v>Overhead - Utility</v>
      </c>
      <c r="J644" t="str">
        <f>_xlfn.XLOOKUP($A644,Map!$A:$A,Map!F:F)</f>
        <v>Fuel and oil</v>
      </c>
    </row>
    <row r="645" spans="1:10" hidden="1" x14ac:dyDescent="0.25">
      <c r="A645" s="90">
        <v>600018</v>
      </c>
      <c r="B645" s="90" t="s">
        <v>731</v>
      </c>
      <c r="D645" s="91">
        <v>6020</v>
      </c>
      <c r="E645" s="91">
        <v>0</v>
      </c>
      <c r="F645" s="91">
        <f t="shared" si="12"/>
        <v>6020</v>
      </c>
      <c r="G645" t="str">
        <f>_xlfn.XLOOKUP($A645,Map!$A:$A,Map!C:C)</f>
        <v>IS</v>
      </c>
      <c r="H645" t="str">
        <f>_xlfn.XLOOKUP($A645,Map!$A:$A,Map!D:D)</f>
        <v>Cost of sales</v>
      </c>
      <c r="I645" t="str">
        <f>_xlfn.XLOOKUP($A645,Map!$A:$A,Map!E:E)</f>
        <v>Overhead - Utility</v>
      </c>
      <c r="J645" t="str">
        <f>_xlfn.XLOOKUP($A645,Map!$A:$A,Map!F:F)</f>
        <v>Water expenses</v>
      </c>
    </row>
    <row r="646" spans="1:10" hidden="1" x14ac:dyDescent="0.25">
      <c r="A646" s="90">
        <v>600017</v>
      </c>
      <c r="B646" s="90" t="s">
        <v>731</v>
      </c>
      <c r="D646" s="91">
        <v>52313.097000000002</v>
      </c>
      <c r="E646" s="91">
        <v>0</v>
      </c>
      <c r="F646" s="91">
        <f t="shared" si="12"/>
        <v>52313.097000000002</v>
      </c>
      <c r="G646" t="str">
        <f>_xlfn.XLOOKUP($A646,Map!$A:$A,Map!C:C)</f>
        <v>IS</v>
      </c>
      <c r="H646" t="str">
        <f>_xlfn.XLOOKUP($A646,Map!$A:$A,Map!D:D)</f>
        <v>Cost of sales</v>
      </c>
      <c r="I646" t="str">
        <f>_xlfn.XLOOKUP($A646,Map!$A:$A,Map!E:E)</f>
        <v>Overhead - Utility</v>
      </c>
      <c r="J646" t="str">
        <f>_xlfn.XLOOKUP($A646,Map!$A:$A,Map!F:F)</f>
        <v>Electricity expenses</v>
      </c>
    </row>
    <row r="647" spans="1:10" hidden="1" x14ac:dyDescent="0.25">
      <c r="A647" s="90">
        <v>600016</v>
      </c>
      <c r="B647" s="90" t="s">
        <v>731</v>
      </c>
      <c r="D647" s="91">
        <v>39957.892999999996</v>
      </c>
      <c r="E647" s="91">
        <v>0</v>
      </c>
      <c r="F647" s="91">
        <f t="shared" si="12"/>
        <v>39957.892999999996</v>
      </c>
      <c r="G647" t="str">
        <f>_xlfn.XLOOKUP($A647,Map!$A:$A,Map!C:C)</f>
        <v>IS</v>
      </c>
      <c r="H647" t="str">
        <f>_xlfn.XLOOKUP($A647,Map!$A:$A,Map!D:D)</f>
        <v>Cost of sales</v>
      </c>
      <c r="I647" t="str">
        <f>_xlfn.XLOOKUP($A647,Map!$A:$A,Map!E:E)</f>
        <v>Overhead - Consumables &amp; SP</v>
      </c>
      <c r="J647" t="str">
        <f>_xlfn.XLOOKUP($A647,Map!$A:$A,Map!F:F)</f>
        <v>Tools</v>
      </c>
    </row>
    <row r="648" spans="1:10" hidden="1" x14ac:dyDescent="0.25">
      <c r="A648" s="90">
        <v>600015</v>
      </c>
      <c r="B648" s="90" t="s">
        <v>731</v>
      </c>
      <c r="D648" s="91">
        <v>4030</v>
      </c>
      <c r="E648" s="91">
        <v>0</v>
      </c>
      <c r="F648" s="91">
        <f t="shared" si="12"/>
        <v>4030</v>
      </c>
      <c r="G648" t="str">
        <f>_xlfn.XLOOKUP($A648,Map!$A:$A,Map!C:C)</f>
        <v>IS</v>
      </c>
      <c r="H648" t="str">
        <f>_xlfn.XLOOKUP($A648,Map!$A:$A,Map!D:D)</f>
        <v>Cost of sales</v>
      </c>
      <c r="I648" t="str">
        <f>_xlfn.XLOOKUP($A648,Map!$A:$A,Map!E:E)</f>
        <v>Overhead - Consumables &amp; SP</v>
      </c>
      <c r="J648" t="str">
        <f>_xlfn.XLOOKUP($A648,Map!$A:$A,Map!F:F)</f>
        <v>Consumables</v>
      </c>
    </row>
    <row r="649" spans="1:10" hidden="1" x14ac:dyDescent="0.25">
      <c r="A649" s="90">
        <v>600014</v>
      </c>
      <c r="B649" s="90" t="s">
        <v>731</v>
      </c>
      <c r="D649" s="91">
        <v>44885.999000000003</v>
      </c>
      <c r="E649" s="91">
        <v>0</v>
      </c>
      <c r="F649" s="91">
        <f t="shared" si="12"/>
        <v>44885.999000000003</v>
      </c>
      <c r="G649" t="str">
        <f>_xlfn.XLOOKUP($A649,Map!$A:$A,Map!C:C)</f>
        <v>IS</v>
      </c>
      <c r="H649" t="str">
        <f>_xlfn.XLOOKUP($A649,Map!$A:$A,Map!D:D)</f>
        <v>Cost of sales</v>
      </c>
      <c r="I649" t="str">
        <f>_xlfn.XLOOKUP($A649,Map!$A:$A,Map!E:E)</f>
        <v>Overhead - Consumables &amp; SP</v>
      </c>
      <c r="J649" t="str">
        <f>_xlfn.XLOOKUP($A649,Map!$A:$A,Map!F:F)</f>
        <v>Consumables</v>
      </c>
    </row>
    <row r="650" spans="1:10" hidden="1" x14ac:dyDescent="0.25">
      <c r="A650" s="90">
        <v>600012</v>
      </c>
      <c r="B650" s="90" t="s">
        <v>731</v>
      </c>
      <c r="D650" s="91">
        <v>625</v>
      </c>
      <c r="E650" s="91">
        <v>0</v>
      </c>
      <c r="F650" s="91">
        <f t="shared" si="12"/>
        <v>625</v>
      </c>
      <c r="G650" t="str">
        <f>_xlfn.XLOOKUP($A650,Map!$A:$A,Map!C:C)</f>
        <v>IS</v>
      </c>
      <c r="H650" t="str">
        <f>_xlfn.XLOOKUP($A650,Map!$A:$A,Map!D:D)</f>
        <v>Cost of sales</v>
      </c>
      <c r="I650" t="str">
        <f>_xlfn.XLOOKUP($A650,Map!$A:$A,Map!E:E)</f>
        <v>Overhead - Labor Cost</v>
      </c>
      <c r="J650" t="str">
        <f>_xlfn.XLOOKUP($A650,Map!$A:$A,Map!F:F)</f>
        <v xml:space="preserve">Education &amp; Furniture Allowances </v>
      </c>
    </row>
    <row r="651" spans="1:10" hidden="1" x14ac:dyDescent="0.25">
      <c r="A651" s="90">
        <v>600011</v>
      </c>
      <c r="B651" s="90" t="s">
        <v>731</v>
      </c>
      <c r="D651" s="91">
        <v>3042</v>
      </c>
      <c r="E651" s="91">
        <v>0</v>
      </c>
      <c r="F651" s="91">
        <f t="shared" si="12"/>
        <v>3042</v>
      </c>
      <c r="G651" t="str">
        <f>_xlfn.XLOOKUP($A651,Map!$A:$A,Map!C:C)</f>
        <v>IS</v>
      </c>
      <c r="H651" t="str">
        <f>_xlfn.XLOOKUP($A651,Map!$A:$A,Map!D:D)</f>
        <v>Cost of sales</v>
      </c>
      <c r="I651" t="str">
        <f>_xlfn.XLOOKUP($A651,Map!$A:$A,Map!E:E)</f>
        <v>Overhead - Labor Cost</v>
      </c>
      <c r="J651" t="str">
        <f>_xlfn.XLOOKUP($A651,Map!$A:$A,Map!F:F)</f>
        <v>Air tickets</v>
      </c>
    </row>
    <row r="652" spans="1:10" hidden="1" x14ac:dyDescent="0.25">
      <c r="A652" s="90">
        <v>600009</v>
      </c>
      <c r="B652" s="90" t="s">
        <v>731</v>
      </c>
      <c r="D652" s="91">
        <v>34400</v>
      </c>
      <c r="E652" s="91">
        <v>0</v>
      </c>
      <c r="F652" s="91">
        <f t="shared" si="12"/>
        <v>34400</v>
      </c>
      <c r="G652" t="str">
        <f>_xlfn.XLOOKUP($A652,Map!$A:$A,Map!C:C)</f>
        <v>IS</v>
      </c>
      <c r="H652" t="str">
        <f>_xlfn.XLOOKUP($A652,Map!$A:$A,Map!D:D)</f>
        <v>Cost of sales</v>
      </c>
      <c r="I652" t="str">
        <f>_xlfn.XLOOKUP($A652,Map!$A:$A,Map!E:E)</f>
        <v>Overhead - Labor Cost</v>
      </c>
      <c r="J652" t="str">
        <f>_xlfn.XLOOKUP($A652,Map!$A:$A,Map!F:F)</f>
        <v>Vacation pay</v>
      </c>
    </row>
    <row r="653" spans="1:10" hidden="1" x14ac:dyDescent="0.25">
      <c r="A653" s="90">
        <v>600008</v>
      </c>
      <c r="B653" s="90" t="s">
        <v>731</v>
      </c>
      <c r="D653" s="91">
        <v>21867</v>
      </c>
      <c r="E653" s="91">
        <v>0</v>
      </c>
      <c r="F653" s="91">
        <f t="shared" si="12"/>
        <v>21867</v>
      </c>
      <c r="G653" t="str">
        <f>_xlfn.XLOOKUP($A653,Map!$A:$A,Map!C:C)</f>
        <v>IS</v>
      </c>
      <c r="H653" t="str">
        <f>_xlfn.XLOOKUP($A653,Map!$A:$A,Map!D:D)</f>
        <v>Cost of sales</v>
      </c>
      <c r="I653" t="str">
        <f>_xlfn.XLOOKUP($A653,Map!$A:$A,Map!E:E)</f>
        <v>Overhead - Labor Cost</v>
      </c>
      <c r="J653" t="str">
        <f>_xlfn.XLOOKUP($A653,Map!$A:$A,Map!F:F)</f>
        <v>Air tickets</v>
      </c>
    </row>
    <row r="654" spans="1:10" hidden="1" x14ac:dyDescent="0.25">
      <c r="A654" s="90">
        <v>600007</v>
      </c>
      <c r="B654" s="90" t="s">
        <v>731</v>
      </c>
      <c r="D654" s="91">
        <v>1190</v>
      </c>
      <c r="E654" s="91">
        <v>0</v>
      </c>
      <c r="F654" s="91">
        <f t="shared" si="12"/>
        <v>1190</v>
      </c>
      <c r="G654" t="str">
        <f>_xlfn.XLOOKUP($A654,Map!$A:$A,Map!C:C)</f>
        <v>IS</v>
      </c>
      <c r="H654" t="str">
        <f>_xlfn.XLOOKUP($A654,Map!$A:$A,Map!D:D)</f>
        <v>Cost of sales</v>
      </c>
      <c r="I654" t="str">
        <f>_xlfn.XLOOKUP($A654,Map!$A:$A,Map!E:E)</f>
        <v>Overhead - Labor Cost</v>
      </c>
      <c r="J654" t="str">
        <f>_xlfn.XLOOKUP($A654,Map!$A:$A,Map!F:F)</f>
        <v>Transportation allowance</v>
      </c>
    </row>
    <row r="655" spans="1:10" hidden="1" x14ac:dyDescent="0.25">
      <c r="A655" s="90">
        <v>600006</v>
      </c>
      <c r="B655" s="90" t="s">
        <v>731</v>
      </c>
      <c r="D655" s="91">
        <v>41077.68</v>
      </c>
      <c r="E655" s="91">
        <v>0</v>
      </c>
      <c r="F655" s="91">
        <f t="shared" si="12"/>
        <v>41077.68</v>
      </c>
      <c r="G655" t="str">
        <f>_xlfn.XLOOKUP($A655,Map!$A:$A,Map!C:C)</f>
        <v>IS</v>
      </c>
      <c r="H655" t="str">
        <f>_xlfn.XLOOKUP($A655,Map!$A:$A,Map!D:D)</f>
        <v>Cost of sales</v>
      </c>
      <c r="I655" t="str">
        <f>_xlfn.XLOOKUP($A655,Map!$A:$A,Map!E:E)</f>
        <v>Overhead - Labor Cost</v>
      </c>
      <c r="J655" t="str">
        <f>_xlfn.XLOOKUP($A655,Map!$A:$A,Map!F:F)</f>
        <v xml:space="preserve">Food &amp; Housing </v>
      </c>
    </row>
    <row r="656" spans="1:10" hidden="1" x14ac:dyDescent="0.25">
      <c r="A656" s="90">
        <v>600005</v>
      </c>
      <c r="B656" s="90" t="s">
        <v>731</v>
      </c>
      <c r="D656" s="91">
        <v>80150</v>
      </c>
      <c r="E656" s="91">
        <v>0</v>
      </c>
      <c r="F656" s="91">
        <f t="shared" si="12"/>
        <v>80150</v>
      </c>
      <c r="G656" t="str">
        <f>_xlfn.XLOOKUP($A656,Map!$A:$A,Map!C:C)</f>
        <v>IS</v>
      </c>
      <c r="H656" t="str">
        <f>_xlfn.XLOOKUP($A656,Map!$A:$A,Map!D:D)</f>
        <v>General and Admin</v>
      </c>
      <c r="I656" t="str">
        <f>_xlfn.XLOOKUP($A656,Map!$A:$A,Map!E:E)</f>
        <v>Govt license and fees (including modon)</v>
      </c>
      <c r="J656" t="str">
        <f>_xlfn.XLOOKUP($A656,Map!$A:$A,Map!F:F)</f>
        <v>Government fees</v>
      </c>
    </row>
    <row r="657" spans="1:10" hidden="1" x14ac:dyDescent="0.25">
      <c r="A657" s="90">
        <v>600004</v>
      </c>
      <c r="B657" s="90" t="s">
        <v>731</v>
      </c>
      <c r="D657" s="91">
        <v>12295.12</v>
      </c>
      <c r="E657" s="91">
        <v>0</v>
      </c>
      <c r="F657" s="91">
        <f t="shared" si="12"/>
        <v>12295.12</v>
      </c>
      <c r="G657" t="str">
        <f>_xlfn.XLOOKUP($A657,Map!$A:$A,Map!C:C)</f>
        <v>IS</v>
      </c>
      <c r="H657" t="str">
        <f>_xlfn.XLOOKUP($A657,Map!$A:$A,Map!D:D)</f>
        <v>Cost of sales</v>
      </c>
      <c r="I657" t="str">
        <f>_xlfn.XLOOKUP($A657,Map!$A:$A,Map!E:E)</f>
        <v>Overhead - Labor Cost</v>
      </c>
      <c r="J657" t="str">
        <f>_xlfn.XLOOKUP($A657,Map!$A:$A,Map!F:F)</f>
        <v>Medical insurance</v>
      </c>
    </row>
    <row r="658" spans="1:10" hidden="1" x14ac:dyDescent="0.25">
      <c r="A658" s="90">
        <v>600003</v>
      </c>
      <c r="B658" s="90" t="s">
        <v>731</v>
      </c>
      <c r="D658" s="91">
        <v>4574</v>
      </c>
      <c r="E658" s="91">
        <v>0</v>
      </c>
      <c r="F658" s="91">
        <f t="shared" si="12"/>
        <v>4574</v>
      </c>
      <c r="G658" t="str">
        <f>_xlfn.XLOOKUP($A658,Map!$A:$A,Map!C:C)</f>
        <v>IS</v>
      </c>
      <c r="H658" t="str">
        <f>_xlfn.XLOOKUP($A658,Map!$A:$A,Map!D:D)</f>
        <v>Cost of sales</v>
      </c>
      <c r="I658" t="str">
        <f>_xlfn.XLOOKUP($A658,Map!$A:$A,Map!E:E)</f>
        <v>Overhead - Labor Cost</v>
      </c>
      <c r="J658" t="str">
        <f>_xlfn.XLOOKUP($A658,Map!$A:$A,Map!F:F)</f>
        <v xml:space="preserve">Food &amp; Housing </v>
      </c>
    </row>
    <row r="659" spans="1:10" hidden="1" x14ac:dyDescent="0.25">
      <c r="A659" s="90">
        <v>600002</v>
      </c>
      <c r="B659" s="90" t="s">
        <v>731</v>
      </c>
      <c r="D659" s="91">
        <v>11310</v>
      </c>
      <c r="E659" s="91">
        <v>0</v>
      </c>
      <c r="F659" s="91">
        <f t="shared" si="12"/>
        <v>11310</v>
      </c>
      <c r="G659" t="str">
        <f>_xlfn.XLOOKUP($A659,Map!$A:$A,Map!C:C)</f>
        <v>IS</v>
      </c>
      <c r="H659" t="str">
        <f>_xlfn.XLOOKUP($A659,Map!$A:$A,Map!D:D)</f>
        <v>Cost of sales</v>
      </c>
      <c r="I659" t="str">
        <f>_xlfn.XLOOKUP($A659,Map!$A:$A,Map!E:E)</f>
        <v>Overhead - Labor Cost</v>
      </c>
      <c r="J659" t="str">
        <f>_xlfn.XLOOKUP($A659,Map!$A:$A,Map!F:F)</f>
        <v>Overtime pay</v>
      </c>
    </row>
    <row r="660" spans="1:10" hidden="1" x14ac:dyDescent="0.25">
      <c r="A660" s="90">
        <v>600001</v>
      </c>
      <c r="B660" s="90" t="s">
        <v>731</v>
      </c>
      <c r="D660" s="91">
        <v>142976</v>
      </c>
      <c r="E660" s="91">
        <v>0</v>
      </c>
      <c r="F660" s="91">
        <f t="shared" si="12"/>
        <v>142976</v>
      </c>
      <c r="G660" t="str">
        <f>_xlfn.XLOOKUP($A660,Map!$A:$A,Map!C:C)</f>
        <v>IS</v>
      </c>
      <c r="H660" t="str">
        <f>_xlfn.XLOOKUP($A660,Map!$A:$A,Map!D:D)</f>
        <v>Cost of sales</v>
      </c>
      <c r="I660" t="str">
        <f>_xlfn.XLOOKUP($A660,Map!$A:$A,Map!E:E)</f>
        <v>Overhead - Labor Cost</v>
      </c>
      <c r="J660" t="str">
        <f>_xlfn.XLOOKUP($A660,Map!$A:$A,Map!F:F)</f>
        <v>Salaries and wages</v>
      </c>
    </row>
    <row r="661" spans="1:10" hidden="1" x14ac:dyDescent="0.25">
      <c r="A661" s="90">
        <v>520042</v>
      </c>
      <c r="B661" s="90" t="s">
        <v>731</v>
      </c>
      <c r="D661" s="91">
        <v>0</v>
      </c>
      <c r="E661" s="91">
        <v>33423.792000000001</v>
      </c>
      <c r="F661" s="91">
        <f t="shared" si="12"/>
        <v>-33423.792000000001</v>
      </c>
      <c r="G661" t="str">
        <f>_xlfn.XLOOKUP($A661,Map!$A:$A,Map!C:C)</f>
        <v>IS</v>
      </c>
      <c r="H661" t="str">
        <f>_xlfn.XLOOKUP($A661,Map!$A:$A,Map!D:D)</f>
        <v>Cost of sales</v>
      </c>
      <c r="I661" t="str">
        <f>_xlfn.XLOOKUP($A661,Map!$A:$A,Map!E:E)</f>
        <v>Raw materials</v>
      </c>
      <c r="J661" t="str">
        <f>_xlfn.XLOOKUP($A661,Map!$A:$A,Map!F:F)</f>
        <v>Inventory Adjustment</v>
      </c>
    </row>
    <row r="662" spans="1:10" hidden="1" x14ac:dyDescent="0.25">
      <c r="A662" s="90">
        <v>520041</v>
      </c>
      <c r="B662" s="90" t="s">
        <v>731</v>
      </c>
      <c r="D662" s="91">
        <v>0</v>
      </c>
      <c r="E662" s="91">
        <v>720059.32400000002</v>
      </c>
      <c r="F662" s="91">
        <f t="shared" si="12"/>
        <v>-720059.32400000002</v>
      </c>
      <c r="G662" t="str">
        <f>_xlfn.XLOOKUP($A662,Map!$A:$A,Map!C:C)</f>
        <v>IS</v>
      </c>
      <c r="H662" t="str">
        <f>_xlfn.XLOOKUP($A662,Map!$A:$A,Map!D:D)</f>
        <v>Cost of sales</v>
      </c>
      <c r="I662" t="str">
        <f>_xlfn.XLOOKUP($A662,Map!$A:$A,Map!E:E)</f>
        <v>Raw materials</v>
      </c>
      <c r="J662" t="str">
        <f>_xlfn.XLOOKUP($A662,Map!$A:$A,Map!F:F)</f>
        <v>Other expenses</v>
      </c>
    </row>
    <row r="663" spans="1:10" hidden="1" x14ac:dyDescent="0.25">
      <c r="A663" s="90">
        <v>520036</v>
      </c>
      <c r="B663" s="90" t="s">
        <v>731</v>
      </c>
      <c r="D663" s="91">
        <v>3.0000000000000001E-3</v>
      </c>
      <c r="E663" s="91">
        <v>0</v>
      </c>
      <c r="F663" s="91">
        <f t="shared" si="12"/>
        <v>3.0000000000000001E-3</v>
      </c>
      <c r="G663" t="str">
        <f>_xlfn.XLOOKUP($A663,Map!$A:$A,Map!C:C)</f>
        <v>IS</v>
      </c>
      <c r="H663" t="str">
        <f>_xlfn.XLOOKUP($A663,Map!$A:$A,Map!D:D)</f>
        <v>Cost of sales</v>
      </c>
      <c r="I663" t="str">
        <f>_xlfn.XLOOKUP($A663,Map!$A:$A,Map!E:E)</f>
        <v>Raw materials</v>
      </c>
      <c r="J663" t="str">
        <f>_xlfn.XLOOKUP($A663,Map!$A:$A,Map!F:F)</f>
        <v>Raw materials</v>
      </c>
    </row>
    <row r="664" spans="1:10" hidden="1" x14ac:dyDescent="0.25">
      <c r="A664" s="90">
        <v>520011</v>
      </c>
      <c r="B664" s="90" t="s">
        <v>731</v>
      </c>
      <c r="D664" s="91">
        <v>11583</v>
      </c>
      <c r="E664" s="91">
        <v>0</v>
      </c>
      <c r="F664" s="91">
        <f t="shared" si="12"/>
        <v>11583</v>
      </c>
      <c r="G664" t="str">
        <f>_xlfn.XLOOKUP($A664,Map!$A:$A,Map!C:C)</f>
        <v>IS</v>
      </c>
      <c r="H664" t="str">
        <f>_xlfn.XLOOKUP($A664,Map!$A:$A,Map!D:D)</f>
        <v>Cost of sales</v>
      </c>
      <c r="I664" t="str">
        <f>_xlfn.XLOOKUP($A664,Map!$A:$A,Map!E:E)</f>
        <v>Direct Labor</v>
      </c>
      <c r="J664" t="str">
        <f>_xlfn.XLOOKUP($A664,Map!$A:$A,Map!F:F)</f>
        <v>Overtime pay</v>
      </c>
    </row>
    <row r="665" spans="1:10" hidden="1" x14ac:dyDescent="0.25">
      <c r="A665" s="90">
        <v>520011</v>
      </c>
      <c r="B665" s="90" t="s">
        <v>731</v>
      </c>
      <c r="D665" s="91">
        <v>11780</v>
      </c>
      <c r="E665" s="91">
        <v>0</v>
      </c>
      <c r="F665" s="91">
        <f t="shared" si="12"/>
        <v>11780</v>
      </c>
      <c r="G665" t="str">
        <f>_xlfn.XLOOKUP($A665,Map!$A:$A,Map!C:C)</f>
        <v>IS</v>
      </c>
      <c r="H665" t="str">
        <f>_xlfn.XLOOKUP($A665,Map!$A:$A,Map!D:D)</f>
        <v>Cost of sales</v>
      </c>
      <c r="I665" t="str">
        <f>_xlfn.XLOOKUP($A665,Map!$A:$A,Map!E:E)</f>
        <v>Direct Labor</v>
      </c>
      <c r="J665" t="str">
        <f>_xlfn.XLOOKUP($A665,Map!$A:$A,Map!F:F)</f>
        <v>Overtime pay</v>
      </c>
    </row>
    <row r="666" spans="1:10" hidden="1" x14ac:dyDescent="0.25">
      <c r="A666" s="90">
        <v>520006</v>
      </c>
      <c r="B666" s="90" t="s">
        <v>731</v>
      </c>
      <c r="D666" s="91">
        <v>6405</v>
      </c>
      <c r="E666" s="91">
        <v>0</v>
      </c>
      <c r="F666" s="91">
        <f t="shared" si="12"/>
        <v>6405</v>
      </c>
      <c r="G666" t="str">
        <f>_xlfn.XLOOKUP($A666,Map!$A:$A,Map!C:C)</f>
        <v>IS</v>
      </c>
      <c r="H666" t="str">
        <f>_xlfn.XLOOKUP($A666,Map!$A:$A,Map!D:D)</f>
        <v>Cost of sales</v>
      </c>
      <c r="I666" t="str">
        <f>_xlfn.XLOOKUP($A666,Map!$A:$A,Map!E:E)</f>
        <v>Direct Labor</v>
      </c>
      <c r="J666" t="str">
        <f>_xlfn.XLOOKUP($A666,Map!$A:$A,Map!F:F)</f>
        <v>Medical insurance</v>
      </c>
    </row>
    <row r="667" spans="1:10" hidden="1" x14ac:dyDescent="0.25">
      <c r="A667" s="90">
        <v>520006</v>
      </c>
      <c r="B667" s="90" t="s">
        <v>731</v>
      </c>
      <c r="D667" s="91">
        <v>3208</v>
      </c>
      <c r="E667" s="91">
        <v>0</v>
      </c>
      <c r="F667" s="91">
        <f t="shared" si="12"/>
        <v>3208</v>
      </c>
      <c r="G667" t="str">
        <f>_xlfn.XLOOKUP($A667,Map!$A:$A,Map!C:C)</f>
        <v>IS</v>
      </c>
      <c r="H667" t="str">
        <f>_xlfn.XLOOKUP($A667,Map!$A:$A,Map!D:D)</f>
        <v>Cost of sales</v>
      </c>
      <c r="I667" t="str">
        <f>_xlfn.XLOOKUP($A667,Map!$A:$A,Map!E:E)</f>
        <v>Direct Labor</v>
      </c>
      <c r="J667" t="str">
        <f>_xlfn.XLOOKUP($A667,Map!$A:$A,Map!F:F)</f>
        <v>Medical insurance</v>
      </c>
    </row>
    <row r="668" spans="1:10" hidden="1" x14ac:dyDescent="0.25">
      <c r="A668" s="90">
        <v>520006</v>
      </c>
      <c r="B668" s="90" t="s">
        <v>731</v>
      </c>
      <c r="D668" s="91">
        <v>2057</v>
      </c>
      <c r="E668" s="91">
        <v>0</v>
      </c>
      <c r="F668" s="91">
        <f t="shared" si="12"/>
        <v>2057</v>
      </c>
      <c r="G668" t="str">
        <f>_xlfn.XLOOKUP($A668,Map!$A:$A,Map!C:C)</f>
        <v>IS</v>
      </c>
      <c r="H668" t="str">
        <f>_xlfn.XLOOKUP($A668,Map!$A:$A,Map!D:D)</f>
        <v>Cost of sales</v>
      </c>
      <c r="I668" t="str">
        <f>_xlfn.XLOOKUP($A668,Map!$A:$A,Map!E:E)</f>
        <v>Direct Labor</v>
      </c>
      <c r="J668" t="str">
        <f>_xlfn.XLOOKUP($A668,Map!$A:$A,Map!F:F)</f>
        <v>Medical insurance</v>
      </c>
    </row>
    <row r="669" spans="1:10" hidden="1" x14ac:dyDescent="0.25">
      <c r="A669" s="90">
        <v>520006</v>
      </c>
      <c r="B669" s="90" t="s">
        <v>731</v>
      </c>
      <c r="D669" s="91">
        <v>1724</v>
      </c>
      <c r="E669" s="91">
        <v>0</v>
      </c>
      <c r="F669" s="91">
        <f t="shared" si="12"/>
        <v>1724</v>
      </c>
      <c r="G669" t="str">
        <f>_xlfn.XLOOKUP($A669,Map!$A:$A,Map!C:C)</f>
        <v>IS</v>
      </c>
      <c r="H669" t="str">
        <f>_xlfn.XLOOKUP($A669,Map!$A:$A,Map!D:D)</f>
        <v>Cost of sales</v>
      </c>
      <c r="I669" t="str">
        <f>_xlfn.XLOOKUP($A669,Map!$A:$A,Map!E:E)</f>
        <v>Direct Labor</v>
      </c>
      <c r="J669" t="str">
        <f>_xlfn.XLOOKUP($A669,Map!$A:$A,Map!F:F)</f>
        <v>Medical insurance</v>
      </c>
    </row>
    <row r="670" spans="1:10" hidden="1" x14ac:dyDescent="0.25">
      <c r="A670" s="90">
        <v>520006</v>
      </c>
      <c r="B670" s="90" t="s">
        <v>731</v>
      </c>
      <c r="D670" s="91">
        <v>2238</v>
      </c>
      <c r="E670" s="91">
        <v>0</v>
      </c>
      <c r="F670" s="91">
        <f t="shared" si="12"/>
        <v>2238</v>
      </c>
      <c r="G670" t="str">
        <f>_xlfn.XLOOKUP($A670,Map!$A:$A,Map!C:C)</f>
        <v>IS</v>
      </c>
      <c r="H670" t="str">
        <f>_xlfn.XLOOKUP($A670,Map!$A:$A,Map!D:D)</f>
        <v>Cost of sales</v>
      </c>
      <c r="I670" t="str">
        <f>_xlfn.XLOOKUP($A670,Map!$A:$A,Map!E:E)</f>
        <v>Direct Labor</v>
      </c>
      <c r="J670" t="str">
        <f>_xlfn.XLOOKUP($A670,Map!$A:$A,Map!F:F)</f>
        <v>Medical insurance</v>
      </c>
    </row>
    <row r="671" spans="1:10" hidden="1" x14ac:dyDescent="0.25">
      <c r="A671" s="90">
        <v>520006</v>
      </c>
      <c r="B671" s="90" t="s">
        <v>731</v>
      </c>
      <c r="D671" s="91">
        <v>1460</v>
      </c>
      <c r="E671" s="91">
        <v>0</v>
      </c>
      <c r="F671" s="91">
        <f t="shared" si="12"/>
        <v>1460</v>
      </c>
      <c r="G671" t="str">
        <f>_xlfn.XLOOKUP($A671,Map!$A:$A,Map!C:C)</f>
        <v>IS</v>
      </c>
      <c r="H671" t="str">
        <f>_xlfn.XLOOKUP($A671,Map!$A:$A,Map!D:D)</f>
        <v>Cost of sales</v>
      </c>
      <c r="I671" t="str">
        <f>_xlfn.XLOOKUP($A671,Map!$A:$A,Map!E:E)</f>
        <v>Direct Labor</v>
      </c>
      <c r="J671" t="str">
        <f>_xlfn.XLOOKUP($A671,Map!$A:$A,Map!F:F)</f>
        <v>Medical insurance</v>
      </c>
    </row>
    <row r="672" spans="1:10" hidden="1" x14ac:dyDescent="0.25">
      <c r="A672" s="90">
        <v>520004</v>
      </c>
      <c r="B672" s="90" t="s">
        <v>731</v>
      </c>
      <c r="D672" s="91">
        <v>4610</v>
      </c>
      <c r="E672" s="91">
        <v>0</v>
      </c>
      <c r="F672" s="91">
        <f t="shared" si="12"/>
        <v>4610</v>
      </c>
      <c r="G672" t="str">
        <f>_xlfn.XLOOKUP($A672,Map!$A:$A,Map!C:C)</f>
        <v>IS</v>
      </c>
      <c r="H672" t="str">
        <f>_xlfn.XLOOKUP($A672,Map!$A:$A,Map!D:D)</f>
        <v>Cost of sales</v>
      </c>
      <c r="I672" t="str">
        <f>_xlfn.XLOOKUP($A672,Map!$A:$A,Map!E:E)</f>
        <v>Direct Labor</v>
      </c>
      <c r="J672" t="str">
        <f>_xlfn.XLOOKUP($A672,Map!$A:$A,Map!F:F)</f>
        <v>Food and housing</v>
      </c>
    </row>
    <row r="673" spans="1:10" hidden="1" x14ac:dyDescent="0.25">
      <c r="A673" s="90">
        <v>520004</v>
      </c>
      <c r="B673" s="90" t="s">
        <v>731</v>
      </c>
      <c r="D673" s="91">
        <v>2700</v>
      </c>
      <c r="E673" s="91">
        <v>0</v>
      </c>
      <c r="F673" s="91">
        <f t="shared" si="12"/>
        <v>2700</v>
      </c>
      <c r="G673" t="str">
        <f>_xlfn.XLOOKUP($A673,Map!$A:$A,Map!C:C)</f>
        <v>IS</v>
      </c>
      <c r="H673" t="str">
        <f>_xlfn.XLOOKUP($A673,Map!$A:$A,Map!D:D)</f>
        <v>Cost of sales</v>
      </c>
      <c r="I673" t="str">
        <f>_xlfn.XLOOKUP($A673,Map!$A:$A,Map!E:E)</f>
        <v>Direct Labor</v>
      </c>
      <c r="J673" t="str">
        <f>_xlfn.XLOOKUP($A673,Map!$A:$A,Map!F:F)</f>
        <v>Food and housing</v>
      </c>
    </row>
    <row r="674" spans="1:10" hidden="1" x14ac:dyDescent="0.25">
      <c r="A674" s="90">
        <v>520003</v>
      </c>
      <c r="B674" s="90" t="s">
        <v>731</v>
      </c>
      <c r="D674" s="91">
        <v>2550</v>
      </c>
      <c r="E674" s="91">
        <v>0</v>
      </c>
      <c r="F674" s="91">
        <f t="shared" si="12"/>
        <v>2550</v>
      </c>
      <c r="G674" t="str">
        <f>_xlfn.XLOOKUP($A674,Map!$A:$A,Map!C:C)</f>
        <v>IS</v>
      </c>
      <c r="H674" t="str">
        <f>_xlfn.XLOOKUP($A674,Map!$A:$A,Map!D:D)</f>
        <v>Cost of sales</v>
      </c>
      <c r="I674" t="str">
        <f>_xlfn.XLOOKUP($A674,Map!$A:$A,Map!E:E)</f>
        <v>Direct Labor</v>
      </c>
      <c r="J674" t="str">
        <f>_xlfn.XLOOKUP($A674,Map!$A:$A,Map!F:F)</f>
        <v>Transportation allowance</v>
      </c>
    </row>
    <row r="675" spans="1:10" hidden="1" x14ac:dyDescent="0.25">
      <c r="A675" s="90">
        <v>520001</v>
      </c>
      <c r="B675" s="90" t="s">
        <v>731</v>
      </c>
      <c r="D675" s="91">
        <v>120026.5</v>
      </c>
      <c r="E675" s="91">
        <v>0</v>
      </c>
      <c r="F675" s="91">
        <f t="shared" si="12"/>
        <v>120026.5</v>
      </c>
      <c r="G675" t="str">
        <f>_xlfn.XLOOKUP($A675,Map!$A:$A,Map!C:C)</f>
        <v>IS</v>
      </c>
      <c r="H675" t="str">
        <f>_xlfn.XLOOKUP($A675,Map!$A:$A,Map!D:D)</f>
        <v>Cost of sales</v>
      </c>
      <c r="I675" t="str">
        <f>_xlfn.XLOOKUP($A675,Map!$A:$A,Map!E:E)</f>
        <v>Direct Labor</v>
      </c>
      <c r="J675" t="str">
        <f>_xlfn.XLOOKUP($A675,Map!$A:$A,Map!F:F)</f>
        <v>Salaries and wages</v>
      </c>
    </row>
    <row r="676" spans="1:10" hidden="1" x14ac:dyDescent="0.25">
      <c r="A676" s="90">
        <v>520001</v>
      </c>
      <c r="B676" s="90" t="s">
        <v>731</v>
      </c>
      <c r="D676" s="91">
        <v>19460</v>
      </c>
      <c r="E676" s="91">
        <v>0</v>
      </c>
      <c r="F676" s="91">
        <f t="shared" si="12"/>
        <v>19460</v>
      </c>
      <c r="G676" t="str">
        <f>_xlfn.XLOOKUP($A676,Map!$A:$A,Map!C:C)</f>
        <v>IS</v>
      </c>
      <c r="H676" t="str">
        <f>_xlfn.XLOOKUP($A676,Map!$A:$A,Map!D:D)</f>
        <v>Cost of sales</v>
      </c>
      <c r="I676" t="str">
        <f>_xlfn.XLOOKUP($A676,Map!$A:$A,Map!E:E)</f>
        <v>Direct Labor</v>
      </c>
      <c r="J676" t="str">
        <f>_xlfn.XLOOKUP($A676,Map!$A:$A,Map!F:F)</f>
        <v>Salaries and wages</v>
      </c>
    </row>
    <row r="677" spans="1:10" hidden="1" x14ac:dyDescent="0.25">
      <c r="A677" s="90">
        <v>520001</v>
      </c>
      <c r="B677" s="90" t="s">
        <v>731</v>
      </c>
      <c r="D677" s="91">
        <v>33882.5</v>
      </c>
      <c r="E677" s="91">
        <v>0</v>
      </c>
      <c r="F677" s="91">
        <f t="shared" si="12"/>
        <v>33882.5</v>
      </c>
      <c r="G677" t="str">
        <f>_xlfn.XLOOKUP($A677,Map!$A:$A,Map!C:C)</f>
        <v>IS</v>
      </c>
      <c r="H677" t="str">
        <f>_xlfn.XLOOKUP($A677,Map!$A:$A,Map!D:D)</f>
        <v>Cost of sales</v>
      </c>
      <c r="I677" t="str">
        <f>_xlfn.XLOOKUP($A677,Map!$A:$A,Map!E:E)</f>
        <v>Direct Labor</v>
      </c>
      <c r="J677" t="str">
        <f>_xlfn.XLOOKUP($A677,Map!$A:$A,Map!F:F)</f>
        <v>Salaries and wages</v>
      </c>
    </row>
    <row r="678" spans="1:10" hidden="1" x14ac:dyDescent="0.25">
      <c r="A678" s="90">
        <v>520001</v>
      </c>
      <c r="B678" s="90" t="s">
        <v>731</v>
      </c>
      <c r="D678" s="91">
        <v>11879</v>
      </c>
      <c r="E678" s="91">
        <v>0</v>
      </c>
      <c r="F678" s="91">
        <f t="shared" si="12"/>
        <v>11879</v>
      </c>
      <c r="G678" t="str">
        <f>_xlfn.XLOOKUP($A678,Map!$A:$A,Map!C:C)</f>
        <v>IS</v>
      </c>
      <c r="H678" t="str">
        <f>_xlfn.XLOOKUP($A678,Map!$A:$A,Map!D:D)</f>
        <v>Cost of sales</v>
      </c>
      <c r="I678" t="str">
        <f>_xlfn.XLOOKUP($A678,Map!$A:$A,Map!E:E)</f>
        <v>Direct Labor</v>
      </c>
      <c r="J678" t="str">
        <f>_xlfn.XLOOKUP($A678,Map!$A:$A,Map!F:F)</f>
        <v>Salaries and wages</v>
      </c>
    </row>
    <row r="679" spans="1:10" hidden="1" x14ac:dyDescent="0.25">
      <c r="A679" s="90">
        <v>520001</v>
      </c>
      <c r="B679" s="90" t="s">
        <v>731</v>
      </c>
      <c r="D679" s="91">
        <v>17808</v>
      </c>
      <c r="E679" s="91">
        <v>0</v>
      </c>
      <c r="F679" s="91">
        <f t="shared" si="12"/>
        <v>17808</v>
      </c>
      <c r="G679" t="str">
        <f>_xlfn.XLOOKUP($A679,Map!$A:$A,Map!C:C)</f>
        <v>IS</v>
      </c>
      <c r="H679" t="str">
        <f>_xlfn.XLOOKUP($A679,Map!$A:$A,Map!D:D)</f>
        <v>Cost of sales</v>
      </c>
      <c r="I679" t="str">
        <f>_xlfn.XLOOKUP($A679,Map!$A:$A,Map!E:E)</f>
        <v>Direct Labor</v>
      </c>
      <c r="J679" t="str">
        <f>_xlfn.XLOOKUP($A679,Map!$A:$A,Map!F:F)</f>
        <v>Salaries and wages</v>
      </c>
    </row>
    <row r="680" spans="1:10" hidden="1" x14ac:dyDescent="0.25">
      <c r="A680" s="90">
        <v>510004</v>
      </c>
      <c r="B680" s="90" t="s">
        <v>731</v>
      </c>
      <c r="D680" s="91">
        <v>0</v>
      </c>
      <c r="E680" s="91">
        <v>26989.3</v>
      </c>
      <c r="F680" s="91">
        <f t="shared" si="12"/>
        <v>-26989.3</v>
      </c>
      <c r="G680" t="str">
        <f>_xlfn.XLOOKUP($A680,Map!$A:$A,Map!C:C)</f>
        <v>IS</v>
      </c>
      <c r="H680" t="str">
        <f>_xlfn.XLOOKUP($A680,Map!$A:$A,Map!D:D)</f>
        <v>Cost of sales</v>
      </c>
      <c r="I680" t="str">
        <f>_xlfn.XLOOKUP($A680,Map!$A:$A,Map!E:E)</f>
        <v>Raw materials</v>
      </c>
      <c r="J680" t="str">
        <f>_xlfn.XLOOKUP($A680,Map!$A:$A,Map!F:F)</f>
        <v>Other expenses</v>
      </c>
    </row>
    <row r="681" spans="1:10" hidden="1" x14ac:dyDescent="0.25">
      <c r="A681" s="90">
        <v>510004</v>
      </c>
      <c r="B681" s="90" t="s">
        <v>731</v>
      </c>
      <c r="D681" s="91">
        <v>0</v>
      </c>
      <c r="E681" s="91">
        <v>12032.09</v>
      </c>
      <c r="F681" s="91">
        <f t="shared" si="12"/>
        <v>-12032.09</v>
      </c>
      <c r="G681" t="str">
        <f>_xlfn.XLOOKUP($A681,Map!$A:$A,Map!C:C)</f>
        <v>IS</v>
      </c>
      <c r="H681" t="str">
        <f>_xlfn.XLOOKUP($A681,Map!$A:$A,Map!D:D)</f>
        <v>Cost of sales</v>
      </c>
      <c r="I681" t="str">
        <f>_xlfn.XLOOKUP($A681,Map!$A:$A,Map!E:E)</f>
        <v>Raw materials</v>
      </c>
      <c r="J681" t="str">
        <f>_xlfn.XLOOKUP($A681,Map!$A:$A,Map!F:F)</f>
        <v>Other expenses</v>
      </c>
    </row>
    <row r="682" spans="1:10" hidden="1" x14ac:dyDescent="0.25">
      <c r="A682" s="90">
        <v>510004</v>
      </c>
      <c r="B682" s="90" t="s">
        <v>731</v>
      </c>
      <c r="D682" s="91">
        <v>0</v>
      </c>
      <c r="E682" s="91">
        <v>584.75</v>
      </c>
      <c r="F682" s="91">
        <f t="shared" si="12"/>
        <v>-584.75</v>
      </c>
      <c r="G682" t="str">
        <f>_xlfn.XLOOKUP($A682,Map!$A:$A,Map!C:C)</f>
        <v>IS</v>
      </c>
      <c r="H682" t="str">
        <f>_xlfn.XLOOKUP($A682,Map!$A:$A,Map!D:D)</f>
        <v>Cost of sales</v>
      </c>
      <c r="I682" t="str">
        <f>_xlfn.XLOOKUP($A682,Map!$A:$A,Map!E:E)</f>
        <v>Raw materials</v>
      </c>
      <c r="J682" t="str">
        <f>_xlfn.XLOOKUP($A682,Map!$A:$A,Map!F:F)</f>
        <v>Other expenses</v>
      </c>
    </row>
    <row r="683" spans="1:10" hidden="1" x14ac:dyDescent="0.25">
      <c r="A683" s="90">
        <v>510004</v>
      </c>
      <c r="B683" s="90" t="s">
        <v>731</v>
      </c>
      <c r="D683" s="91">
        <v>0</v>
      </c>
      <c r="E683" s="91">
        <v>14503.45</v>
      </c>
      <c r="F683" s="91">
        <f t="shared" si="12"/>
        <v>-14503.45</v>
      </c>
      <c r="G683" t="str">
        <f>_xlfn.XLOOKUP($A683,Map!$A:$A,Map!C:C)</f>
        <v>IS</v>
      </c>
      <c r="H683" t="str">
        <f>_xlfn.XLOOKUP($A683,Map!$A:$A,Map!D:D)</f>
        <v>Cost of sales</v>
      </c>
      <c r="I683" t="str">
        <f>_xlfn.XLOOKUP($A683,Map!$A:$A,Map!E:E)</f>
        <v>Raw materials</v>
      </c>
      <c r="J683" t="str">
        <f>_xlfn.XLOOKUP($A683,Map!$A:$A,Map!F:F)</f>
        <v>Other expenses</v>
      </c>
    </row>
    <row r="684" spans="1:10" hidden="1" x14ac:dyDescent="0.25">
      <c r="A684" s="90">
        <v>510004</v>
      </c>
      <c r="B684" s="90" t="s">
        <v>731</v>
      </c>
      <c r="D684" s="91">
        <v>0</v>
      </c>
      <c r="E684" s="91">
        <v>13605.42</v>
      </c>
      <c r="F684" s="91">
        <f t="shared" si="12"/>
        <v>-13605.42</v>
      </c>
      <c r="G684" t="str">
        <f>_xlfn.XLOOKUP($A684,Map!$A:$A,Map!C:C)</f>
        <v>IS</v>
      </c>
      <c r="H684" t="str">
        <f>_xlfn.XLOOKUP($A684,Map!$A:$A,Map!D:D)</f>
        <v>Cost of sales</v>
      </c>
      <c r="I684" t="str">
        <f>_xlfn.XLOOKUP($A684,Map!$A:$A,Map!E:E)</f>
        <v>Raw materials</v>
      </c>
      <c r="J684" t="str">
        <f>_xlfn.XLOOKUP($A684,Map!$A:$A,Map!F:F)</f>
        <v>Other expenses</v>
      </c>
    </row>
    <row r="685" spans="1:10" hidden="1" x14ac:dyDescent="0.25">
      <c r="A685" s="90">
        <v>510004</v>
      </c>
      <c r="B685" s="90" t="s">
        <v>731</v>
      </c>
      <c r="D685" s="91">
        <v>0</v>
      </c>
      <c r="E685" s="91">
        <v>3439.94</v>
      </c>
      <c r="F685" s="91">
        <f t="shared" si="12"/>
        <v>-3439.94</v>
      </c>
      <c r="G685" t="str">
        <f>_xlfn.XLOOKUP($A685,Map!$A:$A,Map!C:C)</f>
        <v>IS</v>
      </c>
      <c r="H685" t="str">
        <f>_xlfn.XLOOKUP($A685,Map!$A:$A,Map!D:D)</f>
        <v>Cost of sales</v>
      </c>
      <c r="I685" t="str">
        <f>_xlfn.XLOOKUP($A685,Map!$A:$A,Map!E:E)</f>
        <v>Raw materials</v>
      </c>
      <c r="J685" t="str">
        <f>_xlfn.XLOOKUP($A685,Map!$A:$A,Map!F:F)</f>
        <v>Other expenses</v>
      </c>
    </row>
    <row r="686" spans="1:10" hidden="1" x14ac:dyDescent="0.25">
      <c r="A686" s="90">
        <v>510004</v>
      </c>
      <c r="B686" s="90" t="s">
        <v>731</v>
      </c>
      <c r="D686" s="91">
        <v>0</v>
      </c>
      <c r="E686" s="91">
        <v>454.3</v>
      </c>
      <c r="F686" s="91">
        <f t="shared" si="12"/>
        <v>-454.3</v>
      </c>
      <c r="G686" t="str">
        <f>_xlfn.XLOOKUP($A686,Map!$A:$A,Map!C:C)</f>
        <v>IS</v>
      </c>
      <c r="H686" t="str">
        <f>_xlfn.XLOOKUP($A686,Map!$A:$A,Map!D:D)</f>
        <v>Cost of sales</v>
      </c>
      <c r="I686" t="str">
        <f>_xlfn.XLOOKUP($A686,Map!$A:$A,Map!E:E)</f>
        <v>Raw materials</v>
      </c>
      <c r="J686" t="str">
        <f>_xlfn.XLOOKUP($A686,Map!$A:$A,Map!F:F)</f>
        <v>Other expenses</v>
      </c>
    </row>
    <row r="687" spans="1:10" hidden="1" x14ac:dyDescent="0.25">
      <c r="A687" s="90">
        <v>510004</v>
      </c>
      <c r="B687" s="90" t="s">
        <v>731</v>
      </c>
      <c r="D687" s="91">
        <v>0</v>
      </c>
      <c r="E687" s="91">
        <v>5885.58</v>
      </c>
      <c r="F687" s="91">
        <f t="shared" si="12"/>
        <v>-5885.58</v>
      </c>
      <c r="G687" t="str">
        <f>_xlfn.XLOOKUP($A687,Map!$A:$A,Map!C:C)</f>
        <v>IS</v>
      </c>
      <c r="H687" t="str">
        <f>_xlfn.XLOOKUP($A687,Map!$A:$A,Map!D:D)</f>
        <v>Cost of sales</v>
      </c>
      <c r="I687" t="str">
        <f>_xlfn.XLOOKUP($A687,Map!$A:$A,Map!E:E)</f>
        <v>Raw materials</v>
      </c>
      <c r="J687" t="str">
        <f>_xlfn.XLOOKUP($A687,Map!$A:$A,Map!F:F)</f>
        <v>Other expenses</v>
      </c>
    </row>
    <row r="688" spans="1:10" hidden="1" x14ac:dyDescent="0.25">
      <c r="A688" s="90">
        <v>510004</v>
      </c>
      <c r="B688" s="90" t="s">
        <v>731</v>
      </c>
      <c r="D688" s="91">
        <v>0</v>
      </c>
      <c r="E688" s="91">
        <v>36655.629999999997</v>
      </c>
      <c r="F688" s="91">
        <f t="shared" si="12"/>
        <v>-36655.629999999997</v>
      </c>
      <c r="G688" t="str">
        <f>_xlfn.XLOOKUP($A688,Map!$A:$A,Map!C:C)</f>
        <v>IS</v>
      </c>
      <c r="H688" t="str">
        <f>_xlfn.XLOOKUP($A688,Map!$A:$A,Map!D:D)</f>
        <v>Cost of sales</v>
      </c>
      <c r="I688" t="str">
        <f>_xlfn.XLOOKUP($A688,Map!$A:$A,Map!E:E)</f>
        <v>Raw materials</v>
      </c>
      <c r="J688" t="str">
        <f>_xlfn.XLOOKUP($A688,Map!$A:$A,Map!F:F)</f>
        <v>Other expenses</v>
      </c>
    </row>
    <row r="689" spans="1:10" hidden="1" x14ac:dyDescent="0.25">
      <c r="A689" s="90">
        <v>510004</v>
      </c>
      <c r="B689" s="90" t="s">
        <v>731</v>
      </c>
      <c r="D689" s="91">
        <v>0</v>
      </c>
      <c r="E689" s="91">
        <v>3100.02</v>
      </c>
      <c r="F689" s="91">
        <f t="shared" si="12"/>
        <v>-3100.02</v>
      </c>
      <c r="G689" t="str">
        <f>_xlfn.XLOOKUP($A689,Map!$A:$A,Map!C:C)</f>
        <v>IS</v>
      </c>
      <c r="H689" t="str">
        <f>_xlfn.XLOOKUP($A689,Map!$A:$A,Map!D:D)</f>
        <v>Cost of sales</v>
      </c>
      <c r="I689" t="str">
        <f>_xlfn.XLOOKUP($A689,Map!$A:$A,Map!E:E)</f>
        <v>Raw materials</v>
      </c>
      <c r="J689" t="str">
        <f>_xlfn.XLOOKUP($A689,Map!$A:$A,Map!F:F)</f>
        <v>Other expenses</v>
      </c>
    </row>
    <row r="690" spans="1:10" hidden="1" x14ac:dyDescent="0.25">
      <c r="A690" s="90">
        <v>510002</v>
      </c>
      <c r="B690" s="90" t="s">
        <v>731</v>
      </c>
      <c r="D690" s="91">
        <v>0</v>
      </c>
      <c r="E690" s="91">
        <v>148099</v>
      </c>
      <c r="F690" s="91">
        <f t="shared" si="12"/>
        <v>-148099</v>
      </c>
      <c r="G690" t="str">
        <f>_xlfn.XLOOKUP($A690,Map!$A:$A,Map!C:C)</f>
        <v>IS</v>
      </c>
      <c r="H690" t="str">
        <f>_xlfn.XLOOKUP($A690,Map!$A:$A,Map!D:D)</f>
        <v>Cost of sales</v>
      </c>
      <c r="I690" t="str">
        <f>_xlfn.XLOOKUP($A690,Map!$A:$A,Map!E:E)</f>
        <v>Direct Labor</v>
      </c>
      <c r="J690" t="str">
        <f>_xlfn.XLOOKUP($A690,Map!$A:$A,Map!F:F)</f>
        <v>Direct Labor</v>
      </c>
    </row>
    <row r="691" spans="1:10" hidden="1" x14ac:dyDescent="0.25">
      <c r="A691" s="90">
        <v>510002</v>
      </c>
      <c r="B691" s="90" t="s">
        <v>731</v>
      </c>
      <c r="D691" s="91">
        <v>0</v>
      </c>
      <c r="E691" s="91">
        <v>8955</v>
      </c>
      <c r="F691" s="91">
        <f t="shared" si="12"/>
        <v>-8955</v>
      </c>
      <c r="G691" t="str">
        <f>_xlfn.XLOOKUP($A691,Map!$A:$A,Map!C:C)</f>
        <v>IS</v>
      </c>
      <c r="H691" t="str">
        <f>_xlfn.XLOOKUP($A691,Map!$A:$A,Map!D:D)</f>
        <v>Cost of sales</v>
      </c>
      <c r="I691" t="str">
        <f>_xlfn.XLOOKUP($A691,Map!$A:$A,Map!E:E)</f>
        <v>Direct Labor</v>
      </c>
      <c r="J691" t="str">
        <f>_xlfn.XLOOKUP($A691,Map!$A:$A,Map!F:F)</f>
        <v>Direct Labor</v>
      </c>
    </row>
    <row r="692" spans="1:10" hidden="1" x14ac:dyDescent="0.25">
      <c r="A692" s="90">
        <v>510002</v>
      </c>
      <c r="B692" s="90" t="s">
        <v>731</v>
      </c>
      <c r="D692" s="91">
        <v>0</v>
      </c>
      <c r="E692" s="91">
        <v>37148</v>
      </c>
      <c r="F692" s="91">
        <f t="shared" si="12"/>
        <v>-37148</v>
      </c>
      <c r="G692" t="str">
        <f>_xlfn.XLOOKUP($A692,Map!$A:$A,Map!C:C)</f>
        <v>IS</v>
      </c>
      <c r="H692" t="str">
        <f>_xlfn.XLOOKUP($A692,Map!$A:$A,Map!D:D)</f>
        <v>Cost of sales</v>
      </c>
      <c r="I692" t="str">
        <f>_xlfn.XLOOKUP($A692,Map!$A:$A,Map!E:E)</f>
        <v>Direct Labor</v>
      </c>
      <c r="J692" t="str">
        <f>_xlfn.XLOOKUP($A692,Map!$A:$A,Map!F:F)</f>
        <v>Direct Labor</v>
      </c>
    </row>
    <row r="693" spans="1:10" hidden="1" x14ac:dyDescent="0.25">
      <c r="A693" s="90">
        <v>510002</v>
      </c>
      <c r="B693" s="90" t="s">
        <v>731</v>
      </c>
      <c r="D693" s="91">
        <v>0</v>
      </c>
      <c r="E693" s="91">
        <v>35940</v>
      </c>
      <c r="F693" s="91">
        <f t="shared" si="12"/>
        <v>-35940</v>
      </c>
      <c r="G693" t="str">
        <f>_xlfn.XLOOKUP($A693,Map!$A:$A,Map!C:C)</f>
        <v>IS</v>
      </c>
      <c r="H693" t="str">
        <f>_xlfn.XLOOKUP($A693,Map!$A:$A,Map!D:D)</f>
        <v>Cost of sales</v>
      </c>
      <c r="I693" t="str">
        <f>_xlfn.XLOOKUP($A693,Map!$A:$A,Map!E:E)</f>
        <v>Direct Labor</v>
      </c>
      <c r="J693" t="str">
        <f>_xlfn.XLOOKUP($A693,Map!$A:$A,Map!F:F)</f>
        <v>Direct Labor</v>
      </c>
    </row>
    <row r="694" spans="1:10" hidden="1" x14ac:dyDescent="0.25">
      <c r="A694" s="90">
        <v>510002</v>
      </c>
      <c r="B694" s="90" t="s">
        <v>731</v>
      </c>
      <c r="D694" s="91">
        <v>0</v>
      </c>
      <c r="E694" s="91">
        <v>2238</v>
      </c>
      <c r="F694" s="91">
        <f t="shared" si="12"/>
        <v>-2238</v>
      </c>
      <c r="G694" t="str">
        <f>_xlfn.XLOOKUP($A694,Map!$A:$A,Map!C:C)</f>
        <v>IS</v>
      </c>
      <c r="H694" t="str">
        <f>_xlfn.XLOOKUP($A694,Map!$A:$A,Map!D:D)</f>
        <v>Cost of sales</v>
      </c>
      <c r="I694" t="str">
        <f>_xlfn.XLOOKUP($A694,Map!$A:$A,Map!E:E)</f>
        <v>Direct Labor</v>
      </c>
      <c r="J694" t="str">
        <f>_xlfn.XLOOKUP($A694,Map!$A:$A,Map!F:F)</f>
        <v>Direct Labor</v>
      </c>
    </row>
    <row r="695" spans="1:10" hidden="1" x14ac:dyDescent="0.25">
      <c r="A695" s="90">
        <v>510002</v>
      </c>
      <c r="B695" s="90" t="s">
        <v>731</v>
      </c>
      <c r="D695" s="91">
        <v>0</v>
      </c>
      <c r="E695" s="91">
        <v>1724</v>
      </c>
      <c r="F695" s="91">
        <f t="shared" si="12"/>
        <v>-1724</v>
      </c>
      <c r="G695" t="str">
        <f>_xlfn.XLOOKUP($A695,Map!$A:$A,Map!C:C)</f>
        <v>IS</v>
      </c>
      <c r="H695" t="str">
        <f>_xlfn.XLOOKUP($A695,Map!$A:$A,Map!D:D)</f>
        <v>Cost of sales</v>
      </c>
      <c r="I695" t="str">
        <f>_xlfn.XLOOKUP($A695,Map!$A:$A,Map!E:E)</f>
        <v>Direct Labor</v>
      </c>
      <c r="J695" t="str">
        <f>_xlfn.XLOOKUP($A695,Map!$A:$A,Map!F:F)</f>
        <v>Direct Labor</v>
      </c>
    </row>
    <row r="696" spans="1:10" hidden="1" x14ac:dyDescent="0.25">
      <c r="A696" s="90">
        <v>510002</v>
      </c>
      <c r="B696" s="90" t="s">
        <v>731</v>
      </c>
      <c r="D696" s="91">
        <v>0</v>
      </c>
      <c r="E696" s="91">
        <v>17808</v>
      </c>
      <c r="F696" s="91">
        <f t="shared" si="12"/>
        <v>-17808</v>
      </c>
      <c r="G696" t="str">
        <f>_xlfn.XLOOKUP($A696,Map!$A:$A,Map!C:C)</f>
        <v>IS</v>
      </c>
      <c r="H696" t="str">
        <f>_xlfn.XLOOKUP($A696,Map!$A:$A,Map!D:D)</f>
        <v>Cost of sales</v>
      </c>
      <c r="I696" t="str">
        <f>_xlfn.XLOOKUP($A696,Map!$A:$A,Map!E:E)</f>
        <v>Direct Labor</v>
      </c>
      <c r="J696" t="str">
        <f>_xlfn.XLOOKUP($A696,Map!$A:$A,Map!F:F)</f>
        <v>Direct Labor</v>
      </c>
    </row>
    <row r="697" spans="1:10" hidden="1" x14ac:dyDescent="0.25">
      <c r="A697" s="90">
        <v>510002</v>
      </c>
      <c r="B697" s="90" t="s">
        <v>731</v>
      </c>
      <c r="D697" s="91">
        <v>0</v>
      </c>
      <c r="E697" s="91">
        <v>1460</v>
      </c>
      <c r="F697" s="91">
        <f t="shared" si="12"/>
        <v>-1460</v>
      </c>
      <c r="G697" t="str">
        <f>_xlfn.XLOOKUP($A697,Map!$A:$A,Map!C:C)</f>
        <v>IS</v>
      </c>
      <c r="H697" t="str">
        <f>_xlfn.XLOOKUP($A697,Map!$A:$A,Map!D:D)</f>
        <v>Cost of sales</v>
      </c>
      <c r="I697" t="str">
        <f>_xlfn.XLOOKUP($A697,Map!$A:$A,Map!E:E)</f>
        <v>Direct Labor</v>
      </c>
      <c r="J697" t="str">
        <f>_xlfn.XLOOKUP($A697,Map!$A:$A,Map!F:F)</f>
        <v>Direct Labor</v>
      </c>
    </row>
    <row r="698" spans="1:10" hidden="1" x14ac:dyDescent="0.25">
      <c r="A698" s="90">
        <v>510001</v>
      </c>
      <c r="B698" s="90" t="s">
        <v>731</v>
      </c>
      <c r="D698" s="91">
        <v>0</v>
      </c>
      <c r="E698" s="91">
        <v>21978.539000000001</v>
      </c>
      <c r="F698" s="91">
        <f t="shared" si="12"/>
        <v>-21978.539000000001</v>
      </c>
      <c r="G698" t="str">
        <f>_xlfn.XLOOKUP($A698,Map!$A:$A,Map!C:C)</f>
        <v>IS</v>
      </c>
      <c r="H698" t="str">
        <f>_xlfn.XLOOKUP($A698,Map!$A:$A,Map!D:D)</f>
        <v>Cost of sales</v>
      </c>
      <c r="I698" t="str">
        <f>_xlfn.XLOOKUP($A698,Map!$A:$A,Map!E:E)</f>
        <v>Raw materials</v>
      </c>
      <c r="J698" t="str">
        <f>_xlfn.XLOOKUP($A698,Map!$A:$A,Map!F:F)</f>
        <v>Raw materials</v>
      </c>
    </row>
    <row r="699" spans="1:10" hidden="1" x14ac:dyDescent="0.25">
      <c r="A699" s="90">
        <v>510001</v>
      </c>
      <c r="B699" s="90" t="s">
        <v>731</v>
      </c>
      <c r="D699" s="91">
        <v>0</v>
      </c>
      <c r="E699" s="91">
        <v>5395.8490000000002</v>
      </c>
      <c r="F699" s="91">
        <f t="shared" si="12"/>
        <v>-5395.8490000000002</v>
      </c>
      <c r="G699" t="str">
        <f>_xlfn.XLOOKUP($A699,Map!$A:$A,Map!C:C)</f>
        <v>IS</v>
      </c>
      <c r="H699" t="str">
        <f>_xlfn.XLOOKUP($A699,Map!$A:$A,Map!D:D)</f>
        <v>Cost of sales</v>
      </c>
      <c r="I699" t="str">
        <f>_xlfn.XLOOKUP($A699,Map!$A:$A,Map!E:E)</f>
        <v>Raw materials</v>
      </c>
      <c r="J699" t="str">
        <f>_xlfn.XLOOKUP($A699,Map!$A:$A,Map!F:F)</f>
        <v>Raw materials</v>
      </c>
    </row>
    <row r="700" spans="1:10" hidden="1" x14ac:dyDescent="0.25">
      <c r="A700" s="90">
        <v>510001</v>
      </c>
      <c r="B700" s="90" t="s">
        <v>731</v>
      </c>
      <c r="D700" s="91">
        <v>0</v>
      </c>
      <c r="E700" s="91">
        <v>4975.0950000000003</v>
      </c>
      <c r="F700" s="91">
        <f t="shared" si="12"/>
        <v>-4975.0950000000003</v>
      </c>
      <c r="G700" t="str">
        <f>_xlfn.XLOOKUP($A700,Map!$A:$A,Map!C:C)</f>
        <v>IS</v>
      </c>
      <c r="H700" t="str">
        <f>_xlfn.XLOOKUP($A700,Map!$A:$A,Map!D:D)</f>
        <v>Cost of sales</v>
      </c>
      <c r="I700" t="str">
        <f>_xlfn.XLOOKUP($A700,Map!$A:$A,Map!E:E)</f>
        <v>Raw materials</v>
      </c>
      <c r="J700" t="str">
        <f>_xlfn.XLOOKUP($A700,Map!$A:$A,Map!F:F)</f>
        <v>Raw materials</v>
      </c>
    </row>
    <row r="701" spans="1:10" hidden="1" x14ac:dyDescent="0.25">
      <c r="A701" s="90">
        <v>510001</v>
      </c>
      <c r="B701" s="90" t="s">
        <v>731</v>
      </c>
      <c r="D701" s="91">
        <v>0</v>
      </c>
      <c r="E701" s="91">
        <v>21964.508000000002</v>
      </c>
      <c r="F701" s="91">
        <f t="shared" ref="F701:F709" si="13">D701-E701</f>
        <v>-21964.508000000002</v>
      </c>
      <c r="G701" t="str">
        <f>_xlfn.XLOOKUP($A701,Map!$A:$A,Map!C:C)</f>
        <v>IS</v>
      </c>
      <c r="H701" t="str">
        <f>_xlfn.XLOOKUP($A701,Map!$A:$A,Map!D:D)</f>
        <v>Cost of sales</v>
      </c>
      <c r="I701" t="str">
        <f>_xlfn.XLOOKUP($A701,Map!$A:$A,Map!E:E)</f>
        <v>Raw materials</v>
      </c>
      <c r="J701" t="str">
        <f>_xlfn.XLOOKUP($A701,Map!$A:$A,Map!F:F)</f>
        <v>Raw materials</v>
      </c>
    </row>
    <row r="702" spans="1:10" hidden="1" x14ac:dyDescent="0.25">
      <c r="A702" s="90">
        <v>510001</v>
      </c>
      <c r="B702" s="90" t="s">
        <v>731</v>
      </c>
      <c r="D702" s="91">
        <v>0</v>
      </c>
      <c r="E702" s="91">
        <v>6966.5619999999999</v>
      </c>
      <c r="F702" s="91">
        <f t="shared" si="13"/>
        <v>-6966.5619999999999</v>
      </c>
      <c r="G702" t="str">
        <f>_xlfn.XLOOKUP($A702,Map!$A:$A,Map!C:C)</f>
        <v>IS</v>
      </c>
      <c r="H702" t="str">
        <f>_xlfn.XLOOKUP($A702,Map!$A:$A,Map!D:D)</f>
        <v>Cost of sales</v>
      </c>
      <c r="I702" t="str">
        <f>_xlfn.XLOOKUP($A702,Map!$A:$A,Map!E:E)</f>
        <v>Raw materials</v>
      </c>
      <c r="J702" t="str">
        <f>_xlfn.XLOOKUP($A702,Map!$A:$A,Map!F:F)</f>
        <v>Raw materials</v>
      </c>
    </row>
    <row r="703" spans="1:10" hidden="1" x14ac:dyDescent="0.25">
      <c r="A703" s="90">
        <v>510001</v>
      </c>
      <c r="B703" s="90" t="s">
        <v>731</v>
      </c>
      <c r="D703" s="91">
        <v>0</v>
      </c>
      <c r="E703" s="91">
        <v>2704.2820000000002</v>
      </c>
      <c r="F703" s="91">
        <f t="shared" si="13"/>
        <v>-2704.2820000000002</v>
      </c>
      <c r="G703" t="str">
        <f>_xlfn.XLOOKUP($A703,Map!$A:$A,Map!C:C)</f>
        <v>IS</v>
      </c>
      <c r="H703" t="str">
        <f>_xlfn.XLOOKUP($A703,Map!$A:$A,Map!D:D)</f>
        <v>Cost of sales</v>
      </c>
      <c r="I703" t="str">
        <f>_xlfn.XLOOKUP($A703,Map!$A:$A,Map!E:E)</f>
        <v>Raw materials</v>
      </c>
      <c r="J703" t="str">
        <f>_xlfn.XLOOKUP($A703,Map!$A:$A,Map!F:F)</f>
        <v>Raw materials</v>
      </c>
    </row>
    <row r="704" spans="1:10" hidden="1" x14ac:dyDescent="0.25">
      <c r="A704" s="90">
        <v>510001</v>
      </c>
      <c r="B704" s="90" t="s">
        <v>731</v>
      </c>
      <c r="D704" s="91">
        <v>0</v>
      </c>
      <c r="E704" s="91">
        <v>77.777000000000001</v>
      </c>
      <c r="F704" s="91">
        <f t="shared" si="13"/>
        <v>-77.777000000000001</v>
      </c>
      <c r="G704" t="str">
        <f>_xlfn.XLOOKUP($A704,Map!$A:$A,Map!C:C)</f>
        <v>IS</v>
      </c>
      <c r="H704" t="str">
        <f>_xlfn.XLOOKUP($A704,Map!$A:$A,Map!D:D)</f>
        <v>Cost of sales</v>
      </c>
      <c r="I704" t="str">
        <f>_xlfn.XLOOKUP($A704,Map!$A:$A,Map!E:E)</f>
        <v>Raw materials</v>
      </c>
      <c r="J704" t="str">
        <f>_xlfn.XLOOKUP($A704,Map!$A:$A,Map!F:F)</f>
        <v>Raw materials</v>
      </c>
    </row>
    <row r="705" spans="1:10" hidden="1" x14ac:dyDescent="0.25">
      <c r="A705" s="90">
        <v>510001</v>
      </c>
      <c r="B705" s="90" t="s">
        <v>731</v>
      </c>
      <c r="D705" s="91">
        <v>0</v>
      </c>
      <c r="E705" s="91">
        <v>2429.453</v>
      </c>
      <c r="F705" s="91">
        <f t="shared" si="13"/>
        <v>-2429.453</v>
      </c>
      <c r="G705" t="str">
        <f>_xlfn.XLOOKUP($A705,Map!$A:$A,Map!C:C)</f>
        <v>IS</v>
      </c>
      <c r="H705" t="str">
        <f>_xlfn.XLOOKUP($A705,Map!$A:$A,Map!D:D)</f>
        <v>Cost of sales</v>
      </c>
      <c r="I705" t="str">
        <f>_xlfn.XLOOKUP($A705,Map!$A:$A,Map!E:E)</f>
        <v>Raw materials</v>
      </c>
      <c r="J705" t="str">
        <f>_xlfn.XLOOKUP($A705,Map!$A:$A,Map!F:F)</f>
        <v>Raw materials</v>
      </c>
    </row>
    <row r="706" spans="1:10" hidden="1" x14ac:dyDescent="0.25">
      <c r="A706" s="90">
        <v>510001</v>
      </c>
      <c r="B706" s="90" t="s">
        <v>731</v>
      </c>
      <c r="D706" s="91">
        <v>0</v>
      </c>
      <c r="E706" s="91">
        <v>42767.997000000003</v>
      </c>
      <c r="F706" s="91">
        <f t="shared" si="13"/>
        <v>-42767.997000000003</v>
      </c>
      <c r="G706" t="str">
        <f>_xlfn.XLOOKUP($A706,Map!$A:$A,Map!C:C)</f>
        <v>IS</v>
      </c>
      <c r="H706" t="str">
        <f>_xlfn.XLOOKUP($A706,Map!$A:$A,Map!D:D)</f>
        <v>Cost of sales</v>
      </c>
      <c r="I706" t="str">
        <f>_xlfn.XLOOKUP($A706,Map!$A:$A,Map!E:E)</f>
        <v>Raw materials</v>
      </c>
      <c r="J706" t="str">
        <f>_xlfn.XLOOKUP($A706,Map!$A:$A,Map!F:F)</f>
        <v>Raw materials</v>
      </c>
    </row>
    <row r="707" spans="1:10" hidden="1" x14ac:dyDescent="0.25">
      <c r="A707" s="90">
        <v>510001</v>
      </c>
      <c r="B707" s="90" t="s">
        <v>731</v>
      </c>
      <c r="D707" s="91">
        <v>0</v>
      </c>
      <c r="E707" s="91">
        <v>1317.9670000000001</v>
      </c>
      <c r="F707" s="91">
        <f t="shared" si="13"/>
        <v>-1317.9670000000001</v>
      </c>
      <c r="G707" t="str">
        <f>_xlfn.XLOOKUP($A707,Map!$A:$A,Map!C:C)</f>
        <v>IS</v>
      </c>
      <c r="H707" t="str">
        <f>_xlfn.XLOOKUP($A707,Map!$A:$A,Map!D:D)</f>
        <v>Cost of sales</v>
      </c>
      <c r="I707" t="str">
        <f>_xlfn.XLOOKUP($A707,Map!$A:$A,Map!E:E)</f>
        <v>Raw materials</v>
      </c>
      <c r="J707" t="str">
        <f>_xlfn.XLOOKUP($A707,Map!$A:$A,Map!F:F)</f>
        <v>Raw materials</v>
      </c>
    </row>
    <row r="708" spans="1:10" hidden="1" x14ac:dyDescent="0.25">
      <c r="A708" s="90">
        <v>510001</v>
      </c>
      <c r="B708" s="90" t="s">
        <v>731</v>
      </c>
      <c r="D708" s="91">
        <v>110579.02800000001</v>
      </c>
      <c r="E708" s="91">
        <v>0</v>
      </c>
      <c r="F708" s="91">
        <f t="shared" si="13"/>
        <v>110579.02800000001</v>
      </c>
      <c r="G708" t="str">
        <f>_xlfn.XLOOKUP($A708,Map!$A:$A,Map!C:C)</f>
        <v>IS</v>
      </c>
      <c r="H708" t="str">
        <f>_xlfn.XLOOKUP($A708,Map!$A:$A,Map!D:D)</f>
        <v>Cost of sales</v>
      </c>
      <c r="I708" t="str">
        <f>_xlfn.XLOOKUP($A708,Map!$A:$A,Map!E:E)</f>
        <v>Raw materials</v>
      </c>
      <c r="J708" t="str">
        <f>_xlfn.XLOOKUP($A708,Map!$A:$A,Map!F:F)</f>
        <v>Raw materials</v>
      </c>
    </row>
    <row r="709" spans="1:10" hidden="1" x14ac:dyDescent="0.25">
      <c r="A709" s="90">
        <v>420003</v>
      </c>
      <c r="B709" s="90" t="s">
        <v>731</v>
      </c>
      <c r="D709" s="91">
        <v>0</v>
      </c>
      <c r="E709" s="91">
        <v>0.03</v>
      </c>
      <c r="F709" s="91">
        <f t="shared" si="13"/>
        <v>-0.03</v>
      </c>
      <c r="G709" t="str">
        <f>_xlfn.XLOOKUP($A709,Map!$A:$A,Map!C:C)</f>
        <v>IS</v>
      </c>
      <c r="H709" t="str">
        <f>_xlfn.XLOOKUP($A709,Map!$A:$A,Map!D:D)</f>
        <v>Sales</v>
      </c>
      <c r="I709" t="str">
        <f>_xlfn.XLOOKUP($A709,Map!$A:$A,Map!E:E)</f>
        <v>Sales</v>
      </c>
      <c r="J709" t="str">
        <f>_xlfn.XLOOKUP($A709,Map!$A:$A,Map!F:F)</f>
        <v>Scrap sales</v>
      </c>
    </row>
    <row r="710" spans="1:10" hidden="1" x14ac:dyDescent="0.25">
      <c r="A710" s="90">
        <v>600031</v>
      </c>
      <c r="B710" s="90" t="s">
        <v>628</v>
      </c>
      <c r="D710" s="91">
        <v>613.33299999999997</v>
      </c>
      <c r="E710" s="91">
        <v>0</v>
      </c>
      <c r="F710" s="91">
        <f t="shared" ref="F710:F768" si="14">D710-E710</f>
        <v>613.33299999999997</v>
      </c>
      <c r="G710" t="str">
        <f>_xlfn.XLOOKUP($A710,Map!$A:$A,Map!C:C)</f>
        <v>IS</v>
      </c>
      <c r="H710" t="str">
        <f>_xlfn.XLOOKUP($A710,Map!$A:$A,Map!D:D)</f>
        <v>Depreciation expenses</v>
      </c>
      <c r="I710" t="str">
        <f>_xlfn.XLOOKUP($A710,Map!$A:$A,Map!E:E)</f>
        <v>Depreciation expenses</v>
      </c>
      <c r="J710" t="str">
        <f>_xlfn.XLOOKUP($A710,Map!$A:$A,Map!F:F)</f>
        <v>Depreciation of property, plant and equipment</v>
      </c>
    </row>
    <row r="711" spans="1:10" hidden="1" x14ac:dyDescent="0.25">
      <c r="A711" s="90">
        <v>600030</v>
      </c>
      <c r="B711" s="90" t="s">
        <v>628</v>
      </c>
      <c r="D711" s="91">
        <v>543.16600000000005</v>
      </c>
      <c r="E711" s="91">
        <v>0</v>
      </c>
      <c r="F711" s="91">
        <f t="shared" si="14"/>
        <v>543.16600000000005</v>
      </c>
      <c r="G711" t="str">
        <f>_xlfn.XLOOKUP($A711,Map!$A:$A,Map!C:C)</f>
        <v>IS</v>
      </c>
      <c r="H711" t="str">
        <f>_xlfn.XLOOKUP($A711,Map!$A:$A,Map!D:D)</f>
        <v>Depreciation expenses</v>
      </c>
      <c r="I711" t="str">
        <f>_xlfn.XLOOKUP($A711,Map!$A:$A,Map!E:E)</f>
        <v>Depreciation expenses</v>
      </c>
      <c r="J711" t="str">
        <f>_xlfn.XLOOKUP($A711,Map!$A:$A,Map!F:F)</f>
        <v>Depreciation of property, plant and equipment</v>
      </c>
    </row>
    <row r="712" spans="1:10" hidden="1" x14ac:dyDescent="0.25">
      <c r="A712" s="90">
        <v>600029</v>
      </c>
      <c r="B712" s="90" t="s">
        <v>628</v>
      </c>
      <c r="D712" s="91">
        <v>286596.55</v>
      </c>
      <c r="E712" s="91">
        <v>0</v>
      </c>
      <c r="F712" s="91">
        <f t="shared" si="14"/>
        <v>286596.55</v>
      </c>
      <c r="G712" t="str">
        <f>_xlfn.XLOOKUP($A712,Map!$A:$A,Map!C:C)</f>
        <v>IS</v>
      </c>
      <c r="H712" t="str">
        <f>_xlfn.XLOOKUP($A712,Map!$A:$A,Map!D:D)</f>
        <v>Cost of sales</v>
      </c>
      <c r="I712" t="str">
        <f>_xlfn.XLOOKUP($A712,Map!$A:$A,Map!E:E)</f>
        <v>Depreciation - Machines</v>
      </c>
      <c r="J712" t="str">
        <f>_xlfn.XLOOKUP($A712,Map!$A:$A,Map!F:F)</f>
        <v>Depreciation of property, plant and equipment</v>
      </c>
    </row>
    <row r="713" spans="1:10" hidden="1" x14ac:dyDescent="0.25">
      <c r="A713" s="90">
        <v>600027</v>
      </c>
      <c r="B713" s="90" t="s">
        <v>628</v>
      </c>
      <c r="D713" s="91">
        <v>51333.34</v>
      </c>
      <c r="E713" s="91">
        <v>0</v>
      </c>
      <c r="F713" s="91">
        <f t="shared" si="14"/>
        <v>51333.34</v>
      </c>
      <c r="G713" t="str">
        <f>_xlfn.XLOOKUP($A713,Map!$A:$A,Map!C:C)</f>
        <v>IS</v>
      </c>
      <c r="H713" t="str">
        <f>_xlfn.XLOOKUP($A713,Map!$A:$A,Map!D:D)</f>
        <v>Cost of sales</v>
      </c>
      <c r="I713" t="str">
        <f>_xlfn.XLOOKUP($A713,Map!$A:$A,Map!E:E)</f>
        <v>Overhead - Rent</v>
      </c>
      <c r="J713" t="str">
        <f>_xlfn.XLOOKUP($A713,Map!$A:$A,Map!F:F)</f>
        <v>Production hall rental</v>
      </c>
    </row>
    <row r="714" spans="1:10" hidden="1" x14ac:dyDescent="0.25">
      <c r="A714" s="90">
        <v>600021</v>
      </c>
      <c r="B714" s="90" t="s">
        <v>628</v>
      </c>
      <c r="D714" s="91">
        <v>8430</v>
      </c>
      <c r="E714" s="91">
        <v>0</v>
      </c>
      <c r="F714" s="91">
        <f t="shared" si="14"/>
        <v>8430</v>
      </c>
      <c r="G714" t="str">
        <f>_xlfn.XLOOKUP($A714,Map!$A:$A,Map!C:C)</f>
        <v>IS</v>
      </c>
      <c r="H714" t="str">
        <f>_xlfn.XLOOKUP($A714,Map!$A:$A,Map!D:D)</f>
        <v>Cost of sales</v>
      </c>
      <c r="I714" t="str">
        <f>_xlfn.XLOOKUP($A714,Map!$A:$A,Map!E:E)</f>
        <v>Overhead - R&amp;M</v>
      </c>
      <c r="J714" t="str">
        <f>_xlfn.XLOOKUP($A714,Map!$A:$A,Map!F:F)</f>
        <v>Vehicle maintenance</v>
      </c>
    </row>
    <row r="715" spans="1:10" hidden="1" x14ac:dyDescent="0.25">
      <c r="A715" s="90">
        <v>600019</v>
      </c>
      <c r="B715" s="90" t="s">
        <v>628</v>
      </c>
      <c r="D715" s="91">
        <v>14740</v>
      </c>
      <c r="E715" s="91">
        <v>0</v>
      </c>
      <c r="F715" s="91">
        <f t="shared" si="14"/>
        <v>14740</v>
      </c>
      <c r="G715" t="str">
        <f>_xlfn.XLOOKUP($A715,Map!$A:$A,Map!C:C)</f>
        <v>IS</v>
      </c>
      <c r="H715" t="str">
        <f>_xlfn.XLOOKUP($A715,Map!$A:$A,Map!D:D)</f>
        <v>Cost of sales</v>
      </c>
      <c r="I715" t="str">
        <f>_xlfn.XLOOKUP($A715,Map!$A:$A,Map!E:E)</f>
        <v>Overhead - Utility</v>
      </c>
      <c r="J715" t="str">
        <f>_xlfn.XLOOKUP($A715,Map!$A:$A,Map!F:F)</f>
        <v>Fuel and oil</v>
      </c>
    </row>
    <row r="716" spans="1:10" hidden="1" x14ac:dyDescent="0.25">
      <c r="A716" s="90">
        <v>600018</v>
      </c>
      <c r="B716" s="90" t="s">
        <v>628</v>
      </c>
      <c r="D716" s="91">
        <v>5460</v>
      </c>
      <c r="E716" s="91">
        <v>0</v>
      </c>
      <c r="F716" s="91">
        <f t="shared" si="14"/>
        <v>5460</v>
      </c>
      <c r="G716" t="str">
        <f>_xlfn.XLOOKUP($A716,Map!$A:$A,Map!C:C)</f>
        <v>IS</v>
      </c>
      <c r="H716" t="str">
        <f>_xlfn.XLOOKUP($A716,Map!$A:$A,Map!D:D)</f>
        <v>Cost of sales</v>
      </c>
      <c r="I716" t="str">
        <f>_xlfn.XLOOKUP($A716,Map!$A:$A,Map!E:E)</f>
        <v>Overhead - Utility</v>
      </c>
      <c r="J716" t="str">
        <f>_xlfn.XLOOKUP($A716,Map!$A:$A,Map!F:F)</f>
        <v>Water expenses</v>
      </c>
    </row>
    <row r="717" spans="1:10" hidden="1" x14ac:dyDescent="0.25">
      <c r="A717" s="90">
        <v>600017</v>
      </c>
      <c r="B717" s="90" t="s">
        <v>628</v>
      </c>
      <c r="D717" s="91">
        <v>210308.1</v>
      </c>
      <c r="E717" s="91">
        <v>0</v>
      </c>
      <c r="F717" s="91">
        <f t="shared" si="14"/>
        <v>210308.1</v>
      </c>
      <c r="G717" t="str">
        <f>_xlfn.XLOOKUP($A717,Map!$A:$A,Map!C:C)</f>
        <v>IS</v>
      </c>
      <c r="H717" t="str">
        <f>_xlfn.XLOOKUP($A717,Map!$A:$A,Map!D:D)</f>
        <v>Cost of sales</v>
      </c>
      <c r="I717" t="str">
        <f>_xlfn.XLOOKUP($A717,Map!$A:$A,Map!E:E)</f>
        <v>Overhead - Utility</v>
      </c>
      <c r="J717" t="str">
        <f>_xlfn.XLOOKUP($A717,Map!$A:$A,Map!F:F)</f>
        <v>Electricity expenses</v>
      </c>
    </row>
    <row r="718" spans="1:10" hidden="1" x14ac:dyDescent="0.25">
      <c r="A718" s="90">
        <v>600016</v>
      </c>
      <c r="B718" s="90" t="s">
        <v>628</v>
      </c>
      <c r="D718" s="91">
        <v>13037.953</v>
      </c>
      <c r="E718" s="91">
        <v>0</v>
      </c>
      <c r="F718" s="91">
        <f t="shared" si="14"/>
        <v>13037.953</v>
      </c>
      <c r="G718" t="str">
        <f>_xlfn.XLOOKUP($A718,Map!$A:$A,Map!C:C)</f>
        <v>IS</v>
      </c>
      <c r="H718" t="str">
        <f>_xlfn.XLOOKUP($A718,Map!$A:$A,Map!D:D)</f>
        <v>Cost of sales</v>
      </c>
      <c r="I718" t="str">
        <f>_xlfn.XLOOKUP($A718,Map!$A:$A,Map!E:E)</f>
        <v>Overhead - Consumables &amp; SP</v>
      </c>
      <c r="J718" t="str">
        <f>_xlfn.XLOOKUP($A718,Map!$A:$A,Map!F:F)</f>
        <v>Tools</v>
      </c>
    </row>
    <row r="719" spans="1:10" hidden="1" x14ac:dyDescent="0.25">
      <c r="A719" s="90">
        <v>600014</v>
      </c>
      <c r="B719" s="90" t="s">
        <v>628</v>
      </c>
      <c r="D719" s="91">
        <v>38606</v>
      </c>
      <c r="E719" s="91">
        <v>0</v>
      </c>
      <c r="F719" s="91">
        <f t="shared" si="14"/>
        <v>38606</v>
      </c>
      <c r="G719" t="str">
        <f>_xlfn.XLOOKUP($A719,Map!$A:$A,Map!C:C)</f>
        <v>IS</v>
      </c>
      <c r="H719" t="str">
        <f>_xlfn.XLOOKUP($A719,Map!$A:$A,Map!D:D)</f>
        <v>Cost of sales</v>
      </c>
      <c r="I719" t="str">
        <f>_xlfn.XLOOKUP($A719,Map!$A:$A,Map!E:E)</f>
        <v>Overhead - Consumables &amp; SP</v>
      </c>
      <c r="J719" t="str">
        <f>_xlfn.XLOOKUP($A719,Map!$A:$A,Map!F:F)</f>
        <v>Consumables</v>
      </c>
    </row>
    <row r="720" spans="1:10" hidden="1" x14ac:dyDescent="0.25">
      <c r="A720" s="90">
        <v>600011</v>
      </c>
      <c r="B720" s="90" t="s">
        <v>628</v>
      </c>
      <c r="D720" s="91">
        <v>1000</v>
      </c>
      <c r="E720" s="91">
        <v>0</v>
      </c>
      <c r="F720" s="91">
        <f t="shared" si="14"/>
        <v>1000</v>
      </c>
      <c r="G720" t="str">
        <f>_xlfn.XLOOKUP($A720,Map!$A:$A,Map!C:C)</f>
        <v>IS</v>
      </c>
      <c r="H720" t="str">
        <f>_xlfn.XLOOKUP($A720,Map!$A:$A,Map!D:D)</f>
        <v>Cost of sales</v>
      </c>
      <c r="I720" t="str">
        <f>_xlfn.XLOOKUP($A720,Map!$A:$A,Map!E:E)</f>
        <v>Overhead - Labor Cost</v>
      </c>
      <c r="J720" t="str">
        <f>_xlfn.XLOOKUP($A720,Map!$A:$A,Map!F:F)</f>
        <v>Air tickets</v>
      </c>
    </row>
    <row r="721" spans="1:10" hidden="1" x14ac:dyDescent="0.25">
      <c r="A721" s="90">
        <v>600009</v>
      </c>
      <c r="B721" s="90" t="s">
        <v>628</v>
      </c>
      <c r="D721" s="91">
        <v>14550</v>
      </c>
      <c r="E721" s="91">
        <v>0</v>
      </c>
      <c r="F721" s="91">
        <f t="shared" si="14"/>
        <v>14550</v>
      </c>
      <c r="G721" t="str">
        <f>_xlfn.XLOOKUP($A721,Map!$A:$A,Map!C:C)</f>
        <v>IS</v>
      </c>
      <c r="H721" t="str">
        <f>_xlfn.XLOOKUP($A721,Map!$A:$A,Map!D:D)</f>
        <v>Cost of sales</v>
      </c>
      <c r="I721" t="str">
        <f>_xlfn.XLOOKUP($A721,Map!$A:$A,Map!E:E)</f>
        <v>Overhead - Labor Cost</v>
      </c>
      <c r="J721" t="str">
        <f>_xlfn.XLOOKUP($A721,Map!$A:$A,Map!F:F)</f>
        <v>Vacation pay</v>
      </c>
    </row>
    <row r="722" spans="1:10" hidden="1" x14ac:dyDescent="0.25">
      <c r="A722" s="90">
        <v>600008</v>
      </c>
      <c r="B722" s="90" t="s">
        <v>628</v>
      </c>
      <c r="D722" s="91">
        <v>23387</v>
      </c>
      <c r="E722" s="91">
        <v>0</v>
      </c>
      <c r="F722" s="91">
        <f t="shared" si="14"/>
        <v>23387</v>
      </c>
      <c r="G722" t="str">
        <f>_xlfn.XLOOKUP($A722,Map!$A:$A,Map!C:C)</f>
        <v>IS</v>
      </c>
      <c r="H722" t="str">
        <f>_xlfn.XLOOKUP($A722,Map!$A:$A,Map!D:D)</f>
        <v>Cost of sales</v>
      </c>
      <c r="I722" t="str">
        <f>_xlfn.XLOOKUP($A722,Map!$A:$A,Map!E:E)</f>
        <v>Overhead - Labor Cost</v>
      </c>
      <c r="J722" t="str">
        <f>_xlfn.XLOOKUP($A722,Map!$A:$A,Map!F:F)</f>
        <v>Air tickets</v>
      </c>
    </row>
    <row r="723" spans="1:10" hidden="1" x14ac:dyDescent="0.25">
      <c r="A723" s="90">
        <v>600007</v>
      </c>
      <c r="B723" s="90" t="s">
        <v>628</v>
      </c>
      <c r="D723" s="91">
        <v>460</v>
      </c>
      <c r="E723" s="91">
        <v>0</v>
      </c>
      <c r="F723" s="91">
        <f t="shared" si="14"/>
        <v>460</v>
      </c>
      <c r="G723" t="str">
        <f>_xlfn.XLOOKUP($A723,Map!$A:$A,Map!C:C)</f>
        <v>IS</v>
      </c>
      <c r="H723" t="str">
        <f>_xlfn.XLOOKUP($A723,Map!$A:$A,Map!D:D)</f>
        <v>Cost of sales</v>
      </c>
      <c r="I723" t="str">
        <f>_xlfn.XLOOKUP($A723,Map!$A:$A,Map!E:E)</f>
        <v>Overhead - Labor Cost</v>
      </c>
      <c r="J723" t="str">
        <f>_xlfn.XLOOKUP($A723,Map!$A:$A,Map!F:F)</f>
        <v>Transportation allowance</v>
      </c>
    </row>
    <row r="724" spans="1:10" hidden="1" x14ac:dyDescent="0.25">
      <c r="A724" s="90">
        <v>600006</v>
      </c>
      <c r="B724" s="90" t="s">
        <v>628</v>
      </c>
      <c r="D724" s="91">
        <v>37952.68</v>
      </c>
      <c r="E724" s="91">
        <v>0</v>
      </c>
      <c r="F724" s="91">
        <f t="shared" si="14"/>
        <v>37952.68</v>
      </c>
      <c r="G724" t="str">
        <f>_xlfn.XLOOKUP($A724,Map!$A:$A,Map!C:C)</f>
        <v>IS</v>
      </c>
      <c r="H724" t="str">
        <f>_xlfn.XLOOKUP($A724,Map!$A:$A,Map!D:D)</f>
        <v>Cost of sales</v>
      </c>
      <c r="I724" t="str">
        <f>_xlfn.XLOOKUP($A724,Map!$A:$A,Map!E:E)</f>
        <v>Overhead - Labor Cost</v>
      </c>
      <c r="J724" t="str">
        <f>_xlfn.XLOOKUP($A724,Map!$A:$A,Map!F:F)</f>
        <v xml:space="preserve">Food &amp; Housing </v>
      </c>
    </row>
    <row r="725" spans="1:10" hidden="1" x14ac:dyDescent="0.25">
      <c r="A725" s="90">
        <v>600005</v>
      </c>
      <c r="B725" s="90" t="s">
        <v>628</v>
      </c>
      <c r="D725" s="91">
        <v>56800</v>
      </c>
      <c r="E725" s="91">
        <v>0</v>
      </c>
      <c r="F725" s="91">
        <f t="shared" si="14"/>
        <v>56800</v>
      </c>
      <c r="G725" t="str">
        <f>_xlfn.XLOOKUP($A725,Map!$A:$A,Map!C:C)</f>
        <v>IS</v>
      </c>
      <c r="H725" t="str">
        <f>_xlfn.XLOOKUP($A725,Map!$A:$A,Map!D:D)</f>
        <v>General and Admin</v>
      </c>
      <c r="I725" t="str">
        <f>_xlfn.XLOOKUP($A725,Map!$A:$A,Map!E:E)</f>
        <v>Govt license and fees (including modon)</v>
      </c>
      <c r="J725" t="str">
        <f>_xlfn.XLOOKUP($A725,Map!$A:$A,Map!F:F)</f>
        <v>Government fees</v>
      </c>
    </row>
    <row r="726" spans="1:10" hidden="1" x14ac:dyDescent="0.25">
      <c r="A726" s="90">
        <v>600004</v>
      </c>
      <c r="B726" s="90" t="s">
        <v>628</v>
      </c>
      <c r="D726" s="91">
        <v>18455.740000000002</v>
      </c>
      <c r="E726" s="91">
        <v>0</v>
      </c>
      <c r="F726" s="91">
        <f t="shared" si="14"/>
        <v>18455.740000000002</v>
      </c>
      <c r="G726" t="str">
        <f>_xlfn.XLOOKUP($A726,Map!$A:$A,Map!C:C)</f>
        <v>IS</v>
      </c>
      <c r="H726" t="str">
        <f>_xlfn.XLOOKUP($A726,Map!$A:$A,Map!D:D)</f>
        <v>Cost of sales</v>
      </c>
      <c r="I726" t="str">
        <f>_xlfn.XLOOKUP($A726,Map!$A:$A,Map!E:E)</f>
        <v>Overhead - Labor Cost</v>
      </c>
      <c r="J726" t="str">
        <f>_xlfn.XLOOKUP($A726,Map!$A:$A,Map!F:F)</f>
        <v>Medical insurance</v>
      </c>
    </row>
    <row r="727" spans="1:10" hidden="1" x14ac:dyDescent="0.25">
      <c r="A727" s="90">
        <v>600003</v>
      </c>
      <c r="B727" s="90" t="s">
        <v>628</v>
      </c>
      <c r="D727" s="91">
        <v>4026</v>
      </c>
      <c r="E727" s="91">
        <v>0</v>
      </c>
      <c r="F727" s="91">
        <f t="shared" si="14"/>
        <v>4026</v>
      </c>
      <c r="G727" t="str">
        <f>_xlfn.XLOOKUP($A727,Map!$A:$A,Map!C:C)</f>
        <v>IS</v>
      </c>
      <c r="H727" t="str">
        <f>_xlfn.XLOOKUP($A727,Map!$A:$A,Map!D:D)</f>
        <v>Cost of sales</v>
      </c>
      <c r="I727" t="str">
        <f>_xlfn.XLOOKUP($A727,Map!$A:$A,Map!E:E)</f>
        <v>Overhead - Labor Cost</v>
      </c>
      <c r="J727" t="str">
        <f>_xlfn.XLOOKUP($A727,Map!$A:$A,Map!F:F)</f>
        <v xml:space="preserve">Food &amp; Housing </v>
      </c>
    </row>
    <row r="728" spans="1:10" hidden="1" x14ac:dyDescent="0.25">
      <c r="A728" s="90">
        <v>600002</v>
      </c>
      <c r="B728" s="90" t="s">
        <v>628</v>
      </c>
      <c r="D728" s="91">
        <v>17046</v>
      </c>
      <c r="E728" s="91">
        <v>0</v>
      </c>
      <c r="F728" s="91">
        <f t="shared" si="14"/>
        <v>17046</v>
      </c>
      <c r="G728" t="str">
        <f>_xlfn.XLOOKUP($A728,Map!$A:$A,Map!C:C)</f>
        <v>IS</v>
      </c>
      <c r="H728" t="str">
        <f>_xlfn.XLOOKUP($A728,Map!$A:$A,Map!D:D)</f>
        <v>Cost of sales</v>
      </c>
      <c r="I728" t="str">
        <f>_xlfn.XLOOKUP($A728,Map!$A:$A,Map!E:E)</f>
        <v>Overhead - Labor Cost</v>
      </c>
      <c r="J728" t="str">
        <f>_xlfn.XLOOKUP($A728,Map!$A:$A,Map!F:F)</f>
        <v>Overtime pay</v>
      </c>
    </row>
    <row r="729" spans="1:10" hidden="1" x14ac:dyDescent="0.25">
      <c r="A729" s="90">
        <v>600001</v>
      </c>
      <c r="B729" s="90" t="s">
        <v>628</v>
      </c>
      <c r="D729" s="91">
        <v>111452</v>
      </c>
      <c r="E729" s="91">
        <v>0</v>
      </c>
      <c r="F729" s="91">
        <f t="shared" si="14"/>
        <v>111452</v>
      </c>
      <c r="G729" t="str">
        <f>_xlfn.XLOOKUP($A729,Map!$A:$A,Map!C:C)</f>
        <v>IS</v>
      </c>
      <c r="H729" t="str">
        <f>_xlfn.XLOOKUP($A729,Map!$A:$A,Map!D:D)</f>
        <v>Cost of sales</v>
      </c>
      <c r="I729" t="str">
        <f>_xlfn.XLOOKUP($A729,Map!$A:$A,Map!E:E)</f>
        <v>Overhead - Labor Cost</v>
      </c>
      <c r="J729" t="str">
        <f>_xlfn.XLOOKUP($A729,Map!$A:$A,Map!F:F)</f>
        <v>Salaries and wages</v>
      </c>
    </row>
    <row r="730" spans="1:10" hidden="1" x14ac:dyDescent="0.25">
      <c r="A730" s="90">
        <v>520042</v>
      </c>
      <c r="B730" s="90" t="s">
        <v>628</v>
      </c>
      <c r="D730" s="91">
        <v>16125.263000000001</v>
      </c>
      <c r="E730" s="91">
        <v>0</v>
      </c>
      <c r="F730" s="91">
        <f t="shared" si="14"/>
        <v>16125.263000000001</v>
      </c>
      <c r="G730" t="str">
        <f>_xlfn.XLOOKUP($A730,Map!$A:$A,Map!C:C)</f>
        <v>IS</v>
      </c>
      <c r="H730" t="str">
        <f>_xlfn.XLOOKUP($A730,Map!$A:$A,Map!D:D)</f>
        <v>Cost of sales</v>
      </c>
      <c r="I730" t="str">
        <f>_xlfn.XLOOKUP($A730,Map!$A:$A,Map!E:E)</f>
        <v>Raw materials</v>
      </c>
      <c r="J730" t="str">
        <f>_xlfn.XLOOKUP($A730,Map!$A:$A,Map!F:F)</f>
        <v>Inventory Adjustment</v>
      </c>
    </row>
    <row r="731" spans="1:10" hidden="1" x14ac:dyDescent="0.25">
      <c r="A731" s="90">
        <v>520041</v>
      </c>
      <c r="B731" s="90" t="s">
        <v>628</v>
      </c>
      <c r="D731" s="91">
        <v>0</v>
      </c>
      <c r="E731" s="91">
        <v>825301.72600000002</v>
      </c>
      <c r="F731" s="91">
        <f t="shared" si="14"/>
        <v>-825301.72600000002</v>
      </c>
      <c r="G731" t="str">
        <f>_xlfn.XLOOKUP($A731,Map!$A:$A,Map!C:C)</f>
        <v>IS</v>
      </c>
      <c r="H731" t="str">
        <f>_xlfn.XLOOKUP($A731,Map!$A:$A,Map!D:D)</f>
        <v>Cost of sales</v>
      </c>
      <c r="I731" t="str">
        <f>_xlfn.XLOOKUP($A731,Map!$A:$A,Map!E:E)</f>
        <v>Raw materials</v>
      </c>
      <c r="J731" t="str">
        <f>_xlfn.XLOOKUP($A731,Map!$A:$A,Map!F:F)</f>
        <v>Other expenses</v>
      </c>
    </row>
    <row r="732" spans="1:10" hidden="1" x14ac:dyDescent="0.25">
      <c r="A732" s="90">
        <v>520037</v>
      </c>
      <c r="B732" s="90" t="s">
        <v>628</v>
      </c>
      <c r="D732" s="91">
        <v>49807.714999999997</v>
      </c>
      <c r="E732" s="91">
        <v>0</v>
      </c>
      <c r="F732" s="91">
        <f t="shared" si="14"/>
        <v>49807.714999999997</v>
      </c>
      <c r="G732" t="str">
        <f>_xlfn.XLOOKUP($A732,Map!$A:$A,Map!C:C)</f>
        <v>IS</v>
      </c>
      <c r="H732" t="str">
        <f>_xlfn.XLOOKUP($A732,Map!$A:$A,Map!D:D)</f>
        <v>Cost of sales</v>
      </c>
      <c r="I732" t="str">
        <f>_xlfn.XLOOKUP($A732,Map!$A:$A,Map!E:E)</f>
        <v>Raw materials</v>
      </c>
      <c r="J732" t="str">
        <f>_xlfn.XLOOKUP($A732,Map!$A:$A,Map!F:F)</f>
        <v>Raw materials</v>
      </c>
    </row>
    <row r="733" spans="1:10" hidden="1" x14ac:dyDescent="0.25">
      <c r="A733" s="90">
        <v>520036</v>
      </c>
      <c r="B733" s="90" t="s">
        <v>628</v>
      </c>
      <c r="D733" s="91">
        <v>0</v>
      </c>
      <c r="E733" s="91">
        <v>1E-3</v>
      </c>
      <c r="F733" s="91">
        <f t="shared" si="14"/>
        <v>-1E-3</v>
      </c>
      <c r="G733" t="str">
        <f>_xlfn.XLOOKUP($A733,Map!$A:$A,Map!C:C)</f>
        <v>IS</v>
      </c>
      <c r="H733" t="str">
        <f>_xlfn.XLOOKUP($A733,Map!$A:$A,Map!D:D)</f>
        <v>Cost of sales</v>
      </c>
      <c r="I733" t="str">
        <f>_xlfn.XLOOKUP($A733,Map!$A:$A,Map!E:E)</f>
        <v>Raw materials</v>
      </c>
      <c r="J733" t="str">
        <f>_xlfn.XLOOKUP($A733,Map!$A:$A,Map!F:F)</f>
        <v>Raw materials</v>
      </c>
    </row>
    <row r="734" spans="1:10" hidden="1" x14ac:dyDescent="0.25">
      <c r="A734" s="90">
        <v>520021</v>
      </c>
      <c r="B734" s="90" t="s">
        <v>628</v>
      </c>
      <c r="D734" s="91">
        <v>4907</v>
      </c>
      <c r="E734" s="91">
        <v>0</v>
      </c>
      <c r="F734" s="91">
        <f t="shared" si="14"/>
        <v>4907</v>
      </c>
      <c r="G734" t="str">
        <f>_xlfn.XLOOKUP($A734,Map!$A:$A,Map!C:C)</f>
        <v>IS</v>
      </c>
      <c r="H734" t="str">
        <f>_xlfn.XLOOKUP($A734,Map!$A:$A,Map!D:D)</f>
        <v>Cost of sales</v>
      </c>
      <c r="I734" t="str">
        <f>_xlfn.XLOOKUP($A734,Map!$A:$A,Map!E:E)</f>
        <v>Direct Labor</v>
      </c>
      <c r="J734" t="str">
        <f>_xlfn.XLOOKUP($A734,Map!$A:$A,Map!F:F)</f>
        <v>Medical insurance</v>
      </c>
    </row>
    <row r="735" spans="1:10" hidden="1" x14ac:dyDescent="0.25">
      <c r="A735" s="90">
        <v>520011</v>
      </c>
      <c r="B735" s="90" t="s">
        <v>628</v>
      </c>
      <c r="D735" s="91">
        <v>13646</v>
      </c>
      <c r="E735" s="91">
        <v>0</v>
      </c>
      <c r="F735" s="91">
        <f t="shared" si="14"/>
        <v>13646</v>
      </c>
      <c r="G735" t="str">
        <f>_xlfn.XLOOKUP($A735,Map!$A:$A,Map!C:C)</f>
        <v>IS</v>
      </c>
      <c r="H735" t="str">
        <f>_xlfn.XLOOKUP($A735,Map!$A:$A,Map!D:D)</f>
        <v>Cost of sales</v>
      </c>
      <c r="I735" t="str">
        <f>_xlfn.XLOOKUP($A735,Map!$A:$A,Map!E:E)</f>
        <v>Direct Labor</v>
      </c>
      <c r="J735" t="str">
        <f>_xlfn.XLOOKUP($A735,Map!$A:$A,Map!F:F)</f>
        <v>Overtime pay</v>
      </c>
    </row>
    <row r="736" spans="1:10" hidden="1" x14ac:dyDescent="0.25">
      <c r="A736" s="90">
        <v>520011</v>
      </c>
      <c r="B736" s="90" t="s">
        <v>628</v>
      </c>
      <c r="D736" s="91">
        <v>13471</v>
      </c>
      <c r="E736" s="91">
        <v>0</v>
      </c>
      <c r="F736" s="91">
        <f t="shared" si="14"/>
        <v>13471</v>
      </c>
      <c r="G736" t="str">
        <f>_xlfn.XLOOKUP($A736,Map!$A:$A,Map!C:C)</f>
        <v>IS</v>
      </c>
      <c r="H736" t="str">
        <f>_xlfn.XLOOKUP($A736,Map!$A:$A,Map!D:D)</f>
        <v>Cost of sales</v>
      </c>
      <c r="I736" t="str">
        <f>_xlfn.XLOOKUP($A736,Map!$A:$A,Map!E:E)</f>
        <v>Direct Labor</v>
      </c>
      <c r="J736" t="str">
        <f>_xlfn.XLOOKUP($A736,Map!$A:$A,Map!F:F)</f>
        <v>Overtime pay</v>
      </c>
    </row>
    <row r="737" spans="1:10" hidden="1" x14ac:dyDescent="0.25">
      <c r="A737" s="90">
        <v>520006</v>
      </c>
      <c r="B737" s="90" t="s">
        <v>628</v>
      </c>
      <c r="D737" s="91">
        <v>6405</v>
      </c>
      <c r="E737" s="91">
        <v>0</v>
      </c>
      <c r="F737" s="91">
        <f t="shared" si="14"/>
        <v>6405</v>
      </c>
      <c r="G737" t="str">
        <f>_xlfn.XLOOKUP($A737,Map!$A:$A,Map!C:C)</f>
        <v>IS</v>
      </c>
      <c r="H737" t="str">
        <f>_xlfn.XLOOKUP($A737,Map!$A:$A,Map!D:D)</f>
        <v>Cost of sales</v>
      </c>
      <c r="I737" t="str">
        <f>_xlfn.XLOOKUP($A737,Map!$A:$A,Map!E:E)</f>
        <v>Direct Labor</v>
      </c>
      <c r="J737" t="str">
        <f>_xlfn.XLOOKUP($A737,Map!$A:$A,Map!F:F)</f>
        <v>Medical insurance</v>
      </c>
    </row>
    <row r="738" spans="1:10" hidden="1" x14ac:dyDescent="0.25">
      <c r="A738" s="90">
        <v>520006</v>
      </c>
      <c r="B738" s="90" t="s">
        <v>628</v>
      </c>
      <c r="D738" s="91">
        <v>3208</v>
      </c>
      <c r="E738" s="91">
        <v>0</v>
      </c>
      <c r="F738" s="91">
        <f t="shared" si="14"/>
        <v>3208</v>
      </c>
      <c r="G738" t="str">
        <f>_xlfn.XLOOKUP($A738,Map!$A:$A,Map!C:C)</f>
        <v>IS</v>
      </c>
      <c r="H738" t="str">
        <f>_xlfn.XLOOKUP($A738,Map!$A:$A,Map!D:D)</f>
        <v>Cost of sales</v>
      </c>
      <c r="I738" t="str">
        <f>_xlfn.XLOOKUP($A738,Map!$A:$A,Map!E:E)</f>
        <v>Direct Labor</v>
      </c>
      <c r="J738" t="str">
        <f>_xlfn.XLOOKUP($A738,Map!$A:$A,Map!F:F)</f>
        <v>Medical insurance</v>
      </c>
    </row>
    <row r="739" spans="1:10" hidden="1" x14ac:dyDescent="0.25">
      <c r="A739" s="90">
        <v>520006</v>
      </c>
      <c r="B739" s="90" t="s">
        <v>628</v>
      </c>
      <c r="D739" s="91">
        <v>2057</v>
      </c>
      <c r="E739" s="91">
        <v>0</v>
      </c>
      <c r="F739" s="91">
        <f t="shared" si="14"/>
        <v>2057</v>
      </c>
      <c r="G739" t="str">
        <f>_xlfn.XLOOKUP($A739,Map!$A:$A,Map!C:C)</f>
        <v>IS</v>
      </c>
      <c r="H739" t="str">
        <f>_xlfn.XLOOKUP($A739,Map!$A:$A,Map!D:D)</f>
        <v>Cost of sales</v>
      </c>
      <c r="I739" t="str">
        <f>_xlfn.XLOOKUP($A739,Map!$A:$A,Map!E:E)</f>
        <v>Direct Labor</v>
      </c>
      <c r="J739" t="str">
        <f>_xlfn.XLOOKUP($A739,Map!$A:$A,Map!F:F)</f>
        <v>Medical insurance</v>
      </c>
    </row>
    <row r="740" spans="1:10" hidden="1" x14ac:dyDescent="0.25">
      <c r="A740" s="90">
        <v>520006</v>
      </c>
      <c r="B740" s="90" t="s">
        <v>628</v>
      </c>
      <c r="D740" s="91">
        <v>1724</v>
      </c>
      <c r="E740" s="91">
        <v>0</v>
      </c>
      <c r="F740" s="91">
        <f t="shared" si="14"/>
        <v>1724</v>
      </c>
      <c r="G740" t="str">
        <f>_xlfn.XLOOKUP($A740,Map!$A:$A,Map!C:C)</f>
        <v>IS</v>
      </c>
      <c r="H740" t="str">
        <f>_xlfn.XLOOKUP($A740,Map!$A:$A,Map!D:D)</f>
        <v>Cost of sales</v>
      </c>
      <c r="I740" t="str">
        <f>_xlfn.XLOOKUP($A740,Map!$A:$A,Map!E:E)</f>
        <v>Direct Labor</v>
      </c>
      <c r="J740" t="str">
        <f>_xlfn.XLOOKUP($A740,Map!$A:$A,Map!F:F)</f>
        <v>Medical insurance</v>
      </c>
    </row>
    <row r="741" spans="1:10" hidden="1" x14ac:dyDescent="0.25">
      <c r="A741" s="90">
        <v>520006</v>
      </c>
      <c r="B741" s="90" t="s">
        <v>628</v>
      </c>
      <c r="D741" s="91">
        <v>2238</v>
      </c>
      <c r="E741" s="91">
        <v>0</v>
      </c>
      <c r="F741" s="91">
        <f t="shared" si="14"/>
        <v>2238</v>
      </c>
      <c r="G741" t="str">
        <f>_xlfn.XLOOKUP($A741,Map!$A:$A,Map!C:C)</f>
        <v>IS</v>
      </c>
      <c r="H741" t="str">
        <f>_xlfn.XLOOKUP($A741,Map!$A:$A,Map!D:D)</f>
        <v>Cost of sales</v>
      </c>
      <c r="I741" t="str">
        <f>_xlfn.XLOOKUP($A741,Map!$A:$A,Map!E:E)</f>
        <v>Direct Labor</v>
      </c>
      <c r="J741" t="str">
        <f>_xlfn.XLOOKUP($A741,Map!$A:$A,Map!F:F)</f>
        <v>Medical insurance</v>
      </c>
    </row>
    <row r="742" spans="1:10" hidden="1" x14ac:dyDescent="0.25">
      <c r="A742" s="90">
        <v>520006</v>
      </c>
      <c r="B742" s="90" t="s">
        <v>628</v>
      </c>
      <c r="D742" s="91">
        <v>1460</v>
      </c>
      <c r="E742" s="91">
        <v>0</v>
      </c>
      <c r="F742" s="91">
        <f t="shared" si="14"/>
        <v>1460</v>
      </c>
      <c r="G742" t="str">
        <f>_xlfn.XLOOKUP($A742,Map!$A:$A,Map!C:C)</f>
        <v>IS</v>
      </c>
      <c r="H742" t="str">
        <f>_xlfn.XLOOKUP($A742,Map!$A:$A,Map!D:D)</f>
        <v>Cost of sales</v>
      </c>
      <c r="I742" t="str">
        <f>_xlfn.XLOOKUP($A742,Map!$A:$A,Map!E:E)</f>
        <v>Direct Labor</v>
      </c>
      <c r="J742" t="str">
        <f>_xlfn.XLOOKUP($A742,Map!$A:$A,Map!F:F)</f>
        <v>Medical insurance</v>
      </c>
    </row>
    <row r="743" spans="1:10" hidden="1" x14ac:dyDescent="0.25">
      <c r="A743" s="90">
        <v>520004</v>
      </c>
      <c r="B743" s="90" t="s">
        <v>628</v>
      </c>
      <c r="D743" s="91">
        <v>4227</v>
      </c>
      <c r="E743" s="91">
        <v>0</v>
      </c>
      <c r="F743" s="91">
        <f t="shared" si="14"/>
        <v>4227</v>
      </c>
      <c r="G743" t="str">
        <f>_xlfn.XLOOKUP($A743,Map!$A:$A,Map!C:C)</f>
        <v>IS</v>
      </c>
      <c r="H743" t="str">
        <f>_xlfn.XLOOKUP($A743,Map!$A:$A,Map!D:D)</f>
        <v>Cost of sales</v>
      </c>
      <c r="I743" t="str">
        <f>_xlfn.XLOOKUP($A743,Map!$A:$A,Map!E:E)</f>
        <v>Direct Labor</v>
      </c>
      <c r="J743" t="str">
        <f>_xlfn.XLOOKUP($A743,Map!$A:$A,Map!F:F)</f>
        <v>Food and housing</v>
      </c>
    </row>
    <row r="744" spans="1:10" hidden="1" x14ac:dyDescent="0.25">
      <c r="A744" s="90">
        <v>520004</v>
      </c>
      <c r="B744" s="90" t="s">
        <v>628</v>
      </c>
      <c r="D744" s="91">
        <v>2793</v>
      </c>
      <c r="E744" s="91">
        <v>0</v>
      </c>
      <c r="F744" s="91">
        <f t="shared" si="14"/>
        <v>2793</v>
      </c>
      <c r="G744" t="str">
        <f>_xlfn.XLOOKUP($A744,Map!$A:$A,Map!C:C)</f>
        <v>IS</v>
      </c>
      <c r="H744" t="str">
        <f>_xlfn.XLOOKUP($A744,Map!$A:$A,Map!D:D)</f>
        <v>Cost of sales</v>
      </c>
      <c r="I744" t="str">
        <f>_xlfn.XLOOKUP($A744,Map!$A:$A,Map!E:E)</f>
        <v>Direct Labor</v>
      </c>
      <c r="J744" t="str">
        <f>_xlfn.XLOOKUP($A744,Map!$A:$A,Map!F:F)</f>
        <v>Food and housing</v>
      </c>
    </row>
    <row r="745" spans="1:10" hidden="1" x14ac:dyDescent="0.25">
      <c r="A745" s="90">
        <v>520003</v>
      </c>
      <c r="B745" s="90" t="s">
        <v>628</v>
      </c>
      <c r="D745" s="91">
        <v>3050</v>
      </c>
      <c r="E745" s="91">
        <v>0</v>
      </c>
      <c r="F745" s="91">
        <f t="shared" si="14"/>
        <v>3050</v>
      </c>
      <c r="G745" t="str">
        <f>_xlfn.XLOOKUP($A745,Map!$A:$A,Map!C:C)</f>
        <v>IS</v>
      </c>
      <c r="H745" t="str">
        <f>_xlfn.XLOOKUP($A745,Map!$A:$A,Map!D:D)</f>
        <v>Cost of sales</v>
      </c>
      <c r="I745" t="str">
        <f>_xlfn.XLOOKUP($A745,Map!$A:$A,Map!E:E)</f>
        <v>Direct Labor</v>
      </c>
      <c r="J745" t="str">
        <f>_xlfn.XLOOKUP($A745,Map!$A:$A,Map!F:F)</f>
        <v>Transportation allowance</v>
      </c>
    </row>
    <row r="746" spans="1:10" hidden="1" x14ac:dyDescent="0.25">
      <c r="A746" s="90">
        <v>520001</v>
      </c>
      <c r="B746" s="90" t="s">
        <v>628</v>
      </c>
      <c r="D746" s="91">
        <v>146266</v>
      </c>
      <c r="E746" s="91">
        <v>0</v>
      </c>
      <c r="F746" s="91">
        <f t="shared" si="14"/>
        <v>146266</v>
      </c>
      <c r="G746" t="str">
        <f>_xlfn.XLOOKUP($A746,Map!$A:$A,Map!C:C)</f>
        <v>IS</v>
      </c>
      <c r="H746" t="str">
        <f>_xlfn.XLOOKUP($A746,Map!$A:$A,Map!D:D)</f>
        <v>Cost of sales</v>
      </c>
      <c r="I746" t="str">
        <f>_xlfn.XLOOKUP($A746,Map!$A:$A,Map!E:E)</f>
        <v>Direct Labor</v>
      </c>
      <c r="J746" t="str">
        <f>_xlfn.XLOOKUP($A746,Map!$A:$A,Map!F:F)</f>
        <v>Salaries and wages</v>
      </c>
    </row>
    <row r="747" spans="1:10" hidden="1" x14ac:dyDescent="0.25">
      <c r="A747" s="90">
        <v>520001</v>
      </c>
      <c r="B747" s="90" t="s">
        <v>628</v>
      </c>
      <c r="D747" s="91">
        <v>19747</v>
      </c>
      <c r="E747" s="91">
        <v>0</v>
      </c>
      <c r="F747" s="91">
        <f t="shared" si="14"/>
        <v>19747</v>
      </c>
      <c r="G747" t="str">
        <f>_xlfn.XLOOKUP($A747,Map!$A:$A,Map!C:C)</f>
        <v>IS</v>
      </c>
      <c r="H747" t="str">
        <f>_xlfn.XLOOKUP($A747,Map!$A:$A,Map!D:D)</f>
        <v>Cost of sales</v>
      </c>
      <c r="I747" t="str">
        <f>_xlfn.XLOOKUP($A747,Map!$A:$A,Map!E:E)</f>
        <v>Direct Labor</v>
      </c>
      <c r="J747" t="str">
        <f>_xlfn.XLOOKUP($A747,Map!$A:$A,Map!F:F)</f>
        <v>Salaries and wages</v>
      </c>
    </row>
    <row r="748" spans="1:10" hidden="1" x14ac:dyDescent="0.25">
      <c r="A748" s="90">
        <v>520001</v>
      </c>
      <c r="B748" s="90" t="s">
        <v>628</v>
      </c>
      <c r="D748" s="91">
        <v>35849</v>
      </c>
      <c r="E748" s="91">
        <v>0</v>
      </c>
      <c r="F748" s="91">
        <f t="shared" si="14"/>
        <v>35849</v>
      </c>
      <c r="G748" t="str">
        <f>_xlfn.XLOOKUP($A748,Map!$A:$A,Map!C:C)</f>
        <v>IS</v>
      </c>
      <c r="H748" t="str">
        <f>_xlfn.XLOOKUP($A748,Map!$A:$A,Map!D:D)</f>
        <v>Cost of sales</v>
      </c>
      <c r="I748" t="str">
        <f>_xlfn.XLOOKUP($A748,Map!$A:$A,Map!E:E)</f>
        <v>Direct Labor</v>
      </c>
      <c r="J748" t="str">
        <f>_xlfn.XLOOKUP($A748,Map!$A:$A,Map!F:F)</f>
        <v>Salaries and wages</v>
      </c>
    </row>
    <row r="749" spans="1:10" hidden="1" x14ac:dyDescent="0.25">
      <c r="A749" s="90">
        <v>520001</v>
      </c>
      <c r="B749" s="90" t="s">
        <v>628</v>
      </c>
      <c r="D749" s="91">
        <v>12461</v>
      </c>
      <c r="E749" s="91">
        <v>0</v>
      </c>
      <c r="F749" s="91">
        <f t="shared" si="14"/>
        <v>12461</v>
      </c>
      <c r="G749" t="str">
        <f>_xlfn.XLOOKUP($A749,Map!$A:$A,Map!C:C)</f>
        <v>IS</v>
      </c>
      <c r="H749" t="str">
        <f>_xlfn.XLOOKUP($A749,Map!$A:$A,Map!D:D)</f>
        <v>Cost of sales</v>
      </c>
      <c r="I749" t="str">
        <f>_xlfn.XLOOKUP($A749,Map!$A:$A,Map!E:E)</f>
        <v>Direct Labor</v>
      </c>
      <c r="J749" t="str">
        <f>_xlfn.XLOOKUP($A749,Map!$A:$A,Map!F:F)</f>
        <v>Salaries and wages</v>
      </c>
    </row>
    <row r="750" spans="1:10" hidden="1" x14ac:dyDescent="0.25">
      <c r="A750" s="90">
        <v>520001</v>
      </c>
      <c r="B750" s="90" t="s">
        <v>628</v>
      </c>
      <c r="D750" s="91">
        <v>21344</v>
      </c>
      <c r="E750" s="91">
        <v>0</v>
      </c>
      <c r="F750" s="91">
        <f t="shared" si="14"/>
        <v>21344</v>
      </c>
      <c r="G750" t="str">
        <f>_xlfn.XLOOKUP($A750,Map!$A:$A,Map!C:C)</f>
        <v>IS</v>
      </c>
      <c r="H750" t="str">
        <f>_xlfn.XLOOKUP($A750,Map!$A:$A,Map!D:D)</f>
        <v>Cost of sales</v>
      </c>
      <c r="I750" t="str">
        <f>_xlfn.XLOOKUP($A750,Map!$A:$A,Map!E:E)</f>
        <v>Direct Labor</v>
      </c>
      <c r="J750" t="str">
        <f>_xlfn.XLOOKUP($A750,Map!$A:$A,Map!F:F)</f>
        <v>Salaries and wages</v>
      </c>
    </row>
    <row r="751" spans="1:10" hidden="1" x14ac:dyDescent="0.25">
      <c r="A751" s="90">
        <v>510004</v>
      </c>
      <c r="B751" s="90" t="s">
        <v>628</v>
      </c>
      <c r="D751" s="91">
        <v>0</v>
      </c>
      <c r="E751" s="91">
        <v>37260.790999999997</v>
      </c>
      <c r="F751" s="91">
        <f t="shared" si="14"/>
        <v>-37260.790999999997</v>
      </c>
      <c r="G751" t="str">
        <f>_xlfn.XLOOKUP($A751,Map!$A:$A,Map!C:C)</f>
        <v>IS</v>
      </c>
      <c r="H751" t="str">
        <f>_xlfn.XLOOKUP($A751,Map!$A:$A,Map!D:D)</f>
        <v>Cost of sales</v>
      </c>
      <c r="I751" t="str">
        <f>_xlfn.XLOOKUP($A751,Map!$A:$A,Map!E:E)</f>
        <v>Raw materials</v>
      </c>
      <c r="J751" t="str">
        <f>_xlfn.XLOOKUP($A751,Map!$A:$A,Map!F:F)</f>
        <v>Other expenses</v>
      </c>
    </row>
    <row r="752" spans="1:10" hidden="1" x14ac:dyDescent="0.25">
      <c r="A752" s="90">
        <v>510004</v>
      </c>
      <c r="B752" s="90" t="s">
        <v>628</v>
      </c>
      <c r="D752" s="91">
        <v>0</v>
      </c>
      <c r="E752" s="91">
        <v>15584.565000000001</v>
      </c>
      <c r="F752" s="91">
        <f t="shared" si="14"/>
        <v>-15584.565000000001</v>
      </c>
      <c r="G752" t="str">
        <f>_xlfn.XLOOKUP($A752,Map!$A:$A,Map!C:C)</f>
        <v>IS</v>
      </c>
      <c r="H752" t="str">
        <f>_xlfn.XLOOKUP($A752,Map!$A:$A,Map!D:D)</f>
        <v>Cost of sales</v>
      </c>
      <c r="I752" t="str">
        <f>_xlfn.XLOOKUP($A752,Map!$A:$A,Map!E:E)</f>
        <v>Raw materials</v>
      </c>
      <c r="J752" t="str">
        <f>_xlfn.XLOOKUP($A752,Map!$A:$A,Map!F:F)</f>
        <v>Other expenses</v>
      </c>
    </row>
    <row r="753" spans="1:10" hidden="1" x14ac:dyDescent="0.25">
      <c r="A753" s="90">
        <v>510004</v>
      </c>
      <c r="B753" s="90" t="s">
        <v>628</v>
      </c>
      <c r="D753" s="91">
        <v>0</v>
      </c>
      <c r="E753" s="91">
        <v>751.65300000000002</v>
      </c>
      <c r="F753" s="91">
        <f t="shared" si="14"/>
        <v>-751.65300000000002</v>
      </c>
      <c r="G753" t="str">
        <f>_xlfn.XLOOKUP($A753,Map!$A:$A,Map!C:C)</f>
        <v>IS</v>
      </c>
      <c r="H753" t="str">
        <f>_xlfn.XLOOKUP($A753,Map!$A:$A,Map!D:D)</f>
        <v>Cost of sales</v>
      </c>
      <c r="I753" t="str">
        <f>_xlfn.XLOOKUP($A753,Map!$A:$A,Map!E:E)</f>
        <v>Raw materials</v>
      </c>
      <c r="J753" t="str">
        <f>_xlfn.XLOOKUP($A753,Map!$A:$A,Map!F:F)</f>
        <v>Other expenses</v>
      </c>
    </row>
    <row r="754" spans="1:10" hidden="1" x14ac:dyDescent="0.25">
      <c r="A754" s="90">
        <v>510004</v>
      </c>
      <c r="B754" s="90" t="s">
        <v>628</v>
      </c>
      <c r="D754" s="91">
        <v>0</v>
      </c>
      <c r="E754" s="91">
        <v>19517.437999999998</v>
      </c>
      <c r="F754" s="91">
        <f t="shared" si="14"/>
        <v>-19517.437999999998</v>
      </c>
      <c r="G754" t="str">
        <f>_xlfn.XLOOKUP($A754,Map!$A:$A,Map!C:C)</f>
        <v>IS</v>
      </c>
      <c r="H754" t="str">
        <f>_xlfn.XLOOKUP($A754,Map!$A:$A,Map!D:D)</f>
        <v>Cost of sales</v>
      </c>
      <c r="I754" t="str">
        <f>_xlfn.XLOOKUP($A754,Map!$A:$A,Map!E:E)</f>
        <v>Raw materials</v>
      </c>
      <c r="J754" t="str">
        <f>_xlfn.XLOOKUP($A754,Map!$A:$A,Map!F:F)</f>
        <v>Other expenses</v>
      </c>
    </row>
    <row r="755" spans="1:10" hidden="1" x14ac:dyDescent="0.25">
      <c r="A755" s="90">
        <v>510004</v>
      </c>
      <c r="B755" s="90" t="s">
        <v>628</v>
      </c>
      <c r="D755" s="91">
        <v>0</v>
      </c>
      <c r="E755" s="91">
        <v>17782.294000000002</v>
      </c>
      <c r="F755" s="91">
        <f t="shared" si="14"/>
        <v>-17782.294000000002</v>
      </c>
      <c r="G755" t="str">
        <f>_xlfn.XLOOKUP($A755,Map!$A:$A,Map!C:C)</f>
        <v>IS</v>
      </c>
      <c r="H755" t="str">
        <f>_xlfn.XLOOKUP($A755,Map!$A:$A,Map!D:D)</f>
        <v>Cost of sales</v>
      </c>
      <c r="I755" t="str">
        <f>_xlfn.XLOOKUP($A755,Map!$A:$A,Map!E:E)</f>
        <v>Raw materials</v>
      </c>
      <c r="J755" t="str">
        <f>_xlfn.XLOOKUP($A755,Map!$A:$A,Map!F:F)</f>
        <v>Other expenses</v>
      </c>
    </row>
    <row r="756" spans="1:10" hidden="1" x14ac:dyDescent="0.25">
      <c r="A756" s="90">
        <v>510004</v>
      </c>
      <c r="B756" s="90" t="s">
        <v>628</v>
      </c>
      <c r="D756" s="91">
        <v>0</v>
      </c>
      <c r="E756" s="91">
        <v>4624.6779999999999</v>
      </c>
      <c r="F756" s="91">
        <f t="shared" si="14"/>
        <v>-4624.6779999999999</v>
      </c>
      <c r="G756" t="str">
        <f>_xlfn.XLOOKUP($A756,Map!$A:$A,Map!C:C)</f>
        <v>IS</v>
      </c>
      <c r="H756" t="str">
        <f>_xlfn.XLOOKUP($A756,Map!$A:$A,Map!D:D)</f>
        <v>Cost of sales</v>
      </c>
      <c r="I756" t="str">
        <f>_xlfn.XLOOKUP($A756,Map!$A:$A,Map!E:E)</f>
        <v>Raw materials</v>
      </c>
      <c r="J756" t="str">
        <f>_xlfn.XLOOKUP($A756,Map!$A:$A,Map!F:F)</f>
        <v>Other expenses</v>
      </c>
    </row>
    <row r="757" spans="1:10" hidden="1" x14ac:dyDescent="0.25">
      <c r="A757" s="90">
        <v>510004</v>
      </c>
      <c r="B757" s="90" t="s">
        <v>628</v>
      </c>
      <c r="D757" s="91">
        <v>0</v>
      </c>
      <c r="E757" s="91">
        <v>568.4</v>
      </c>
      <c r="F757" s="91">
        <f t="shared" si="14"/>
        <v>-568.4</v>
      </c>
      <c r="G757" t="str">
        <f>_xlfn.XLOOKUP($A757,Map!$A:$A,Map!C:C)</f>
        <v>IS</v>
      </c>
      <c r="H757" t="str">
        <f>_xlfn.XLOOKUP($A757,Map!$A:$A,Map!D:D)</f>
        <v>Cost of sales</v>
      </c>
      <c r="I757" t="str">
        <f>_xlfn.XLOOKUP($A757,Map!$A:$A,Map!E:E)</f>
        <v>Raw materials</v>
      </c>
      <c r="J757" t="str">
        <f>_xlfn.XLOOKUP($A757,Map!$A:$A,Map!F:F)</f>
        <v>Other expenses</v>
      </c>
    </row>
    <row r="758" spans="1:10" hidden="1" x14ac:dyDescent="0.25">
      <c r="A758" s="90">
        <v>510004</v>
      </c>
      <c r="B758" s="90" t="s">
        <v>628</v>
      </c>
      <c r="D758" s="91">
        <v>0</v>
      </c>
      <c r="E758" s="91">
        <v>8167.3739999999998</v>
      </c>
      <c r="F758" s="91">
        <f t="shared" si="14"/>
        <v>-8167.3739999999998</v>
      </c>
      <c r="G758" t="str">
        <f>_xlfn.XLOOKUP($A758,Map!$A:$A,Map!C:C)</f>
        <v>IS</v>
      </c>
      <c r="H758" t="str">
        <f>_xlfn.XLOOKUP($A758,Map!$A:$A,Map!D:D)</f>
        <v>Cost of sales</v>
      </c>
      <c r="I758" t="str">
        <f>_xlfn.XLOOKUP($A758,Map!$A:$A,Map!E:E)</f>
        <v>Raw materials</v>
      </c>
      <c r="J758" t="str">
        <f>_xlfn.XLOOKUP($A758,Map!$A:$A,Map!F:F)</f>
        <v>Other expenses</v>
      </c>
    </row>
    <row r="759" spans="1:10" hidden="1" x14ac:dyDescent="0.25">
      <c r="A759" s="90">
        <v>510004</v>
      </c>
      <c r="B759" s="90" t="s">
        <v>628</v>
      </c>
      <c r="D759" s="91">
        <v>0</v>
      </c>
      <c r="E759" s="91">
        <v>47259.023000000001</v>
      </c>
      <c r="F759" s="91">
        <f t="shared" si="14"/>
        <v>-47259.023000000001</v>
      </c>
      <c r="G759" t="str">
        <f>_xlfn.XLOOKUP($A759,Map!$A:$A,Map!C:C)</f>
        <v>IS</v>
      </c>
      <c r="H759" t="str">
        <f>_xlfn.XLOOKUP($A759,Map!$A:$A,Map!D:D)</f>
        <v>Cost of sales</v>
      </c>
      <c r="I759" t="str">
        <f>_xlfn.XLOOKUP($A759,Map!$A:$A,Map!E:E)</f>
        <v>Raw materials</v>
      </c>
      <c r="J759" t="str">
        <f>_xlfn.XLOOKUP($A759,Map!$A:$A,Map!F:F)</f>
        <v>Other expenses</v>
      </c>
    </row>
    <row r="760" spans="1:10" hidden="1" x14ac:dyDescent="0.25">
      <c r="A760" s="90">
        <v>510004</v>
      </c>
      <c r="B760" s="90" t="s">
        <v>628</v>
      </c>
      <c r="D760" s="91">
        <v>0</v>
      </c>
      <c r="E760" s="91">
        <v>3912.8969999999999</v>
      </c>
      <c r="F760" s="91">
        <f t="shared" si="14"/>
        <v>-3912.8969999999999</v>
      </c>
      <c r="G760" t="str">
        <f>_xlfn.XLOOKUP($A760,Map!$A:$A,Map!C:C)</f>
        <v>IS</v>
      </c>
      <c r="H760" t="str">
        <f>_xlfn.XLOOKUP($A760,Map!$A:$A,Map!D:D)</f>
        <v>Cost of sales</v>
      </c>
      <c r="I760" t="str">
        <f>_xlfn.XLOOKUP($A760,Map!$A:$A,Map!E:E)</f>
        <v>Raw materials</v>
      </c>
      <c r="J760" t="str">
        <f>_xlfn.XLOOKUP($A760,Map!$A:$A,Map!F:F)</f>
        <v>Other expenses</v>
      </c>
    </row>
    <row r="761" spans="1:10" hidden="1" x14ac:dyDescent="0.25">
      <c r="A761" s="90">
        <v>510002</v>
      </c>
      <c r="B761" s="90" t="s">
        <v>628</v>
      </c>
      <c r="D761" s="91">
        <v>0</v>
      </c>
      <c r="E761" s="91">
        <v>2793</v>
      </c>
      <c r="F761" s="91">
        <f t="shared" si="14"/>
        <v>-2793</v>
      </c>
      <c r="G761" t="str">
        <f>_xlfn.XLOOKUP($A761,Map!$A:$A,Map!C:C)</f>
        <v>IS</v>
      </c>
      <c r="H761" t="str">
        <f>_xlfn.XLOOKUP($A761,Map!$A:$A,Map!D:D)</f>
        <v>Cost of sales</v>
      </c>
      <c r="I761" t="str">
        <f>_xlfn.XLOOKUP($A761,Map!$A:$A,Map!E:E)</f>
        <v>Direct Labor</v>
      </c>
      <c r="J761" t="str">
        <f>_xlfn.XLOOKUP($A761,Map!$A:$A,Map!F:F)</f>
        <v>Direct Labor</v>
      </c>
    </row>
    <row r="762" spans="1:10" hidden="1" x14ac:dyDescent="0.25">
      <c r="A762" s="90">
        <v>510002</v>
      </c>
      <c r="B762" s="90" t="s">
        <v>628</v>
      </c>
      <c r="D762" s="91">
        <v>0</v>
      </c>
      <c r="E762" s="91">
        <v>176600</v>
      </c>
      <c r="F762" s="91">
        <f t="shared" si="14"/>
        <v>-176600</v>
      </c>
      <c r="G762" t="str">
        <f>_xlfn.XLOOKUP($A762,Map!$A:$A,Map!C:C)</f>
        <v>IS</v>
      </c>
      <c r="H762" t="str">
        <f>_xlfn.XLOOKUP($A762,Map!$A:$A,Map!D:D)</f>
        <v>Cost of sales</v>
      </c>
      <c r="I762" t="str">
        <f>_xlfn.XLOOKUP($A762,Map!$A:$A,Map!E:E)</f>
        <v>Direct Labor</v>
      </c>
      <c r="J762" t="str">
        <f>_xlfn.XLOOKUP($A762,Map!$A:$A,Map!F:F)</f>
        <v>Direct Labor</v>
      </c>
    </row>
    <row r="763" spans="1:10" hidden="1" x14ac:dyDescent="0.25">
      <c r="A763" s="90">
        <v>510002</v>
      </c>
      <c r="B763" s="90" t="s">
        <v>628</v>
      </c>
      <c r="D763" s="91">
        <v>0</v>
      </c>
      <c r="E763" s="91">
        <v>14362</v>
      </c>
      <c r="F763" s="91">
        <f t="shared" si="14"/>
        <v>-14362</v>
      </c>
      <c r="G763" t="str">
        <f>_xlfn.XLOOKUP($A763,Map!$A:$A,Map!C:C)</f>
        <v>IS</v>
      </c>
      <c r="H763" t="str">
        <f>_xlfn.XLOOKUP($A763,Map!$A:$A,Map!D:D)</f>
        <v>Cost of sales</v>
      </c>
      <c r="I763" t="str">
        <f>_xlfn.XLOOKUP($A763,Map!$A:$A,Map!E:E)</f>
        <v>Direct Labor</v>
      </c>
      <c r="J763" t="str">
        <f>_xlfn.XLOOKUP($A763,Map!$A:$A,Map!F:F)</f>
        <v>Direct Labor</v>
      </c>
    </row>
    <row r="764" spans="1:10" hidden="1" x14ac:dyDescent="0.25">
      <c r="A764" s="90">
        <v>510002</v>
      </c>
      <c r="B764" s="90" t="s">
        <v>628</v>
      </c>
      <c r="D764" s="91">
        <v>0</v>
      </c>
      <c r="E764" s="91">
        <v>36426</v>
      </c>
      <c r="F764" s="91">
        <f t="shared" si="14"/>
        <v>-36426</v>
      </c>
      <c r="G764" t="str">
        <f>_xlfn.XLOOKUP($A764,Map!$A:$A,Map!C:C)</f>
        <v>IS</v>
      </c>
      <c r="H764" t="str">
        <f>_xlfn.XLOOKUP($A764,Map!$A:$A,Map!D:D)</f>
        <v>Cost of sales</v>
      </c>
      <c r="I764" t="str">
        <f>_xlfn.XLOOKUP($A764,Map!$A:$A,Map!E:E)</f>
        <v>Direct Labor</v>
      </c>
      <c r="J764" t="str">
        <f>_xlfn.XLOOKUP($A764,Map!$A:$A,Map!F:F)</f>
        <v>Direct Labor</v>
      </c>
    </row>
    <row r="765" spans="1:10" hidden="1" x14ac:dyDescent="0.25">
      <c r="A765" s="90">
        <v>510002</v>
      </c>
      <c r="B765" s="90" t="s">
        <v>628</v>
      </c>
      <c r="D765" s="91">
        <v>0</v>
      </c>
      <c r="E765" s="91">
        <v>40144</v>
      </c>
      <c r="F765" s="91">
        <f t="shared" si="14"/>
        <v>-40144</v>
      </c>
      <c r="G765" t="str">
        <f>_xlfn.XLOOKUP($A765,Map!$A:$A,Map!C:C)</f>
        <v>IS</v>
      </c>
      <c r="H765" t="str">
        <f>_xlfn.XLOOKUP($A765,Map!$A:$A,Map!D:D)</f>
        <v>Cost of sales</v>
      </c>
      <c r="I765" t="str">
        <f>_xlfn.XLOOKUP($A765,Map!$A:$A,Map!E:E)</f>
        <v>Direct Labor</v>
      </c>
      <c r="J765" t="str">
        <f>_xlfn.XLOOKUP($A765,Map!$A:$A,Map!F:F)</f>
        <v>Direct Labor</v>
      </c>
    </row>
    <row r="766" spans="1:10" hidden="1" x14ac:dyDescent="0.25">
      <c r="A766" s="90">
        <v>510002</v>
      </c>
      <c r="B766" s="90" t="s">
        <v>628</v>
      </c>
      <c r="D766" s="91">
        <v>0</v>
      </c>
      <c r="E766" s="91">
        <v>1724</v>
      </c>
      <c r="F766" s="91">
        <f t="shared" si="14"/>
        <v>-1724</v>
      </c>
      <c r="G766" t="str">
        <f>_xlfn.XLOOKUP($A766,Map!$A:$A,Map!C:C)</f>
        <v>IS</v>
      </c>
      <c r="H766" t="str">
        <f>_xlfn.XLOOKUP($A766,Map!$A:$A,Map!D:D)</f>
        <v>Cost of sales</v>
      </c>
      <c r="I766" t="str">
        <f>_xlfn.XLOOKUP($A766,Map!$A:$A,Map!E:E)</f>
        <v>Direct Labor</v>
      </c>
      <c r="J766" t="str">
        <f>_xlfn.XLOOKUP($A766,Map!$A:$A,Map!F:F)</f>
        <v>Direct Labor</v>
      </c>
    </row>
    <row r="767" spans="1:10" hidden="1" x14ac:dyDescent="0.25">
      <c r="A767" s="90">
        <v>510002</v>
      </c>
      <c r="B767" s="90" t="s">
        <v>628</v>
      </c>
      <c r="D767" s="91">
        <v>0</v>
      </c>
      <c r="E767" s="91">
        <v>21344</v>
      </c>
      <c r="F767" s="91">
        <f t="shared" si="14"/>
        <v>-21344</v>
      </c>
      <c r="G767" t="str">
        <f>_xlfn.XLOOKUP($A767,Map!$A:$A,Map!C:C)</f>
        <v>IS</v>
      </c>
      <c r="H767" t="str">
        <f>_xlfn.XLOOKUP($A767,Map!$A:$A,Map!D:D)</f>
        <v>Cost of sales</v>
      </c>
      <c r="I767" t="str">
        <f>_xlfn.XLOOKUP($A767,Map!$A:$A,Map!E:E)</f>
        <v>Direct Labor</v>
      </c>
      <c r="J767" t="str">
        <f>_xlfn.XLOOKUP($A767,Map!$A:$A,Map!F:F)</f>
        <v>Direct Labor</v>
      </c>
    </row>
    <row r="768" spans="1:10" hidden="1" x14ac:dyDescent="0.25">
      <c r="A768" s="90">
        <v>510002</v>
      </c>
      <c r="B768" s="90" t="s">
        <v>628</v>
      </c>
      <c r="D768" s="91">
        <v>0</v>
      </c>
      <c r="E768" s="91">
        <v>1460</v>
      </c>
      <c r="F768" s="91">
        <f t="shared" si="14"/>
        <v>-1460</v>
      </c>
      <c r="G768" t="str">
        <f>_xlfn.XLOOKUP($A768,Map!$A:$A,Map!C:C)</f>
        <v>IS</v>
      </c>
      <c r="H768" t="str">
        <f>_xlfn.XLOOKUP($A768,Map!$A:$A,Map!D:D)</f>
        <v>Cost of sales</v>
      </c>
      <c r="I768" t="str">
        <f>_xlfn.XLOOKUP($A768,Map!$A:$A,Map!E:E)</f>
        <v>Direct Labor</v>
      </c>
      <c r="J768" t="str">
        <f>_xlfn.XLOOKUP($A768,Map!$A:$A,Map!F:F)</f>
        <v>Direct Labor</v>
      </c>
    </row>
    <row r="769" spans="1:10" hidden="1" x14ac:dyDescent="0.25">
      <c r="A769" s="90">
        <v>700026</v>
      </c>
      <c r="B769" s="90" t="s">
        <v>726</v>
      </c>
      <c r="D769" s="91">
        <v>800</v>
      </c>
      <c r="E769" s="91">
        <v>0</v>
      </c>
      <c r="F769" s="91">
        <f t="shared" ref="F769:F832" si="15">D769-E769</f>
        <v>800</v>
      </c>
      <c r="G769" t="str">
        <f>_xlfn.XLOOKUP($A769,Map!$A:$A,Map!C:C)</f>
        <v>IS</v>
      </c>
      <c r="H769" t="str">
        <f>_xlfn.XLOOKUP($A769,Map!$A:$A,Map!D:D)</f>
        <v>General and Admin</v>
      </c>
      <c r="I769" t="str">
        <f>_xlfn.XLOOKUP($A769,Map!$A:$A,Map!E:E)</f>
        <v>Utilities</v>
      </c>
      <c r="J769" t="str">
        <f>_xlfn.XLOOKUP($A769,Map!$A:$A,Map!F:F)</f>
        <v>Magazines &amp; News Papers Exp.</v>
      </c>
    </row>
    <row r="770" spans="1:10" hidden="1" x14ac:dyDescent="0.25">
      <c r="A770" s="90">
        <v>700026</v>
      </c>
      <c r="B770" s="90" t="s">
        <v>726</v>
      </c>
      <c r="D770" s="91">
        <v>0</v>
      </c>
      <c r="E770" s="91">
        <v>800</v>
      </c>
      <c r="F770" s="91">
        <f t="shared" si="15"/>
        <v>-800</v>
      </c>
      <c r="G770" t="str">
        <f>_xlfn.XLOOKUP($A770,Map!$A:$A,Map!C:C)</f>
        <v>IS</v>
      </c>
      <c r="H770" t="str">
        <f>_xlfn.XLOOKUP($A770,Map!$A:$A,Map!D:D)</f>
        <v>General and Admin</v>
      </c>
      <c r="I770" t="str">
        <f>_xlfn.XLOOKUP($A770,Map!$A:$A,Map!E:E)</f>
        <v>Utilities</v>
      </c>
      <c r="J770" t="str">
        <f>_xlfn.XLOOKUP($A770,Map!$A:$A,Map!F:F)</f>
        <v>Magazines &amp; News Papers Exp.</v>
      </c>
    </row>
    <row r="771" spans="1:10" hidden="1" x14ac:dyDescent="0.25">
      <c r="A771" s="90">
        <v>600031</v>
      </c>
      <c r="B771" s="90" t="s">
        <v>726</v>
      </c>
      <c r="D771" s="91">
        <v>613.33000000000004</v>
      </c>
      <c r="E771" s="91">
        <v>0</v>
      </c>
      <c r="F771" s="91">
        <f t="shared" si="15"/>
        <v>613.33000000000004</v>
      </c>
      <c r="G771" t="str">
        <f>_xlfn.XLOOKUP($A771,Map!$A:$A,Map!C:C)</f>
        <v>IS</v>
      </c>
      <c r="H771" t="str">
        <f>_xlfn.XLOOKUP($A771,Map!$A:$A,Map!D:D)</f>
        <v>Depreciation expenses</v>
      </c>
      <c r="I771" t="str">
        <f>_xlfn.XLOOKUP($A771,Map!$A:$A,Map!E:E)</f>
        <v>Depreciation expenses</v>
      </c>
      <c r="J771" t="str">
        <f>_xlfn.XLOOKUP($A771,Map!$A:$A,Map!F:F)</f>
        <v>Depreciation of property, plant and equipment</v>
      </c>
    </row>
    <row r="772" spans="1:10" hidden="1" x14ac:dyDescent="0.25">
      <c r="A772" s="90">
        <v>600030</v>
      </c>
      <c r="B772" s="90" t="s">
        <v>726</v>
      </c>
      <c r="D772" s="91">
        <v>543.16999999999996</v>
      </c>
      <c r="E772" s="91">
        <v>0</v>
      </c>
      <c r="F772" s="91">
        <f t="shared" si="15"/>
        <v>543.16999999999996</v>
      </c>
      <c r="G772" t="str">
        <f>_xlfn.XLOOKUP($A772,Map!$A:$A,Map!C:C)</f>
        <v>IS</v>
      </c>
      <c r="H772" t="str">
        <f>_xlfn.XLOOKUP($A772,Map!$A:$A,Map!D:D)</f>
        <v>Depreciation expenses</v>
      </c>
      <c r="I772" t="str">
        <f>_xlfn.XLOOKUP($A772,Map!$A:$A,Map!E:E)</f>
        <v>Depreciation expenses</v>
      </c>
      <c r="J772" t="str">
        <f>_xlfn.XLOOKUP($A772,Map!$A:$A,Map!F:F)</f>
        <v>Depreciation of property, plant and equipment</v>
      </c>
    </row>
    <row r="773" spans="1:10" hidden="1" x14ac:dyDescent="0.25">
      <c r="A773" s="90">
        <v>600029</v>
      </c>
      <c r="B773" s="90" t="s">
        <v>726</v>
      </c>
      <c r="D773" s="91">
        <v>286398.58</v>
      </c>
      <c r="E773" s="91">
        <v>0</v>
      </c>
      <c r="F773" s="91">
        <f t="shared" si="15"/>
        <v>286398.58</v>
      </c>
      <c r="G773" t="str">
        <f>_xlfn.XLOOKUP($A773,Map!$A:$A,Map!C:C)</f>
        <v>IS</v>
      </c>
      <c r="H773" t="str">
        <f>_xlfn.XLOOKUP($A773,Map!$A:$A,Map!D:D)</f>
        <v>Cost of sales</v>
      </c>
      <c r="I773" t="str">
        <f>_xlfn.XLOOKUP($A773,Map!$A:$A,Map!E:E)</f>
        <v>Depreciation - Machines</v>
      </c>
      <c r="J773" t="str">
        <f>_xlfn.XLOOKUP($A773,Map!$A:$A,Map!F:F)</f>
        <v>Depreciation of property, plant and equipment</v>
      </c>
    </row>
    <row r="774" spans="1:10" hidden="1" x14ac:dyDescent="0.25">
      <c r="A774" s="90">
        <v>600027</v>
      </c>
      <c r="B774" s="90" t="s">
        <v>726</v>
      </c>
      <c r="D774" s="91">
        <v>51333.34</v>
      </c>
      <c r="E774" s="91">
        <v>0</v>
      </c>
      <c r="F774" s="91">
        <f t="shared" si="15"/>
        <v>51333.34</v>
      </c>
      <c r="G774" t="str">
        <f>_xlfn.XLOOKUP($A774,Map!$A:$A,Map!C:C)</f>
        <v>IS</v>
      </c>
      <c r="H774" t="str">
        <f>_xlfn.XLOOKUP($A774,Map!$A:$A,Map!D:D)</f>
        <v>Cost of sales</v>
      </c>
      <c r="I774" t="str">
        <f>_xlfn.XLOOKUP($A774,Map!$A:$A,Map!E:E)</f>
        <v>Overhead - Rent</v>
      </c>
      <c r="J774" t="str">
        <f>_xlfn.XLOOKUP($A774,Map!$A:$A,Map!F:F)</f>
        <v>Production hall rental</v>
      </c>
    </row>
    <row r="775" spans="1:10" hidden="1" x14ac:dyDescent="0.25">
      <c r="A775" s="90">
        <v>600024</v>
      </c>
      <c r="B775" s="90" t="s">
        <v>726</v>
      </c>
      <c r="D775" s="91">
        <v>15627</v>
      </c>
      <c r="E775" s="91">
        <v>0</v>
      </c>
      <c r="F775" s="91">
        <f t="shared" si="15"/>
        <v>15627</v>
      </c>
      <c r="G775" t="str">
        <f>_xlfn.XLOOKUP($A775,Map!$A:$A,Map!C:C)</f>
        <v>IS</v>
      </c>
      <c r="H775" t="str">
        <f>_xlfn.XLOOKUP($A775,Map!$A:$A,Map!D:D)</f>
        <v>Cost of sales</v>
      </c>
      <c r="I775" t="str">
        <f>_xlfn.XLOOKUP($A775,Map!$A:$A,Map!E:E)</f>
        <v>Overhead - Rent</v>
      </c>
      <c r="J775" t="str">
        <f>_xlfn.XLOOKUP($A775,Map!$A:$A,Map!F:F)</f>
        <v>Pump rental expenses</v>
      </c>
    </row>
    <row r="776" spans="1:10" hidden="1" x14ac:dyDescent="0.25">
      <c r="A776" s="90">
        <v>600021</v>
      </c>
      <c r="B776" s="90" t="s">
        <v>726</v>
      </c>
      <c r="D776" s="91">
        <v>1652</v>
      </c>
      <c r="E776" s="91">
        <v>0</v>
      </c>
      <c r="F776" s="91">
        <f t="shared" si="15"/>
        <v>1652</v>
      </c>
      <c r="G776" t="str">
        <f>_xlfn.XLOOKUP($A776,Map!$A:$A,Map!C:C)</f>
        <v>IS</v>
      </c>
      <c r="H776" t="str">
        <f>_xlfn.XLOOKUP($A776,Map!$A:$A,Map!D:D)</f>
        <v>Cost of sales</v>
      </c>
      <c r="I776" t="str">
        <f>_xlfn.XLOOKUP($A776,Map!$A:$A,Map!E:E)</f>
        <v>Overhead - R&amp;M</v>
      </c>
      <c r="J776" t="str">
        <f>_xlfn.XLOOKUP($A776,Map!$A:$A,Map!F:F)</f>
        <v>Vehicle maintenance</v>
      </c>
    </row>
    <row r="777" spans="1:10" hidden="1" x14ac:dyDescent="0.25">
      <c r="A777" s="90">
        <v>600018</v>
      </c>
      <c r="B777" s="90" t="s">
        <v>726</v>
      </c>
      <c r="D777" s="91">
        <v>6720</v>
      </c>
      <c r="E777" s="91">
        <v>0</v>
      </c>
      <c r="F777" s="91">
        <f t="shared" si="15"/>
        <v>6720</v>
      </c>
      <c r="G777" t="str">
        <f>_xlfn.XLOOKUP($A777,Map!$A:$A,Map!C:C)</f>
        <v>IS</v>
      </c>
      <c r="H777" t="str">
        <f>_xlfn.XLOOKUP($A777,Map!$A:$A,Map!D:D)</f>
        <v>Cost of sales</v>
      </c>
      <c r="I777" t="str">
        <f>_xlfn.XLOOKUP($A777,Map!$A:$A,Map!E:E)</f>
        <v>Overhead - Utility</v>
      </c>
      <c r="J777" t="str">
        <f>_xlfn.XLOOKUP($A777,Map!$A:$A,Map!F:F)</f>
        <v>Water expenses</v>
      </c>
    </row>
    <row r="778" spans="1:10" hidden="1" x14ac:dyDescent="0.25">
      <c r="A778" s="90">
        <v>600017</v>
      </c>
      <c r="B778" s="90" t="s">
        <v>726</v>
      </c>
      <c r="D778" s="91">
        <v>189421.8</v>
      </c>
      <c r="E778" s="91">
        <v>0</v>
      </c>
      <c r="F778" s="91">
        <f t="shared" si="15"/>
        <v>189421.8</v>
      </c>
      <c r="G778" t="str">
        <f>_xlfn.XLOOKUP($A778,Map!$A:$A,Map!C:C)</f>
        <v>IS</v>
      </c>
      <c r="H778" t="str">
        <f>_xlfn.XLOOKUP($A778,Map!$A:$A,Map!D:D)</f>
        <v>Cost of sales</v>
      </c>
      <c r="I778" t="str">
        <f>_xlfn.XLOOKUP($A778,Map!$A:$A,Map!E:E)</f>
        <v>Overhead - Utility</v>
      </c>
      <c r="J778" t="str">
        <f>_xlfn.XLOOKUP($A778,Map!$A:$A,Map!F:F)</f>
        <v>Electricity expenses</v>
      </c>
    </row>
    <row r="779" spans="1:10" hidden="1" x14ac:dyDescent="0.25">
      <c r="A779" s="90">
        <v>600016</v>
      </c>
      <c r="B779" s="90" t="s">
        <v>726</v>
      </c>
      <c r="D779" s="91">
        <v>4997</v>
      </c>
      <c r="E779" s="91">
        <v>0</v>
      </c>
      <c r="F779" s="91">
        <f t="shared" si="15"/>
        <v>4997</v>
      </c>
      <c r="G779" t="str">
        <f>_xlfn.XLOOKUP($A779,Map!$A:$A,Map!C:C)</f>
        <v>IS</v>
      </c>
      <c r="H779" t="str">
        <f>_xlfn.XLOOKUP($A779,Map!$A:$A,Map!D:D)</f>
        <v>Cost of sales</v>
      </c>
      <c r="I779" t="str">
        <f>_xlfn.XLOOKUP($A779,Map!$A:$A,Map!E:E)</f>
        <v>Overhead - Consumables &amp; SP</v>
      </c>
      <c r="J779" t="str">
        <f>_xlfn.XLOOKUP($A779,Map!$A:$A,Map!F:F)</f>
        <v>Tools</v>
      </c>
    </row>
    <row r="780" spans="1:10" hidden="1" x14ac:dyDescent="0.25">
      <c r="A780" s="90">
        <v>600014</v>
      </c>
      <c r="B780" s="90" t="s">
        <v>726</v>
      </c>
      <c r="D780" s="91">
        <v>163142</v>
      </c>
      <c r="E780" s="91">
        <v>0</v>
      </c>
      <c r="F780" s="91">
        <f t="shared" si="15"/>
        <v>163142</v>
      </c>
      <c r="G780" t="str">
        <f>_xlfn.XLOOKUP($A780,Map!$A:$A,Map!C:C)</f>
        <v>IS</v>
      </c>
      <c r="H780" t="str">
        <f>_xlfn.XLOOKUP($A780,Map!$A:$A,Map!D:D)</f>
        <v>Cost of sales</v>
      </c>
      <c r="I780" t="str">
        <f>_xlfn.XLOOKUP($A780,Map!$A:$A,Map!E:E)</f>
        <v>Overhead - Consumables &amp; SP</v>
      </c>
      <c r="J780" t="str">
        <f>_xlfn.XLOOKUP($A780,Map!$A:$A,Map!F:F)</f>
        <v>Consumables</v>
      </c>
    </row>
    <row r="781" spans="1:10" hidden="1" x14ac:dyDescent="0.25">
      <c r="A781" s="90">
        <v>600013</v>
      </c>
      <c r="B781" s="90" t="s">
        <v>726</v>
      </c>
      <c r="D781" s="91">
        <v>750</v>
      </c>
      <c r="E781" s="91">
        <v>0</v>
      </c>
      <c r="F781" s="91">
        <f t="shared" si="15"/>
        <v>750</v>
      </c>
      <c r="G781" t="str">
        <f>_xlfn.XLOOKUP($A781,Map!$A:$A,Map!C:C)</f>
        <v>IS</v>
      </c>
      <c r="H781" t="str">
        <f>_xlfn.XLOOKUP($A781,Map!$A:$A,Map!D:D)</f>
        <v>Cost of sales</v>
      </c>
      <c r="I781" t="str">
        <f>_xlfn.XLOOKUP($A781,Map!$A:$A,Map!E:E)</f>
        <v>Overhead - Labor Cost</v>
      </c>
      <c r="J781" t="str">
        <f>_xlfn.XLOOKUP($A781,Map!$A:$A,Map!F:F)</f>
        <v>Telephone allowance</v>
      </c>
    </row>
    <row r="782" spans="1:10" hidden="1" x14ac:dyDescent="0.25">
      <c r="A782" s="90">
        <v>600011</v>
      </c>
      <c r="B782" s="90" t="s">
        <v>726</v>
      </c>
      <c r="D782" s="91">
        <v>1000</v>
      </c>
      <c r="E782" s="91">
        <v>0</v>
      </c>
      <c r="F782" s="91">
        <f t="shared" si="15"/>
        <v>1000</v>
      </c>
      <c r="G782" t="str">
        <f>_xlfn.XLOOKUP($A782,Map!$A:$A,Map!C:C)</f>
        <v>IS</v>
      </c>
      <c r="H782" t="str">
        <f>_xlfn.XLOOKUP($A782,Map!$A:$A,Map!D:D)</f>
        <v>Cost of sales</v>
      </c>
      <c r="I782" t="str">
        <f>_xlfn.XLOOKUP($A782,Map!$A:$A,Map!E:E)</f>
        <v>Overhead - Labor Cost</v>
      </c>
      <c r="J782" t="str">
        <f>_xlfn.XLOOKUP($A782,Map!$A:$A,Map!F:F)</f>
        <v>Air tickets</v>
      </c>
    </row>
    <row r="783" spans="1:10" hidden="1" x14ac:dyDescent="0.25">
      <c r="A783" s="90">
        <v>600009</v>
      </c>
      <c r="B783" s="90" t="s">
        <v>726</v>
      </c>
      <c r="D783" s="91">
        <v>14700</v>
      </c>
      <c r="E783" s="91">
        <v>0</v>
      </c>
      <c r="F783" s="91">
        <f t="shared" si="15"/>
        <v>14700</v>
      </c>
      <c r="G783" t="str">
        <f>_xlfn.XLOOKUP($A783,Map!$A:$A,Map!C:C)</f>
        <v>IS</v>
      </c>
      <c r="H783" t="str">
        <f>_xlfn.XLOOKUP($A783,Map!$A:$A,Map!D:D)</f>
        <v>Cost of sales</v>
      </c>
      <c r="I783" t="str">
        <f>_xlfn.XLOOKUP($A783,Map!$A:$A,Map!E:E)</f>
        <v>Overhead - Labor Cost</v>
      </c>
      <c r="J783" t="str">
        <f>_xlfn.XLOOKUP($A783,Map!$A:$A,Map!F:F)</f>
        <v>Vacation pay</v>
      </c>
    </row>
    <row r="784" spans="1:10" hidden="1" x14ac:dyDescent="0.25">
      <c r="A784" s="90">
        <v>600008</v>
      </c>
      <c r="B784" s="90" t="s">
        <v>726</v>
      </c>
      <c r="D784" s="91">
        <v>9595</v>
      </c>
      <c r="E784" s="91">
        <v>0</v>
      </c>
      <c r="F784" s="91">
        <f t="shared" si="15"/>
        <v>9595</v>
      </c>
      <c r="G784" t="str">
        <f>_xlfn.XLOOKUP($A784,Map!$A:$A,Map!C:C)</f>
        <v>IS</v>
      </c>
      <c r="H784" t="str">
        <f>_xlfn.XLOOKUP($A784,Map!$A:$A,Map!D:D)</f>
        <v>Cost of sales</v>
      </c>
      <c r="I784" t="str">
        <f>_xlfn.XLOOKUP($A784,Map!$A:$A,Map!E:E)</f>
        <v>Overhead - Labor Cost</v>
      </c>
      <c r="J784" t="str">
        <f>_xlfn.XLOOKUP($A784,Map!$A:$A,Map!F:F)</f>
        <v>Air tickets</v>
      </c>
    </row>
    <row r="785" spans="1:10" hidden="1" x14ac:dyDescent="0.25">
      <c r="A785" s="90">
        <v>600007</v>
      </c>
      <c r="B785" s="90" t="s">
        <v>726</v>
      </c>
      <c r="D785" s="91">
        <v>2300</v>
      </c>
      <c r="E785" s="91">
        <v>0</v>
      </c>
      <c r="F785" s="91">
        <f t="shared" si="15"/>
        <v>2300</v>
      </c>
      <c r="G785" t="str">
        <f>_xlfn.XLOOKUP($A785,Map!$A:$A,Map!C:C)</f>
        <v>IS</v>
      </c>
      <c r="H785" t="str">
        <f>_xlfn.XLOOKUP($A785,Map!$A:$A,Map!D:D)</f>
        <v>Cost of sales</v>
      </c>
      <c r="I785" t="str">
        <f>_xlfn.XLOOKUP($A785,Map!$A:$A,Map!E:E)</f>
        <v>Overhead - Labor Cost</v>
      </c>
      <c r="J785" t="str">
        <f>_xlfn.XLOOKUP($A785,Map!$A:$A,Map!F:F)</f>
        <v>Transportation allowance</v>
      </c>
    </row>
    <row r="786" spans="1:10" hidden="1" x14ac:dyDescent="0.25">
      <c r="A786" s="90">
        <v>600006</v>
      </c>
      <c r="B786" s="90" t="s">
        <v>726</v>
      </c>
      <c r="D786" s="91">
        <v>30957.35</v>
      </c>
      <c r="E786" s="91">
        <v>0</v>
      </c>
      <c r="F786" s="91">
        <f t="shared" si="15"/>
        <v>30957.35</v>
      </c>
      <c r="G786" t="str">
        <f>_xlfn.XLOOKUP($A786,Map!$A:$A,Map!C:C)</f>
        <v>IS</v>
      </c>
      <c r="H786" t="str">
        <f>_xlfn.XLOOKUP($A786,Map!$A:$A,Map!D:D)</f>
        <v>Cost of sales</v>
      </c>
      <c r="I786" t="str">
        <f>_xlfn.XLOOKUP($A786,Map!$A:$A,Map!E:E)</f>
        <v>Overhead - Labor Cost</v>
      </c>
      <c r="J786" t="str">
        <f>_xlfn.XLOOKUP($A786,Map!$A:$A,Map!F:F)</f>
        <v xml:space="preserve">Food &amp; Housing </v>
      </c>
    </row>
    <row r="787" spans="1:10" hidden="1" x14ac:dyDescent="0.25">
      <c r="A787" s="90">
        <v>600005</v>
      </c>
      <c r="B787" s="90" t="s">
        <v>726</v>
      </c>
      <c r="D787" s="91">
        <v>21850</v>
      </c>
      <c r="E787" s="91">
        <v>0</v>
      </c>
      <c r="F787" s="91">
        <f t="shared" si="15"/>
        <v>21850</v>
      </c>
      <c r="G787" t="str">
        <f>_xlfn.XLOOKUP($A787,Map!$A:$A,Map!C:C)</f>
        <v>IS</v>
      </c>
      <c r="H787" t="str">
        <f>_xlfn.XLOOKUP($A787,Map!$A:$A,Map!D:D)</f>
        <v>General and Admin</v>
      </c>
      <c r="I787" t="str">
        <f>_xlfn.XLOOKUP($A787,Map!$A:$A,Map!E:E)</f>
        <v>Govt license and fees (including modon)</v>
      </c>
      <c r="J787" t="str">
        <f>_xlfn.XLOOKUP($A787,Map!$A:$A,Map!F:F)</f>
        <v>Government fees</v>
      </c>
    </row>
    <row r="788" spans="1:10" hidden="1" x14ac:dyDescent="0.25">
      <c r="A788" s="90">
        <v>600004</v>
      </c>
      <c r="B788" s="90" t="s">
        <v>726</v>
      </c>
      <c r="D788" s="91">
        <v>45639.79</v>
      </c>
      <c r="E788" s="91">
        <v>0</v>
      </c>
      <c r="F788" s="91">
        <f t="shared" si="15"/>
        <v>45639.79</v>
      </c>
      <c r="G788" t="str">
        <f>_xlfn.XLOOKUP($A788,Map!$A:$A,Map!C:C)</f>
        <v>IS</v>
      </c>
      <c r="H788" t="str">
        <f>_xlfn.XLOOKUP($A788,Map!$A:$A,Map!D:D)</f>
        <v>Cost of sales</v>
      </c>
      <c r="I788" t="str">
        <f>_xlfn.XLOOKUP($A788,Map!$A:$A,Map!E:E)</f>
        <v>Overhead - Labor Cost</v>
      </c>
      <c r="J788" t="str">
        <f>_xlfn.XLOOKUP($A788,Map!$A:$A,Map!F:F)</f>
        <v>Medical insurance</v>
      </c>
    </row>
    <row r="789" spans="1:10" hidden="1" x14ac:dyDescent="0.25">
      <c r="A789" s="90">
        <v>600003</v>
      </c>
      <c r="B789" s="90" t="s">
        <v>726</v>
      </c>
      <c r="D789" s="91">
        <v>3547</v>
      </c>
      <c r="E789" s="91">
        <v>0</v>
      </c>
      <c r="F789" s="91">
        <f t="shared" si="15"/>
        <v>3547</v>
      </c>
      <c r="G789" t="str">
        <f>_xlfn.XLOOKUP($A789,Map!$A:$A,Map!C:C)</f>
        <v>IS</v>
      </c>
      <c r="H789" t="str">
        <f>_xlfn.XLOOKUP($A789,Map!$A:$A,Map!D:D)</f>
        <v>Cost of sales</v>
      </c>
      <c r="I789" t="str">
        <f>_xlfn.XLOOKUP($A789,Map!$A:$A,Map!E:E)</f>
        <v>Overhead - Labor Cost</v>
      </c>
      <c r="J789" t="str">
        <f>_xlfn.XLOOKUP($A789,Map!$A:$A,Map!F:F)</f>
        <v xml:space="preserve">Food &amp; Housing </v>
      </c>
    </row>
    <row r="790" spans="1:10" hidden="1" x14ac:dyDescent="0.25">
      <c r="A790" s="90">
        <v>600002</v>
      </c>
      <c r="B790" s="90" t="s">
        <v>726</v>
      </c>
      <c r="D790" s="91">
        <v>20947</v>
      </c>
      <c r="E790" s="91">
        <v>0</v>
      </c>
      <c r="F790" s="91">
        <f t="shared" si="15"/>
        <v>20947</v>
      </c>
      <c r="G790" t="str">
        <f>_xlfn.XLOOKUP($A790,Map!$A:$A,Map!C:C)</f>
        <v>IS</v>
      </c>
      <c r="H790" t="str">
        <f>_xlfn.XLOOKUP($A790,Map!$A:$A,Map!D:D)</f>
        <v>Cost of sales</v>
      </c>
      <c r="I790" t="str">
        <f>_xlfn.XLOOKUP($A790,Map!$A:$A,Map!E:E)</f>
        <v>Overhead - Labor Cost</v>
      </c>
      <c r="J790" t="str">
        <f>_xlfn.XLOOKUP($A790,Map!$A:$A,Map!F:F)</f>
        <v>Overtime pay</v>
      </c>
    </row>
    <row r="791" spans="1:10" hidden="1" x14ac:dyDescent="0.25">
      <c r="A791" s="90">
        <v>600001</v>
      </c>
      <c r="B791" s="90" t="s">
        <v>726</v>
      </c>
      <c r="D791" s="91">
        <v>50348</v>
      </c>
      <c r="E791" s="91">
        <v>0</v>
      </c>
      <c r="F791" s="91">
        <f t="shared" si="15"/>
        <v>50348</v>
      </c>
      <c r="G791" t="str">
        <f>_xlfn.XLOOKUP($A791,Map!$A:$A,Map!C:C)</f>
        <v>IS</v>
      </c>
      <c r="H791" t="str">
        <f>_xlfn.XLOOKUP($A791,Map!$A:$A,Map!D:D)</f>
        <v>Cost of sales</v>
      </c>
      <c r="I791" t="str">
        <f>_xlfn.XLOOKUP($A791,Map!$A:$A,Map!E:E)</f>
        <v>Overhead - Labor Cost</v>
      </c>
      <c r="J791" t="str">
        <f>_xlfn.XLOOKUP($A791,Map!$A:$A,Map!F:F)</f>
        <v>Salaries and wages</v>
      </c>
    </row>
    <row r="792" spans="1:10" hidden="1" x14ac:dyDescent="0.25">
      <c r="A792" s="90">
        <v>520042</v>
      </c>
      <c r="B792" s="90" t="s">
        <v>726</v>
      </c>
      <c r="D792" s="91">
        <v>0</v>
      </c>
      <c r="E792" s="91">
        <v>473722.41</v>
      </c>
      <c r="F792" s="91">
        <f t="shared" si="15"/>
        <v>-473722.41</v>
      </c>
      <c r="G792" t="str">
        <f>_xlfn.XLOOKUP($A792,Map!$A:$A,Map!C:C)</f>
        <v>IS</v>
      </c>
      <c r="H792" t="str">
        <f>_xlfn.XLOOKUP($A792,Map!$A:$A,Map!D:D)</f>
        <v>Cost of sales</v>
      </c>
      <c r="I792" t="str">
        <f>_xlfn.XLOOKUP($A792,Map!$A:$A,Map!E:E)</f>
        <v>Raw materials</v>
      </c>
      <c r="J792" t="str">
        <f>_xlfn.XLOOKUP($A792,Map!$A:$A,Map!F:F)</f>
        <v>Inventory Adjustment</v>
      </c>
    </row>
    <row r="793" spans="1:10" hidden="1" x14ac:dyDescent="0.25">
      <c r="A793" s="90">
        <v>520041</v>
      </c>
      <c r="B793" s="90" t="s">
        <v>726</v>
      </c>
      <c r="D793" s="91">
        <v>0</v>
      </c>
      <c r="E793" s="91">
        <v>791644.42</v>
      </c>
      <c r="F793" s="91">
        <f t="shared" si="15"/>
        <v>-791644.42</v>
      </c>
      <c r="G793" t="str">
        <f>_xlfn.XLOOKUP($A793,Map!$A:$A,Map!C:C)</f>
        <v>IS</v>
      </c>
      <c r="H793" t="str">
        <f>_xlfn.XLOOKUP($A793,Map!$A:$A,Map!D:D)</f>
        <v>Cost of sales</v>
      </c>
      <c r="I793" t="str">
        <f>_xlfn.XLOOKUP($A793,Map!$A:$A,Map!E:E)</f>
        <v>Raw materials</v>
      </c>
      <c r="J793" t="str">
        <f>_xlfn.XLOOKUP($A793,Map!$A:$A,Map!F:F)</f>
        <v>Other expenses</v>
      </c>
    </row>
    <row r="794" spans="1:10" hidden="1" x14ac:dyDescent="0.25">
      <c r="A794" s="90">
        <v>520037</v>
      </c>
      <c r="B794" s="90" t="s">
        <v>726</v>
      </c>
      <c r="D794" s="91">
        <v>0</v>
      </c>
      <c r="E794" s="91">
        <v>49524.24</v>
      </c>
      <c r="F794" s="91">
        <f t="shared" si="15"/>
        <v>-49524.24</v>
      </c>
      <c r="G794" t="str">
        <f>_xlfn.XLOOKUP($A794,Map!$A:$A,Map!C:C)</f>
        <v>IS</v>
      </c>
      <c r="H794" t="str">
        <f>_xlfn.XLOOKUP($A794,Map!$A:$A,Map!D:D)</f>
        <v>Cost of sales</v>
      </c>
      <c r="I794" t="str">
        <f>_xlfn.XLOOKUP($A794,Map!$A:$A,Map!E:E)</f>
        <v>Raw materials</v>
      </c>
      <c r="J794" t="str">
        <f>_xlfn.XLOOKUP($A794,Map!$A:$A,Map!F:F)</f>
        <v>Raw materials</v>
      </c>
    </row>
    <row r="795" spans="1:10" hidden="1" x14ac:dyDescent="0.25">
      <c r="A795" s="90">
        <v>520021</v>
      </c>
      <c r="B795" s="90" t="s">
        <v>726</v>
      </c>
      <c r="D795" s="91">
        <v>2817</v>
      </c>
      <c r="E795" s="91">
        <v>0</v>
      </c>
      <c r="F795" s="91">
        <f t="shared" si="15"/>
        <v>2817</v>
      </c>
      <c r="G795" t="str">
        <f>_xlfn.XLOOKUP($A795,Map!$A:$A,Map!C:C)</f>
        <v>IS</v>
      </c>
      <c r="H795" t="str">
        <f>_xlfn.XLOOKUP($A795,Map!$A:$A,Map!D:D)</f>
        <v>Cost of sales</v>
      </c>
      <c r="I795" t="str">
        <f>_xlfn.XLOOKUP($A795,Map!$A:$A,Map!E:E)</f>
        <v>Direct Labor</v>
      </c>
      <c r="J795" t="str">
        <f>_xlfn.XLOOKUP($A795,Map!$A:$A,Map!F:F)</f>
        <v>Medical insurance</v>
      </c>
    </row>
    <row r="796" spans="1:10" hidden="1" x14ac:dyDescent="0.25">
      <c r="A796" s="90">
        <v>520011</v>
      </c>
      <c r="B796" s="90" t="s">
        <v>726</v>
      </c>
      <c r="D796" s="91">
        <v>19919</v>
      </c>
      <c r="E796" s="91">
        <v>0</v>
      </c>
      <c r="F796" s="91">
        <f t="shared" si="15"/>
        <v>19919</v>
      </c>
      <c r="G796" t="str">
        <f>_xlfn.XLOOKUP($A796,Map!$A:$A,Map!C:C)</f>
        <v>IS</v>
      </c>
      <c r="H796" t="str">
        <f>_xlfn.XLOOKUP($A796,Map!$A:$A,Map!D:D)</f>
        <v>Cost of sales</v>
      </c>
      <c r="I796" t="str">
        <f>_xlfn.XLOOKUP($A796,Map!$A:$A,Map!E:E)</f>
        <v>Direct Labor</v>
      </c>
      <c r="J796" t="str">
        <f>_xlfn.XLOOKUP($A796,Map!$A:$A,Map!F:F)</f>
        <v>Overtime pay</v>
      </c>
    </row>
    <row r="797" spans="1:10" hidden="1" x14ac:dyDescent="0.25">
      <c r="A797" s="90">
        <v>520011</v>
      </c>
      <c r="B797" s="90" t="s">
        <v>726</v>
      </c>
      <c r="D797" s="91">
        <v>19650</v>
      </c>
      <c r="E797" s="91">
        <v>0</v>
      </c>
      <c r="F797" s="91">
        <f t="shared" si="15"/>
        <v>19650</v>
      </c>
      <c r="G797" t="str">
        <f>_xlfn.XLOOKUP($A797,Map!$A:$A,Map!C:C)</f>
        <v>IS</v>
      </c>
      <c r="H797" t="str">
        <f>_xlfn.XLOOKUP($A797,Map!$A:$A,Map!D:D)</f>
        <v>Cost of sales</v>
      </c>
      <c r="I797" t="str">
        <f>_xlfn.XLOOKUP($A797,Map!$A:$A,Map!E:E)</f>
        <v>Direct Labor</v>
      </c>
      <c r="J797" t="str">
        <f>_xlfn.XLOOKUP($A797,Map!$A:$A,Map!F:F)</f>
        <v>Overtime pay</v>
      </c>
    </row>
    <row r="798" spans="1:10" hidden="1" x14ac:dyDescent="0.25">
      <c r="A798" s="90">
        <v>520006</v>
      </c>
      <c r="B798" s="90" t="s">
        <v>726</v>
      </c>
      <c r="D798" s="91">
        <v>3508</v>
      </c>
      <c r="E798" s="91">
        <v>0</v>
      </c>
      <c r="F798" s="91">
        <f t="shared" si="15"/>
        <v>3508</v>
      </c>
      <c r="G798" t="str">
        <f>_xlfn.XLOOKUP($A798,Map!$A:$A,Map!C:C)</f>
        <v>IS</v>
      </c>
      <c r="H798" t="str">
        <f>_xlfn.XLOOKUP($A798,Map!$A:$A,Map!D:D)</f>
        <v>Cost of sales</v>
      </c>
      <c r="I798" t="str">
        <f>_xlfn.XLOOKUP($A798,Map!$A:$A,Map!E:E)</f>
        <v>Direct Labor</v>
      </c>
      <c r="J798" t="str">
        <f>_xlfn.XLOOKUP($A798,Map!$A:$A,Map!F:F)</f>
        <v>Medical insurance</v>
      </c>
    </row>
    <row r="799" spans="1:10" hidden="1" x14ac:dyDescent="0.25">
      <c r="A799" s="90">
        <v>520006</v>
      </c>
      <c r="B799" s="90" t="s">
        <v>726</v>
      </c>
      <c r="D799" s="91">
        <v>3508</v>
      </c>
      <c r="E799" s="91">
        <v>0</v>
      </c>
      <c r="F799" s="91">
        <f t="shared" si="15"/>
        <v>3508</v>
      </c>
      <c r="G799" t="str">
        <f>_xlfn.XLOOKUP($A799,Map!$A:$A,Map!C:C)</f>
        <v>IS</v>
      </c>
      <c r="H799" t="str">
        <f>_xlfn.XLOOKUP($A799,Map!$A:$A,Map!D:D)</f>
        <v>Cost of sales</v>
      </c>
      <c r="I799" t="str">
        <f>_xlfn.XLOOKUP($A799,Map!$A:$A,Map!E:E)</f>
        <v>Direct Labor</v>
      </c>
      <c r="J799" t="str">
        <f>_xlfn.XLOOKUP($A799,Map!$A:$A,Map!F:F)</f>
        <v>Medical insurance</v>
      </c>
    </row>
    <row r="800" spans="1:10" hidden="1" x14ac:dyDescent="0.25">
      <c r="A800" s="90">
        <v>520006</v>
      </c>
      <c r="B800" s="90" t="s">
        <v>726</v>
      </c>
      <c r="D800" s="91">
        <v>1757</v>
      </c>
      <c r="E800" s="91">
        <v>0</v>
      </c>
      <c r="F800" s="91">
        <f t="shared" si="15"/>
        <v>1757</v>
      </c>
      <c r="G800" t="str">
        <f>_xlfn.XLOOKUP($A800,Map!$A:$A,Map!C:C)</f>
        <v>IS</v>
      </c>
      <c r="H800" t="str">
        <f>_xlfn.XLOOKUP($A800,Map!$A:$A,Map!D:D)</f>
        <v>Cost of sales</v>
      </c>
      <c r="I800" t="str">
        <f>_xlfn.XLOOKUP($A800,Map!$A:$A,Map!E:E)</f>
        <v>Direct Labor</v>
      </c>
      <c r="J800" t="str">
        <f>_xlfn.XLOOKUP($A800,Map!$A:$A,Map!F:F)</f>
        <v>Medical insurance</v>
      </c>
    </row>
    <row r="801" spans="1:10" hidden="1" x14ac:dyDescent="0.25">
      <c r="A801" s="90">
        <v>520006</v>
      </c>
      <c r="B801" s="90" t="s">
        <v>726</v>
      </c>
      <c r="D801" s="91">
        <v>1735</v>
      </c>
      <c r="E801" s="91">
        <v>0</v>
      </c>
      <c r="F801" s="91">
        <f t="shared" si="15"/>
        <v>1735</v>
      </c>
      <c r="G801" t="str">
        <f>_xlfn.XLOOKUP($A801,Map!$A:$A,Map!C:C)</f>
        <v>IS</v>
      </c>
      <c r="H801" t="str">
        <f>_xlfn.XLOOKUP($A801,Map!$A:$A,Map!D:D)</f>
        <v>Cost of sales</v>
      </c>
      <c r="I801" t="str">
        <f>_xlfn.XLOOKUP($A801,Map!$A:$A,Map!E:E)</f>
        <v>Direct Labor</v>
      </c>
      <c r="J801" t="str">
        <f>_xlfn.XLOOKUP($A801,Map!$A:$A,Map!F:F)</f>
        <v>Medical insurance</v>
      </c>
    </row>
    <row r="802" spans="1:10" hidden="1" x14ac:dyDescent="0.25">
      <c r="A802" s="90">
        <v>520006</v>
      </c>
      <c r="B802" s="90" t="s">
        <v>726</v>
      </c>
      <c r="D802" s="91">
        <v>2738</v>
      </c>
      <c r="E802" s="91">
        <v>0</v>
      </c>
      <c r="F802" s="91">
        <f t="shared" si="15"/>
        <v>2738</v>
      </c>
      <c r="G802" t="str">
        <f>_xlfn.XLOOKUP($A802,Map!$A:$A,Map!C:C)</f>
        <v>IS</v>
      </c>
      <c r="H802" t="str">
        <f>_xlfn.XLOOKUP($A802,Map!$A:$A,Map!D:D)</f>
        <v>Cost of sales</v>
      </c>
      <c r="I802" t="str">
        <f>_xlfn.XLOOKUP($A802,Map!$A:$A,Map!E:E)</f>
        <v>Direct Labor</v>
      </c>
      <c r="J802" t="str">
        <f>_xlfn.XLOOKUP($A802,Map!$A:$A,Map!F:F)</f>
        <v>Medical insurance</v>
      </c>
    </row>
    <row r="803" spans="1:10" hidden="1" x14ac:dyDescent="0.25">
      <c r="A803" s="90">
        <v>520006</v>
      </c>
      <c r="B803" s="90" t="s">
        <v>726</v>
      </c>
      <c r="D803" s="91">
        <v>1545.44</v>
      </c>
      <c r="E803" s="91">
        <v>0</v>
      </c>
      <c r="F803" s="91">
        <f t="shared" si="15"/>
        <v>1545.44</v>
      </c>
      <c r="G803" t="str">
        <f>_xlfn.XLOOKUP($A803,Map!$A:$A,Map!C:C)</f>
        <v>IS</v>
      </c>
      <c r="H803" t="str">
        <f>_xlfn.XLOOKUP($A803,Map!$A:$A,Map!D:D)</f>
        <v>Cost of sales</v>
      </c>
      <c r="I803" t="str">
        <f>_xlfn.XLOOKUP($A803,Map!$A:$A,Map!E:E)</f>
        <v>Direct Labor</v>
      </c>
      <c r="J803" t="str">
        <f>_xlfn.XLOOKUP($A803,Map!$A:$A,Map!F:F)</f>
        <v>Medical insurance</v>
      </c>
    </row>
    <row r="804" spans="1:10" hidden="1" x14ac:dyDescent="0.25">
      <c r="A804" s="90">
        <v>520004</v>
      </c>
      <c r="B804" s="90" t="s">
        <v>726</v>
      </c>
      <c r="D804" s="91">
        <v>5937</v>
      </c>
      <c r="E804" s="91">
        <v>0</v>
      </c>
      <c r="F804" s="91">
        <f t="shared" si="15"/>
        <v>5937</v>
      </c>
      <c r="G804" t="str">
        <f>_xlfn.XLOOKUP($A804,Map!$A:$A,Map!C:C)</f>
        <v>IS</v>
      </c>
      <c r="H804" t="str">
        <f>_xlfn.XLOOKUP($A804,Map!$A:$A,Map!D:D)</f>
        <v>Cost of sales</v>
      </c>
      <c r="I804" t="str">
        <f>_xlfn.XLOOKUP($A804,Map!$A:$A,Map!E:E)</f>
        <v>Direct Labor</v>
      </c>
      <c r="J804" t="str">
        <f>_xlfn.XLOOKUP($A804,Map!$A:$A,Map!F:F)</f>
        <v>Food and housing</v>
      </c>
    </row>
    <row r="805" spans="1:10" hidden="1" x14ac:dyDescent="0.25">
      <c r="A805" s="90">
        <v>520004</v>
      </c>
      <c r="B805" s="90" t="s">
        <v>726</v>
      </c>
      <c r="D805" s="91">
        <v>4446</v>
      </c>
      <c r="E805" s="91">
        <v>0</v>
      </c>
      <c r="F805" s="91">
        <f t="shared" si="15"/>
        <v>4446</v>
      </c>
      <c r="G805" t="str">
        <f>_xlfn.XLOOKUP($A805,Map!$A:$A,Map!C:C)</f>
        <v>IS</v>
      </c>
      <c r="H805" t="str">
        <f>_xlfn.XLOOKUP($A805,Map!$A:$A,Map!D:D)</f>
        <v>Cost of sales</v>
      </c>
      <c r="I805" t="str">
        <f>_xlfn.XLOOKUP($A805,Map!$A:$A,Map!E:E)</f>
        <v>Direct Labor</v>
      </c>
      <c r="J805" t="str">
        <f>_xlfn.XLOOKUP($A805,Map!$A:$A,Map!F:F)</f>
        <v>Food and housing</v>
      </c>
    </row>
    <row r="806" spans="1:10" hidden="1" x14ac:dyDescent="0.25">
      <c r="A806" s="90">
        <v>520004</v>
      </c>
      <c r="B806" s="90" t="s">
        <v>726</v>
      </c>
      <c r="D806" s="91">
        <v>1840</v>
      </c>
      <c r="E806" s="91">
        <v>0</v>
      </c>
      <c r="F806" s="91">
        <f t="shared" si="15"/>
        <v>1840</v>
      </c>
      <c r="G806" t="str">
        <f>_xlfn.XLOOKUP($A806,Map!$A:$A,Map!C:C)</f>
        <v>IS</v>
      </c>
      <c r="H806" t="str">
        <f>_xlfn.XLOOKUP($A806,Map!$A:$A,Map!D:D)</f>
        <v>Cost of sales</v>
      </c>
      <c r="I806" t="str">
        <f>_xlfn.XLOOKUP($A806,Map!$A:$A,Map!E:E)</f>
        <v>Direct Labor</v>
      </c>
      <c r="J806" t="str">
        <f>_xlfn.XLOOKUP($A806,Map!$A:$A,Map!F:F)</f>
        <v>Food and housing</v>
      </c>
    </row>
    <row r="807" spans="1:10" hidden="1" x14ac:dyDescent="0.25">
      <c r="A807" s="90">
        <v>520004</v>
      </c>
      <c r="B807" s="90" t="s">
        <v>726</v>
      </c>
      <c r="D807" s="91">
        <v>1410</v>
      </c>
      <c r="E807" s="91">
        <v>0</v>
      </c>
      <c r="F807" s="91">
        <f t="shared" si="15"/>
        <v>1410</v>
      </c>
      <c r="G807" t="str">
        <f>_xlfn.XLOOKUP($A807,Map!$A:$A,Map!C:C)</f>
        <v>IS</v>
      </c>
      <c r="H807" t="str">
        <f>_xlfn.XLOOKUP($A807,Map!$A:$A,Map!D:D)</f>
        <v>Cost of sales</v>
      </c>
      <c r="I807" t="str">
        <f>_xlfn.XLOOKUP($A807,Map!$A:$A,Map!E:E)</f>
        <v>Direct Labor</v>
      </c>
      <c r="J807" t="str">
        <f>_xlfn.XLOOKUP($A807,Map!$A:$A,Map!F:F)</f>
        <v>Food and housing</v>
      </c>
    </row>
    <row r="808" spans="1:10" hidden="1" x14ac:dyDescent="0.25">
      <c r="A808" s="90">
        <v>520004</v>
      </c>
      <c r="B808" s="90" t="s">
        <v>726</v>
      </c>
      <c r="D808" s="91">
        <v>1530</v>
      </c>
      <c r="E808" s="91">
        <v>0</v>
      </c>
      <c r="F808" s="91">
        <f t="shared" si="15"/>
        <v>1530</v>
      </c>
      <c r="G808" t="str">
        <f>_xlfn.XLOOKUP($A808,Map!$A:$A,Map!C:C)</f>
        <v>IS</v>
      </c>
      <c r="H808" t="str">
        <f>_xlfn.XLOOKUP($A808,Map!$A:$A,Map!D:D)</f>
        <v>Cost of sales</v>
      </c>
      <c r="I808" t="str">
        <f>_xlfn.XLOOKUP($A808,Map!$A:$A,Map!E:E)</f>
        <v>Direct Labor</v>
      </c>
      <c r="J808" t="str">
        <f>_xlfn.XLOOKUP($A808,Map!$A:$A,Map!F:F)</f>
        <v>Food and housing</v>
      </c>
    </row>
    <row r="809" spans="1:10" hidden="1" x14ac:dyDescent="0.25">
      <c r="A809" s="90">
        <v>520003</v>
      </c>
      <c r="B809" s="90" t="s">
        <v>726</v>
      </c>
      <c r="D809" s="91">
        <v>500</v>
      </c>
      <c r="E809" s="91">
        <v>0</v>
      </c>
      <c r="F809" s="91">
        <f t="shared" si="15"/>
        <v>500</v>
      </c>
      <c r="G809" t="str">
        <f>_xlfn.XLOOKUP($A809,Map!$A:$A,Map!C:C)</f>
        <v>IS</v>
      </c>
      <c r="H809" t="str">
        <f>_xlfn.XLOOKUP($A809,Map!$A:$A,Map!D:D)</f>
        <v>Cost of sales</v>
      </c>
      <c r="I809" t="str">
        <f>_xlfn.XLOOKUP($A809,Map!$A:$A,Map!E:E)</f>
        <v>Direct Labor</v>
      </c>
      <c r="J809" t="str">
        <f>_xlfn.XLOOKUP($A809,Map!$A:$A,Map!F:F)</f>
        <v>Transportation allowance</v>
      </c>
    </row>
    <row r="810" spans="1:10" hidden="1" x14ac:dyDescent="0.25">
      <c r="A810" s="90">
        <v>520002</v>
      </c>
      <c r="B810" s="90" t="s">
        <v>726</v>
      </c>
      <c r="D810" s="91">
        <v>4831</v>
      </c>
      <c r="E810" s="91">
        <v>0</v>
      </c>
      <c r="F810" s="91">
        <f t="shared" si="15"/>
        <v>4831</v>
      </c>
      <c r="G810" t="str">
        <f>_xlfn.XLOOKUP($A810,Map!$A:$A,Map!C:C)</f>
        <v>IS</v>
      </c>
      <c r="H810" t="str">
        <f>_xlfn.XLOOKUP($A810,Map!$A:$A,Map!D:D)</f>
        <v>Cost of sales</v>
      </c>
      <c r="I810" t="str">
        <f>_xlfn.XLOOKUP($A810,Map!$A:$A,Map!E:E)</f>
        <v>Direct Labor</v>
      </c>
      <c r="J810" t="str">
        <f>_xlfn.XLOOKUP($A810,Map!$A:$A,Map!F:F)</f>
        <v>Overtime pay</v>
      </c>
    </row>
    <row r="811" spans="1:10" hidden="1" x14ac:dyDescent="0.25">
      <c r="A811" s="90">
        <v>520002</v>
      </c>
      <c r="B811" s="90" t="s">
        <v>726</v>
      </c>
      <c r="D811" s="91">
        <v>4066</v>
      </c>
      <c r="E811" s="91">
        <v>0</v>
      </c>
      <c r="F811" s="91">
        <f t="shared" si="15"/>
        <v>4066</v>
      </c>
      <c r="G811" t="str">
        <f>_xlfn.XLOOKUP($A811,Map!$A:$A,Map!C:C)</f>
        <v>IS</v>
      </c>
      <c r="H811" t="str">
        <f>_xlfn.XLOOKUP($A811,Map!$A:$A,Map!D:D)</f>
        <v>Cost of sales</v>
      </c>
      <c r="I811" t="str">
        <f>_xlfn.XLOOKUP($A811,Map!$A:$A,Map!E:E)</f>
        <v>Direct Labor</v>
      </c>
      <c r="J811" t="str">
        <f>_xlfn.XLOOKUP($A811,Map!$A:$A,Map!F:F)</f>
        <v>Overtime pay</v>
      </c>
    </row>
    <row r="812" spans="1:10" hidden="1" x14ac:dyDescent="0.25">
      <c r="A812" s="90">
        <v>520001</v>
      </c>
      <c r="B812" s="90" t="s">
        <v>726</v>
      </c>
      <c r="D812" s="91">
        <v>133372</v>
      </c>
      <c r="E812" s="91">
        <v>0</v>
      </c>
      <c r="F812" s="91">
        <f t="shared" si="15"/>
        <v>133372</v>
      </c>
      <c r="G812" t="str">
        <f>_xlfn.XLOOKUP($A812,Map!$A:$A,Map!C:C)</f>
        <v>IS</v>
      </c>
      <c r="H812" t="str">
        <f>_xlfn.XLOOKUP($A812,Map!$A:$A,Map!D:D)</f>
        <v>Cost of sales</v>
      </c>
      <c r="I812" t="str">
        <f>_xlfn.XLOOKUP($A812,Map!$A:$A,Map!E:E)</f>
        <v>Direct Labor</v>
      </c>
      <c r="J812" t="str">
        <f>_xlfn.XLOOKUP($A812,Map!$A:$A,Map!F:F)</f>
        <v>Salaries and wages</v>
      </c>
    </row>
    <row r="813" spans="1:10" hidden="1" x14ac:dyDescent="0.25">
      <c r="A813" s="90">
        <v>520001</v>
      </c>
      <c r="B813" s="90" t="s">
        <v>726</v>
      </c>
      <c r="D813" s="91">
        <v>39764</v>
      </c>
      <c r="E813" s="91">
        <v>0</v>
      </c>
      <c r="F813" s="91">
        <f t="shared" si="15"/>
        <v>39764</v>
      </c>
      <c r="G813" t="str">
        <f>_xlfn.XLOOKUP($A813,Map!$A:$A,Map!C:C)</f>
        <v>IS</v>
      </c>
      <c r="H813" t="str">
        <f>_xlfn.XLOOKUP($A813,Map!$A:$A,Map!D:D)</f>
        <v>Cost of sales</v>
      </c>
      <c r="I813" t="str">
        <f>_xlfn.XLOOKUP($A813,Map!$A:$A,Map!E:E)</f>
        <v>Direct Labor</v>
      </c>
      <c r="J813" t="str">
        <f>_xlfn.XLOOKUP($A813,Map!$A:$A,Map!F:F)</f>
        <v>Salaries and wages</v>
      </c>
    </row>
    <row r="814" spans="1:10" hidden="1" x14ac:dyDescent="0.25">
      <c r="A814" s="90">
        <v>520001</v>
      </c>
      <c r="B814" s="90" t="s">
        <v>726</v>
      </c>
      <c r="D814" s="91">
        <v>15755</v>
      </c>
      <c r="E814" s="91">
        <v>0</v>
      </c>
      <c r="F814" s="91">
        <f t="shared" si="15"/>
        <v>15755</v>
      </c>
      <c r="G814" t="str">
        <f>_xlfn.XLOOKUP($A814,Map!$A:$A,Map!C:C)</f>
        <v>IS</v>
      </c>
      <c r="H814" t="str">
        <f>_xlfn.XLOOKUP($A814,Map!$A:$A,Map!D:D)</f>
        <v>Cost of sales</v>
      </c>
      <c r="I814" t="str">
        <f>_xlfn.XLOOKUP($A814,Map!$A:$A,Map!E:E)</f>
        <v>Direct Labor</v>
      </c>
      <c r="J814" t="str">
        <f>_xlfn.XLOOKUP($A814,Map!$A:$A,Map!F:F)</f>
        <v>Salaries and wages</v>
      </c>
    </row>
    <row r="815" spans="1:10" hidden="1" x14ac:dyDescent="0.25">
      <c r="A815" s="90">
        <v>520001</v>
      </c>
      <c r="B815" s="90" t="s">
        <v>726</v>
      </c>
      <c r="D815" s="91">
        <v>8678</v>
      </c>
      <c r="E815" s="91">
        <v>0</v>
      </c>
      <c r="F815" s="91">
        <f t="shared" si="15"/>
        <v>8678</v>
      </c>
      <c r="G815" t="str">
        <f>_xlfn.XLOOKUP($A815,Map!$A:$A,Map!C:C)</f>
        <v>IS</v>
      </c>
      <c r="H815" t="str">
        <f>_xlfn.XLOOKUP($A815,Map!$A:$A,Map!D:D)</f>
        <v>Cost of sales</v>
      </c>
      <c r="I815" t="str">
        <f>_xlfn.XLOOKUP($A815,Map!$A:$A,Map!E:E)</f>
        <v>Direct Labor</v>
      </c>
      <c r="J815" t="str">
        <f>_xlfn.XLOOKUP($A815,Map!$A:$A,Map!F:F)</f>
        <v>Salaries and wages</v>
      </c>
    </row>
    <row r="816" spans="1:10" hidden="1" x14ac:dyDescent="0.25">
      <c r="A816" s="90">
        <v>520001</v>
      </c>
      <c r="B816" s="90" t="s">
        <v>726</v>
      </c>
      <c r="D816" s="91">
        <v>10427</v>
      </c>
      <c r="E816" s="91">
        <v>0</v>
      </c>
      <c r="F816" s="91">
        <f t="shared" si="15"/>
        <v>10427</v>
      </c>
      <c r="G816" t="str">
        <f>_xlfn.XLOOKUP($A816,Map!$A:$A,Map!C:C)</f>
        <v>IS</v>
      </c>
      <c r="H816" t="str">
        <f>_xlfn.XLOOKUP($A816,Map!$A:$A,Map!D:D)</f>
        <v>Cost of sales</v>
      </c>
      <c r="I816" t="str">
        <f>_xlfn.XLOOKUP($A816,Map!$A:$A,Map!E:E)</f>
        <v>Direct Labor</v>
      </c>
      <c r="J816" t="str">
        <f>_xlfn.XLOOKUP($A816,Map!$A:$A,Map!F:F)</f>
        <v>Salaries and wages</v>
      </c>
    </row>
    <row r="817" spans="1:10" hidden="1" x14ac:dyDescent="0.25">
      <c r="A817" s="90">
        <v>510004</v>
      </c>
      <c r="B817" s="90" t="s">
        <v>726</v>
      </c>
      <c r="D817" s="91">
        <v>103075.36500000001</v>
      </c>
      <c r="E817" s="91">
        <v>0</v>
      </c>
      <c r="F817" s="91">
        <f t="shared" si="15"/>
        <v>103075.36500000001</v>
      </c>
      <c r="G817" t="str">
        <f>_xlfn.XLOOKUP($A817,Map!$A:$A,Map!C:C)</f>
        <v>IS</v>
      </c>
      <c r="H817" t="str">
        <f>_xlfn.XLOOKUP($A817,Map!$A:$A,Map!D:D)</f>
        <v>Cost of sales</v>
      </c>
      <c r="I817" t="str">
        <f>_xlfn.XLOOKUP($A817,Map!$A:$A,Map!E:E)</f>
        <v>Raw materials</v>
      </c>
      <c r="J817" t="str">
        <f>_xlfn.XLOOKUP($A817,Map!$A:$A,Map!F:F)</f>
        <v>Other expenses</v>
      </c>
    </row>
    <row r="818" spans="1:10" hidden="1" x14ac:dyDescent="0.25">
      <c r="A818" s="90">
        <v>420003</v>
      </c>
      <c r="B818" s="90" t="s">
        <v>726</v>
      </c>
      <c r="D818" s="91">
        <v>0</v>
      </c>
      <c r="E818" s="91">
        <v>7.9000000000000001E-2</v>
      </c>
      <c r="F818" s="91">
        <f t="shared" si="15"/>
        <v>-7.9000000000000001E-2</v>
      </c>
      <c r="G818" t="str">
        <f>_xlfn.XLOOKUP($A818,Map!$A:$A,Map!C:C)</f>
        <v>IS</v>
      </c>
      <c r="H818" t="str">
        <f>_xlfn.XLOOKUP($A818,Map!$A:$A,Map!D:D)</f>
        <v>Sales</v>
      </c>
      <c r="I818" t="str">
        <f>_xlfn.XLOOKUP($A818,Map!$A:$A,Map!E:E)</f>
        <v>Sales</v>
      </c>
      <c r="J818" t="str">
        <f>_xlfn.XLOOKUP($A818,Map!$A:$A,Map!F:F)</f>
        <v>Scrap sales</v>
      </c>
    </row>
    <row r="819" spans="1:10" hidden="1" x14ac:dyDescent="0.25">
      <c r="A819" s="90">
        <v>240001</v>
      </c>
      <c r="B819" s="90" t="s">
        <v>726</v>
      </c>
      <c r="D819" s="91">
        <v>0</v>
      </c>
      <c r="E819" s="91">
        <v>6.0000000000000001E-3</v>
      </c>
      <c r="F819" s="91">
        <f t="shared" si="15"/>
        <v>-6.0000000000000001E-3</v>
      </c>
      <c r="G819" t="str">
        <f>_xlfn.XLOOKUP($A819,Map!$A:$A,Map!C:C)</f>
        <v>BS</v>
      </c>
      <c r="H819" t="str">
        <f>_xlfn.XLOOKUP($A819,Map!$A:$A,Map!D:D)</f>
        <v>Current Liabilities</v>
      </c>
      <c r="I819" t="str">
        <f>_xlfn.XLOOKUP($A819,Map!$A:$A,Map!E:E)</f>
        <v>Tade payables and Accuals &amp; other credit balances</v>
      </c>
      <c r="J819" t="str">
        <f>_xlfn.XLOOKUP($A819,Map!$A:$A,Map!F:F)</f>
        <v>Overhead</v>
      </c>
    </row>
    <row r="820" spans="1:10" hidden="1" x14ac:dyDescent="0.25">
      <c r="A820" s="90">
        <v>230001</v>
      </c>
      <c r="B820" s="90" t="s">
        <v>726</v>
      </c>
      <c r="D820" s="91">
        <v>0</v>
      </c>
      <c r="E820" s="91">
        <v>2E-3</v>
      </c>
      <c r="F820" s="91">
        <f t="shared" si="15"/>
        <v>-2E-3</v>
      </c>
      <c r="G820" t="str">
        <f>_xlfn.XLOOKUP($A820,Map!$A:$A,Map!C:C)</f>
        <v>BS</v>
      </c>
      <c r="H820" t="str">
        <f>_xlfn.XLOOKUP($A820,Map!$A:$A,Map!D:D)</f>
        <v>Current Liabilities</v>
      </c>
      <c r="I820" t="str">
        <f>_xlfn.XLOOKUP($A820,Map!$A:$A,Map!E:E)</f>
        <v>Tade payables and Accuals &amp; other credit balances</v>
      </c>
      <c r="J820" t="str">
        <f>_xlfn.XLOOKUP($A820,Map!$A:$A,Map!F:F)</f>
        <v>Clearing account</v>
      </c>
    </row>
    <row r="821" spans="1:10" hidden="1" x14ac:dyDescent="0.25">
      <c r="A821" s="90">
        <v>180096</v>
      </c>
      <c r="B821" s="90" t="s">
        <v>726</v>
      </c>
      <c r="D821" s="91">
        <v>166734.07</v>
      </c>
      <c r="E821" s="91">
        <v>0</v>
      </c>
      <c r="F821" s="91">
        <f t="shared" si="15"/>
        <v>166734.07</v>
      </c>
      <c r="G821" t="str">
        <f>_xlfn.XLOOKUP($A821,Map!$A:$A,Map!C:C)</f>
        <v>BS</v>
      </c>
      <c r="H821" t="str">
        <f>_xlfn.XLOOKUP($A821,Map!$A:$A,Map!D:D)</f>
        <v>Current Assets</v>
      </c>
      <c r="I821" t="str">
        <f>_xlfn.XLOOKUP($A821,Map!$A:$A,Map!E:E)</f>
        <v>Inventories</v>
      </c>
      <c r="J821" t="str">
        <f>_xlfn.XLOOKUP($A821,Map!$A:$A,Map!F:F)</f>
        <v>Work in progress - Inventory</v>
      </c>
    </row>
    <row r="822" spans="1:10" hidden="1" x14ac:dyDescent="0.25">
      <c r="A822" s="90">
        <v>180014</v>
      </c>
      <c r="B822" s="90" t="s">
        <v>726</v>
      </c>
      <c r="D822" s="91">
        <v>0</v>
      </c>
      <c r="E822" s="91">
        <v>79231.839999999997</v>
      </c>
      <c r="F822" s="91">
        <f t="shared" si="15"/>
        <v>-79231.839999999997</v>
      </c>
      <c r="G822" t="str">
        <f>_xlfn.XLOOKUP($A822,Map!$A:$A,Map!C:C)</f>
        <v>BS</v>
      </c>
      <c r="H822" t="str">
        <f>_xlfn.XLOOKUP($A822,Map!$A:$A,Map!D:D)</f>
        <v>Current Assets</v>
      </c>
      <c r="I822" t="str">
        <f>_xlfn.XLOOKUP($A822,Map!$A:$A,Map!E:E)</f>
        <v>Inventories</v>
      </c>
      <c r="J822" t="str">
        <f>_xlfn.XLOOKUP($A822,Map!$A:$A,Map!F:F)</f>
        <v>Work in progress - Inventory</v>
      </c>
    </row>
    <row r="823" spans="1:10" hidden="1" x14ac:dyDescent="0.25">
      <c r="A823" s="90">
        <v>180013</v>
      </c>
      <c r="B823" s="90" t="s">
        <v>726</v>
      </c>
      <c r="D823" s="91">
        <v>0</v>
      </c>
      <c r="E823" s="91">
        <v>162548.96</v>
      </c>
      <c r="F823" s="91">
        <f t="shared" si="15"/>
        <v>-162548.96</v>
      </c>
      <c r="G823" t="str">
        <f>_xlfn.XLOOKUP($A823,Map!$A:$A,Map!C:C)</f>
        <v>BS</v>
      </c>
      <c r="H823" t="str">
        <f>_xlfn.XLOOKUP($A823,Map!$A:$A,Map!D:D)</f>
        <v>Current Assets</v>
      </c>
      <c r="I823" t="str">
        <f>_xlfn.XLOOKUP($A823,Map!$A:$A,Map!E:E)</f>
        <v>Inventories</v>
      </c>
      <c r="J823" t="str">
        <f>_xlfn.XLOOKUP($A823,Map!$A:$A,Map!F:F)</f>
        <v>Finished goods - Inventory</v>
      </c>
    </row>
    <row r="824" spans="1:10" hidden="1" x14ac:dyDescent="0.25">
      <c r="A824" s="90">
        <v>180012</v>
      </c>
      <c r="B824" s="90" t="s">
        <v>726</v>
      </c>
      <c r="D824" s="91">
        <v>0</v>
      </c>
      <c r="E824" s="91">
        <v>15771</v>
      </c>
      <c r="F824" s="91">
        <f t="shared" si="15"/>
        <v>-15771</v>
      </c>
      <c r="G824" t="str">
        <f>_xlfn.XLOOKUP($A824,Map!$A:$A,Map!C:C)</f>
        <v>BS</v>
      </c>
      <c r="H824" t="str">
        <f>_xlfn.XLOOKUP($A824,Map!$A:$A,Map!D:D)</f>
        <v>Current Assets</v>
      </c>
      <c r="I824" t="str">
        <f>_xlfn.XLOOKUP($A824,Map!$A:$A,Map!E:E)</f>
        <v>Inventories</v>
      </c>
      <c r="J824" t="str">
        <f>_xlfn.XLOOKUP($A824,Map!$A:$A,Map!F:F)</f>
        <v>Work in progress - Inventory</v>
      </c>
    </row>
    <row r="825" spans="1:10" hidden="1" x14ac:dyDescent="0.25">
      <c r="A825" s="90">
        <v>180011</v>
      </c>
      <c r="B825" s="90" t="s">
        <v>726</v>
      </c>
      <c r="D825" s="91">
        <v>61250.92</v>
      </c>
      <c r="E825" s="91">
        <v>0</v>
      </c>
      <c r="F825" s="91">
        <f t="shared" si="15"/>
        <v>61250.92</v>
      </c>
      <c r="G825" t="str">
        <f>_xlfn.XLOOKUP($A825,Map!$A:$A,Map!C:C)</f>
        <v>BS</v>
      </c>
      <c r="H825" t="str">
        <f>_xlfn.XLOOKUP($A825,Map!$A:$A,Map!D:D)</f>
        <v>Current Assets</v>
      </c>
      <c r="I825" t="str">
        <f>_xlfn.XLOOKUP($A825,Map!$A:$A,Map!E:E)</f>
        <v>Inventories</v>
      </c>
      <c r="J825" t="str">
        <f>_xlfn.XLOOKUP($A825,Map!$A:$A,Map!F:F)</f>
        <v>Finished goods - Inventory</v>
      </c>
    </row>
    <row r="826" spans="1:10" hidden="1" x14ac:dyDescent="0.25">
      <c r="A826" s="90">
        <v>180010</v>
      </c>
      <c r="B826" s="90" t="s">
        <v>726</v>
      </c>
      <c r="D826" s="91">
        <v>5283.39</v>
      </c>
      <c r="E826" s="91">
        <v>0</v>
      </c>
      <c r="F826" s="91">
        <f t="shared" si="15"/>
        <v>5283.39</v>
      </c>
      <c r="G826" t="str">
        <f>_xlfn.XLOOKUP($A826,Map!$A:$A,Map!C:C)</f>
        <v>BS</v>
      </c>
      <c r="H826" t="str">
        <f>_xlfn.XLOOKUP($A826,Map!$A:$A,Map!D:D)</f>
        <v>Current Assets</v>
      </c>
      <c r="I826" t="str">
        <f>_xlfn.XLOOKUP($A826,Map!$A:$A,Map!E:E)</f>
        <v>Inventories</v>
      </c>
      <c r="J826" t="str">
        <f>_xlfn.XLOOKUP($A826,Map!$A:$A,Map!F:F)</f>
        <v>Packaging materials - Inventory</v>
      </c>
    </row>
    <row r="827" spans="1:10" hidden="1" x14ac:dyDescent="0.25">
      <c r="A827" s="90">
        <v>180009</v>
      </c>
      <c r="B827" s="90" t="s">
        <v>726</v>
      </c>
      <c r="D827" s="91">
        <v>6916688.2800000003</v>
      </c>
      <c r="E827" s="91">
        <v>0</v>
      </c>
      <c r="F827" s="91">
        <f t="shared" si="15"/>
        <v>6916688.2800000003</v>
      </c>
      <c r="G827" t="str">
        <f>_xlfn.XLOOKUP($A827,Map!$A:$A,Map!C:C)</f>
        <v>BS</v>
      </c>
      <c r="H827" t="str">
        <f>_xlfn.XLOOKUP($A827,Map!$A:$A,Map!D:D)</f>
        <v>Current Assets</v>
      </c>
      <c r="I827" t="str">
        <f>_xlfn.XLOOKUP($A827,Map!$A:$A,Map!E:E)</f>
        <v>Inventories</v>
      </c>
      <c r="J827" t="str">
        <f>_xlfn.XLOOKUP($A827,Map!$A:$A,Map!F:F)</f>
        <v>Raw materials - Inventory</v>
      </c>
    </row>
    <row r="828" spans="1:10" hidden="1" x14ac:dyDescent="0.25">
      <c r="A828" s="90">
        <v>180008</v>
      </c>
      <c r="B828" s="90" t="s">
        <v>726</v>
      </c>
      <c r="D828" s="91">
        <v>0</v>
      </c>
      <c r="E828" s="91">
        <v>0</v>
      </c>
      <c r="F828" s="91">
        <f t="shared" si="15"/>
        <v>0</v>
      </c>
      <c r="G828" t="str">
        <f>_xlfn.XLOOKUP($A828,Map!$A:$A,Map!C:C)</f>
        <v>BS</v>
      </c>
      <c r="H828" t="str">
        <f>_xlfn.XLOOKUP($A828,Map!$A:$A,Map!D:D)</f>
        <v>Current Assets</v>
      </c>
      <c r="I828" t="str">
        <f>_xlfn.XLOOKUP($A828,Map!$A:$A,Map!E:E)</f>
        <v>Inventories</v>
      </c>
      <c r="J828" t="str">
        <f>_xlfn.XLOOKUP($A828,Map!$A:$A,Map!F:F)</f>
        <v>Raw materials - Inventory</v>
      </c>
    </row>
    <row r="829" spans="1:10" hidden="1" x14ac:dyDescent="0.25">
      <c r="A829" s="90">
        <v>180007</v>
      </c>
      <c r="B829" s="90" t="s">
        <v>726</v>
      </c>
      <c r="D829" s="91">
        <v>0</v>
      </c>
      <c r="E829" s="91">
        <v>4250394.87</v>
      </c>
      <c r="F829" s="91">
        <f t="shared" si="15"/>
        <v>-4250394.87</v>
      </c>
      <c r="G829" t="str">
        <f>_xlfn.XLOOKUP($A829,Map!$A:$A,Map!C:C)</f>
        <v>BS</v>
      </c>
      <c r="H829" t="str">
        <f>_xlfn.XLOOKUP($A829,Map!$A:$A,Map!D:D)</f>
        <v>Current Assets</v>
      </c>
      <c r="I829" t="str">
        <f>_xlfn.XLOOKUP($A829,Map!$A:$A,Map!E:E)</f>
        <v>Inventories</v>
      </c>
      <c r="J829" t="str">
        <f>_xlfn.XLOOKUP($A829,Map!$A:$A,Map!F:F)</f>
        <v>Raw materials - Inventory</v>
      </c>
    </row>
    <row r="830" spans="1:10" hidden="1" x14ac:dyDescent="0.25">
      <c r="A830" s="90">
        <v>180006</v>
      </c>
      <c r="B830" s="90" t="s">
        <v>726</v>
      </c>
      <c r="D830" s="91">
        <v>8651.7099999999991</v>
      </c>
      <c r="E830" s="91">
        <v>0</v>
      </c>
      <c r="F830" s="91">
        <f t="shared" si="15"/>
        <v>8651.7099999999991</v>
      </c>
      <c r="G830" t="str">
        <f>_xlfn.XLOOKUP($A830,Map!$A:$A,Map!C:C)</f>
        <v>BS</v>
      </c>
      <c r="H830" t="str">
        <f>_xlfn.XLOOKUP($A830,Map!$A:$A,Map!D:D)</f>
        <v>Current Assets</v>
      </c>
      <c r="I830" t="str">
        <f>_xlfn.XLOOKUP($A830,Map!$A:$A,Map!E:E)</f>
        <v>Inventories</v>
      </c>
      <c r="J830" t="str">
        <f>_xlfn.XLOOKUP($A830,Map!$A:$A,Map!F:F)</f>
        <v>Raw materials - Inventory</v>
      </c>
    </row>
    <row r="831" spans="1:10" hidden="1" x14ac:dyDescent="0.25">
      <c r="A831" s="90">
        <v>180005</v>
      </c>
      <c r="B831" s="90" t="s">
        <v>726</v>
      </c>
      <c r="D831" s="91">
        <v>0</v>
      </c>
      <c r="E831" s="91">
        <v>1771799.4369999999</v>
      </c>
      <c r="F831" s="91">
        <f t="shared" si="15"/>
        <v>-1771799.4369999999</v>
      </c>
      <c r="G831" t="str">
        <f>_xlfn.XLOOKUP($A831,Map!$A:$A,Map!C:C)</f>
        <v>BS</v>
      </c>
      <c r="H831" t="str">
        <f>_xlfn.XLOOKUP($A831,Map!$A:$A,Map!D:D)</f>
        <v>Current Assets</v>
      </c>
      <c r="I831" t="str">
        <f>_xlfn.XLOOKUP($A831,Map!$A:$A,Map!E:E)</f>
        <v>Inventories</v>
      </c>
      <c r="J831" t="str">
        <f>_xlfn.XLOOKUP($A831,Map!$A:$A,Map!F:F)</f>
        <v>Raw materials - Inventory</v>
      </c>
    </row>
    <row r="832" spans="1:10" hidden="1" x14ac:dyDescent="0.25">
      <c r="A832" s="90">
        <v>180004</v>
      </c>
      <c r="B832" s="90" t="s">
        <v>726</v>
      </c>
      <c r="D832" s="91">
        <v>0</v>
      </c>
      <c r="E832" s="91">
        <v>1084191.2309999999</v>
      </c>
      <c r="F832" s="91">
        <f t="shared" si="15"/>
        <v>-1084191.2309999999</v>
      </c>
      <c r="G832" t="str">
        <f>_xlfn.XLOOKUP($A832,Map!$A:$A,Map!C:C)</f>
        <v>BS</v>
      </c>
      <c r="H832" t="str">
        <f>_xlfn.XLOOKUP($A832,Map!$A:$A,Map!D:D)</f>
        <v>Current Assets</v>
      </c>
      <c r="I832" t="str">
        <f>_xlfn.XLOOKUP($A832,Map!$A:$A,Map!E:E)</f>
        <v>Inventories</v>
      </c>
      <c r="J832" t="str">
        <f>_xlfn.XLOOKUP($A832,Map!$A:$A,Map!F:F)</f>
        <v>Raw materials - Inventory</v>
      </c>
    </row>
    <row r="833" spans="1:10" hidden="1" x14ac:dyDescent="0.25">
      <c r="A833" s="90">
        <v>180003</v>
      </c>
      <c r="B833" s="90" t="s">
        <v>726</v>
      </c>
      <c r="D833" s="91">
        <v>205328.96</v>
      </c>
      <c r="E833" s="91">
        <v>0</v>
      </c>
      <c r="F833" s="91">
        <f t="shared" ref="F833" si="16">D833-E833</f>
        <v>205328.96</v>
      </c>
      <c r="G833" t="str">
        <f>_xlfn.XLOOKUP($A833,Map!$A:$A,Map!C:C)</f>
        <v>BS</v>
      </c>
      <c r="H833" t="str">
        <f>_xlfn.XLOOKUP($A833,Map!$A:$A,Map!D:D)</f>
        <v>Current Assets</v>
      </c>
      <c r="I833" t="str">
        <f>_xlfn.XLOOKUP($A833,Map!$A:$A,Map!E:E)</f>
        <v>Inventories</v>
      </c>
      <c r="J833" t="str">
        <f>_xlfn.XLOOKUP($A833,Map!$A:$A,Map!F:F)</f>
        <v>Spare parts - Inventory</v>
      </c>
    </row>
    <row r="836" spans="1:10" s="1" customFormat="1" x14ac:dyDescent="0.25">
      <c r="A836" s="90">
        <v>170021</v>
      </c>
      <c r="B836" s="90" t="s">
        <v>535</v>
      </c>
      <c r="D836" s="161">
        <v>4741163.17</v>
      </c>
      <c r="F836" s="3">
        <f t="shared" ref="F836:F837" si="17">D836-E836</f>
        <v>4741163.17</v>
      </c>
      <c r="G836" t="str">
        <f>_xlfn.XLOOKUP($A836,Map!$A:$A,Map!C:C)</f>
        <v>BS</v>
      </c>
      <c r="H836" t="str">
        <f>_xlfn.XLOOKUP($A836,Map!$A:$A,Map!D:D)</f>
        <v>Current Assets</v>
      </c>
      <c r="I836" t="str">
        <f>_xlfn.XLOOKUP($A836,Map!$A:$A,Map!E:E)</f>
        <v>Prepaid expenses</v>
      </c>
      <c r="J836" t="str">
        <f>_xlfn.XLOOKUP($A836,Map!$A:$A,Map!F:F)</f>
        <v>Prepaid expense</v>
      </c>
    </row>
    <row r="837" spans="1:10" s="1" customFormat="1" x14ac:dyDescent="0.25">
      <c r="A837" s="1">
        <v>210001</v>
      </c>
      <c r="B837" s="1" t="s">
        <v>78</v>
      </c>
      <c r="E837" s="161">
        <f>D836</f>
        <v>4741163.17</v>
      </c>
      <c r="F837" s="3">
        <f t="shared" si="17"/>
        <v>-4741163.17</v>
      </c>
      <c r="G837" t="str">
        <f>_xlfn.XLOOKUP($A837,Map!$A:$A,Map!C:C)</f>
        <v>BS</v>
      </c>
      <c r="H837" t="str">
        <f>_xlfn.XLOOKUP($A837,Map!$A:$A,Map!D:D)</f>
        <v>Current Liabilities</v>
      </c>
      <c r="I837" t="str">
        <f>_xlfn.XLOOKUP($A837,Map!$A:$A,Map!E:E)</f>
        <v>Tade payables and Accuals &amp; other credit balances</v>
      </c>
      <c r="J837" t="str">
        <f>_xlfn.XLOOKUP($A837,Map!$A:$A,Map!F:F)</f>
        <v>Trade payables - Foreign</v>
      </c>
    </row>
    <row r="840" spans="1:10" s="1" customFormat="1" x14ac:dyDescent="0.25">
      <c r="A840" s="1">
        <v>410001</v>
      </c>
      <c r="B840" s="163" t="s">
        <v>737</v>
      </c>
      <c r="D840" s="164">
        <v>35685087.604671016</v>
      </c>
      <c r="E840" s="164"/>
      <c r="F840" s="3">
        <f t="shared" ref="F840:F841" si="18">D840-E840</f>
        <v>35685087.604671016</v>
      </c>
      <c r="G840" t="str">
        <f>_xlfn.XLOOKUP($A840,Map!$A:$A,Map!C:C)</f>
        <v>IS</v>
      </c>
      <c r="H840" t="str">
        <f>_xlfn.XLOOKUP($A840,Map!$A:$A,Map!D:D)</f>
        <v>Sales</v>
      </c>
      <c r="I840" t="str">
        <f>_xlfn.XLOOKUP($A840,Map!$A:$A,Map!E:E)</f>
        <v>Sales</v>
      </c>
      <c r="J840" t="str">
        <f>_xlfn.XLOOKUP($A840,Map!$A:$A,Map!F:F)</f>
        <v>Trading revenue</v>
      </c>
    </row>
    <row r="841" spans="1:10" s="1" customFormat="1" x14ac:dyDescent="0.25">
      <c r="A841" s="1">
        <v>510001</v>
      </c>
      <c r="B841" s="163" t="s">
        <v>738</v>
      </c>
      <c r="D841" s="164"/>
      <c r="E841" s="164">
        <v>32065438.589147341</v>
      </c>
      <c r="F841" s="3">
        <f t="shared" si="18"/>
        <v>-32065438.589147341</v>
      </c>
      <c r="G841" t="str">
        <f>_xlfn.XLOOKUP($A841,Map!$A:$A,Map!C:C)</f>
        <v>IS</v>
      </c>
      <c r="H841" t="str">
        <f>_xlfn.XLOOKUP($A841,Map!$A:$A,Map!D:D)</f>
        <v>Cost of sales</v>
      </c>
      <c r="I841" t="str">
        <f>_xlfn.XLOOKUP($A841,Map!$A:$A,Map!E:E)</f>
        <v>Raw materials</v>
      </c>
      <c r="J841" t="str">
        <f>_xlfn.XLOOKUP($A841,Map!$A:$A,Map!F:F)</f>
        <v>Raw materials</v>
      </c>
    </row>
  </sheetData>
  <autoFilter ref="A4:K833" xr:uid="{DC69290C-49B6-4178-AD7D-5FFA1E3A0553}">
    <filterColumn colId="8">
      <filters>
        <filter val="Short-term Murabaha loans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1D6-674B-4436-BD31-A1D3A8893E2F}">
  <sheetPr filterMode="1"/>
  <dimension ref="A1:J313"/>
  <sheetViews>
    <sheetView zoomScale="90" zoomScaleNormal="90" workbookViewId="0">
      <pane ySplit="4" topLeftCell="A33" activePane="bottomLeft" state="frozen"/>
      <selection activeCell="A128" sqref="A128:B130"/>
      <selection pane="bottomLeft" activeCell="F36" sqref="F36"/>
    </sheetView>
  </sheetViews>
  <sheetFormatPr defaultColWidth="8.85546875" defaultRowHeight="15" x14ac:dyDescent="0.25"/>
  <cols>
    <col min="1" max="1" width="13.42578125" style="90" bestFit="1" customWidth="1"/>
    <col min="2" max="2" width="52.28515625" style="90" bestFit="1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42.7109375" style="90" bestFit="1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97" t="s">
        <v>589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90">
        <v>110002</v>
      </c>
      <c r="B5" s="90" t="s">
        <v>1</v>
      </c>
      <c r="C5" s="91">
        <v>249682</v>
      </c>
      <c r="D5" s="91">
        <v>0</v>
      </c>
      <c r="E5" s="91">
        <v>0</v>
      </c>
      <c r="F5" s="91">
        <v>249682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90">
        <v>110003</v>
      </c>
      <c r="B6" s="90" t="s">
        <v>2</v>
      </c>
      <c r="C6" s="91">
        <v>1773233.75</v>
      </c>
      <c r="D6" s="91">
        <v>0</v>
      </c>
      <c r="E6" s="91">
        <v>0</v>
      </c>
      <c r="F6" s="91">
        <v>1773233.75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90">
        <v>110004</v>
      </c>
      <c r="B7" s="90" t="s">
        <v>3</v>
      </c>
      <c r="C7" s="91">
        <v>39914308.471000001</v>
      </c>
      <c r="D7" s="91">
        <v>4005542.63</v>
      </c>
      <c r="E7" s="91">
        <v>21100</v>
      </c>
      <c r="F7" s="91">
        <v>43898751.101000004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90">
        <v>110006</v>
      </c>
      <c r="B8" s="90" t="s">
        <v>4</v>
      </c>
      <c r="C8" s="91">
        <v>1548852.15</v>
      </c>
      <c r="D8" s="91">
        <v>443900</v>
      </c>
      <c r="E8" s="91">
        <v>101000</v>
      </c>
      <c r="F8" s="91">
        <v>1891752.15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90">
        <v>110007</v>
      </c>
      <c r="B9" s="90" t="s">
        <v>5</v>
      </c>
      <c r="C9" s="91">
        <v>798523.45</v>
      </c>
      <c r="D9" s="91">
        <v>0</v>
      </c>
      <c r="E9" s="91">
        <v>0</v>
      </c>
      <c r="F9" s="91">
        <v>798523.45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90">
        <v>110008</v>
      </c>
      <c r="B10" s="90" t="s">
        <v>6</v>
      </c>
      <c r="C10" s="91">
        <v>191765.4</v>
      </c>
      <c r="D10" s="91">
        <v>0</v>
      </c>
      <c r="E10" s="91">
        <v>0</v>
      </c>
      <c r="F10" s="91">
        <v>191765.4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90">
        <v>111009</v>
      </c>
      <c r="B11" s="90" t="s">
        <v>7</v>
      </c>
      <c r="C11" s="91">
        <v>0</v>
      </c>
      <c r="D11" s="91">
        <v>0</v>
      </c>
      <c r="E11" s="91">
        <v>0</v>
      </c>
      <c r="F11" s="91">
        <v>0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Right of use</v>
      </c>
      <c r="J11" t="str">
        <f>_xlfn.XLOOKUP($A11,Map!$A:$A,Map!F:F)</f>
        <v>Leases - right of use assets</v>
      </c>
    </row>
    <row r="12" spans="1:10" hidden="1" x14ac:dyDescent="0.25">
      <c r="A12" s="90">
        <v>111013</v>
      </c>
      <c r="B12" s="90" t="s">
        <v>9</v>
      </c>
      <c r="C12" s="91">
        <v>99946347.437000006</v>
      </c>
      <c r="D12" s="91">
        <v>17882062.506999999</v>
      </c>
      <c r="E12" s="91">
        <v>15563008.808</v>
      </c>
      <c r="F12" s="91">
        <v>102265401.13600001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Property, plant and equipment</v>
      </c>
      <c r="J12" t="str">
        <f>_xlfn.XLOOKUP($A12,Map!$A:$A,Map!F:F)</f>
        <v>Property, plant and equipment - Accumulated depreciation</v>
      </c>
    </row>
    <row r="13" spans="1:10" hidden="1" x14ac:dyDescent="0.25">
      <c r="A13" s="90">
        <v>120001</v>
      </c>
      <c r="B13" s="90" t="s">
        <v>11</v>
      </c>
      <c r="C13" s="91">
        <v>-249150.337</v>
      </c>
      <c r="D13" s="91">
        <v>0</v>
      </c>
      <c r="E13" s="91">
        <v>531.66999999999996</v>
      </c>
      <c r="F13" s="91">
        <v>-249682.00700000001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90">
        <v>120002</v>
      </c>
      <c r="B14" s="90" t="s">
        <v>12</v>
      </c>
      <c r="C14" s="91">
        <v>-1767393.959</v>
      </c>
      <c r="D14" s="91">
        <v>450</v>
      </c>
      <c r="E14" s="91">
        <v>2859.9630000000002</v>
      </c>
      <c r="F14" s="91">
        <v>-1769803.922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90">
        <v>120003</v>
      </c>
      <c r="B15" s="90" t="s">
        <v>13</v>
      </c>
      <c r="C15" s="91">
        <v>-27289886.682999998</v>
      </c>
      <c r="D15" s="91">
        <v>4707.47</v>
      </c>
      <c r="E15" s="91">
        <v>3538142.5989999999</v>
      </c>
      <c r="F15" s="91">
        <v>-30823321.811999999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90">
        <v>120005</v>
      </c>
      <c r="B16" s="90" t="s">
        <v>14</v>
      </c>
      <c r="C16" s="91">
        <v>-1332799.317</v>
      </c>
      <c r="D16" s="91">
        <v>101000</v>
      </c>
      <c r="E16" s="91">
        <v>189670.83</v>
      </c>
      <c r="F16" s="91">
        <v>-1421470.1470000001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90">
        <v>120006</v>
      </c>
      <c r="B17" s="90" t="s">
        <v>15</v>
      </c>
      <c r="C17" s="91">
        <v>-439911.33799999999</v>
      </c>
      <c r="D17" s="91">
        <v>0</v>
      </c>
      <c r="E17" s="91">
        <v>179702.465</v>
      </c>
      <c r="F17" s="91">
        <v>-619613.80299999996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90">
        <v>120007</v>
      </c>
      <c r="B18" s="90" t="s">
        <v>16</v>
      </c>
      <c r="C18" s="91">
        <v>-176382.90299999999</v>
      </c>
      <c r="D18" s="91">
        <v>0</v>
      </c>
      <c r="E18" s="91">
        <v>5931.53</v>
      </c>
      <c r="F18" s="91">
        <v>-182314.43299999999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hidden="1" x14ac:dyDescent="0.25">
      <c r="A19" s="90">
        <v>121001</v>
      </c>
      <c r="B19" s="90" t="s">
        <v>18</v>
      </c>
      <c r="C19" s="91">
        <v>8098665.1299999999</v>
      </c>
      <c r="D19" s="91">
        <v>15002896.994000001</v>
      </c>
      <c r="E19" s="91">
        <v>9338945.9940000009</v>
      </c>
      <c r="F19" s="91">
        <v>13762616.130000001</v>
      </c>
      <c r="G19" t="str">
        <f>_xlfn.XLOOKUP($A19,Map!$A:$A,Map!C:C)</f>
        <v>BS</v>
      </c>
      <c r="H19" t="str">
        <f>_xlfn.XLOOKUP($A19,Map!$A:$A,Map!D:D)</f>
        <v>Current Assets</v>
      </c>
      <c r="I19" t="str">
        <f>_xlfn.XLOOKUP($A19,Map!$A:$A,Map!E:E)</f>
        <v>Prepaid expenses</v>
      </c>
      <c r="J19" t="str">
        <f>_xlfn.XLOOKUP($A19,Map!$A:$A,Map!F:F)</f>
        <v>Pre Operating Exps</v>
      </c>
    </row>
    <row r="20" spans="1:10" hidden="1" x14ac:dyDescent="0.25">
      <c r="A20" s="90">
        <v>121002</v>
      </c>
      <c r="B20" s="90" t="s">
        <v>19</v>
      </c>
      <c r="C20" s="91">
        <v>-8098665.1299999999</v>
      </c>
      <c r="D20" s="91">
        <v>3650674.13</v>
      </c>
      <c r="E20" s="91">
        <v>9314625.1300000008</v>
      </c>
      <c r="F20" s="91">
        <v>-13762616.130000001</v>
      </c>
      <c r="G20" t="str">
        <f>_xlfn.XLOOKUP($A20,Map!$A:$A,Map!C:C)</f>
        <v>BS</v>
      </c>
      <c r="H20" t="str">
        <f>_xlfn.XLOOKUP($A20,Map!$A:$A,Map!D:D)</f>
        <v>Current Assets</v>
      </c>
      <c r="I20" t="str">
        <f>_xlfn.XLOOKUP($A20,Map!$A:$A,Map!E:E)</f>
        <v>Prepaid expenses</v>
      </c>
      <c r="J20" t="str">
        <f>_xlfn.XLOOKUP($A20,Map!$A:$A,Map!F:F)</f>
        <v>Amortization Of Pre Operating Exps</v>
      </c>
    </row>
    <row r="21" spans="1:10" hidden="1" x14ac:dyDescent="0.25">
      <c r="A21" s="90">
        <v>130001</v>
      </c>
      <c r="B21" s="90" t="s">
        <v>20</v>
      </c>
      <c r="C21" s="91">
        <v>2109690.5099999998</v>
      </c>
      <c r="D21" s="91">
        <v>102701348.47499999</v>
      </c>
      <c r="E21" s="91">
        <v>102220007.079</v>
      </c>
      <c r="F21" s="91">
        <v>2591031.906</v>
      </c>
      <c r="G21" t="str">
        <f>_xlfn.XLOOKUP($A21,Map!$A:$A,Map!C:C)</f>
        <v>BS</v>
      </c>
      <c r="H21" t="str">
        <f>_xlfn.XLOOKUP($A21,Map!$A:$A,Map!D:D)</f>
        <v>Current Assets</v>
      </c>
      <c r="I21" t="str">
        <f>_xlfn.XLOOKUP($A21,Map!$A:$A,Map!E:E)</f>
        <v>Cash and cash equivalents</v>
      </c>
      <c r="J21" t="str">
        <f>_xlfn.XLOOKUP($A21,Map!$A:$A,Map!F:F)</f>
        <v>Bank balances</v>
      </c>
    </row>
    <row r="22" spans="1:10" hidden="1" x14ac:dyDescent="0.25">
      <c r="A22" s="90">
        <v>130002</v>
      </c>
      <c r="B22" s="90" t="s">
        <v>21</v>
      </c>
      <c r="C22" s="91">
        <v>30078.2</v>
      </c>
      <c r="D22" s="91">
        <v>79106728.582000002</v>
      </c>
      <c r="E22" s="91">
        <v>79085743.142000005</v>
      </c>
      <c r="F22" s="91">
        <v>51063.64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Cash and cash equivalents</v>
      </c>
      <c r="J22" t="str">
        <f>_xlfn.XLOOKUP($A22,Map!$A:$A,Map!F:F)</f>
        <v>Bank balances</v>
      </c>
    </row>
    <row r="23" spans="1:10" hidden="1" x14ac:dyDescent="0.25">
      <c r="A23" s="90">
        <v>130004</v>
      </c>
      <c r="B23" s="90" t="s">
        <v>23</v>
      </c>
      <c r="C23" s="91">
        <v>623354.35</v>
      </c>
      <c r="D23" s="91">
        <v>25875890.612</v>
      </c>
      <c r="E23" s="91">
        <v>24329018.532000002</v>
      </c>
      <c r="F23" s="91">
        <v>2170226.4300000002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Cash and cash equivalents</v>
      </c>
      <c r="J23" t="str">
        <f>_xlfn.XLOOKUP($A23,Map!$A:$A,Map!F:F)</f>
        <v>Bank balances</v>
      </c>
    </row>
    <row r="24" spans="1:10" hidden="1" x14ac:dyDescent="0.25">
      <c r="A24" s="90">
        <v>130005</v>
      </c>
      <c r="B24" s="90" t="s">
        <v>24</v>
      </c>
      <c r="C24" s="91">
        <v>5311.27</v>
      </c>
      <c r="D24" s="91">
        <v>2374292.06</v>
      </c>
      <c r="E24" s="91">
        <v>1183552.3500000001</v>
      </c>
      <c r="F24" s="91">
        <v>1196050.98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hidden="1" x14ac:dyDescent="0.25">
      <c r="A25" s="90">
        <v>130006</v>
      </c>
      <c r="B25" s="90" t="s">
        <v>25</v>
      </c>
      <c r="C25" s="91">
        <v>18521.5</v>
      </c>
      <c r="D25" s="91">
        <v>4017338.37</v>
      </c>
      <c r="E25" s="91">
        <v>3944213.42</v>
      </c>
      <c r="F25" s="91">
        <v>91646.45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90">
        <v>130007</v>
      </c>
      <c r="B26" s="90" t="s">
        <v>26</v>
      </c>
      <c r="C26" s="91">
        <v>1782205.82</v>
      </c>
      <c r="D26" s="91">
        <v>19329294.456999999</v>
      </c>
      <c r="E26" s="91">
        <v>20299051.059999999</v>
      </c>
      <c r="F26" s="91">
        <v>812449.21699999995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90">
        <v>130008</v>
      </c>
      <c r="B27" s="90" t="s">
        <v>247</v>
      </c>
      <c r="C27" s="91">
        <v>52027.55</v>
      </c>
      <c r="D27" s="91">
        <v>59542497.667999998</v>
      </c>
      <c r="E27" s="91">
        <v>59295717.697999999</v>
      </c>
      <c r="F27" s="91">
        <v>298807.52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90">
        <v>130099</v>
      </c>
      <c r="B28" s="90" t="s">
        <v>34</v>
      </c>
      <c r="C28" s="91">
        <v>0</v>
      </c>
      <c r="D28" s="91">
        <v>143132371</v>
      </c>
      <c r="E28" s="91">
        <v>143132371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hidden="1" x14ac:dyDescent="0.25">
      <c r="A29" s="90">
        <v>140001</v>
      </c>
      <c r="B29" s="90" t="s">
        <v>35</v>
      </c>
      <c r="C29" s="91">
        <v>39673675.619999997</v>
      </c>
      <c r="D29" s="91">
        <v>152275327.98699999</v>
      </c>
      <c r="E29" s="91">
        <v>152584725.86399999</v>
      </c>
      <c r="F29" s="91">
        <v>39364277.743000001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Trade receivables</v>
      </c>
      <c r="J29" t="str">
        <f>_xlfn.XLOOKUP($A29,Map!$A:$A,Map!F:F)</f>
        <v>Trade receivables - current</v>
      </c>
    </row>
    <row r="30" spans="1:10" hidden="1" x14ac:dyDescent="0.25">
      <c r="A30" s="90">
        <v>140010</v>
      </c>
      <c r="B30" s="90" t="s">
        <v>36</v>
      </c>
      <c r="C30" s="91">
        <v>0</v>
      </c>
      <c r="D30" s="91">
        <v>0</v>
      </c>
      <c r="E30" s="91">
        <v>0</v>
      </c>
      <c r="F30" s="91">
        <v>0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Trade receivables</v>
      </c>
      <c r="J30" t="str">
        <f>_xlfn.XLOOKUP($A30,Map!$A:$A,Map!F:F)</f>
        <v>Trade receivables - current</v>
      </c>
    </row>
    <row r="31" spans="1:10" hidden="1" x14ac:dyDescent="0.25">
      <c r="A31" s="90">
        <v>150001</v>
      </c>
      <c r="B31" s="90" t="s">
        <v>37</v>
      </c>
      <c r="C31" s="91">
        <v>420934.68</v>
      </c>
      <c r="D31" s="91">
        <v>168486.32</v>
      </c>
      <c r="E31" s="91">
        <v>545671</v>
      </c>
      <c r="F31" s="91">
        <v>43750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Prepaid expenses</v>
      </c>
      <c r="J31" t="str">
        <f>_xlfn.XLOOKUP($A31,Map!$A:$A,Map!F:F)</f>
        <v>Advances - current</v>
      </c>
    </row>
    <row r="32" spans="1:10" hidden="1" x14ac:dyDescent="0.25">
      <c r="A32" s="90">
        <v>160001</v>
      </c>
      <c r="B32" s="90" t="s">
        <v>39</v>
      </c>
      <c r="C32" s="91">
        <v>68465.62</v>
      </c>
      <c r="D32" s="91">
        <v>3527278.24</v>
      </c>
      <c r="E32" s="91">
        <v>3549743.86</v>
      </c>
      <c r="F32" s="91">
        <v>46000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Petty cash</v>
      </c>
    </row>
    <row r="33" spans="1:10" x14ac:dyDescent="0.25">
      <c r="A33" s="90">
        <v>170000</v>
      </c>
      <c r="B33" s="90" t="s">
        <v>40</v>
      </c>
      <c r="C33" s="91">
        <v>366799.283</v>
      </c>
      <c r="D33" s="91">
        <v>766150.18</v>
      </c>
      <c r="E33" s="91">
        <v>1132949.46</v>
      </c>
      <c r="F33" s="91">
        <v>3.0000000000000001E-3</v>
      </c>
      <c r="G33" t="str">
        <f>_xlfn.XLOOKUP($A33,Map!$A:$A,Map!C:C)</f>
        <v>BS</v>
      </c>
      <c r="H33" t="str">
        <f>_xlfn.XLOOKUP($A33,Map!$A:$A,Map!D:D)</f>
        <v>Current Liabilities</v>
      </c>
      <c r="I33" t="str">
        <f>_xlfn.XLOOKUP($A33,Map!$A:$A,Map!E:E)</f>
        <v>Short-term Murabaha loans</v>
      </c>
      <c r="J33" t="str">
        <f>_xlfn.XLOOKUP($A33,Map!$A:$A,Map!F:F)</f>
        <v>Prepayments - current</v>
      </c>
    </row>
    <row r="34" spans="1:10" x14ac:dyDescent="0.25">
      <c r="A34" s="90">
        <v>170001</v>
      </c>
      <c r="B34" s="90" t="s">
        <v>41</v>
      </c>
      <c r="C34" s="91">
        <v>0</v>
      </c>
      <c r="D34" s="91">
        <v>0</v>
      </c>
      <c r="E34" s="91">
        <v>0</v>
      </c>
      <c r="F34" s="91">
        <v>0</v>
      </c>
      <c r="G34" t="str">
        <f>_xlfn.XLOOKUP($A34,Map!$A:$A,Map!C:C)</f>
        <v>BS</v>
      </c>
      <c r="H34" t="str">
        <f>_xlfn.XLOOKUP($A34,Map!$A:$A,Map!D:D)</f>
        <v>Current Liabilities</v>
      </c>
      <c r="I34" t="str">
        <f>_xlfn.XLOOKUP($A34,Map!$A:$A,Map!E:E)</f>
        <v>Short-term Murabaha loans</v>
      </c>
      <c r="J34" t="str">
        <f>_xlfn.XLOOKUP($A34,Map!$A:$A,Map!F:F)</f>
        <v>Prepayments - current</v>
      </c>
    </row>
    <row r="35" spans="1:10" x14ac:dyDescent="0.25">
      <c r="A35" s="90">
        <v>170003</v>
      </c>
      <c r="B35" s="90" t="s">
        <v>43</v>
      </c>
      <c r="C35" s="91">
        <v>29088.487000000001</v>
      </c>
      <c r="D35" s="91">
        <v>23086.04</v>
      </c>
      <c r="E35" s="91">
        <v>52174.53</v>
      </c>
      <c r="F35" s="91">
        <v>-3.0000000000000001E-3</v>
      </c>
      <c r="G35" t="str">
        <f>_xlfn.XLOOKUP($A35,Map!$A:$A,Map!C:C)</f>
        <v>BS</v>
      </c>
      <c r="H35" t="str">
        <f>_xlfn.XLOOKUP($A35,Map!$A:$A,Map!D:D)</f>
        <v>Current Liabilities</v>
      </c>
      <c r="I35" t="str">
        <f>_xlfn.XLOOKUP($A35,Map!$A:$A,Map!E:E)</f>
        <v>Short-term Murabaha loans</v>
      </c>
      <c r="J35" t="str">
        <f>_xlfn.XLOOKUP($A35,Map!$A:$A,Map!F:F)</f>
        <v>Prepayments - current</v>
      </c>
    </row>
    <row r="36" spans="1:10" x14ac:dyDescent="0.25">
      <c r="A36" s="90">
        <v>170004</v>
      </c>
      <c r="B36" s="90" t="s">
        <v>244</v>
      </c>
      <c r="C36" s="91">
        <v>0</v>
      </c>
      <c r="D36" s="91">
        <v>0</v>
      </c>
      <c r="E36" s="91">
        <v>0</v>
      </c>
      <c r="F36" s="91">
        <v>0</v>
      </c>
      <c r="G36" t="str">
        <f>_xlfn.XLOOKUP($A36,Map!$A:$A,Map!C:C)</f>
        <v>BS</v>
      </c>
      <c r="H36" t="str">
        <f>_xlfn.XLOOKUP($A36,Map!$A:$A,Map!D:D)</f>
        <v>Current Liabilities</v>
      </c>
      <c r="I36" t="str">
        <f>_xlfn.XLOOKUP($A36,Map!$A:$A,Map!E:E)</f>
        <v>Short-term Murabaha loans</v>
      </c>
      <c r="J36" t="str">
        <f>_xlfn.XLOOKUP($A36,Map!$A:$A,Map!F:F)</f>
        <v>Prepayments - current</v>
      </c>
    </row>
    <row r="37" spans="1:10" hidden="1" x14ac:dyDescent="0.25">
      <c r="A37" s="90">
        <v>170005</v>
      </c>
      <c r="B37" s="90" t="s">
        <v>44</v>
      </c>
      <c r="C37" s="91">
        <v>0</v>
      </c>
      <c r="D37" s="91">
        <v>0</v>
      </c>
      <c r="E37" s="91">
        <v>0</v>
      </c>
      <c r="F37" s="91">
        <v>0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Prepaid expenses</v>
      </c>
      <c r="J37" t="str">
        <f>_xlfn.XLOOKUP($A37,Map!$A:$A,Map!F:F)</f>
        <v>Deposits - current</v>
      </c>
    </row>
    <row r="38" spans="1:10" hidden="1" x14ac:dyDescent="0.25">
      <c r="A38" s="90">
        <v>170006</v>
      </c>
      <c r="B38" s="90" t="s">
        <v>45</v>
      </c>
      <c r="C38" s="91">
        <v>971548.60900000005</v>
      </c>
      <c r="D38" s="91">
        <v>1399483.28</v>
      </c>
      <c r="E38" s="91">
        <v>2371031.889</v>
      </c>
      <c r="F38" s="91">
        <v>0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Prepaid expenses</v>
      </c>
      <c r="J38" t="str">
        <f>_xlfn.XLOOKUP($A38,Map!$A:$A,Map!F:F)</f>
        <v>Deposits - current</v>
      </c>
    </row>
    <row r="39" spans="1:10" hidden="1" x14ac:dyDescent="0.25">
      <c r="A39" s="90">
        <v>170007</v>
      </c>
      <c r="B39" s="90" t="s">
        <v>46</v>
      </c>
      <c r="C39" s="91">
        <v>0</v>
      </c>
      <c r="D39" s="91">
        <v>467402.51</v>
      </c>
      <c r="E39" s="91">
        <v>467402.51</v>
      </c>
      <c r="F39" s="91">
        <v>0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Prepaid expenses</v>
      </c>
      <c r="J39" t="str">
        <f>_xlfn.XLOOKUP($A39,Map!$A:$A,Map!F:F)</f>
        <v>Deposits - current</v>
      </c>
    </row>
    <row r="40" spans="1:10" hidden="1" x14ac:dyDescent="0.25">
      <c r="A40" s="90">
        <v>170008</v>
      </c>
      <c r="B40" s="90" t="s">
        <v>47</v>
      </c>
      <c r="C40" s="91">
        <v>0</v>
      </c>
      <c r="D40" s="91">
        <v>0</v>
      </c>
      <c r="E40" s="91">
        <v>0</v>
      </c>
      <c r="F40" s="91">
        <v>0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Prepaid expenses</v>
      </c>
      <c r="J40" t="str">
        <f>_xlfn.XLOOKUP($A40,Map!$A:$A,Map!F:F)</f>
        <v>Deposits - current</v>
      </c>
    </row>
    <row r="41" spans="1:10" hidden="1" x14ac:dyDescent="0.25">
      <c r="A41" s="90">
        <v>170009</v>
      </c>
      <c r="B41" s="90" t="s">
        <v>48</v>
      </c>
      <c r="C41" s="91">
        <v>59583</v>
      </c>
      <c r="D41" s="91">
        <v>1334348.83</v>
      </c>
      <c r="E41" s="91">
        <v>1359487.8289999999</v>
      </c>
      <c r="F41" s="91">
        <v>34444.000999999997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Prepaid expenses</v>
      </c>
      <c r="J41" t="str">
        <f>_xlfn.XLOOKUP($A41,Map!$A:$A,Map!F:F)</f>
        <v>Rent</v>
      </c>
    </row>
    <row r="42" spans="1:10" hidden="1" x14ac:dyDescent="0.25">
      <c r="A42" s="90">
        <v>170010</v>
      </c>
      <c r="B42" s="90" t="s">
        <v>49</v>
      </c>
      <c r="C42" s="91">
        <v>0</v>
      </c>
      <c r="D42" s="91">
        <v>663100</v>
      </c>
      <c r="E42" s="91">
        <v>663100</v>
      </c>
      <c r="F42" s="91">
        <v>0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Prepaid expenses</v>
      </c>
      <c r="J42" t="str">
        <f>_xlfn.XLOOKUP($A42,Map!$A:$A,Map!F:F)</f>
        <v>Housing allowance</v>
      </c>
    </row>
    <row r="43" spans="1:10" hidden="1" x14ac:dyDescent="0.25">
      <c r="A43" s="90">
        <v>170011</v>
      </c>
      <c r="B43" s="90" t="s">
        <v>50</v>
      </c>
      <c r="C43" s="91">
        <v>0</v>
      </c>
      <c r="D43" s="91">
        <v>108000</v>
      </c>
      <c r="E43" s="91">
        <v>108000</v>
      </c>
      <c r="F43" s="91">
        <v>0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Prepaid expenses</v>
      </c>
      <c r="J43" t="str">
        <f>_xlfn.XLOOKUP($A43,Map!$A:$A,Map!F:F)</f>
        <v>Air tickets</v>
      </c>
    </row>
    <row r="44" spans="1:10" hidden="1" x14ac:dyDescent="0.25">
      <c r="A44" s="90">
        <v>170013</v>
      </c>
      <c r="B44" s="90" t="s">
        <v>52</v>
      </c>
      <c r="C44" s="91">
        <v>59000</v>
      </c>
      <c r="D44" s="91">
        <v>0</v>
      </c>
      <c r="E44" s="91">
        <v>0</v>
      </c>
      <c r="F44" s="91">
        <v>59000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Prepaid expenses</v>
      </c>
      <c r="J44" t="str">
        <f>_xlfn.XLOOKUP($A44,Map!$A:$A,Map!F:F)</f>
        <v>Insurance</v>
      </c>
    </row>
    <row r="45" spans="1:10" hidden="1" x14ac:dyDescent="0.25">
      <c r="A45" s="90">
        <v>170014</v>
      </c>
      <c r="B45" s="90" t="s">
        <v>53</v>
      </c>
      <c r="C45" s="91">
        <v>314532</v>
      </c>
      <c r="D45" s="91">
        <v>573752</v>
      </c>
      <c r="E45" s="91">
        <v>604042.5</v>
      </c>
      <c r="F45" s="91">
        <v>284241.5</v>
      </c>
      <c r="G45" t="str">
        <f>_xlfn.XLOOKUP($A45,Map!$A:$A,Map!C:C)</f>
        <v>BS</v>
      </c>
      <c r="H45" t="str">
        <f>_xlfn.XLOOKUP($A45,Map!$A:$A,Map!D:D)</f>
        <v>Current Assets</v>
      </c>
      <c r="I45" t="str">
        <f>_xlfn.XLOOKUP($A45,Map!$A:$A,Map!E:E)</f>
        <v>Prepaid expenses</v>
      </c>
      <c r="J45" t="str">
        <f>_xlfn.XLOOKUP($A45,Map!$A:$A,Map!F:F)</f>
        <v>Insurance</v>
      </c>
    </row>
    <row r="46" spans="1:10" hidden="1" x14ac:dyDescent="0.25">
      <c r="A46" s="90">
        <v>170015</v>
      </c>
      <c r="B46" s="90" t="s">
        <v>54</v>
      </c>
      <c r="C46" s="91">
        <v>0</v>
      </c>
      <c r="D46" s="91">
        <v>0</v>
      </c>
      <c r="E46" s="91">
        <v>0</v>
      </c>
      <c r="F46" s="91">
        <v>0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Prepaid expenses</v>
      </c>
      <c r="J46" t="str">
        <f>_xlfn.XLOOKUP($A46,Map!$A:$A,Map!F:F)</f>
        <v>Salaries and wages</v>
      </c>
    </row>
    <row r="47" spans="1:10" hidden="1" x14ac:dyDescent="0.25">
      <c r="A47" s="90">
        <v>180001</v>
      </c>
      <c r="B47" s="90" t="s">
        <v>60</v>
      </c>
      <c r="C47" s="91">
        <v>0</v>
      </c>
      <c r="D47" s="91">
        <v>2890012.6039999998</v>
      </c>
      <c r="E47" s="91">
        <v>2890012.6039999998</v>
      </c>
      <c r="F47" s="91">
        <v>0</v>
      </c>
      <c r="G47" t="str">
        <f>_xlfn.XLOOKUP($A47,Map!$A:$A,Map!C:C)</f>
        <v>BS</v>
      </c>
      <c r="H47" t="str">
        <f>_xlfn.XLOOKUP($A47,Map!$A:$A,Map!D:D)</f>
        <v>Current Assets</v>
      </c>
      <c r="I47" t="str">
        <f>_xlfn.XLOOKUP($A47,Map!$A:$A,Map!E:E)</f>
        <v>Inventories</v>
      </c>
      <c r="J47" t="str">
        <f>_xlfn.XLOOKUP($A47,Map!$A:$A,Map!F:F)</f>
        <v>Raw materials - Inventory</v>
      </c>
    </row>
    <row r="48" spans="1:10" hidden="1" x14ac:dyDescent="0.25">
      <c r="A48" s="90">
        <v>180002</v>
      </c>
      <c r="B48" s="90" t="s">
        <v>61</v>
      </c>
      <c r="C48" s="91">
        <v>0</v>
      </c>
      <c r="D48" s="91">
        <v>335316.85200000001</v>
      </c>
      <c r="E48" s="91">
        <v>335316.85200000001</v>
      </c>
      <c r="F48" s="91">
        <v>0</v>
      </c>
      <c r="G48" t="str">
        <f>_xlfn.XLOOKUP($A48,Map!$A:$A,Map!C:C)</f>
        <v>BS</v>
      </c>
      <c r="H48" t="str">
        <f>_xlfn.XLOOKUP($A48,Map!$A:$A,Map!D:D)</f>
        <v>Current Assets</v>
      </c>
      <c r="I48" t="str">
        <f>_xlfn.XLOOKUP($A48,Map!$A:$A,Map!E:E)</f>
        <v>Inventories</v>
      </c>
      <c r="J48" t="str">
        <f>_xlfn.XLOOKUP($A48,Map!$A:$A,Map!F:F)</f>
        <v>Raw materials - Inventory</v>
      </c>
    </row>
    <row r="49" spans="1:10" hidden="1" x14ac:dyDescent="0.25">
      <c r="A49" s="90">
        <v>180003</v>
      </c>
      <c r="B49" s="90" t="s">
        <v>62</v>
      </c>
      <c r="C49" s="91">
        <v>3290183.429</v>
      </c>
      <c r="D49" s="91">
        <v>4924730.0760000004</v>
      </c>
      <c r="E49" s="91">
        <v>4915339.54</v>
      </c>
      <c r="F49" s="91">
        <v>3299573.9649999999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Inventories</v>
      </c>
      <c r="J49" t="str">
        <f>_xlfn.XLOOKUP($A49,Map!$A:$A,Map!F:F)</f>
        <v>Spare parts - Inventory</v>
      </c>
    </row>
    <row r="50" spans="1:10" hidden="1" x14ac:dyDescent="0.25">
      <c r="A50" s="90">
        <v>180004</v>
      </c>
      <c r="B50" s="90" t="s">
        <v>63</v>
      </c>
      <c r="C50" s="91">
        <v>3089278.875</v>
      </c>
      <c r="D50" s="91">
        <v>9739826.0759999994</v>
      </c>
      <c r="E50" s="91">
        <v>7479444.5499999998</v>
      </c>
      <c r="F50" s="91">
        <v>5349660.4009999996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Inventories</v>
      </c>
      <c r="J50" t="str">
        <f>_xlfn.XLOOKUP($A50,Map!$A:$A,Map!F:F)</f>
        <v>Raw materials - Inventory</v>
      </c>
    </row>
    <row r="51" spans="1:10" hidden="1" x14ac:dyDescent="0.25">
      <c r="A51" s="90">
        <v>180005</v>
      </c>
      <c r="B51" s="90" t="s">
        <v>64</v>
      </c>
      <c r="C51" s="91">
        <v>2947498.5460000001</v>
      </c>
      <c r="D51" s="91">
        <v>10007320.210000001</v>
      </c>
      <c r="E51" s="91">
        <v>10551593.800000001</v>
      </c>
      <c r="F51" s="91">
        <v>2403224.9559999998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Inventories</v>
      </c>
      <c r="J51" t="str">
        <f>_xlfn.XLOOKUP($A51,Map!$A:$A,Map!F:F)</f>
        <v>Raw materials - Inventory</v>
      </c>
    </row>
    <row r="52" spans="1:10" hidden="1" x14ac:dyDescent="0.25">
      <c r="A52" s="90">
        <v>180006</v>
      </c>
      <c r="B52" s="90" t="s">
        <v>65</v>
      </c>
      <c r="C52" s="91">
        <v>1161027.274</v>
      </c>
      <c r="D52" s="91">
        <v>3077440.4730000002</v>
      </c>
      <c r="E52" s="91">
        <v>3813228.324</v>
      </c>
      <c r="F52" s="91">
        <v>425239.42300000001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Inventories</v>
      </c>
      <c r="J52" t="str">
        <f>_xlfn.XLOOKUP($A52,Map!$A:$A,Map!F:F)</f>
        <v>Raw materials - Inventory</v>
      </c>
    </row>
    <row r="53" spans="1:10" hidden="1" x14ac:dyDescent="0.25">
      <c r="A53" s="90">
        <v>180007</v>
      </c>
      <c r="B53" s="90" t="s">
        <v>66</v>
      </c>
      <c r="C53" s="91">
        <v>7227774.1299999999</v>
      </c>
      <c r="D53" s="91">
        <v>2775652.13</v>
      </c>
      <c r="E53" s="91">
        <v>8912428.0199999996</v>
      </c>
      <c r="F53" s="91">
        <v>1090998.24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Inventories</v>
      </c>
      <c r="J53" t="str">
        <f>_xlfn.XLOOKUP($A53,Map!$A:$A,Map!F:F)</f>
        <v>Raw materials - Inventory</v>
      </c>
    </row>
    <row r="54" spans="1:10" hidden="1" x14ac:dyDescent="0.25">
      <c r="A54" s="90">
        <v>180008</v>
      </c>
      <c r="B54" s="90" t="s">
        <v>67</v>
      </c>
      <c r="C54" s="91">
        <v>1400127.8160000001</v>
      </c>
      <c r="D54" s="91">
        <v>167910</v>
      </c>
      <c r="E54" s="91">
        <v>0</v>
      </c>
      <c r="F54" s="91">
        <v>1568037.8160000001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Inventories</v>
      </c>
      <c r="J54" t="str">
        <f>_xlfn.XLOOKUP($A54,Map!$A:$A,Map!F:F)</f>
        <v>Raw materials - Inventory</v>
      </c>
    </row>
    <row r="55" spans="1:10" hidden="1" x14ac:dyDescent="0.25">
      <c r="A55" s="90">
        <v>180009</v>
      </c>
      <c r="B55" s="90" t="s">
        <v>68</v>
      </c>
      <c r="C55" s="91">
        <v>5.0000000000000001E-3</v>
      </c>
      <c r="D55" s="91">
        <v>84236315.982999995</v>
      </c>
      <c r="E55" s="91">
        <v>84236316.008000001</v>
      </c>
      <c r="F55" s="91">
        <v>-0.02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Inventories</v>
      </c>
      <c r="J55" t="str">
        <f>_xlfn.XLOOKUP($A55,Map!$A:$A,Map!F:F)</f>
        <v>Raw materials - Inventory</v>
      </c>
    </row>
    <row r="56" spans="1:10" hidden="1" x14ac:dyDescent="0.25">
      <c r="A56" s="90">
        <v>180010</v>
      </c>
      <c r="B56" s="90" t="s">
        <v>69</v>
      </c>
      <c r="C56" s="91">
        <v>1393673.389</v>
      </c>
      <c r="D56" s="91">
        <v>3643144.531</v>
      </c>
      <c r="E56" s="91">
        <v>3305177.4160000002</v>
      </c>
      <c r="F56" s="91">
        <v>1731640.504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Inventories</v>
      </c>
      <c r="J56" t="str">
        <f>_xlfn.XLOOKUP($A56,Map!$A:$A,Map!F:F)</f>
        <v>Packaging materials - Inventory</v>
      </c>
    </row>
    <row r="57" spans="1:10" hidden="1" x14ac:dyDescent="0.25">
      <c r="A57" s="90">
        <v>180011</v>
      </c>
      <c r="B57" s="90" t="s">
        <v>70</v>
      </c>
      <c r="C57" s="91">
        <v>3632147.8029999998</v>
      </c>
      <c r="D57" s="91">
        <v>41853400.155000001</v>
      </c>
      <c r="E57" s="91">
        <v>41726254.288000003</v>
      </c>
      <c r="F57" s="91">
        <v>3759293.67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Inventories</v>
      </c>
      <c r="J57" t="str">
        <f>_xlfn.XLOOKUP($A57,Map!$A:$A,Map!F:F)</f>
        <v>Finished goods - Inventory</v>
      </c>
    </row>
    <row r="58" spans="1:10" hidden="1" x14ac:dyDescent="0.25">
      <c r="A58" s="90">
        <v>180012</v>
      </c>
      <c r="B58" s="90" t="s">
        <v>71</v>
      </c>
      <c r="C58" s="91">
        <v>2249721.0639999998</v>
      </c>
      <c r="D58" s="91">
        <v>24928976.638</v>
      </c>
      <c r="E58" s="91">
        <v>25209502.998</v>
      </c>
      <c r="F58" s="91">
        <v>1969194.7039999999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Inventories</v>
      </c>
      <c r="J58" t="str">
        <f>_xlfn.XLOOKUP($A58,Map!$A:$A,Map!F:F)</f>
        <v>Work in progress - Inventory</v>
      </c>
    </row>
    <row r="59" spans="1:10" hidden="1" x14ac:dyDescent="0.25">
      <c r="A59" s="90">
        <v>180013</v>
      </c>
      <c r="B59" s="90" t="s">
        <v>72</v>
      </c>
      <c r="C59" s="91">
        <v>6287840.1040000003</v>
      </c>
      <c r="D59" s="91">
        <v>4683011.551</v>
      </c>
      <c r="E59" s="91">
        <v>6535842.568</v>
      </c>
      <c r="F59" s="91">
        <v>4435009.0870000003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Inventories</v>
      </c>
      <c r="J59" t="str">
        <f>_xlfn.XLOOKUP($A59,Map!$A:$A,Map!F:F)</f>
        <v>Finished goods - Inventory</v>
      </c>
    </row>
    <row r="60" spans="1:10" hidden="1" x14ac:dyDescent="0.25">
      <c r="A60" s="90">
        <v>180014</v>
      </c>
      <c r="B60" s="90" t="s">
        <v>73</v>
      </c>
      <c r="C60" s="91">
        <v>0</v>
      </c>
      <c r="D60" s="91">
        <v>30403728.342999998</v>
      </c>
      <c r="E60" s="91">
        <v>29644252.513</v>
      </c>
      <c r="F60" s="91">
        <v>759475.83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Inventories</v>
      </c>
      <c r="J60" t="str">
        <f>_xlfn.XLOOKUP($A60,Map!$A:$A,Map!F:F)</f>
        <v>Work in progress - Inventory</v>
      </c>
    </row>
    <row r="61" spans="1:10" hidden="1" x14ac:dyDescent="0.25">
      <c r="A61" s="90">
        <v>180096</v>
      </c>
      <c r="B61" s="90" t="s">
        <v>74</v>
      </c>
      <c r="C61" s="91">
        <v>-2E-3</v>
      </c>
      <c r="D61" s="91">
        <v>14849229.897</v>
      </c>
      <c r="E61" s="91">
        <v>14671946.529999999</v>
      </c>
      <c r="F61" s="91">
        <v>177283.36499999999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Inventories</v>
      </c>
      <c r="J61" t="str">
        <f>_xlfn.XLOOKUP($A61,Map!$A:$A,Map!F:F)</f>
        <v>Work in progress - Inventory</v>
      </c>
    </row>
    <row r="62" spans="1:10" hidden="1" x14ac:dyDescent="0.25">
      <c r="A62" s="90">
        <v>180097</v>
      </c>
      <c r="B62" s="90" t="s">
        <v>75</v>
      </c>
      <c r="C62" s="91">
        <v>0</v>
      </c>
      <c r="D62" s="91">
        <v>0</v>
      </c>
      <c r="E62" s="91">
        <v>0</v>
      </c>
      <c r="F62" s="91">
        <v>0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Inventories</v>
      </c>
      <c r="J62" t="str">
        <f>_xlfn.XLOOKUP($A62,Map!$A:$A,Map!F:F)</f>
        <v>Work in progress - Inventory</v>
      </c>
    </row>
    <row r="63" spans="1:10" hidden="1" x14ac:dyDescent="0.25">
      <c r="A63" s="90">
        <v>180098</v>
      </c>
      <c r="B63" s="90" t="s">
        <v>76</v>
      </c>
      <c r="C63" s="91">
        <v>0</v>
      </c>
      <c r="D63" s="91">
        <v>0</v>
      </c>
      <c r="E63" s="91">
        <v>0</v>
      </c>
      <c r="F63" s="91">
        <v>0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Work in progress - Inventory</v>
      </c>
    </row>
    <row r="64" spans="1:10" hidden="1" x14ac:dyDescent="0.25">
      <c r="A64" s="90">
        <v>180099</v>
      </c>
      <c r="B64" s="90" t="s">
        <v>77</v>
      </c>
      <c r="C64" s="91">
        <v>0</v>
      </c>
      <c r="D64" s="91">
        <v>0</v>
      </c>
      <c r="E64" s="91">
        <v>0</v>
      </c>
      <c r="F64" s="91">
        <v>0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Inventories</v>
      </c>
      <c r="J64" t="str">
        <f>_xlfn.XLOOKUP($A64,Map!$A:$A,Map!F:F)</f>
        <v>Goods in transit - Inventory</v>
      </c>
    </row>
    <row r="65" spans="1:10" hidden="1" x14ac:dyDescent="0.25">
      <c r="A65" s="90">
        <v>210001</v>
      </c>
      <c r="B65" s="90" t="s">
        <v>78</v>
      </c>
      <c r="C65" s="91">
        <v>1340423.077</v>
      </c>
      <c r="D65" s="91">
        <v>87746680.728</v>
      </c>
      <c r="E65" s="91">
        <v>79813407.358999997</v>
      </c>
      <c r="F65" s="91">
        <v>9273696.4460000005</v>
      </c>
      <c r="G65" t="str">
        <f>_xlfn.XLOOKUP($A65,Map!$A:$A,Map!C:C)</f>
        <v>BS</v>
      </c>
      <c r="H65" t="str">
        <f>_xlfn.XLOOKUP($A65,Map!$A:$A,Map!D:D)</f>
        <v>Current Liabilities</v>
      </c>
      <c r="I65" t="str">
        <f>_xlfn.XLOOKUP($A65,Map!$A:$A,Map!E:E)</f>
        <v>Tade payables and Accuals &amp; other credit balances</v>
      </c>
      <c r="J65" t="str">
        <f>_xlfn.XLOOKUP($A65,Map!$A:$A,Map!F:F)</f>
        <v>Trade payables - Foreign</v>
      </c>
    </row>
    <row r="66" spans="1:10" hidden="1" x14ac:dyDescent="0.25">
      <c r="A66" s="90">
        <v>210002</v>
      </c>
      <c r="B66" s="90" t="s">
        <v>79</v>
      </c>
      <c r="C66" s="91">
        <v>-1993720.899</v>
      </c>
      <c r="D66" s="91">
        <v>32666515.436999999</v>
      </c>
      <c r="E66" s="91">
        <v>34127207.961999997</v>
      </c>
      <c r="F66" s="91">
        <v>-3454413.4240000001</v>
      </c>
      <c r="G66" t="str">
        <f>_xlfn.XLOOKUP($A66,Map!$A:$A,Map!C:C)</f>
        <v>BS</v>
      </c>
      <c r="H66" t="str">
        <f>_xlfn.XLOOKUP($A66,Map!$A:$A,Map!D:D)</f>
        <v>Current Liabilities</v>
      </c>
      <c r="I66" t="str">
        <f>_xlfn.XLOOKUP($A66,Map!$A:$A,Map!E:E)</f>
        <v>Tade payables and Accuals &amp; other credit balances</v>
      </c>
      <c r="J66" t="str">
        <f>_xlfn.XLOOKUP($A66,Map!$A:$A,Map!F:F)</f>
        <v>Trade payables - Local</v>
      </c>
    </row>
    <row r="67" spans="1:10" x14ac:dyDescent="0.25">
      <c r="A67" s="90">
        <v>220001</v>
      </c>
      <c r="B67" s="90" t="s">
        <v>80</v>
      </c>
      <c r="C67" s="91">
        <v>0</v>
      </c>
      <c r="D67" s="91">
        <v>0</v>
      </c>
      <c r="E67" s="91">
        <v>0</v>
      </c>
      <c r="F67" s="91">
        <v>0</v>
      </c>
      <c r="G67" t="str">
        <f>_xlfn.XLOOKUP($A67,Map!$A:$A,Map!C:C)</f>
        <v>BS</v>
      </c>
      <c r="H67" t="str">
        <f>_xlfn.XLOOKUP($A67,Map!$A:$A,Map!D:D)</f>
        <v>Current Liabilities</v>
      </c>
      <c r="I67" t="str">
        <f>_xlfn.XLOOKUP($A67,Map!$A:$A,Map!E:E)</f>
        <v>Short-term Murabaha loans</v>
      </c>
      <c r="J67" t="str">
        <f>_xlfn.XLOOKUP($A67,Map!$A:$A,Map!F:F)</f>
        <v>Other loans - current</v>
      </c>
    </row>
    <row r="68" spans="1:10" x14ac:dyDescent="0.25">
      <c r="A68" s="90">
        <v>220002</v>
      </c>
      <c r="B68" s="90" t="s">
        <v>81</v>
      </c>
      <c r="C68" s="91">
        <v>-4564727.9000000004</v>
      </c>
      <c r="D68" s="91">
        <v>4564727.9000000004</v>
      </c>
      <c r="E68" s="91">
        <v>0</v>
      </c>
      <c r="F68" s="91">
        <v>0</v>
      </c>
      <c r="G68" t="str">
        <f>_xlfn.XLOOKUP($A68,Map!$A:$A,Map!C:C)</f>
        <v>BS</v>
      </c>
      <c r="H68" t="str">
        <f>_xlfn.XLOOKUP($A68,Map!$A:$A,Map!D:D)</f>
        <v>Current Liabilities</v>
      </c>
      <c r="I68" t="str">
        <f>_xlfn.XLOOKUP($A68,Map!$A:$A,Map!E:E)</f>
        <v>Short-term Murabaha loans</v>
      </c>
      <c r="J68" t="str">
        <f>_xlfn.XLOOKUP($A68,Map!$A:$A,Map!F:F)</f>
        <v>Other loans - current</v>
      </c>
    </row>
    <row r="69" spans="1:10" x14ac:dyDescent="0.25">
      <c r="A69" s="90">
        <v>220003</v>
      </c>
      <c r="B69" s="90" t="s">
        <v>82</v>
      </c>
      <c r="C69" s="91">
        <v>0</v>
      </c>
      <c r="D69" s="91">
        <v>0</v>
      </c>
      <c r="E69" s="91">
        <v>0</v>
      </c>
      <c r="F69" s="91">
        <v>0</v>
      </c>
      <c r="G69" t="str">
        <f>_xlfn.XLOOKUP($A69,Map!$A:$A,Map!C:C)</f>
        <v>BS</v>
      </c>
      <c r="H69" t="str">
        <f>_xlfn.XLOOKUP($A69,Map!$A:$A,Map!D:D)</f>
        <v>Current Liabilities</v>
      </c>
      <c r="I69" t="str">
        <f>_xlfn.XLOOKUP($A69,Map!$A:$A,Map!E:E)</f>
        <v>Short-term Murabaha loans</v>
      </c>
      <c r="J69" t="str">
        <f>_xlfn.XLOOKUP($A69,Map!$A:$A,Map!F:F)</f>
        <v>Other loans - current</v>
      </c>
    </row>
    <row r="70" spans="1:10" x14ac:dyDescent="0.25">
      <c r="A70" s="90">
        <v>220004</v>
      </c>
      <c r="B70" s="90" t="s">
        <v>83</v>
      </c>
      <c r="C70" s="91">
        <v>-21983731.100000001</v>
      </c>
      <c r="D70" s="91">
        <v>45818192.891000003</v>
      </c>
      <c r="E70" s="91">
        <v>23834461.791000001</v>
      </c>
      <c r="F70" s="91">
        <v>0</v>
      </c>
      <c r="G70" t="str">
        <f>_xlfn.XLOOKUP($A70,Map!$A:$A,Map!C:C)</f>
        <v>BS</v>
      </c>
      <c r="H70" t="str">
        <f>_xlfn.XLOOKUP($A70,Map!$A:$A,Map!D:D)</f>
        <v>Current Liabilities</v>
      </c>
      <c r="I70" t="str">
        <f>_xlfn.XLOOKUP($A70,Map!$A:$A,Map!E:E)</f>
        <v>Short-term Murabaha loans</v>
      </c>
      <c r="J70" t="str">
        <f>_xlfn.XLOOKUP($A70,Map!$A:$A,Map!F:F)</f>
        <v>Other loans - current</v>
      </c>
    </row>
    <row r="71" spans="1:10" hidden="1" x14ac:dyDescent="0.25">
      <c r="A71" s="90">
        <v>230001</v>
      </c>
      <c r="B71" s="90" t="s">
        <v>86</v>
      </c>
      <c r="C71" s="91">
        <v>0</v>
      </c>
      <c r="D71" s="91">
        <v>80743704.567000002</v>
      </c>
      <c r="E71" s="91">
        <v>80743704.567000002</v>
      </c>
      <c r="F71" s="91">
        <v>0</v>
      </c>
      <c r="G71" t="str">
        <f>_xlfn.XLOOKUP($A71,Map!$A:$A,Map!C:C)</f>
        <v>BS</v>
      </c>
      <c r="H71" t="str">
        <f>_xlfn.XLOOKUP($A71,Map!$A:$A,Map!D:D)</f>
        <v>Current Liabilities</v>
      </c>
      <c r="I71" t="str">
        <f>_xlfn.XLOOKUP($A71,Map!$A:$A,Map!E:E)</f>
        <v>Tade payables and Accuals &amp; other credit balances</v>
      </c>
      <c r="J71" t="str">
        <f>_xlfn.XLOOKUP($A71,Map!$A:$A,Map!F:F)</f>
        <v>Clearing account</v>
      </c>
    </row>
    <row r="72" spans="1:10" hidden="1" x14ac:dyDescent="0.25">
      <c r="A72" s="90">
        <v>240001</v>
      </c>
      <c r="B72" s="90" t="s">
        <v>87</v>
      </c>
      <c r="C72" s="91">
        <v>0</v>
      </c>
      <c r="D72" s="91">
        <v>2199057</v>
      </c>
      <c r="E72" s="91">
        <v>2199057</v>
      </c>
      <c r="F72" s="91">
        <v>0</v>
      </c>
      <c r="G72" t="str">
        <f>_xlfn.XLOOKUP($A72,Map!$A:$A,Map!C:C)</f>
        <v>BS</v>
      </c>
      <c r="H72" t="str">
        <f>_xlfn.XLOOKUP($A72,Map!$A:$A,Map!D:D)</f>
        <v>Current Liabilities</v>
      </c>
      <c r="I72" t="str">
        <f>_xlfn.XLOOKUP($A72,Map!$A:$A,Map!E:E)</f>
        <v>Tade payables and Accuals &amp; other credit balances</v>
      </c>
      <c r="J72" t="str">
        <f>_xlfn.XLOOKUP($A72,Map!$A:$A,Map!F:F)</f>
        <v>Overhead</v>
      </c>
    </row>
    <row r="73" spans="1:10" hidden="1" x14ac:dyDescent="0.25">
      <c r="A73" s="90">
        <v>240002</v>
      </c>
      <c r="B73" s="90" t="s">
        <v>88</v>
      </c>
      <c r="C73" s="91">
        <v>0</v>
      </c>
      <c r="D73" s="91">
        <v>0</v>
      </c>
      <c r="E73" s="91">
        <v>0</v>
      </c>
      <c r="F73" s="91">
        <v>0</v>
      </c>
      <c r="G73" t="str">
        <f>_xlfn.XLOOKUP($A73,Map!$A:$A,Map!C:C)</f>
        <v>BS</v>
      </c>
      <c r="H73" t="str">
        <f>_xlfn.XLOOKUP($A73,Map!$A:$A,Map!D:D)</f>
        <v>Current Liabilities</v>
      </c>
      <c r="I73" t="str">
        <f>_xlfn.XLOOKUP($A73,Map!$A:$A,Map!E:E)</f>
        <v>Tade payables and Accuals &amp; other credit balances</v>
      </c>
      <c r="J73" t="str">
        <f>_xlfn.XLOOKUP($A73,Map!$A:$A,Map!F:F)</f>
        <v>Landed Cost - Customs</v>
      </c>
    </row>
    <row r="74" spans="1:10" hidden="1" x14ac:dyDescent="0.25">
      <c r="A74" s="90">
        <v>250001</v>
      </c>
      <c r="B74" s="90" t="s">
        <v>90</v>
      </c>
      <c r="C74" s="91">
        <v>0</v>
      </c>
      <c r="D74" s="91">
        <v>8370696.8499999996</v>
      </c>
      <c r="E74" s="91">
        <v>8370696.8499999996</v>
      </c>
      <c r="F74" s="91">
        <v>0</v>
      </c>
      <c r="G74" t="str">
        <f>_xlfn.XLOOKUP($A74,Map!$A:$A,Map!C:C)</f>
        <v>BS</v>
      </c>
      <c r="H74" t="str">
        <f>_xlfn.XLOOKUP($A74,Map!$A:$A,Map!D:D)</f>
        <v>Current Liabilities</v>
      </c>
      <c r="I74" t="str">
        <f>_xlfn.XLOOKUP($A74,Map!$A:$A,Map!E:E)</f>
        <v>Tade payables and Accuals &amp; other credit balances</v>
      </c>
      <c r="J74" t="str">
        <f>_xlfn.XLOOKUP($A74,Map!$A:$A,Map!F:F)</f>
        <v>Accrued salaries and wages</v>
      </c>
    </row>
    <row r="75" spans="1:10" hidden="1" x14ac:dyDescent="0.25">
      <c r="A75" s="90">
        <v>250002</v>
      </c>
      <c r="B75" s="90" t="s">
        <v>91</v>
      </c>
      <c r="C75" s="91">
        <v>0</v>
      </c>
      <c r="D75" s="91">
        <v>144536.1</v>
      </c>
      <c r="E75" s="91">
        <v>144536.1</v>
      </c>
      <c r="F75" s="91">
        <v>0</v>
      </c>
      <c r="G75" t="str">
        <f>_xlfn.XLOOKUP($A75,Map!$A:$A,Map!C:C)</f>
        <v>BS</v>
      </c>
      <c r="H75" t="str">
        <f>_xlfn.XLOOKUP($A75,Map!$A:$A,Map!D:D)</f>
        <v>Current Liabilities</v>
      </c>
      <c r="I75" t="str">
        <f>_xlfn.XLOOKUP($A75,Map!$A:$A,Map!E:E)</f>
        <v>Tade payables and Accuals &amp; other credit balances</v>
      </c>
      <c r="J75" t="str">
        <f>_xlfn.XLOOKUP($A75,Map!$A:$A,Map!F:F)</f>
        <v>Accrued utilities</v>
      </c>
    </row>
    <row r="76" spans="1:10" hidden="1" x14ac:dyDescent="0.25">
      <c r="A76" s="90">
        <v>250003</v>
      </c>
      <c r="B76" s="90" t="s">
        <v>92</v>
      </c>
      <c r="C76" s="91">
        <v>-1200000</v>
      </c>
      <c r="D76" s="91">
        <v>1400000</v>
      </c>
      <c r="E76" s="91">
        <v>1319039</v>
      </c>
      <c r="F76" s="91">
        <v>-1119039</v>
      </c>
      <c r="G76" t="str">
        <f>_xlfn.XLOOKUP($A76,Map!$A:$A,Map!C:C)</f>
        <v>BS</v>
      </c>
      <c r="H76" t="str">
        <f>_xlfn.XLOOKUP($A76,Map!$A:$A,Map!D:D)</f>
        <v>Current Liabilities</v>
      </c>
      <c r="I76" t="str">
        <f>_xlfn.XLOOKUP($A76,Map!$A:$A,Map!E:E)</f>
        <v>Zakat provision</v>
      </c>
      <c r="J76" t="str">
        <f>_xlfn.XLOOKUP($A76,Map!$A:$A,Map!F:F)</f>
        <v>Zakat provision</v>
      </c>
    </row>
    <row r="77" spans="1:10" hidden="1" x14ac:dyDescent="0.25">
      <c r="A77" s="90">
        <v>250004</v>
      </c>
      <c r="B77" s="90" t="s">
        <v>93</v>
      </c>
      <c r="C77" s="91">
        <v>0</v>
      </c>
      <c r="D77" s="91">
        <v>407852</v>
      </c>
      <c r="E77" s="91">
        <v>407852</v>
      </c>
      <c r="F77" s="91">
        <v>0</v>
      </c>
      <c r="G77" t="str">
        <f>_xlfn.XLOOKUP($A77,Map!$A:$A,Map!C:C)</f>
        <v>BS</v>
      </c>
      <c r="H77" t="str">
        <f>_xlfn.XLOOKUP($A77,Map!$A:$A,Map!D:D)</f>
        <v>Current Liabilities</v>
      </c>
      <c r="I77" t="str">
        <f>_xlfn.XLOOKUP($A77,Map!$A:$A,Map!E:E)</f>
        <v>Tade payables and Accuals &amp; other credit balances</v>
      </c>
      <c r="J77" t="str">
        <f>_xlfn.XLOOKUP($A77,Map!$A:$A,Map!F:F)</f>
        <v>Accrued bonus</v>
      </c>
    </row>
    <row r="78" spans="1:10" hidden="1" x14ac:dyDescent="0.25">
      <c r="A78" s="90">
        <v>250005</v>
      </c>
      <c r="B78" s="90" t="s">
        <v>94</v>
      </c>
      <c r="C78" s="91">
        <v>-50000</v>
      </c>
      <c r="D78" s="91">
        <v>50000</v>
      </c>
      <c r="E78" s="91">
        <v>55000</v>
      </c>
      <c r="F78" s="91">
        <v>-55000</v>
      </c>
      <c r="G78" t="str">
        <f>_xlfn.XLOOKUP($A78,Map!$A:$A,Map!C:C)</f>
        <v>BS</v>
      </c>
      <c r="H78" t="str">
        <f>_xlfn.XLOOKUP($A78,Map!$A:$A,Map!D:D)</f>
        <v>Current Liabilities</v>
      </c>
      <c r="I78" t="str">
        <f>_xlfn.XLOOKUP($A78,Map!$A:$A,Map!E:E)</f>
        <v>Tade payables and Accuals &amp; other credit balances</v>
      </c>
      <c r="J78" t="str">
        <f>_xlfn.XLOOKUP($A78,Map!$A:$A,Map!F:F)</f>
        <v>Accrued expenses</v>
      </c>
    </row>
    <row r="79" spans="1:10" hidden="1" x14ac:dyDescent="0.25">
      <c r="A79" s="90">
        <v>260001</v>
      </c>
      <c r="B79" s="90" t="s">
        <v>96</v>
      </c>
      <c r="C79" s="91">
        <v>-5627620</v>
      </c>
      <c r="D79" s="91">
        <v>1004765</v>
      </c>
      <c r="E79" s="91">
        <v>1004765</v>
      </c>
      <c r="F79" s="91">
        <v>-5627620</v>
      </c>
      <c r="G79" t="str">
        <f>_xlfn.XLOOKUP($A79,Map!$A:$A,Map!C:C)</f>
        <v>BS</v>
      </c>
      <c r="H79" t="str">
        <f>_xlfn.XLOOKUP($A79,Map!$A:$A,Map!D:D)</f>
        <v>Stockholder's equity</v>
      </c>
      <c r="I79" t="str">
        <f>_xlfn.XLOOKUP($A79,Map!$A:$A,Map!E:E)</f>
        <v>Statutory reserve</v>
      </c>
      <c r="J79" t="str">
        <f>_xlfn.XLOOKUP($A79,Map!$A:$A,Map!F:F)</f>
        <v>Statutory reserve</v>
      </c>
    </row>
    <row r="80" spans="1:10" hidden="1" x14ac:dyDescent="0.25">
      <c r="A80" s="90">
        <v>260002</v>
      </c>
      <c r="B80" s="90" t="s">
        <v>97</v>
      </c>
      <c r="C80" s="91">
        <v>-4649375</v>
      </c>
      <c r="D80" s="91">
        <v>1466066</v>
      </c>
      <c r="E80" s="91">
        <v>1664452</v>
      </c>
      <c r="F80" s="91">
        <v>-4847761</v>
      </c>
      <c r="G80" t="str">
        <f>_xlfn.XLOOKUP($A80,Map!$A:$A,Map!C:C)</f>
        <v>BS</v>
      </c>
      <c r="H80" t="str">
        <f>_xlfn.XLOOKUP($A80,Map!$A:$A,Map!D:D)</f>
        <v>Non-Current Liabilities</v>
      </c>
      <c r="I80" t="str">
        <f>_xlfn.XLOOKUP($A80,Map!$A:$A,Map!E:E)</f>
        <v xml:space="preserve">End-of-service indemnities </v>
      </c>
      <c r="J80" t="str">
        <f>_xlfn.XLOOKUP($A80,Map!$A:$A,Map!F:F)</f>
        <v xml:space="preserve">End-of-service indemnities </v>
      </c>
    </row>
    <row r="81" spans="1:10" hidden="1" x14ac:dyDescent="0.25">
      <c r="A81" s="90">
        <v>260003</v>
      </c>
      <c r="B81" s="90" t="s">
        <v>98</v>
      </c>
      <c r="C81" s="91">
        <v>-3563173.54</v>
      </c>
      <c r="D81" s="91">
        <v>754452</v>
      </c>
      <c r="E81" s="91">
        <v>754452</v>
      </c>
      <c r="F81" s="91">
        <v>-3563173.54</v>
      </c>
      <c r="G81" t="str">
        <f>_xlfn.XLOOKUP($A81,Map!$A:$A,Map!C:C)</f>
        <v>BS</v>
      </c>
      <c r="H81" t="str">
        <f>_xlfn.XLOOKUP($A81,Map!$A:$A,Map!D:D)</f>
        <v>Current Assets</v>
      </c>
      <c r="I81" t="str">
        <f>_xlfn.XLOOKUP($A81,Map!$A:$A,Map!E:E)</f>
        <v>Trade receivables</v>
      </c>
      <c r="J81" t="str">
        <f>_xlfn.XLOOKUP($A81,Map!$A:$A,Map!F:F)</f>
        <v>Provisions</v>
      </c>
    </row>
    <row r="82" spans="1:10" hidden="1" x14ac:dyDescent="0.25">
      <c r="A82" s="90">
        <v>260004</v>
      </c>
      <c r="B82" s="90" t="s">
        <v>99</v>
      </c>
      <c r="C82" s="91">
        <v>-1121501.433</v>
      </c>
      <c r="D82" s="91">
        <v>0</v>
      </c>
      <c r="E82" s="91">
        <v>0</v>
      </c>
      <c r="F82" s="91">
        <v>-1121501.433</v>
      </c>
      <c r="G82" t="str">
        <f>_xlfn.XLOOKUP($A82,Map!$A:$A,Map!C:C)</f>
        <v>BS</v>
      </c>
      <c r="H82" t="str">
        <f>_xlfn.XLOOKUP($A82,Map!$A:$A,Map!D:D)</f>
        <v>Current Assets</v>
      </c>
      <c r="I82" t="str">
        <f>_xlfn.XLOOKUP($A82,Map!$A:$A,Map!E:E)</f>
        <v>Inventories</v>
      </c>
      <c r="J82" t="str">
        <f>_xlfn.XLOOKUP($A82,Map!$A:$A,Map!F:F)</f>
        <v>Allowance for slow moving/obsolete inventories - Inventory</v>
      </c>
    </row>
    <row r="83" spans="1:10" hidden="1" x14ac:dyDescent="0.25">
      <c r="A83" s="90">
        <v>270001</v>
      </c>
      <c r="B83" s="90" t="s">
        <v>101</v>
      </c>
      <c r="C83" s="91">
        <v>0</v>
      </c>
      <c r="D83" s="91">
        <v>2791286.3</v>
      </c>
      <c r="E83" s="91">
        <v>34506068.219999999</v>
      </c>
      <c r="F83" s="91">
        <v>-31714781.920000002</v>
      </c>
      <c r="G83" t="str">
        <f>_xlfn.XLOOKUP($A83,Map!$A:$A,Map!C:C)</f>
        <v>BS</v>
      </c>
      <c r="H83" t="str">
        <f>_xlfn.XLOOKUP($A83,Map!$A:$A,Map!D:D)</f>
        <v>Non-Current Liabilities</v>
      </c>
      <c r="I83" t="str">
        <f>_xlfn.XLOOKUP($A83,Map!$A:$A,Map!E:E)</f>
        <v xml:space="preserve">Due to related parties </v>
      </c>
      <c r="J83" t="str">
        <f>_xlfn.XLOOKUP($A83,Map!$A:$A,Map!F:F)</f>
        <v>Aims Holding  Current Acc</v>
      </c>
    </row>
    <row r="84" spans="1:10" hidden="1" x14ac:dyDescent="0.25">
      <c r="A84" s="90">
        <v>310001</v>
      </c>
      <c r="B84" s="90" t="s">
        <v>106</v>
      </c>
      <c r="C84" s="91">
        <v>-27816719.818</v>
      </c>
      <c r="D84" s="91">
        <v>6668716.8640000001</v>
      </c>
      <c r="E84" s="91">
        <v>6668716</v>
      </c>
      <c r="F84" s="91">
        <v>-27816718.954</v>
      </c>
      <c r="G84" t="str">
        <f>_xlfn.XLOOKUP($A84,Map!$A:$A,Map!C:C)</f>
        <v>BS</v>
      </c>
      <c r="H84" t="str">
        <f>_xlfn.XLOOKUP($A84,Map!$A:$A,Map!D:D)</f>
        <v>Stockholder's equity</v>
      </c>
      <c r="I84" t="str">
        <f>_xlfn.XLOOKUP($A84,Map!$A:$A,Map!E:E)</f>
        <v>Retained earnings</v>
      </c>
      <c r="J84" t="str">
        <f>_xlfn.XLOOKUP($A84,Map!$A:$A,Map!F:F)</f>
        <v>Retained earnings</v>
      </c>
    </row>
    <row r="85" spans="1:10" hidden="1" x14ac:dyDescent="0.25">
      <c r="A85" s="90">
        <v>330001</v>
      </c>
      <c r="B85" s="90" t="s">
        <v>107</v>
      </c>
      <c r="C85" s="91">
        <v>-1766750</v>
      </c>
      <c r="D85" s="91">
        <v>0</v>
      </c>
      <c r="E85" s="91">
        <v>0</v>
      </c>
      <c r="F85" s="91">
        <v>-1766750</v>
      </c>
      <c r="G85" t="str">
        <f>_xlfn.XLOOKUP($A85,Map!$A:$A,Map!C:C)</f>
        <v>BS</v>
      </c>
      <c r="H85" t="str">
        <f>_xlfn.XLOOKUP($A85,Map!$A:$A,Map!D:D)</f>
        <v>Stockholder's equity</v>
      </c>
      <c r="I85" t="str">
        <f>_xlfn.XLOOKUP($A85,Map!$A:$A,Map!E:E)</f>
        <v>Retained earnings</v>
      </c>
      <c r="J85" t="str">
        <f>_xlfn.XLOOKUP($A85,Map!$A:$A,Map!F:F)</f>
        <v>Retained earnings</v>
      </c>
    </row>
    <row r="86" spans="1:10" hidden="1" x14ac:dyDescent="0.25">
      <c r="A86" s="90">
        <v>330002</v>
      </c>
      <c r="B86" s="90" t="s">
        <v>108</v>
      </c>
      <c r="C86" s="91">
        <v>-33568250</v>
      </c>
      <c r="D86" s="91">
        <v>7484265</v>
      </c>
      <c r="E86" s="91">
        <v>7484265</v>
      </c>
      <c r="F86" s="91">
        <v>-33568250</v>
      </c>
      <c r="G86" t="str">
        <f>_xlfn.XLOOKUP($A86,Map!$A:$A,Map!C:C)</f>
        <v>BS</v>
      </c>
      <c r="H86" t="str">
        <f>_xlfn.XLOOKUP($A86,Map!$A:$A,Map!D:D)</f>
        <v>Stockholder's equity</v>
      </c>
      <c r="I86" t="str">
        <f>_xlfn.XLOOKUP($A86,Map!$A:$A,Map!E:E)</f>
        <v>Share capital</v>
      </c>
      <c r="J86" t="str">
        <f>_xlfn.XLOOKUP($A86,Map!$A:$A,Map!F:F)</f>
        <v>Share capital</v>
      </c>
    </row>
    <row r="87" spans="1:10" hidden="1" x14ac:dyDescent="0.25">
      <c r="A87" s="90">
        <v>330003</v>
      </c>
      <c r="B87" s="90" t="s">
        <v>109</v>
      </c>
      <c r="C87" s="91">
        <v>-85866130.439999998</v>
      </c>
      <c r="D87" s="91">
        <v>15271492.050000001</v>
      </c>
      <c r="E87" s="91">
        <v>15271492.050000001</v>
      </c>
      <c r="F87" s="91">
        <v>-85866130.439999998</v>
      </c>
      <c r="G87" t="str">
        <f>_xlfn.XLOOKUP($A87,Map!$A:$A,Map!C:C)</f>
        <v>BS</v>
      </c>
      <c r="H87" t="str">
        <f>_xlfn.XLOOKUP($A87,Map!$A:$A,Map!D:D)</f>
        <v>Stockholder's equity</v>
      </c>
      <c r="I87" t="str">
        <f>_xlfn.XLOOKUP($A87,Map!$A:$A,Map!E:E)</f>
        <v>Additional contribution from shareholders</v>
      </c>
      <c r="J87" t="str">
        <f>_xlfn.XLOOKUP($A87,Map!$A:$A,Map!F:F)</f>
        <v>Additional contribution from shareholders</v>
      </c>
    </row>
    <row r="88" spans="1:10" hidden="1" x14ac:dyDescent="0.25">
      <c r="A88" s="90">
        <v>410001</v>
      </c>
      <c r="B88" s="90" t="s">
        <v>110</v>
      </c>
      <c r="C88" s="91">
        <v>0</v>
      </c>
      <c r="D88" s="91">
        <v>14078648.757999999</v>
      </c>
      <c r="E88" s="91">
        <v>124876753.67299999</v>
      </c>
      <c r="F88" s="91">
        <v>-110798104.91500001</v>
      </c>
      <c r="G88" t="str">
        <f>_xlfn.XLOOKUP($A88,Map!$A:$A,Map!C:C)</f>
        <v>IS</v>
      </c>
      <c r="H88" t="str">
        <f>_xlfn.XLOOKUP($A88,Map!$A:$A,Map!D:D)</f>
        <v>Sales</v>
      </c>
      <c r="I88" t="str">
        <f>_xlfn.XLOOKUP($A88,Map!$A:$A,Map!E:E)</f>
        <v>Sales</v>
      </c>
      <c r="J88" t="str">
        <f>_xlfn.XLOOKUP($A88,Map!$A:$A,Map!F:F)</f>
        <v>Trading revenue</v>
      </c>
    </row>
    <row r="89" spans="1:10" hidden="1" x14ac:dyDescent="0.25">
      <c r="A89" s="90">
        <v>410002</v>
      </c>
      <c r="B89" s="90" t="s">
        <v>111</v>
      </c>
      <c r="C89" s="91">
        <v>0</v>
      </c>
      <c r="D89" s="91">
        <v>602846.18000000005</v>
      </c>
      <c r="E89" s="91">
        <v>39875</v>
      </c>
      <c r="F89" s="91">
        <v>562971.18000000005</v>
      </c>
      <c r="G89" t="str">
        <f>_xlfn.XLOOKUP($A89,Map!$A:$A,Map!C:C)</f>
        <v>IS</v>
      </c>
      <c r="H89" t="str">
        <f>_xlfn.XLOOKUP($A89,Map!$A:$A,Map!D:D)</f>
        <v>Sales</v>
      </c>
      <c r="I89" t="str">
        <f>_xlfn.XLOOKUP($A89,Map!$A:$A,Map!E:E)</f>
        <v>Sales</v>
      </c>
      <c r="J89" t="str">
        <f>_xlfn.XLOOKUP($A89,Map!$A:$A,Map!F:F)</f>
        <v>Trading revenue</v>
      </c>
    </row>
    <row r="90" spans="1:10" hidden="1" x14ac:dyDescent="0.25">
      <c r="A90" s="90">
        <v>410003</v>
      </c>
      <c r="B90" s="90" t="s">
        <v>112</v>
      </c>
      <c r="C90" s="91">
        <v>0</v>
      </c>
      <c r="D90" s="91">
        <v>41508.582999999999</v>
      </c>
      <c r="E90" s="91">
        <v>5205.55</v>
      </c>
      <c r="F90" s="91">
        <v>36303.033000000003</v>
      </c>
      <c r="G90" t="str">
        <f>_xlfn.XLOOKUP($A90,Map!$A:$A,Map!C:C)</f>
        <v>IS</v>
      </c>
      <c r="H90" t="str">
        <f>_xlfn.XLOOKUP($A90,Map!$A:$A,Map!D:D)</f>
        <v>Sales</v>
      </c>
      <c r="I90" t="str">
        <f>_xlfn.XLOOKUP($A90,Map!$A:$A,Map!E:E)</f>
        <v>Sales</v>
      </c>
      <c r="J90" t="str">
        <f>_xlfn.XLOOKUP($A90,Map!$A:$A,Map!F:F)</f>
        <v>Trading revenue</v>
      </c>
    </row>
    <row r="91" spans="1:10" hidden="1" x14ac:dyDescent="0.25">
      <c r="A91" s="90">
        <v>410004</v>
      </c>
      <c r="B91" s="90" t="s">
        <v>113</v>
      </c>
      <c r="C91" s="91">
        <v>0</v>
      </c>
      <c r="D91" s="91">
        <v>0</v>
      </c>
      <c r="E91" s="91">
        <v>0</v>
      </c>
      <c r="F91" s="91">
        <v>0</v>
      </c>
      <c r="G91" t="str">
        <f>_xlfn.XLOOKUP($A91,Map!$A:$A,Map!C:C)</f>
        <v>IS</v>
      </c>
      <c r="H91" t="str">
        <f>_xlfn.XLOOKUP($A91,Map!$A:$A,Map!D:D)</f>
        <v>Sales</v>
      </c>
      <c r="I91" t="str">
        <f>_xlfn.XLOOKUP($A91,Map!$A:$A,Map!E:E)</f>
        <v>Sales</v>
      </c>
      <c r="J91" t="str">
        <f>_xlfn.XLOOKUP($A91,Map!$A:$A,Map!F:F)</f>
        <v>Scrap sales</v>
      </c>
    </row>
    <row r="92" spans="1:10" hidden="1" x14ac:dyDescent="0.25">
      <c r="A92" s="90">
        <v>420003</v>
      </c>
      <c r="B92" s="90" t="s">
        <v>115</v>
      </c>
      <c r="C92" s="91">
        <v>0</v>
      </c>
      <c r="D92" s="91">
        <v>7.8E-2</v>
      </c>
      <c r="E92" s="91">
        <v>7.8E-2</v>
      </c>
      <c r="F92" s="91">
        <v>0</v>
      </c>
      <c r="G92" t="str">
        <f>_xlfn.XLOOKUP($A92,Map!$A:$A,Map!C:C)</f>
        <v>IS</v>
      </c>
      <c r="H92" t="str">
        <f>_xlfn.XLOOKUP($A92,Map!$A:$A,Map!D:D)</f>
        <v>Sales</v>
      </c>
      <c r="I92" t="str">
        <f>_xlfn.XLOOKUP($A92,Map!$A:$A,Map!E:E)</f>
        <v>Sales</v>
      </c>
      <c r="J92" t="str">
        <f>_xlfn.XLOOKUP($A92,Map!$A:$A,Map!F:F)</f>
        <v>Scrap sales</v>
      </c>
    </row>
    <row r="93" spans="1:10" hidden="1" x14ac:dyDescent="0.25">
      <c r="A93" s="90">
        <v>510001</v>
      </c>
      <c r="B93" s="90" t="s">
        <v>116</v>
      </c>
      <c r="C93" s="91">
        <v>0</v>
      </c>
      <c r="D93" s="91">
        <v>80419709.778999999</v>
      </c>
      <c r="E93" s="91">
        <v>5544920.7139999997</v>
      </c>
      <c r="F93" s="91">
        <v>74874789.064999998</v>
      </c>
      <c r="G93" t="str">
        <f>_xlfn.XLOOKUP($A93,Map!$A:$A,Map!C:C)</f>
        <v>IS</v>
      </c>
      <c r="H93" t="str">
        <f>_xlfn.XLOOKUP($A93,Map!$A:$A,Map!D:D)</f>
        <v>Cost of sales</v>
      </c>
      <c r="I93" t="str">
        <f>_xlfn.XLOOKUP($A93,Map!$A:$A,Map!E:E)</f>
        <v>Raw materials</v>
      </c>
      <c r="J93" t="str">
        <f>_xlfn.XLOOKUP($A93,Map!$A:$A,Map!F:F)</f>
        <v>Raw materials</v>
      </c>
    </row>
    <row r="94" spans="1:10" hidden="1" x14ac:dyDescent="0.25">
      <c r="A94" s="90">
        <v>510002</v>
      </c>
      <c r="B94" s="90" t="s">
        <v>117</v>
      </c>
      <c r="C94" s="91">
        <v>0</v>
      </c>
      <c r="D94" s="91">
        <v>6274708.3119999999</v>
      </c>
      <c r="E94" s="91">
        <v>1768578.3130000001</v>
      </c>
      <c r="F94" s="91">
        <v>4506129.9989999998</v>
      </c>
      <c r="G94" t="str">
        <f>_xlfn.XLOOKUP($A94,Map!$A:$A,Map!C:C)</f>
        <v>IS</v>
      </c>
      <c r="H94" t="str">
        <f>_xlfn.XLOOKUP($A94,Map!$A:$A,Map!D:D)</f>
        <v>Cost of sales</v>
      </c>
      <c r="I94" t="str">
        <f>_xlfn.XLOOKUP($A94,Map!$A:$A,Map!E:E)</f>
        <v>Direct Labor</v>
      </c>
      <c r="J94" t="str">
        <f>_xlfn.XLOOKUP($A94,Map!$A:$A,Map!F:F)</f>
        <v>Direct Labor</v>
      </c>
    </row>
    <row r="95" spans="1:10" hidden="1" x14ac:dyDescent="0.25">
      <c r="A95" s="90">
        <v>510003</v>
      </c>
      <c r="B95" s="90" t="s">
        <v>118</v>
      </c>
      <c r="C95" s="91">
        <v>0</v>
      </c>
      <c r="D95" s="91">
        <v>7825534.375</v>
      </c>
      <c r="E95" s="91">
        <v>5304193.6950000003</v>
      </c>
      <c r="F95" s="91">
        <v>2521340.6800000002</v>
      </c>
      <c r="G95" t="str">
        <f>_xlfn.XLOOKUP($A95,Map!$A:$A,Map!C:C)</f>
        <v>IS</v>
      </c>
      <c r="H95" t="str">
        <f>_xlfn.XLOOKUP($A95,Map!$A:$A,Map!D:D)</f>
        <v>Cost of sales</v>
      </c>
      <c r="I95" t="str">
        <f>_xlfn.XLOOKUP($A95,Map!$A:$A,Map!E:E)</f>
        <v>Raw materials</v>
      </c>
      <c r="J95" t="str">
        <f>_xlfn.XLOOKUP($A95,Map!$A:$A,Map!F:F)</f>
        <v>Raw materials</v>
      </c>
    </row>
    <row r="96" spans="1:10" hidden="1" x14ac:dyDescent="0.25">
      <c r="A96" s="90">
        <v>510004</v>
      </c>
      <c r="B96" s="90" t="s">
        <v>119</v>
      </c>
      <c r="C96" s="91">
        <v>0</v>
      </c>
      <c r="D96" s="91">
        <v>30829126.324000001</v>
      </c>
      <c r="E96" s="91">
        <v>21556351.171999998</v>
      </c>
      <c r="F96" s="91">
        <v>9272775.1520000007</v>
      </c>
      <c r="G96" t="str">
        <f>_xlfn.XLOOKUP($A96,Map!$A:$A,Map!C:C)</f>
        <v>IS</v>
      </c>
      <c r="H96" t="str">
        <f>_xlfn.XLOOKUP($A96,Map!$A:$A,Map!D:D)</f>
        <v>Cost of sales</v>
      </c>
      <c r="I96" t="str">
        <f>_xlfn.XLOOKUP($A96,Map!$A:$A,Map!E:E)</f>
        <v>Raw materials</v>
      </c>
      <c r="J96" t="str">
        <f>_xlfn.XLOOKUP($A96,Map!$A:$A,Map!F:F)</f>
        <v>Other expenses</v>
      </c>
    </row>
    <row r="97" spans="1:10" hidden="1" x14ac:dyDescent="0.25">
      <c r="A97" s="90">
        <v>510005</v>
      </c>
      <c r="B97" s="90" t="s">
        <v>120</v>
      </c>
      <c r="C97" s="91">
        <v>0</v>
      </c>
      <c r="D97" s="91">
        <v>44384.326999999997</v>
      </c>
      <c r="E97" s="91">
        <v>44384.326999999997</v>
      </c>
      <c r="F97" s="91">
        <v>0</v>
      </c>
      <c r="G97" t="str">
        <f>_xlfn.XLOOKUP($A97,Map!$A:$A,Map!C:C)</f>
        <v>IS</v>
      </c>
      <c r="H97" t="str">
        <f>_xlfn.XLOOKUP($A97,Map!$A:$A,Map!D:D)</f>
        <v>Cost of sales</v>
      </c>
      <c r="I97" t="str">
        <f>_xlfn.XLOOKUP($A97,Map!$A:$A,Map!E:E)</f>
        <v>Raw materials</v>
      </c>
      <c r="J97" t="str">
        <f>_xlfn.XLOOKUP($A97,Map!$A:$A,Map!F:F)</f>
        <v>Other expenses</v>
      </c>
    </row>
    <row r="98" spans="1:10" hidden="1" x14ac:dyDescent="0.25">
      <c r="A98" s="90">
        <v>520001</v>
      </c>
      <c r="B98" s="90" t="s">
        <v>121</v>
      </c>
      <c r="C98" s="91">
        <v>0</v>
      </c>
      <c r="D98" s="91">
        <v>2801217.37</v>
      </c>
      <c r="E98" s="91">
        <v>2801217.37</v>
      </c>
      <c r="F98" s="91">
        <v>0</v>
      </c>
      <c r="G98" t="str">
        <f>_xlfn.XLOOKUP($A98,Map!$A:$A,Map!C:C)</f>
        <v>IS</v>
      </c>
      <c r="H98" t="str">
        <f>_xlfn.XLOOKUP($A98,Map!$A:$A,Map!D:D)</f>
        <v>Cost of sales</v>
      </c>
      <c r="I98" t="str">
        <f>_xlfn.XLOOKUP($A98,Map!$A:$A,Map!E:E)</f>
        <v>Direct Labor</v>
      </c>
      <c r="J98" t="str">
        <f>_xlfn.XLOOKUP($A98,Map!$A:$A,Map!F:F)</f>
        <v>Salaries and wages</v>
      </c>
    </row>
    <row r="99" spans="1:10" hidden="1" x14ac:dyDescent="0.25">
      <c r="A99" s="90">
        <v>520002</v>
      </c>
      <c r="B99" s="90" t="s">
        <v>122</v>
      </c>
      <c r="C99" s="91">
        <v>0</v>
      </c>
      <c r="D99" s="91">
        <v>0</v>
      </c>
      <c r="E99" s="91">
        <v>0</v>
      </c>
      <c r="F99" s="91">
        <v>0</v>
      </c>
      <c r="G99" t="str">
        <f>_xlfn.XLOOKUP($A99,Map!$A:$A,Map!C:C)</f>
        <v>IS</v>
      </c>
      <c r="H99" t="str">
        <f>_xlfn.XLOOKUP($A99,Map!$A:$A,Map!D:D)</f>
        <v>Cost of sales</v>
      </c>
      <c r="I99" t="str">
        <f>_xlfn.XLOOKUP($A99,Map!$A:$A,Map!E:E)</f>
        <v>Direct Labor</v>
      </c>
      <c r="J99" t="str">
        <f>_xlfn.XLOOKUP($A99,Map!$A:$A,Map!F:F)</f>
        <v>Overtime pay</v>
      </c>
    </row>
    <row r="100" spans="1:10" hidden="1" x14ac:dyDescent="0.25">
      <c r="A100" s="90">
        <v>520003</v>
      </c>
      <c r="B100" s="90" t="s">
        <v>123</v>
      </c>
      <c r="C100" s="91">
        <v>0</v>
      </c>
      <c r="D100" s="91">
        <v>35338</v>
      </c>
      <c r="E100" s="91">
        <v>35338</v>
      </c>
      <c r="F100" s="91">
        <v>0</v>
      </c>
      <c r="G100" t="str">
        <f>_xlfn.XLOOKUP($A100,Map!$A:$A,Map!C:C)</f>
        <v>IS</v>
      </c>
      <c r="H100" t="str">
        <f>_xlfn.XLOOKUP($A100,Map!$A:$A,Map!D:D)</f>
        <v>Cost of sales</v>
      </c>
      <c r="I100" t="str">
        <f>_xlfn.XLOOKUP($A100,Map!$A:$A,Map!E:E)</f>
        <v>Direct Labor</v>
      </c>
      <c r="J100" t="str">
        <f>_xlfn.XLOOKUP($A100,Map!$A:$A,Map!F:F)</f>
        <v>Transportation allowance</v>
      </c>
    </row>
    <row r="101" spans="1:10" hidden="1" x14ac:dyDescent="0.25">
      <c r="A101" s="90">
        <v>520004</v>
      </c>
      <c r="B101" s="90" t="s">
        <v>124</v>
      </c>
      <c r="C101" s="91">
        <v>0</v>
      </c>
      <c r="D101" s="91">
        <v>121299.5</v>
      </c>
      <c r="E101" s="91">
        <v>121299.5</v>
      </c>
      <c r="F101" s="91">
        <v>0</v>
      </c>
      <c r="G101" t="str">
        <f>_xlfn.XLOOKUP($A101,Map!$A:$A,Map!C:C)</f>
        <v>IS</v>
      </c>
      <c r="H101" t="str">
        <f>_xlfn.XLOOKUP($A101,Map!$A:$A,Map!D:D)</f>
        <v>Cost of sales</v>
      </c>
      <c r="I101" t="str">
        <f>_xlfn.XLOOKUP($A101,Map!$A:$A,Map!E:E)</f>
        <v>Direct Labor</v>
      </c>
      <c r="J101" t="str">
        <f>_xlfn.XLOOKUP($A101,Map!$A:$A,Map!F:F)</f>
        <v>Food and housing</v>
      </c>
    </row>
    <row r="102" spans="1:10" hidden="1" x14ac:dyDescent="0.25">
      <c r="A102" s="90">
        <v>520005</v>
      </c>
      <c r="B102" s="90" t="s">
        <v>125</v>
      </c>
      <c r="C102" s="91">
        <v>0</v>
      </c>
      <c r="D102" s="91">
        <v>0</v>
      </c>
      <c r="E102" s="91">
        <v>0</v>
      </c>
      <c r="F102" s="91">
        <v>0</v>
      </c>
      <c r="G102" t="str">
        <f>_xlfn.XLOOKUP($A102,Map!$A:$A,Map!C:C)</f>
        <v>IS</v>
      </c>
      <c r="H102" t="str">
        <f>_xlfn.XLOOKUP($A102,Map!$A:$A,Map!D:D)</f>
        <v>Cost of sales</v>
      </c>
      <c r="I102" t="str">
        <f>_xlfn.XLOOKUP($A102,Map!$A:$A,Map!E:E)</f>
        <v>Direct Labor</v>
      </c>
      <c r="J102" t="str">
        <f>_xlfn.XLOOKUP($A102,Map!$A:$A,Map!F:F)</f>
        <v>Leave pay</v>
      </c>
    </row>
    <row r="103" spans="1:10" hidden="1" x14ac:dyDescent="0.25">
      <c r="A103" s="90">
        <v>520006</v>
      </c>
      <c r="B103" s="90" t="s">
        <v>126</v>
      </c>
      <c r="C103" s="91">
        <v>0</v>
      </c>
      <c r="D103" s="91">
        <v>257793.61</v>
      </c>
      <c r="E103" s="91">
        <v>257793.61</v>
      </c>
      <c r="F103" s="91">
        <v>0</v>
      </c>
      <c r="G103" t="str">
        <f>_xlfn.XLOOKUP($A103,Map!$A:$A,Map!C:C)</f>
        <v>IS</v>
      </c>
      <c r="H103" t="str">
        <f>_xlfn.XLOOKUP($A103,Map!$A:$A,Map!D:D)</f>
        <v>Cost of sales</v>
      </c>
      <c r="I103" t="str">
        <f>_xlfn.XLOOKUP($A103,Map!$A:$A,Map!E:E)</f>
        <v>Direct Labor</v>
      </c>
      <c r="J103" t="str">
        <f>_xlfn.XLOOKUP($A103,Map!$A:$A,Map!F:F)</f>
        <v>Medical insurance</v>
      </c>
    </row>
    <row r="104" spans="1:10" hidden="1" x14ac:dyDescent="0.25">
      <c r="A104" s="90">
        <v>520010</v>
      </c>
      <c r="B104" s="90" t="s">
        <v>127</v>
      </c>
      <c r="C104" s="91">
        <v>0</v>
      </c>
      <c r="D104" s="91">
        <v>0</v>
      </c>
      <c r="E104" s="91">
        <v>0</v>
      </c>
      <c r="F104" s="91">
        <v>0</v>
      </c>
      <c r="G104" t="str">
        <f>_xlfn.XLOOKUP($A104,Map!$A:$A,Map!C:C)</f>
        <v>IS</v>
      </c>
      <c r="H104" t="str">
        <f>_xlfn.XLOOKUP($A104,Map!$A:$A,Map!D:D)</f>
        <v>Cost of sales</v>
      </c>
      <c r="I104" t="str">
        <f>_xlfn.XLOOKUP($A104,Map!$A:$A,Map!E:E)</f>
        <v>Direct Labor</v>
      </c>
      <c r="J104" t="str">
        <f>_xlfn.XLOOKUP($A104,Map!$A:$A,Map!F:F)</f>
        <v>Salaries and wages</v>
      </c>
    </row>
    <row r="105" spans="1:10" hidden="1" x14ac:dyDescent="0.25">
      <c r="A105" s="90">
        <v>520011</v>
      </c>
      <c r="B105" s="90" t="s">
        <v>122</v>
      </c>
      <c r="C105" s="91">
        <v>0</v>
      </c>
      <c r="D105" s="91">
        <v>319805</v>
      </c>
      <c r="E105" s="91">
        <v>319805</v>
      </c>
      <c r="F105" s="91">
        <v>0</v>
      </c>
      <c r="G105" t="str">
        <f>_xlfn.XLOOKUP($A105,Map!$A:$A,Map!C:C)</f>
        <v>IS</v>
      </c>
      <c r="H105" t="str">
        <f>_xlfn.XLOOKUP($A105,Map!$A:$A,Map!D:D)</f>
        <v>Cost of sales</v>
      </c>
      <c r="I105" t="str">
        <f>_xlfn.XLOOKUP($A105,Map!$A:$A,Map!E:E)</f>
        <v>Direct Labor</v>
      </c>
      <c r="J105" t="str">
        <f>_xlfn.XLOOKUP($A105,Map!$A:$A,Map!F:F)</f>
        <v>Overtime pay</v>
      </c>
    </row>
    <row r="106" spans="1:10" hidden="1" x14ac:dyDescent="0.25">
      <c r="A106" s="90">
        <v>520013</v>
      </c>
      <c r="B106" s="90" t="s">
        <v>124</v>
      </c>
      <c r="C106" s="91">
        <v>0</v>
      </c>
      <c r="D106" s="91">
        <v>0</v>
      </c>
      <c r="E106" s="91">
        <v>0</v>
      </c>
      <c r="F106" s="91">
        <v>0</v>
      </c>
      <c r="G106" t="str">
        <f>_xlfn.XLOOKUP($A106,Map!$A:$A,Map!C:C)</f>
        <v>IS</v>
      </c>
      <c r="H106" t="str">
        <f>_xlfn.XLOOKUP($A106,Map!$A:$A,Map!D:D)</f>
        <v>Cost of sales</v>
      </c>
      <c r="I106" t="str">
        <f>_xlfn.XLOOKUP($A106,Map!$A:$A,Map!E:E)</f>
        <v>Direct Labor</v>
      </c>
      <c r="J106" t="str">
        <f>_xlfn.XLOOKUP($A106,Map!$A:$A,Map!F:F)</f>
        <v>Food and housing</v>
      </c>
    </row>
    <row r="107" spans="1:10" hidden="1" x14ac:dyDescent="0.25">
      <c r="A107" s="90">
        <v>520014</v>
      </c>
      <c r="B107" s="90" t="s">
        <v>125</v>
      </c>
      <c r="C107" s="91">
        <v>0</v>
      </c>
      <c r="D107" s="91">
        <v>0</v>
      </c>
      <c r="E107" s="91">
        <v>0</v>
      </c>
      <c r="F107" s="91">
        <v>0</v>
      </c>
      <c r="G107" t="str">
        <f>_xlfn.XLOOKUP($A107,Map!$A:$A,Map!C:C)</f>
        <v>IS</v>
      </c>
      <c r="H107" t="str">
        <f>_xlfn.XLOOKUP($A107,Map!$A:$A,Map!D:D)</f>
        <v>Cost of sales</v>
      </c>
      <c r="I107" t="str">
        <f>_xlfn.XLOOKUP($A107,Map!$A:$A,Map!E:E)</f>
        <v>Direct Labor</v>
      </c>
      <c r="J107" t="str">
        <f>_xlfn.XLOOKUP($A107,Map!$A:$A,Map!F:F)</f>
        <v>Leave pay</v>
      </c>
    </row>
    <row r="108" spans="1:10" hidden="1" x14ac:dyDescent="0.25">
      <c r="A108" s="90">
        <v>520021</v>
      </c>
      <c r="B108" s="90" t="s">
        <v>129</v>
      </c>
      <c r="C108" s="91">
        <v>0</v>
      </c>
      <c r="D108" s="91">
        <v>34941</v>
      </c>
      <c r="E108" s="91">
        <v>34941</v>
      </c>
      <c r="F108" s="91">
        <v>0</v>
      </c>
      <c r="G108" t="str">
        <f>_xlfn.XLOOKUP($A108,Map!$A:$A,Map!C:C)</f>
        <v>IS</v>
      </c>
      <c r="H108" t="str">
        <f>_xlfn.XLOOKUP($A108,Map!$A:$A,Map!D:D)</f>
        <v>Cost of sales</v>
      </c>
      <c r="I108" t="str">
        <f>_xlfn.XLOOKUP($A108,Map!$A:$A,Map!E:E)</f>
        <v>Direct Labor</v>
      </c>
      <c r="J108" t="str">
        <f>_xlfn.XLOOKUP($A108,Map!$A:$A,Map!F:F)</f>
        <v>Medical insurance</v>
      </c>
    </row>
    <row r="109" spans="1:10" hidden="1" x14ac:dyDescent="0.25">
      <c r="A109" s="90">
        <v>520022</v>
      </c>
      <c r="B109" s="90" t="s">
        <v>130</v>
      </c>
      <c r="C109" s="91">
        <v>0</v>
      </c>
      <c r="D109" s="91">
        <v>0</v>
      </c>
      <c r="E109" s="91">
        <v>0</v>
      </c>
      <c r="F109" s="91">
        <v>0</v>
      </c>
      <c r="G109" t="str">
        <f>_xlfn.XLOOKUP($A109,Map!$A:$A,Map!C:C)</f>
        <v>IS</v>
      </c>
      <c r="H109" t="str">
        <f>_xlfn.XLOOKUP($A109,Map!$A:$A,Map!D:D)</f>
        <v>Cost of sales</v>
      </c>
      <c r="I109" t="str">
        <f>_xlfn.XLOOKUP($A109,Map!$A:$A,Map!E:E)</f>
        <v>Direct Labor</v>
      </c>
      <c r="J109" t="str">
        <f>_xlfn.XLOOKUP($A109,Map!$A:$A,Map!F:F)</f>
        <v>Iqama renewal</v>
      </c>
    </row>
    <row r="110" spans="1:10" hidden="1" x14ac:dyDescent="0.25">
      <c r="A110" s="90">
        <v>520023</v>
      </c>
      <c r="B110" s="90" t="s">
        <v>255</v>
      </c>
      <c r="C110" s="91">
        <v>0</v>
      </c>
      <c r="D110" s="91">
        <v>0</v>
      </c>
      <c r="E110" s="91">
        <v>0</v>
      </c>
      <c r="F110" s="91">
        <v>0</v>
      </c>
      <c r="G110" t="str">
        <f>_xlfn.XLOOKUP($A110,Map!$A:$A,Map!C:C)</f>
        <v>IS</v>
      </c>
      <c r="H110" t="str">
        <f>_xlfn.XLOOKUP($A110,Map!$A:$A,Map!D:D)</f>
        <v>Cost of sales</v>
      </c>
      <c r="I110" t="str">
        <f>_xlfn.XLOOKUP($A110,Map!$A:$A,Map!E:E)</f>
        <v>Direct Labor</v>
      </c>
      <c r="J110" t="str">
        <f>_xlfn.XLOOKUP($A110,Map!$A:$A,Map!F:F)</f>
        <v>Medical insurance</v>
      </c>
    </row>
    <row r="111" spans="1:10" hidden="1" x14ac:dyDescent="0.25">
      <c r="A111" s="90">
        <v>520032</v>
      </c>
      <c r="B111" s="90" t="s">
        <v>131</v>
      </c>
      <c r="C111" s="91">
        <v>0</v>
      </c>
      <c r="D111" s="91">
        <v>0</v>
      </c>
      <c r="E111" s="91">
        <v>0</v>
      </c>
      <c r="F111" s="91">
        <v>0</v>
      </c>
      <c r="G111" t="str">
        <f>_xlfn.XLOOKUP($A111,Map!$A:$A,Map!C:C)</f>
        <v>IS</v>
      </c>
      <c r="H111" t="str">
        <f>_xlfn.XLOOKUP($A111,Map!$A:$A,Map!D:D)</f>
        <v>Cost of sales</v>
      </c>
      <c r="I111" t="str">
        <f>_xlfn.XLOOKUP($A111,Map!$A:$A,Map!E:E)</f>
        <v>Raw materials</v>
      </c>
      <c r="J111" t="str">
        <f>_xlfn.XLOOKUP($A111,Map!$A:$A,Map!F:F)</f>
        <v>Consumables</v>
      </c>
    </row>
    <row r="112" spans="1:10" hidden="1" x14ac:dyDescent="0.25">
      <c r="A112" s="90">
        <v>520036</v>
      </c>
      <c r="B112" s="90" t="s">
        <v>132</v>
      </c>
      <c r="C112" s="91">
        <v>0</v>
      </c>
      <c r="D112" s="91">
        <v>4.2000000000000003E-2</v>
      </c>
      <c r="E112" s="91">
        <v>4.2000000000000003E-2</v>
      </c>
      <c r="F112" s="91">
        <v>0</v>
      </c>
      <c r="G112" t="str">
        <f>_xlfn.XLOOKUP($A112,Map!$A:$A,Map!C:C)</f>
        <v>IS</v>
      </c>
      <c r="H112" t="str">
        <f>_xlfn.XLOOKUP($A112,Map!$A:$A,Map!D:D)</f>
        <v>Cost of sales</v>
      </c>
      <c r="I112" t="str">
        <f>_xlfn.XLOOKUP($A112,Map!$A:$A,Map!E:E)</f>
        <v>Raw materials</v>
      </c>
      <c r="J112" t="str">
        <f>_xlfn.XLOOKUP($A112,Map!$A:$A,Map!F:F)</f>
        <v>Raw materials</v>
      </c>
    </row>
    <row r="113" spans="1:10" hidden="1" x14ac:dyDescent="0.25">
      <c r="A113" s="90">
        <v>520037</v>
      </c>
      <c r="B113" s="90" t="s">
        <v>133</v>
      </c>
      <c r="C113" s="91">
        <v>0</v>
      </c>
      <c r="D113" s="91">
        <v>638917.60900000005</v>
      </c>
      <c r="E113" s="91">
        <v>638917.60900000005</v>
      </c>
      <c r="F113" s="91">
        <v>0</v>
      </c>
      <c r="G113" t="str">
        <f>_xlfn.XLOOKUP($A113,Map!$A:$A,Map!C:C)</f>
        <v>IS</v>
      </c>
      <c r="H113" t="str">
        <f>_xlfn.XLOOKUP($A113,Map!$A:$A,Map!D:D)</f>
        <v>Cost of sales</v>
      </c>
      <c r="I113" t="str">
        <f>_xlfn.XLOOKUP($A113,Map!$A:$A,Map!E:E)</f>
        <v>Raw materials</v>
      </c>
      <c r="J113" t="str">
        <f>_xlfn.XLOOKUP($A113,Map!$A:$A,Map!F:F)</f>
        <v>Raw materials</v>
      </c>
    </row>
    <row r="114" spans="1:10" hidden="1" x14ac:dyDescent="0.25">
      <c r="A114" s="90">
        <v>520040</v>
      </c>
      <c r="B114" s="90" t="s">
        <v>134</v>
      </c>
      <c r="C114" s="91">
        <v>0</v>
      </c>
      <c r="D114" s="91">
        <v>0</v>
      </c>
      <c r="E114" s="91">
        <v>0</v>
      </c>
      <c r="F114" s="91">
        <v>0</v>
      </c>
      <c r="G114" t="str">
        <f>_xlfn.XLOOKUP($A114,Map!$A:$A,Map!C:C)</f>
        <v>IS</v>
      </c>
      <c r="H114" t="str">
        <f>_xlfn.XLOOKUP($A114,Map!$A:$A,Map!D:D)</f>
        <v>Cost of sales</v>
      </c>
      <c r="I114" t="str">
        <f>_xlfn.XLOOKUP($A114,Map!$A:$A,Map!E:E)</f>
        <v>Raw materials</v>
      </c>
      <c r="J114" t="str">
        <f>_xlfn.XLOOKUP($A114,Map!$A:$A,Map!F:F)</f>
        <v>Other expenses</v>
      </c>
    </row>
    <row r="115" spans="1:10" hidden="1" x14ac:dyDescent="0.25">
      <c r="A115" s="90">
        <v>520041</v>
      </c>
      <c r="B115" s="90" t="s">
        <v>135</v>
      </c>
      <c r="C115" s="91">
        <v>0</v>
      </c>
      <c r="D115" s="91">
        <v>9294475.4529999997</v>
      </c>
      <c r="E115" s="91">
        <v>9294475.4529999997</v>
      </c>
      <c r="F115" s="91">
        <v>0</v>
      </c>
      <c r="G115" t="str">
        <f>_xlfn.XLOOKUP($A115,Map!$A:$A,Map!C:C)</f>
        <v>IS</v>
      </c>
      <c r="H115" t="str">
        <f>_xlfn.XLOOKUP($A115,Map!$A:$A,Map!D:D)</f>
        <v>Cost of sales</v>
      </c>
      <c r="I115" t="str">
        <f>_xlfn.XLOOKUP($A115,Map!$A:$A,Map!E:E)</f>
        <v>Raw materials</v>
      </c>
      <c r="J115" t="str">
        <f>_xlfn.XLOOKUP($A115,Map!$A:$A,Map!F:F)</f>
        <v>Other expenses</v>
      </c>
    </row>
    <row r="116" spans="1:10" hidden="1" x14ac:dyDescent="0.25">
      <c r="A116" s="90">
        <v>520042</v>
      </c>
      <c r="B116" s="90" t="s">
        <v>136</v>
      </c>
      <c r="C116" s="91">
        <v>0</v>
      </c>
      <c r="D116" s="91">
        <v>2894916.1490000002</v>
      </c>
      <c r="E116" s="91">
        <v>2894916.1469999999</v>
      </c>
      <c r="F116" s="91">
        <v>2E-3</v>
      </c>
      <c r="G116" t="str">
        <f>_xlfn.XLOOKUP($A116,Map!$A:$A,Map!C:C)</f>
        <v>IS</v>
      </c>
      <c r="H116" t="str">
        <f>_xlfn.XLOOKUP($A116,Map!$A:$A,Map!D:D)</f>
        <v>Cost of sales</v>
      </c>
      <c r="I116" t="str">
        <f>_xlfn.XLOOKUP($A116,Map!$A:$A,Map!E:E)</f>
        <v>Raw materials</v>
      </c>
      <c r="J116" t="str">
        <f>_xlfn.XLOOKUP($A116,Map!$A:$A,Map!F:F)</f>
        <v>Inventory Adjustment</v>
      </c>
    </row>
    <row r="117" spans="1:10" hidden="1" x14ac:dyDescent="0.25">
      <c r="A117" s="90">
        <v>600001</v>
      </c>
      <c r="B117" s="90" t="s">
        <v>137</v>
      </c>
      <c r="C117" s="91">
        <v>0</v>
      </c>
      <c r="D117" s="91">
        <v>988862.55</v>
      </c>
      <c r="E117" s="91">
        <v>988862.55</v>
      </c>
      <c r="F117" s="91">
        <v>0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Overhead - Labor Cost</v>
      </c>
      <c r="J117" t="str">
        <f>_xlfn.XLOOKUP($A117,Map!$A:$A,Map!F:F)</f>
        <v>Salaries and wages</v>
      </c>
    </row>
    <row r="118" spans="1:10" hidden="1" x14ac:dyDescent="0.25">
      <c r="A118" s="90">
        <v>600002</v>
      </c>
      <c r="B118" s="90" t="s">
        <v>138</v>
      </c>
      <c r="C118" s="91">
        <v>0</v>
      </c>
      <c r="D118" s="91">
        <v>222822</v>
      </c>
      <c r="E118" s="91">
        <v>222822</v>
      </c>
      <c r="F118" s="91">
        <v>0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Overhead - Labor Cost</v>
      </c>
      <c r="J118" t="str">
        <f>_xlfn.XLOOKUP($A118,Map!$A:$A,Map!F:F)</f>
        <v>Overtime pay</v>
      </c>
    </row>
    <row r="119" spans="1:10" hidden="1" x14ac:dyDescent="0.25">
      <c r="A119" s="90">
        <v>600003</v>
      </c>
      <c r="B119" s="90" t="s">
        <v>139</v>
      </c>
      <c r="C119" s="91">
        <v>0</v>
      </c>
      <c r="D119" s="91">
        <v>51833</v>
      </c>
      <c r="E119" s="91">
        <v>51833</v>
      </c>
      <c r="F119" s="91">
        <v>0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Overhead - Labor Cost</v>
      </c>
      <c r="J119" t="str">
        <f>_xlfn.XLOOKUP($A119,Map!$A:$A,Map!F:F)</f>
        <v xml:space="preserve">Food &amp; Housing </v>
      </c>
    </row>
    <row r="120" spans="1:10" hidden="1" x14ac:dyDescent="0.25">
      <c r="A120" s="90">
        <v>600004</v>
      </c>
      <c r="B120" s="90" t="s">
        <v>140</v>
      </c>
      <c r="C120" s="91">
        <v>0</v>
      </c>
      <c r="D120" s="91">
        <v>167941.56</v>
      </c>
      <c r="E120" s="91">
        <v>167941.56</v>
      </c>
      <c r="F120" s="91">
        <v>0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Overhead - Labor Cost</v>
      </c>
      <c r="J120" t="str">
        <f>_xlfn.XLOOKUP($A120,Map!$A:$A,Map!F:F)</f>
        <v>Medical insurance</v>
      </c>
    </row>
    <row r="121" spans="1:10" hidden="1" x14ac:dyDescent="0.25">
      <c r="A121" s="90">
        <v>600005</v>
      </c>
      <c r="B121" s="90" t="s">
        <v>141</v>
      </c>
      <c r="C121" s="91">
        <v>0</v>
      </c>
      <c r="D121" s="91">
        <v>675581</v>
      </c>
      <c r="E121" s="91">
        <v>675581</v>
      </c>
      <c r="F121" s="91">
        <v>0</v>
      </c>
      <c r="G121" t="str">
        <f>_xlfn.XLOOKUP($A121,Map!$A:$A,Map!C:C)</f>
        <v>IS</v>
      </c>
      <c r="H121" t="str">
        <f>_xlfn.XLOOKUP($A121,Map!$A:$A,Map!D:D)</f>
        <v>General and Admin</v>
      </c>
      <c r="I121" t="str">
        <f>_xlfn.XLOOKUP($A121,Map!$A:$A,Map!E:E)</f>
        <v>Govt license and fees (including modon)</v>
      </c>
      <c r="J121" t="str">
        <f>_xlfn.XLOOKUP($A121,Map!$A:$A,Map!F:F)</f>
        <v>Government fees</v>
      </c>
    </row>
    <row r="122" spans="1:10" hidden="1" x14ac:dyDescent="0.25">
      <c r="A122" s="90">
        <v>600006</v>
      </c>
      <c r="B122" s="90" t="s">
        <v>142</v>
      </c>
      <c r="C122" s="91">
        <v>0</v>
      </c>
      <c r="D122" s="91">
        <v>268728.8</v>
      </c>
      <c r="E122" s="91">
        <v>268728.8</v>
      </c>
      <c r="F122" s="91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Overhead - Labor Cost</v>
      </c>
      <c r="J122" t="str">
        <f>_xlfn.XLOOKUP($A122,Map!$A:$A,Map!F:F)</f>
        <v xml:space="preserve">Food &amp; Housing </v>
      </c>
    </row>
    <row r="123" spans="1:10" hidden="1" x14ac:dyDescent="0.25">
      <c r="A123" s="90">
        <v>600007</v>
      </c>
      <c r="B123" s="90" t="s">
        <v>143</v>
      </c>
      <c r="C123" s="91">
        <v>0</v>
      </c>
      <c r="D123" s="91">
        <v>3700</v>
      </c>
      <c r="E123" s="91">
        <v>3700</v>
      </c>
      <c r="F123" s="91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Overhead - Labor Cost</v>
      </c>
      <c r="J123" t="str">
        <f>_xlfn.XLOOKUP($A123,Map!$A:$A,Map!F:F)</f>
        <v>Transportation allowance</v>
      </c>
    </row>
    <row r="124" spans="1:10" hidden="1" x14ac:dyDescent="0.25">
      <c r="A124" s="90">
        <v>600008</v>
      </c>
      <c r="B124" s="90" t="s">
        <v>144</v>
      </c>
      <c r="C124" s="91">
        <v>0</v>
      </c>
      <c r="D124" s="91">
        <v>150911.16</v>
      </c>
      <c r="E124" s="91">
        <v>150911.16</v>
      </c>
      <c r="F124" s="91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Overhead - Labor Cost</v>
      </c>
      <c r="J124" t="str">
        <f>_xlfn.XLOOKUP($A124,Map!$A:$A,Map!F:F)</f>
        <v>Air tickets</v>
      </c>
    </row>
    <row r="125" spans="1:10" hidden="1" x14ac:dyDescent="0.25">
      <c r="A125" s="90">
        <v>600009</v>
      </c>
      <c r="B125" s="90" t="s">
        <v>145</v>
      </c>
      <c r="C125" s="91">
        <v>0</v>
      </c>
      <c r="D125" s="91">
        <v>200643</v>
      </c>
      <c r="E125" s="91">
        <v>200643</v>
      </c>
      <c r="F125" s="91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Overhead - Labor Cost</v>
      </c>
      <c r="J125" t="str">
        <f>_xlfn.XLOOKUP($A125,Map!$A:$A,Map!F:F)</f>
        <v>Vacation pay</v>
      </c>
    </row>
    <row r="126" spans="1:10" hidden="1" x14ac:dyDescent="0.25">
      <c r="A126" s="90">
        <v>600010</v>
      </c>
      <c r="B126" s="90" t="s">
        <v>146</v>
      </c>
      <c r="C126" s="91">
        <v>0</v>
      </c>
      <c r="D126" s="91">
        <v>475</v>
      </c>
      <c r="E126" s="91">
        <v>475</v>
      </c>
      <c r="F126" s="91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Overhead - Labor Cost</v>
      </c>
      <c r="J126" t="str">
        <f>_xlfn.XLOOKUP($A126,Map!$A:$A,Map!F:F)</f>
        <v>EOS expenses</v>
      </c>
    </row>
    <row r="127" spans="1:10" hidden="1" x14ac:dyDescent="0.25">
      <c r="A127" s="90">
        <v>600011</v>
      </c>
      <c r="B127" s="90" t="s">
        <v>147</v>
      </c>
      <c r="C127" s="91">
        <v>0</v>
      </c>
      <c r="D127" s="91">
        <v>12000</v>
      </c>
      <c r="E127" s="91">
        <v>12000</v>
      </c>
      <c r="F127" s="91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Overhead - Labor Cost</v>
      </c>
      <c r="J127" t="str">
        <f>_xlfn.XLOOKUP($A127,Map!$A:$A,Map!F:F)</f>
        <v>Air tickets</v>
      </c>
    </row>
    <row r="128" spans="1:10" hidden="1" x14ac:dyDescent="0.25">
      <c r="A128" s="90">
        <v>600012</v>
      </c>
      <c r="B128" s="90" t="s">
        <v>148</v>
      </c>
      <c r="C128" s="91">
        <v>0</v>
      </c>
      <c r="D128" s="91">
        <v>1250</v>
      </c>
      <c r="E128" s="91">
        <v>1250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Overhead - Labor Cost</v>
      </c>
      <c r="J128" t="str">
        <f>_xlfn.XLOOKUP($A128,Map!$A:$A,Map!F:F)</f>
        <v xml:space="preserve">Education &amp; Furniture Allowances </v>
      </c>
    </row>
    <row r="129" spans="1:10" hidden="1" x14ac:dyDescent="0.25">
      <c r="A129" s="90">
        <v>600013</v>
      </c>
      <c r="B129" s="90" t="s">
        <v>149</v>
      </c>
      <c r="C129" s="91">
        <v>0</v>
      </c>
      <c r="D129" s="91">
        <v>50</v>
      </c>
      <c r="E129" s="91">
        <v>50</v>
      </c>
      <c r="F129" s="91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Overhead - Labor Cost</v>
      </c>
      <c r="J129" t="str">
        <f>_xlfn.XLOOKUP($A129,Map!$A:$A,Map!F:F)</f>
        <v>Telephone allowance</v>
      </c>
    </row>
    <row r="130" spans="1:10" hidden="1" x14ac:dyDescent="0.25">
      <c r="A130" s="90">
        <v>600014</v>
      </c>
      <c r="B130" s="90" t="s">
        <v>60</v>
      </c>
      <c r="C130" s="91">
        <v>0</v>
      </c>
      <c r="D130" s="91">
        <v>835202.51399999997</v>
      </c>
      <c r="E130" s="91">
        <v>835202.51399999997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Overhead - Consumables &amp; SP</v>
      </c>
      <c r="J130" t="str">
        <f>_xlfn.XLOOKUP($A130,Map!$A:$A,Map!F:F)</f>
        <v>Consumables</v>
      </c>
    </row>
    <row r="131" spans="1:10" hidden="1" x14ac:dyDescent="0.25">
      <c r="A131" s="90">
        <v>600015</v>
      </c>
      <c r="B131" s="90" t="s">
        <v>150</v>
      </c>
      <c r="C131" s="91">
        <v>0</v>
      </c>
      <c r="D131" s="91">
        <v>90000</v>
      </c>
      <c r="E131" s="91">
        <v>90000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Overhead - Consumables &amp; SP</v>
      </c>
      <c r="J131" t="str">
        <f>_xlfn.XLOOKUP($A131,Map!$A:$A,Map!F:F)</f>
        <v>Consumables</v>
      </c>
    </row>
    <row r="132" spans="1:10" hidden="1" x14ac:dyDescent="0.25">
      <c r="A132" s="90">
        <v>600016</v>
      </c>
      <c r="B132" s="90" t="s">
        <v>151</v>
      </c>
      <c r="C132" s="91">
        <v>0</v>
      </c>
      <c r="D132" s="91">
        <v>1554635.304</v>
      </c>
      <c r="E132" s="91">
        <v>1554635.304</v>
      </c>
      <c r="F132" s="91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Overhead - Consumables &amp; SP</v>
      </c>
      <c r="J132" t="str">
        <f>_xlfn.XLOOKUP($A132,Map!$A:$A,Map!F:F)</f>
        <v>Tools</v>
      </c>
    </row>
    <row r="133" spans="1:10" hidden="1" x14ac:dyDescent="0.25">
      <c r="A133" s="90">
        <v>600017</v>
      </c>
      <c r="B133" s="90" t="s">
        <v>152</v>
      </c>
      <c r="C133" s="91">
        <v>0</v>
      </c>
      <c r="D133" s="91">
        <v>1855447.81</v>
      </c>
      <c r="E133" s="91">
        <v>1855447.81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Overhead - Utility</v>
      </c>
      <c r="J133" t="str">
        <f>_xlfn.XLOOKUP($A133,Map!$A:$A,Map!F:F)</f>
        <v>Electricity expenses</v>
      </c>
    </row>
    <row r="134" spans="1:10" hidden="1" x14ac:dyDescent="0.25">
      <c r="A134" s="90">
        <v>600018</v>
      </c>
      <c r="B134" s="90" t="s">
        <v>153</v>
      </c>
      <c r="C134" s="91">
        <v>0</v>
      </c>
      <c r="D134" s="91">
        <v>84828</v>
      </c>
      <c r="E134" s="91">
        <v>84828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Overhead - Utility</v>
      </c>
      <c r="J134" t="str">
        <f>_xlfn.XLOOKUP($A134,Map!$A:$A,Map!F:F)</f>
        <v>Water expenses</v>
      </c>
    </row>
    <row r="135" spans="1:10" hidden="1" x14ac:dyDescent="0.25">
      <c r="A135" s="90">
        <v>600019</v>
      </c>
      <c r="B135" s="90" t="s">
        <v>154</v>
      </c>
      <c r="C135" s="91">
        <v>0</v>
      </c>
      <c r="D135" s="91">
        <v>38839</v>
      </c>
      <c r="E135" s="91">
        <v>38839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Overhead - Utility</v>
      </c>
      <c r="J135" t="str">
        <f>_xlfn.XLOOKUP($A135,Map!$A:$A,Map!F:F)</f>
        <v>Fuel and oil</v>
      </c>
    </row>
    <row r="136" spans="1:10" hidden="1" x14ac:dyDescent="0.25">
      <c r="A136" s="90">
        <v>600020</v>
      </c>
      <c r="B136" s="90" t="s">
        <v>155</v>
      </c>
      <c r="C136" s="91">
        <v>0</v>
      </c>
      <c r="D136" s="91">
        <v>211977.74</v>
      </c>
      <c r="E136" s="91">
        <v>211977.74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Overhead - R&amp;M</v>
      </c>
      <c r="J136" t="str">
        <f>_xlfn.XLOOKUP($A136,Map!$A:$A,Map!F:F)</f>
        <v>Machine and equipment</v>
      </c>
    </row>
    <row r="137" spans="1:10" hidden="1" x14ac:dyDescent="0.25">
      <c r="A137" s="90">
        <v>600021</v>
      </c>
      <c r="B137" s="90" t="s">
        <v>156</v>
      </c>
      <c r="C137" s="91">
        <v>0</v>
      </c>
      <c r="D137" s="91">
        <v>44235</v>
      </c>
      <c r="E137" s="91">
        <v>44235</v>
      </c>
      <c r="F137" s="91">
        <v>0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Overhead - R&amp;M</v>
      </c>
      <c r="J137" t="str">
        <f>_xlfn.XLOOKUP($A137,Map!$A:$A,Map!F:F)</f>
        <v>Vehicle maintenance</v>
      </c>
    </row>
    <row r="138" spans="1:10" hidden="1" x14ac:dyDescent="0.25">
      <c r="A138" s="90">
        <v>600022</v>
      </c>
      <c r="B138" s="90" t="s">
        <v>157</v>
      </c>
      <c r="C138" s="91">
        <v>0</v>
      </c>
      <c r="D138" s="91">
        <v>9818</v>
      </c>
      <c r="E138" s="91">
        <v>9818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Overhead - R&amp;M</v>
      </c>
      <c r="J138" t="str">
        <f>_xlfn.XLOOKUP($A138,Map!$A:$A,Map!F:F)</f>
        <v>Building maintenance</v>
      </c>
    </row>
    <row r="139" spans="1:10" hidden="1" x14ac:dyDescent="0.25">
      <c r="A139" s="90">
        <v>600023</v>
      </c>
      <c r="B139" s="90" t="s">
        <v>158</v>
      </c>
      <c r="C139" s="91">
        <v>0</v>
      </c>
      <c r="D139" s="91">
        <v>0</v>
      </c>
      <c r="E139" s="91">
        <v>0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Overhead - R&amp;M</v>
      </c>
      <c r="J139" t="str">
        <f>_xlfn.XLOOKUP($A139,Map!$A:$A,Map!F:F)</f>
        <v>Office equipment maintenance</v>
      </c>
    </row>
    <row r="140" spans="1:10" hidden="1" x14ac:dyDescent="0.25">
      <c r="A140" s="90">
        <v>600024</v>
      </c>
      <c r="B140" s="90" t="s">
        <v>159</v>
      </c>
      <c r="C140" s="91">
        <v>0</v>
      </c>
      <c r="D140" s="91">
        <v>33960.5</v>
      </c>
      <c r="E140" s="91">
        <v>33960.5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Overhead - Rent</v>
      </c>
      <c r="J140" t="str">
        <f>_xlfn.XLOOKUP($A140,Map!$A:$A,Map!F:F)</f>
        <v>Pump rental expenses</v>
      </c>
    </row>
    <row r="141" spans="1:10" hidden="1" x14ac:dyDescent="0.25">
      <c r="A141" s="90">
        <v>600026</v>
      </c>
      <c r="B141" s="90" t="s">
        <v>161</v>
      </c>
      <c r="C141" s="91">
        <v>0</v>
      </c>
      <c r="D141" s="91">
        <v>3800</v>
      </c>
      <c r="E141" s="91">
        <v>3800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Overhead - Insurance</v>
      </c>
      <c r="J141" t="str">
        <f>_xlfn.XLOOKUP($A141,Map!$A:$A,Map!F:F)</f>
        <v>Machine and equipment insurance</v>
      </c>
    </row>
    <row r="142" spans="1:10" hidden="1" x14ac:dyDescent="0.25">
      <c r="A142" s="90">
        <v>600027</v>
      </c>
      <c r="B142" s="90" t="s">
        <v>162</v>
      </c>
      <c r="C142" s="91">
        <v>0</v>
      </c>
      <c r="D142" s="91">
        <v>359333.38</v>
      </c>
      <c r="E142" s="91">
        <v>359333.38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Overhead - Rent</v>
      </c>
      <c r="J142" t="str">
        <f>_xlfn.XLOOKUP($A142,Map!$A:$A,Map!F:F)</f>
        <v>Production hall rental</v>
      </c>
    </row>
    <row r="143" spans="1:10" hidden="1" x14ac:dyDescent="0.25">
      <c r="A143" s="90">
        <v>600028</v>
      </c>
      <c r="B143" s="90" t="s">
        <v>163</v>
      </c>
      <c r="C143" s="91">
        <v>0</v>
      </c>
      <c r="D143" s="91">
        <v>3483</v>
      </c>
      <c r="E143" s="91">
        <v>3483</v>
      </c>
      <c r="F143" s="91">
        <v>0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Overhead - Consumables &amp; SP</v>
      </c>
      <c r="J143" t="str">
        <f>_xlfn.XLOOKUP($A143,Map!$A:$A,Map!F:F)</f>
        <v xml:space="preserve">Education &amp; Furniture Allowances </v>
      </c>
    </row>
    <row r="144" spans="1:10" hidden="1" x14ac:dyDescent="0.25">
      <c r="A144" s="90">
        <v>600029</v>
      </c>
      <c r="B144" s="90" t="s">
        <v>164</v>
      </c>
      <c r="C144" s="91">
        <v>0</v>
      </c>
      <c r="D144" s="91">
        <v>3538063.7590000001</v>
      </c>
      <c r="E144" s="91">
        <v>3538063.7590000001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Depreciation - Machines</v>
      </c>
      <c r="J144" t="str">
        <f>_xlfn.XLOOKUP($A144,Map!$A:$A,Map!F:F)</f>
        <v>Depreciation of property, plant and equipment</v>
      </c>
    </row>
    <row r="145" spans="1:10" hidden="1" x14ac:dyDescent="0.25">
      <c r="A145" s="90">
        <v>600030</v>
      </c>
      <c r="B145" s="90" t="s">
        <v>165</v>
      </c>
      <c r="C145" s="91">
        <v>0</v>
      </c>
      <c r="D145" s="91">
        <v>5931.53</v>
      </c>
      <c r="E145" s="91">
        <v>5931.53</v>
      </c>
      <c r="F145" s="91">
        <v>0</v>
      </c>
      <c r="G145" t="str">
        <f>_xlfn.XLOOKUP($A145,Map!$A:$A,Map!C:C)</f>
        <v>IS</v>
      </c>
      <c r="H145" t="str">
        <f>_xlfn.XLOOKUP($A145,Map!$A:$A,Map!D:D)</f>
        <v>Depreciation expenses</v>
      </c>
      <c r="I145" t="str">
        <f>_xlfn.XLOOKUP($A145,Map!$A:$A,Map!E:E)</f>
        <v>Depreciation expenses</v>
      </c>
      <c r="J145" t="str">
        <f>_xlfn.XLOOKUP($A145,Map!$A:$A,Map!F:F)</f>
        <v>Depreciation of property, plant and equipment</v>
      </c>
    </row>
    <row r="146" spans="1:10" hidden="1" x14ac:dyDescent="0.25">
      <c r="A146" s="90">
        <v>600031</v>
      </c>
      <c r="B146" s="90" t="s">
        <v>166</v>
      </c>
      <c r="C146" s="91">
        <v>0</v>
      </c>
      <c r="D146" s="91">
        <v>2859.9670000000001</v>
      </c>
      <c r="E146" s="91">
        <v>2859.9670000000001</v>
      </c>
      <c r="F146" s="91">
        <v>0</v>
      </c>
      <c r="G146" t="str">
        <f>_xlfn.XLOOKUP($A146,Map!$A:$A,Map!C:C)</f>
        <v>IS</v>
      </c>
      <c r="H146" t="str">
        <f>_xlfn.XLOOKUP($A146,Map!$A:$A,Map!D:D)</f>
        <v>Depreciation expenses</v>
      </c>
      <c r="I146" t="str">
        <f>_xlfn.XLOOKUP($A146,Map!$A:$A,Map!E:E)</f>
        <v>Depreciation expenses</v>
      </c>
      <c r="J146" t="str">
        <f>_xlfn.XLOOKUP($A146,Map!$A:$A,Map!F:F)</f>
        <v>Depreciation of property, plant and equipment</v>
      </c>
    </row>
    <row r="147" spans="1:10" hidden="1" x14ac:dyDescent="0.25">
      <c r="A147" s="90">
        <v>700001</v>
      </c>
      <c r="B147" s="90" t="s">
        <v>171</v>
      </c>
      <c r="C147" s="91">
        <v>0</v>
      </c>
      <c r="D147" s="91">
        <v>3292691.9029999999</v>
      </c>
      <c r="E147" s="91">
        <v>50674.222999999998</v>
      </c>
      <c r="F147" s="91">
        <v>3242017.68</v>
      </c>
      <c r="G147" t="str">
        <f>_xlfn.XLOOKUP($A147,Map!$A:$A,Map!C:C)</f>
        <v>IS</v>
      </c>
      <c r="H147" t="str">
        <f>_xlfn.XLOOKUP($A147,Map!$A:$A,Map!D:D)</f>
        <v>General and Admin</v>
      </c>
      <c r="I147" t="str">
        <f>_xlfn.XLOOKUP($A147,Map!$A:$A,Map!E:E)</f>
        <v>Salaries and wages</v>
      </c>
      <c r="J147" t="str">
        <f>_xlfn.XLOOKUP($A147,Map!$A:$A,Map!F:F)</f>
        <v>Salaries and wages</v>
      </c>
    </row>
    <row r="148" spans="1:10" hidden="1" x14ac:dyDescent="0.25">
      <c r="A148" s="90">
        <v>700002</v>
      </c>
      <c r="B148" s="90" t="s">
        <v>172</v>
      </c>
      <c r="C148" s="91">
        <v>0</v>
      </c>
      <c r="D148" s="91">
        <v>97298</v>
      </c>
      <c r="E148" s="91">
        <v>0</v>
      </c>
      <c r="F148" s="91">
        <v>97298</v>
      </c>
      <c r="G148" t="str">
        <f>_xlfn.XLOOKUP($A148,Map!$A:$A,Map!C:C)</f>
        <v>IS</v>
      </c>
      <c r="H148" t="str">
        <f>_xlfn.XLOOKUP($A148,Map!$A:$A,Map!D:D)</f>
        <v>General and Admin</v>
      </c>
      <c r="I148" t="str">
        <f>_xlfn.XLOOKUP($A148,Map!$A:$A,Map!E:E)</f>
        <v>Salaries and wages</v>
      </c>
      <c r="J148" t="str">
        <f>_xlfn.XLOOKUP($A148,Map!$A:$A,Map!F:F)</f>
        <v>Overtime pay</v>
      </c>
    </row>
    <row r="149" spans="1:10" hidden="1" x14ac:dyDescent="0.25">
      <c r="A149" s="90">
        <v>700003</v>
      </c>
      <c r="B149" s="90" t="s">
        <v>173</v>
      </c>
      <c r="C149" s="91">
        <v>0</v>
      </c>
      <c r="D149" s="91">
        <v>60003</v>
      </c>
      <c r="E149" s="91">
        <v>0</v>
      </c>
      <c r="F149" s="91">
        <v>60003</v>
      </c>
      <c r="G149" t="str">
        <f>_xlfn.XLOOKUP($A149,Map!$A:$A,Map!C:C)</f>
        <v>IS</v>
      </c>
      <c r="H149" t="str">
        <f>_xlfn.XLOOKUP($A149,Map!$A:$A,Map!D:D)</f>
        <v>General and Admin</v>
      </c>
      <c r="I149" t="str">
        <f>_xlfn.XLOOKUP($A149,Map!$A:$A,Map!E:E)</f>
        <v>Salaries and wages</v>
      </c>
      <c r="J149" t="str">
        <f>_xlfn.XLOOKUP($A149,Map!$A:$A,Map!F:F)</f>
        <v xml:space="preserve">Food &amp; Housing </v>
      </c>
    </row>
    <row r="150" spans="1:10" hidden="1" x14ac:dyDescent="0.25">
      <c r="A150" s="90">
        <v>700004</v>
      </c>
      <c r="B150" s="90" t="s">
        <v>174</v>
      </c>
      <c r="C150" s="91">
        <v>0</v>
      </c>
      <c r="D150" s="91">
        <v>269897.71000000002</v>
      </c>
      <c r="E150" s="91">
        <v>0</v>
      </c>
      <c r="F150" s="91">
        <v>269897.71000000002</v>
      </c>
      <c r="G150" t="str">
        <f>_xlfn.XLOOKUP($A150,Map!$A:$A,Map!C:C)</f>
        <v>IS</v>
      </c>
      <c r="H150" t="str">
        <f>_xlfn.XLOOKUP($A150,Map!$A:$A,Map!D:D)</f>
        <v>General and Admin</v>
      </c>
      <c r="I150" t="str">
        <f>_xlfn.XLOOKUP($A150,Map!$A:$A,Map!E:E)</f>
        <v>Salaries and wages</v>
      </c>
      <c r="J150" t="str">
        <f>_xlfn.XLOOKUP($A150,Map!$A:$A,Map!F:F)</f>
        <v>Medical insurance</v>
      </c>
    </row>
    <row r="151" spans="1:10" hidden="1" x14ac:dyDescent="0.25">
      <c r="A151" s="90">
        <v>700005</v>
      </c>
      <c r="B151" s="90" t="s">
        <v>175</v>
      </c>
      <c r="C151" s="91">
        <v>0</v>
      </c>
      <c r="D151" s="91">
        <v>159082.32</v>
      </c>
      <c r="E151" s="91">
        <v>0</v>
      </c>
      <c r="F151" s="91">
        <v>159082.32</v>
      </c>
      <c r="G151" t="str">
        <f>_xlfn.XLOOKUP($A151,Map!$A:$A,Map!C:C)</f>
        <v>IS</v>
      </c>
      <c r="H151" t="str">
        <f>_xlfn.XLOOKUP($A151,Map!$A:$A,Map!D:D)</f>
        <v>General and Admin</v>
      </c>
      <c r="I151" t="str">
        <f>_xlfn.XLOOKUP($A151,Map!$A:$A,Map!E:E)</f>
        <v>Govt license and fees (including modon)</v>
      </c>
      <c r="J151" t="str">
        <f>_xlfn.XLOOKUP($A151,Map!$A:$A,Map!F:F)</f>
        <v>Government fees</v>
      </c>
    </row>
    <row r="152" spans="1:10" hidden="1" x14ac:dyDescent="0.25">
      <c r="A152" s="90">
        <v>700006</v>
      </c>
      <c r="B152" s="90" t="s">
        <v>176</v>
      </c>
      <c r="C152" s="91">
        <v>0</v>
      </c>
      <c r="D152" s="91">
        <v>778942.41</v>
      </c>
      <c r="E152" s="91">
        <v>85271.63</v>
      </c>
      <c r="F152" s="91">
        <v>693670.78</v>
      </c>
      <c r="G152" t="str">
        <f>_xlfn.XLOOKUP($A152,Map!$A:$A,Map!C:C)</f>
        <v>IS</v>
      </c>
      <c r="H152" t="str">
        <f>_xlfn.XLOOKUP($A152,Map!$A:$A,Map!D:D)</f>
        <v>General and Admin</v>
      </c>
      <c r="I152" t="str">
        <f>_xlfn.XLOOKUP($A152,Map!$A:$A,Map!E:E)</f>
        <v>Salaries and wages</v>
      </c>
      <c r="J152" t="str">
        <f>_xlfn.XLOOKUP($A152,Map!$A:$A,Map!F:F)</f>
        <v xml:space="preserve">Food &amp; Housing </v>
      </c>
    </row>
    <row r="153" spans="1:10" hidden="1" x14ac:dyDescent="0.25">
      <c r="A153" s="90">
        <v>700007</v>
      </c>
      <c r="B153" s="90" t="s">
        <v>177</v>
      </c>
      <c r="C153" s="91">
        <v>0</v>
      </c>
      <c r="D153" s="91">
        <v>340220</v>
      </c>
      <c r="E153" s="91">
        <v>0</v>
      </c>
      <c r="F153" s="91">
        <v>340220</v>
      </c>
      <c r="G153" t="str">
        <f>_xlfn.XLOOKUP($A153,Map!$A:$A,Map!C:C)</f>
        <v>IS</v>
      </c>
      <c r="H153" t="str">
        <f>_xlfn.XLOOKUP($A153,Map!$A:$A,Map!D:D)</f>
        <v>General and Admin</v>
      </c>
      <c r="I153" t="str">
        <f>_xlfn.XLOOKUP($A153,Map!$A:$A,Map!E:E)</f>
        <v>Salaries and wages</v>
      </c>
      <c r="J153" t="str">
        <f>_xlfn.XLOOKUP($A153,Map!$A:$A,Map!F:F)</f>
        <v>Transportation allowance</v>
      </c>
    </row>
    <row r="154" spans="1:10" hidden="1" x14ac:dyDescent="0.25">
      <c r="A154" s="90">
        <v>700008</v>
      </c>
      <c r="B154" s="90" t="s">
        <v>178</v>
      </c>
      <c r="C154" s="91">
        <v>0</v>
      </c>
      <c r="D154" s="91">
        <v>68575</v>
      </c>
      <c r="E154" s="91">
        <v>18970</v>
      </c>
      <c r="F154" s="91">
        <v>49605</v>
      </c>
      <c r="G154" t="str">
        <f>_xlfn.XLOOKUP($A154,Map!$A:$A,Map!C:C)</f>
        <v>IS</v>
      </c>
      <c r="H154" t="str">
        <f>_xlfn.XLOOKUP($A154,Map!$A:$A,Map!D:D)</f>
        <v>General and Admin</v>
      </c>
      <c r="I154" t="str">
        <f>_xlfn.XLOOKUP($A154,Map!$A:$A,Map!E:E)</f>
        <v>Salaries and wages</v>
      </c>
      <c r="J154" t="str">
        <f>_xlfn.XLOOKUP($A154,Map!$A:$A,Map!F:F)</f>
        <v>Air tickets</v>
      </c>
    </row>
    <row r="155" spans="1:10" hidden="1" x14ac:dyDescent="0.25">
      <c r="A155" s="90">
        <v>700009</v>
      </c>
      <c r="B155" s="90" t="s">
        <v>179</v>
      </c>
      <c r="C155" s="91">
        <v>0</v>
      </c>
      <c r="D155" s="91">
        <v>257890</v>
      </c>
      <c r="E155" s="91">
        <v>0</v>
      </c>
      <c r="F155" s="91">
        <v>257890</v>
      </c>
      <c r="G155" t="str">
        <f>_xlfn.XLOOKUP($A155,Map!$A:$A,Map!C:C)</f>
        <v>IS</v>
      </c>
      <c r="H155" t="str">
        <f>_xlfn.XLOOKUP($A155,Map!$A:$A,Map!D:D)</f>
        <v>General and Admin</v>
      </c>
      <c r="I155" t="str">
        <f>_xlfn.XLOOKUP($A155,Map!$A:$A,Map!E:E)</f>
        <v>Salaries and wages</v>
      </c>
      <c r="J155" t="str">
        <f>_xlfn.XLOOKUP($A155,Map!$A:$A,Map!F:F)</f>
        <v>Leave pay</v>
      </c>
    </row>
    <row r="156" spans="1:10" hidden="1" x14ac:dyDescent="0.25">
      <c r="A156" s="90">
        <v>700010</v>
      </c>
      <c r="B156" s="90" t="s">
        <v>180</v>
      </c>
      <c r="C156" s="91">
        <v>0</v>
      </c>
      <c r="D156" s="91">
        <v>1664452</v>
      </c>
      <c r="E156" s="91">
        <v>301656</v>
      </c>
      <c r="F156" s="91">
        <v>1362796</v>
      </c>
      <c r="G156" t="str">
        <f>_xlfn.XLOOKUP($A156,Map!$A:$A,Map!C:C)</f>
        <v>IS</v>
      </c>
      <c r="H156" t="str">
        <f>_xlfn.XLOOKUP($A156,Map!$A:$A,Map!D:D)</f>
        <v>General and Admin</v>
      </c>
      <c r="I156" t="str">
        <f>_xlfn.XLOOKUP($A156,Map!$A:$A,Map!E:E)</f>
        <v>Salaries and wages</v>
      </c>
      <c r="J156" t="str">
        <f>_xlfn.XLOOKUP($A156,Map!$A:$A,Map!F:F)</f>
        <v>Indemnities</v>
      </c>
    </row>
    <row r="157" spans="1:10" hidden="1" x14ac:dyDescent="0.25">
      <c r="A157" s="90">
        <v>700011</v>
      </c>
      <c r="B157" s="90" t="s">
        <v>181</v>
      </c>
      <c r="C157" s="91">
        <v>0</v>
      </c>
      <c r="D157" s="91">
        <v>108607</v>
      </c>
      <c r="E157" s="91">
        <v>0</v>
      </c>
      <c r="F157" s="91">
        <v>108607</v>
      </c>
      <c r="G157" t="str">
        <f>_xlfn.XLOOKUP($A157,Map!$A:$A,Map!C:C)</f>
        <v>IS</v>
      </c>
      <c r="H157" t="str">
        <f>_xlfn.XLOOKUP($A157,Map!$A:$A,Map!D:D)</f>
        <v>General and Admin</v>
      </c>
      <c r="I157" t="str">
        <f>_xlfn.XLOOKUP($A157,Map!$A:$A,Map!E:E)</f>
        <v>Salaries and wages</v>
      </c>
      <c r="J157" t="str">
        <f>_xlfn.XLOOKUP($A157,Map!$A:$A,Map!F:F)</f>
        <v>Air tickets</v>
      </c>
    </row>
    <row r="158" spans="1:10" hidden="1" x14ac:dyDescent="0.25">
      <c r="A158" s="90">
        <v>700012</v>
      </c>
      <c r="B158" s="90" t="s">
        <v>182</v>
      </c>
      <c r="C158" s="91">
        <v>0</v>
      </c>
      <c r="D158" s="91">
        <v>217818</v>
      </c>
      <c r="E158" s="91">
        <v>0</v>
      </c>
      <c r="F158" s="91">
        <v>217818</v>
      </c>
      <c r="G158" t="str">
        <f>_xlfn.XLOOKUP($A158,Map!$A:$A,Map!C:C)</f>
        <v>IS</v>
      </c>
      <c r="H158" t="str">
        <f>_xlfn.XLOOKUP($A158,Map!$A:$A,Map!D:D)</f>
        <v>General and Admin</v>
      </c>
      <c r="I158" t="str">
        <f>_xlfn.XLOOKUP($A158,Map!$A:$A,Map!E:E)</f>
        <v>Salaries and wages</v>
      </c>
      <c r="J158" t="str">
        <f>_xlfn.XLOOKUP($A158,Map!$A:$A,Map!F:F)</f>
        <v xml:space="preserve">Education &amp; Furniture Allowances </v>
      </c>
    </row>
    <row r="159" spans="1:10" hidden="1" x14ac:dyDescent="0.25">
      <c r="A159" s="90">
        <v>700013</v>
      </c>
      <c r="B159" s="90" t="s">
        <v>183</v>
      </c>
      <c r="C159" s="91">
        <v>0</v>
      </c>
      <c r="D159" s="91">
        <v>87175</v>
      </c>
      <c r="E159" s="91">
        <v>0</v>
      </c>
      <c r="F159" s="91">
        <v>87175</v>
      </c>
      <c r="G159" t="str">
        <f>_xlfn.XLOOKUP($A159,Map!$A:$A,Map!C:C)</f>
        <v>IS</v>
      </c>
      <c r="H159" t="str">
        <f>_xlfn.XLOOKUP($A159,Map!$A:$A,Map!D:D)</f>
        <v>General and Admin</v>
      </c>
      <c r="I159" t="str">
        <f>_xlfn.XLOOKUP($A159,Map!$A:$A,Map!E:E)</f>
        <v>Utilities</v>
      </c>
      <c r="J159" t="str">
        <f>_xlfn.XLOOKUP($A159,Map!$A:$A,Map!F:F)</f>
        <v>Other general and administrative expenses</v>
      </c>
    </row>
    <row r="160" spans="1:10" hidden="1" x14ac:dyDescent="0.25">
      <c r="A160" s="90">
        <v>700014</v>
      </c>
      <c r="B160" s="90" t="s">
        <v>184</v>
      </c>
      <c r="C160" s="91">
        <v>0</v>
      </c>
      <c r="D160" s="91">
        <v>19000</v>
      </c>
      <c r="E160" s="91">
        <v>0</v>
      </c>
      <c r="F160" s="91">
        <v>19000</v>
      </c>
      <c r="G160" t="str">
        <f>_xlfn.XLOOKUP($A160,Map!$A:$A,Map!C:C)</f>
        <v>IS</v>
      </c>
      <c r="H160" t="str">
        <f>_xlfn.XLOOKUP($A160,Map!$A:$A,Map!D:D)</f>
        <v>General and Admin</v>
      </c>
      <c r="I160" t="str">
        <f>_xlfn.XLOOKUP($A160,Map!$A:$A,Map!E:E)</f>
        <v>Salaries and wages</v>
      </c>
      <c r="J160" t="str">
        <f>_xlfn.XLOOKUP($A160,Map!$A:$A,Map!F:F)</f>
        <v xml:space="preserve">Education &amp; Furniture Allowances </v>
      </c>
    </row>
    <row r="161" spans="1:10" hidden="1" x14ac:dyDescent="0.25">
      <c r="A161" s="90">
        <v>700015</v>
      </c>
      <c r="B161" s="90" t="s">
        <v>185</v>
      </c>
      <c r="C161" s="91">
        <v>0</v>
      </c>
      <c r="D161" s="91">
        <v>6893</v>
      </c>
      <c r="E161" s="91">
        <v>0</v>
      </c>
      <c r="F161" s="91">
        <v>6893</v>
      </c>
      <c r="G161" t="str">
        <f>_xlfn.XLOOKUP($A161,Map!$A:$A,Map!C:C)</f>
        <v>IS</v>
      </c>
      <c r="H161" t="str">
        <f>_xlfn.XLOOKUP($A161,Map!$A:$A,Map!D:D)</f>
        <v>General and Admin</v>
      </c>
      <c r="I161" t="str">
        <f>_xlfn.XLOOKUP($A161,Map!$A:$A,Map!E:E)</f>
        <v>Business travel</v>
      </c>
      <c r="J161" t="str">
        <f>_xlfn.XLOOKUP($A161,Map!$A:$A,Map!F:F)</f>
        <v>Transportation expenses</v>
      </c>
    </row>
    <row r="162" spans="1:10" hidden="1" x14ac:dyDescent="0.25">
      <c r="A162" s="90">
        <v>700016</v>
      </c>
      <c r="B162" s="90" t="s">
        <v>186</v>
      </c>
      <c r="C162" s="91">
        <v>0</v>
      </c>
      <c r="D162" s="91">
        <v>4941</v>
      </c>
      <c r="E162" s="91">
        <v>0</v>
      </c>
      <c r="F162" s="91">
        <v>4941</v>
      </c>
      <c r="G162" t="str">
        <f>_xlfn.XLOOKUP($A162,Map!$A:$A,Map!C:C)</f>
        <v>IS</v>
      </c>
      <c r="H162" t="str">
        <f>_xlfn.XLOOKUP($A162,Map!$A:$A,Map!D:D)</f>
        <v>Selling and Marketing</v>
      </c>
      <c r="I162" t="str">
        <f>_xlfn.XLOOKUP($A162,Map!$A:$A,Map!E:E)</f>
        <v>Buffet expenses</v>
      </c>
      <c r="J162" t="str">
        <f>_xlfn.XLOOKUP($A162,Map!$A:$A,Map!F:F)</f>
        <v>Food expenses</v>
      </c>
    </row>
    <row r="163" spans="1:10" hidden="1" x14ac:dyDescent="0.25">
      <c r="A163" s="90">
        <v>700017</v>
      </c>
      <c r="B163" s="90" t="s">
        <v>187</v>
      </c>
      <c r="C163" s="91">
        <v>0</v>
      </c>
      <c r="D163" s="91">
        <v>5728</v>
      </c>
      <c r="E163" s="91">
        <v>0</v>
      </c>
      <c r="F163" s="91">
        <v>5728</v>
      </c>
      <c r="G163" t="str">
        <f>_xlfn.XLOOKUP($A163,Map!$A:$A,Map!C:C)</f>
        <v>IS</v>
      </c>
      <c r="H163" t="str">
        <f>_xlfn.XLOOKUP($A163,Map!$A:$A,Map!D:D)</f>
        <v>General and Admin</v>
      </c>
      <c r="I163" t="str">
        <f>_xlfn.XLOOKUP($A163,Map!$A:$A,Map!E:E)</f>
        <v>Salaries and wages</v>
      </c>
      <c r="J163" t="str">
        <f>_xlfn.XLOOKUP($A163,Map!$A:$A,Map!F:F)</f>
        <v>Accommodation expenses</v>
      </c>
    </row>
    <row r="164" spans="1:10" hidden="1" x14ac:dyDescent="0.25">
      <c r="A164" s="90">
        <v>700018</v>
      </c>
      <c r="B164" s="90" t="s">
        <v>188</v>
      </c>
      <c r="C164" s="91">
        <v>0</v>
      </c>
      <c r="D164" s="91">
        <v>49236.35</v>
      </c>
      <c r="E164" s="91">
        <v>0</v>
      </c>
      <c r="F164" s="91">
        <v>49236.35</v>
      </c>
      <c r="G164" t="str">
        <f>_xlfn.XLOOKUP($A164,Map!$A:$A,Map!C:C)</f>
        <v>IS</v>
      </c>
      <c r="H164" t="str">
        <f>_xlfn.XLOOKUP($A164,Map!$A:$A,Map!D:D)</f>
        <v>General and Admin</v>
      </c>
      <c r="I164" t="str">
        <f>_xlfn.XLOOKUP($A164,Map!$A:$A,Map!E:E)</f>
        <v>Salaries and wages</v>
      </c>
      <c r="J164" t="str">
        <f>_xlfn.XLOOKUP($A164,Map!$A:$A,Map!F:F)</f>
        <v xml:space="preserve">Employee Medical Emergency Expenses </v>
      </c>
    </row>
    <row r="165" spans="1:10" hidden="1" x14ac:dyDescent="0.25">
      <c r="A165" s="90">
        <v>700019</v>
      </c>
      <c r="B165" s="90" t="s">
        <v>189</v>
      </c>
      <c r="C165" s="91">
        <v>0</v>
      </c>
      <c r="D165" s="91">
        <v>407852</v>
      </c>
      <c r="E165" s="91">
        <v>50981</v>
      </c>
      <c r="F165" s="91">
        <v>356871</v>
      </c>
      <c r="G165" t="str">
        <f>_xlfn.XLOOKUP($A165,Map!$A:$A,Map!C:C)</f>
        <v>IS</v>
      </c>
      <c r="H165" t="str">
        <f>_xlfn.XLOOKUP($A165,Map!$A:$A,Map!D:D)</f>
        <v>General and Admin</v>
      </c>
      <c r="I165" t="str">
        <f>_xlfn.XLOOKUP($A165,Map!$A:$A,Map!E:E)</f>
        <v>Salaries and wages</v>
      </c>
      <c r="J165" t="str">
        <f>_xlfn.XLOOKUP($A165,Map!$A:$A,Map!F:F)</f>
        <v xml:space="preserve">Incentives </v>
      </c>
    </row>
    <row r="166" spans="1:10" hidden="1" x14ac:dyDescent="0.25">
      <c r="A166" s="90">
        <v>700020</v>
      </c>
      <c r="B166" s="90" t="s">
        <v>190</v>
      </c>
      <c r="C166" s="91">
        <v>0</v>
      </c>
      <c r="D166" s="91">
        <v>44604.561000000002</v>
      </c>
      <c r="E166" s="91">
        <v>0</v>
      </c>
      <c r="F166" s="91">
        <v>44604.561000000002</v>
      </c>
      <c r="G166" t="str">
        <f>_xlfn.XLOOKUP($A166,Map!$A:$A,Map!C:C)</f>
        <v>IS</v>
      </c>
      <c r="H166" t="str">
        <f>_xlfn.XLOOKUP($A166,Map!$A:$A,Map!D:D)</f>
        <v>General and Admin</v>
      </c>
      <c r="I166" t="str">
        <f>_xlfn.XLOOKUP($A166,Map!$A:$A,Map!E:E)</f>
        <v>Utilities</v>
      </c>
      <c r="J166" t="str">
        <f>_xlfn.XLOOKUP($A166,Map!$A:$A,Map!F:F)</f>
        <v>Electricity expenses</v>
      </c>
    </row>
    <row r="167" spans="1:10" hidden="1" x14ac:dyDescent="0.25">
      <c r="A167" s="90">
        <v>700021</v>
      </c>
      <c r="B167" s="90" t="s">
        <v>191</v>
      </c>
      <c r="C167" s="91">
        <v>0</v>
      </c>
      <c r="D167" s="91">
        <v>33500</v>
      </c>
      <c r="E167" s="91">
        <v>0</v>
      </c>
      <c r="F167" s="91">
        <v>33500</v>
      </c>
      <c r="G167" t="str">
        <f>_xlfn.XLOOKUP($A167,Map!$A:$A,Map!C:C)</f>
        <v>IS</v>
      </c>
      <c r="H167" t="str">
        <f>_xlfn.XLOOKUP($A167,Map!$A:$A,Map!D:D)</f>
        <v>General and Admin</v>
      </c>
      <c r="I167" t="str">
        <f>_xlfn.XLOOKUP($A167,Map!$A:$A,Map!E:E)</f>
        <v>Utilities</v>
      </c>
      <c r="J167" t="str">
        <f>_xlfn.XLOOKUP($A167,Map!$A:$A,Map!F:F)</f>
        <v>Other general and administrative expenses</v>
      </c>
    </row>
    <row r="168" spans="1:10" hidden="1" x14ac:dyDescent="0.25">
      <c r="A168" s="90">
        <v>700022</v>
      </c>
      <c r="B168" s="90" t="s">
        <v>192</v>
      </c>
      <c r="C168" s="91">
        <v>0</v>
      </c>
      <c r="D168" s="91">
        <v>71328.179999999993</v>
      </c>
      <c r="E168" s="91">
        <v>300</v>
      </c>
      <c r="F168" s="91">
        <v>71028.179999999993</v>
      </c>
      <c r="G168" t="str">
        <f>_xlfn.XLOOKUP($A168,Map!$A:$A,Map!C:C)</f>
        <v>IS</v>
      </c>
      <c r="H168" t="str">
        <f>_xlfn.XLOOKUP($A168,Map!$A:$A,Map!D:D)</f>
        <v>General and Admin</v>
      </c>
      <c r="I168" t="str">
        <f>_xlfn.XLOOKUP($A168,Map!$A:$A,Map!E:E)</f>
        <v>Utilities</v>
      </c>
      <c r="J168" t="str">
        <f>_xlfn.XLOOKUP($A168,Map!$A:$A,Map!F:F)</f>
        <v>Other general and administrative expenses</v>
      </c>
    </row>
    <row r="169" spans="1:10" hidden="1" x14ac:dyDescent="0.25">
      <c r="A169" s="90">
        <v>700023</v>
      </c>
      <c r="B169" s="90" t="s">
        <v>193</v>
      </c>
      <c r="C169" s="91">
        <v>0</v>
      </c>
      <c r="D169" s="91">
        <v>25997</v>
      </c>
      <c r="E169" s="91">
        <v>2170</v>
      </c>
      <c r="F169" s="91">
        <v>23827</v>
      </c>
      <c r="G169" t="str">
        <f>_xlfn.XLOOKUP($A169,Map!$A:$A,Map!C:C)</f>
        <v>IS</v>
      </c>
      <c r="H169" t="str">
        <f>_xlfn.XLOOKUP($A169,Map!$A:$A,Map!D:D)</f>
        <v>General and Admin</v>
      </c>
      <c r="I169" t="str">
        <f>_xlfn.XLOOKUP($A169,Map!$A:$A,Map!E:E)</f>
        <v>Utilities</v>
      </c>
      <c r="J169" t="str">
        <f>_xlfn.XLOOKUP($A169,Map!$A:$A,Map!F:F)</f>
        <v xml:space="preserve">Postage &amp; Printing </v>
      </c>
    </row>
    <row r="170" spans="1:10" hidden="1" x14ac:dyDescent="0.25">
      <c r="A170" s="90">
        <v>700024</v>
      </c>
      <c r="B170" s="90" t="s">
        <v>194</v>
      </c>
      <c r="C170" s="91">
        <v>0</v>
      </c>
      <c r="D170" s="91">
        <v>83608.5</v>
      </c>
      <c r="E170" s="91">
        <v>69</v>
      </c>
      <c r="F170" s="91">
        <v>83539.5</v>
      </c>
      <c r="G170" t="str">
        <f>_xlfn.XLOOKUP($A170,Map!$A:$A,Map!C:C)</f>
        <v>IS</v>
      </c>
      <c r="H170" t="str">
        <f>_xlfn.XLOOKUP($A170,Map!$A:$A,Map!D:D)</f>
        <v>General and Admin</v>
      </c>
      <c r="I170" t="str">
        <f>_xlfn.XLOOKUP($A170,Map!$A:$A,Map!E:E)</f>
        <v>IT expenses</v>
      </c>
      <c r="J170" t="str">
        <f>_xlfn.XLOOKUP($A170,Map!$A:$A,Map!F:F)</f>
        <v>Other general and administrative expenses</v>
      </c>
    </row>
    <row r="171" spans="1:10" hidden="1" x14ac:dyDescent="0.25">
      <c r="A171" s="90">
        <v>700025</v>
      </c>
      <c r="B171" s="90" t="s">
        <v>195</v>
      </c>
      <c r="C171" s="91">
        <v>0</v>
      </c>
      <c r="D171" s="91">
        <v>55000</v>
      </c>
      <c r="E171" s="91">
        <v>0</v>
      </c>
      <c r="F171" s="91">
        <v>55000</v>
      </c>
      <c r="G171" t="str">
        <f>_xlfn.XLOOKUP($A171,Map!$A:$A,Map!C:C)</f>
        <v>IS</v>
      </c>
      <c r="H171" t="str">
        <f>_xlfn.XLOOKUP($A171,Map!$A:$A,Map!D:D)</f>
        <v>General and Admin</v>
      </c>
      <c r="I171" t="str">
        <f>_xlfn.XLOOKUP($A171,Map!$A:$A,Map!E:E)</f>
        <v>Salaries and wages</v>
      </c>
      <c r="J171" t="str">
        <f>_xlfn.XLOOKUP($A171,Map!$A:$A,Map!F:F)</f>
        <v>Salaries and wages</v>
      </c>
    </row>
    <row r="172" spans="1:10" hidden="1" x14ac:dyDescent="0.25">
      <c r="A172" s="90">
        <v>700026</v>
      </c>
      <c r="B172" s="90" t="s">
        <v>196</v>
      </c>
      <c r="C172" s="91">
        <v>0</v>
      </c>
      <c r="D172" s="91">
        <v>0</v>
      </c>
      <c r="E172" s="91">
        <v>0</v>
      </c>
      <c r="F172" s="91">
        <v>0</v>
      </c>
      <c r="G172" t="str">
        <f>_xlfn.XLOOKUP($A172,Map!$A:$A,Map!C:C)</f>
        <v>IS</v>
      </c>
      <c r="H172" t="str">
        <f>_xlfn.XLOOKUP($A172,Map!$A:$A,Map!D:D)</f>
        <v>General and Admin</v>
      </c>
      <c r="I172" t="str">
        <f>_xlfn.XLOOKUP($A172,Map!$A:$A,Map!E:E)</f>
        <v>Utilities</v>
      </c>
      <c r="J172" t="str">
        <f>_xlfn.XLOOKUP($A172,Map!$A:$A,Map!F:F)</f>
        <v>Magazines &amp; News Papers Exp.</v>
      </c>
    </row>
    <row r="173" spans="1:10" hidden="1" x14ac:dyDescent="0.25">
      <c r="A173" s="90">
        <v>700027</v>
      </c>
      <c r="B173" s="90" t="s">
        <v>197</v>
      </c>
      <c r="C173" s="91">
        <v>0</v>
      </c>
      <c r="D173" s="91">
        <v>0</v>
      </c>
      <c r="E173" s="91">
        <v>0</v>
      </c>
      <c r="F173" s="91">
        <v>0</v>
      </c>
      <c r="G173" t="str">
        <f>_xlfn.XLOOKUP($A173,Map!$A:$A,Map!C:C)</f>
        <v>IS</v>
      </c>
      <c r="H173" t="str">
        <f>_xlfn.XLOOKUP($A173,Map!$A:$A,Map!D:D)</f>
        <v>General and Admin</v>
      </c>
      <c r="I173" t="str">
        <f>_xlfn.XLOOKUP($A173,Map!$A:$A,Map!E:E)</f>
        <v>Training</v>
      </c>
      <c r="J173" t="str">
        <f>_xlfn.XLOOKUP($A173,Map!$A:$A,Map!F:F)</f>
        <v>Training</v>
      </c>
    </row>
    <row r="174" spans="1:10" hidden="1" x14ac:dyDescent="0.25">
      <c r="A174" s="90">
        <v>700028</v>
      </c>
      <c r="B174" s="90" t="s">
        <v>198</v>
      </c>
      <c r="C174" s="91">
        <v>0</v>
      </c>
      <c r="D174" s="91">
        <v>12580</v>
      </c>
      <c r="E174" s="91">
        <v>0</v>
      </c>
      <c r="F174" s="91">
        <v>12580</v>
      </c>
      <c r="G174" t="str">
        <f>_xlfn.XLOOKUP($A174,Map!$A:$A,Map!C:C)</f>
        <v>IS</v>
      </c>
      <c r="H174" t="str">
        <f>_xlfn.XLOOKUP($A174,Map!$A:$A,Map!D:D)</f>
        <v>General and Admin</v>
      </c>
      <c r="I174" t="str">
        <f>_xlfn.XLOOKUP($A174,Map!$A:$A,Map!E:E)</f>
        <v xml:space="preserve">Back office Support </v>
      </c>
      <c r="J174" t="str">
        <f>_xlfn.XLOOKUP($A174,Map!$A:$A,Map!F:F)</f>
        <v>Stationery expenses</v>
      </c>
    </row>
    <row r="175" spans="1:10" hidden="1" x14ac:dyDescent="0.25">
      <c r="A175" s="90">
        <v>700029</v>
      </c>
      <c r="B175" s="90" t="s">
        <v>199</v>
      </c>
      <c r="C175" s="91">
        <v>0</v>
      </c>
      <c r="D175" s="91">
        <v>6287</v>
      </c>
      <c r="E175" s="91">
        <v>0</v>
      </c>
      <c r="F175" s="91">
        <v>6287</v>
      </c>
      <c r="G175" t="str">
        <f>_xlfn.XLOOKUP($A175,Map!$A:$A,Map!C:C)</f>
        <v>IS</v>
      </c>
      <c r="H175" t="str">
        <f>_xlfn.XLOOKUP($A175,Map!$A:$A,Map!D:D)</f>
        <v>General and Admin</v>
      </c>
      <c r="I175" t="str">
        <f>_xlfn.XLOOKUP($A175,Map!$A:$A,Map!E:E)</f>
        <v>Utilities</v>
      </c>
      <c r="J175" t="str">
        <f>_xlfn.XLOOKUP($A175,Map!$A:$A,Map!F:F)</f>
        <v xml:space="preserve">Postage &amp; Printing </v>
      </c>
    </row>
    <row r="176" spans="1:10" hidden="1" x14ac:dyDescent="0.25">
      <c r="A176" s="90">
        <v>700030</v>
      </c>
      <c r="B176" s="90" t="s">
        <v>200</v>
      </c>
      <c r="C176" s="91">
        <v>0</v>
      </c>
      <c r="D176" s="91">
        <v>643</v>
      </c>
      <c r="E176" s="91">
        <v>0</v>
      </c>
      <c r="F176" s="91">
        <v>643</v>
      </c>
      <c r="G176" t="str">
        <f>_xlfn.XLOOKUP($A176,Map!$A:$A,Map!C:C)</f>
        <v>IS</v>
      </c>
      <c r="H176" t="str">
        <f>_xlfn.XLOOKUP($A176,Map!$A:$A,Map!D:D)</f>
        <v>General and Admin</v>
      </c>
      <c r="I176" t="str">
        <f>_xlfn.XLOOKUP($A176,Map!$A:$A,Map!E:E)</f>
        <v>Utilities</v>
      </c>
      <c r="J176" t="str">
        <f>_xlfn.XLOOKUP($A176,Map!$A:$A,Map!F:F)</f>
        <v>Building maintenance</v>
      </c>
    </row>
    <row r="177" spans="1:10" hidden="1" x14ac:dyDescent="0.25">
      <c r="A177" s="90">
        <v>700031</v>
      </c>
      <c r="B177" s="90" t="s">
        <v>201</v>
      </c>
      <c r="C177" s="91">
        <v>0</v>
      </c>
      <c r="D177" s="91">
        <v>9678</v>
      </c>
      <c r="E177" s="91">
        <v>0</v>
      </c>
      <c r="F177" s="91">
        <v>9678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Utilities</v>
      </c>
      <c r="J177" t="str">
        <f>_xlfn.XLOOKUP($A177,Map!$A:$A,Map!F:F)</f>
        <v>Office equipment maintenance</v>
      </c>
    </row>
    <row r="178" spans="1:10" hidden="1" x14ac:dyDescent="0.25">
      <c r="A178" s="90">
        <v>700032</v>
      </c>
      <c r="B178" s="90" t="s">
        <v>202</v>
      </c>
      <c r="C178" s="91">
        <v>0</v>
      </c>
      <c r="D178" s="91">
        <v>81963</v>
      </c>
      <c r="E178" s="91">
        <v>0</v>
      </c>
      <c r="F178" s="91">
        <v>81963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>Utilities</v>
      </c>
      <c r="J178" t="str">
        <f>_xlfn.XLOOKUP($A178,Map!$A:$A,Map!F:F)</f>
        <v>Vehicle maintenance</v>
      </c>
    </row>
    <row r="179" spans="1:10" hidden="1" x14ac:dyDescent="0.25">
      <c r="A179" s="90">
        <v>700033</v>
      </c>
      <c r="B179" s="90" t="s">
        <v>203</v>
      </c>
      <c r="C179" s="91">
        <v>0</v>
      </c>
      <c r="D179" s="91">
        <v>43524</v>
      </c>
      <c r="E179" s="91">
        <v>0</v>
      </c>
      <c r="F179" s="91">
        <v>43524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Utilities</v>
      </c>
      <c r="J179" t="str">
        <f>_xlfn.XLOOKUP($A179,Map!$A:$A,Map!F:F)</f>
        <v>Fuel and oil</v>
      </c>
    </row>
    <row r="180" spans="1:10" hidden="1" x14ac:dyDescent="0.25">
      <c r="A180" s="90">
        <v>700034</v>
      </c>
      <c r="B180" s="90" t="s">
        <v>204</v>
      </c>
      <c r="C180" s="91">
        <v>0</v>
      </c>
      <c r="D180" s="91">
        <v>28183.3</v>
      </c>
      <c r="E180" s="91">
        <v>0</v>
      </c>
      <c r="F180" s="91">
        <v>28183.3</v>
      </c>
      <c r="G180" t="str">
        <f>_xlfn.XLOOKUP($A180,Map!$A:$A,Map!C:C)</f>
        <v>IS</v>
      </c>
      <c r="H180" t="str">
        <f>_xlfn.XLOOKUP($A180,Map!$A:$A,Map!D:D)</f>
        <v>General and Admin</v>
      </c>
      <c r="I180" t="str">
        <f>_xlfn.XLOOKUP($A180,Map!$A:$A,Map!E:E)</f>
        <v xml:space="preserve">Back office Support </v>
      </c>
      <c r="J180" t="str">
        <f>_xlfn.XLOOKUP($A180,Map!$A:$A,Map!F:F)</f>
        <v>Consumables</v>
      </c>
    </row>
    <row r="181" spans="1:10" hidden="1" x14ac:dyDescent="0.25">
      <c r="A181" s="90">
        <v>700036</v>
      </c>
      <c r="B181" s="90" t="s">
        <v>206</v>
      </c>
      <c r="C181" s="91">
        <v>0</v>
      </c>
      <c r="D181" s="91">
        <v>83074</v>
      </c>
      <c r="E181" s="91">
        <v>367</v>
      </c>
      <c r="F181" s="91">
        <v>82707</v>
      </c>
      <c r="G181" t="str">
        <f>_xlfn.XLOOKUP($A181,Map!$A:$A,Map!C:C)</f>
        <v>IS</v>
      </c>
      <c r="H181" t="str">
        <f>_xlfn.XLOOKUP($A181,Map!$A:$A,Map!D:D)</f>
        <v>General and Admin</v>
      </c>
      <c r="I181" t="str">
        <f>_xlfn.XLOOKUP($A181,Map!$A:$A,Map!E:E)</f>
        <v>Utilities</v>
      </c>
      <c r="J181" t="str">
        <f>_xlfn.XLOOKUP($A181,Map!$A:$A,Map!F:F)</f>
        <v>Vehicle insurance</v>
      </c>
    </row>
    <row r="182" spans="1:10" hidden="1" x14ac:dyDescent="0.25">
      <c r="A182" s="90">
        <v>700037</v>
      </c>
      <c r="B182" s="90" t="s">
        <v>207</v>
      </c>
      <c r="C182" s="91">
        <v>0</v>
      </c>
      <c r="D182" s="91">
        <v>0</v>
      </c>
      <c r="E182" s="91">
        <v>0</v>
      </c>
      <c r="F182" s="91">
        <v>0</v>
      </c>
      <c r="G182" t="str">
        <f>_xlfn.XLOOKUP($A182,Map!$A:$A,Map!C:C)</f>
        <v>IS</v>
      </c>
      <c r="H182" t="str">
        <f>_xlfn.XLOOKUP($A182,Map!$A:$A,Map!D:D)</f>
        <v>Finance cost</v>
      </c>
      <c r="I182" t="str">
        <f>_xlfn.XLOOKUP($A182,Map!$A:$A,Map!E:E)</f>
        <v>Finance cost</v>
      </c>
      <c r="J182" t="str">
        <f>_xlfn.XLOOKUP($A182,Map!$A:$A,Map!F:F)</f>
        <v>Lease interest</v>
      </c>
    </row>
    <row r="183" spans="1:10" hidden="1" x14ac:dyDescent="0.25">
      <c r="A183" s="90">
        <v>700038</v>
      </c>
      <c r="B183" s="90" t="s">
        <v>208</v>
      </c>
      <c r="C183" s="91">
        <v>0</v>
      </c>
      <c r="D183" s="91">
        <v>112470.72</v>
      </c>
      <c r="E183" s="91">
        <v>20875</v>
      </c>
      <c r="F183" s="91">
        <v>91595.72</v>
      </c>
      <c r="G183" t="str">
        <f>_xlfn.XLOOKUP($A183,Map!$A:$A,Map!C:C)</f>
        <v>IS</v>
      </c>
      <c r="H183" t="str">
        <f>_xlfn.XLOOKUP($A183,Map!$A:$A,Map!D:D)</f>
        <v>General and Admin</v>
      </c>
      <c r="I183" t="str">
        <f>_xlfn.XLOOKUP($A183,Map!$A:$A,Map!E:E)</f>
        <v>Business travel</v>
      </c>
      <c r="J183" t="str">
        <f>_xlfn.XLOOKUP($A183,Map!$A:$A,Map!F:F)</f>
        <v>Bussiness trip expenses</v>
      </c>
    </row>
    <row r="184" spans="1:10" hidden="1" x14ac:dyDescent="0.25">
      <c r="A184" s="90">
        <v>700039</v>
      </c>
      <c r="B184" s="90" t="s">
        <v>209</v>
      </c>
      <c r="C184" s="91">
        <v>0</v>
      </c>
      <c r="D184" s="91">
        <v>7787.2</v>
      </c>
      <c r="E184" s="91">
        <v>0</v>
      </c>
      <c r="F184" s="91">
        <v>7787.2</v>
      </c>
      <c r="G184" t="str">
        <f>_xlfn.XLOOKUP($A184,Map!$A:$A,Map!C:C)</f>
        <v>IS</v>
      </c>
      <c r="H184" t="str">
        <f>_xlfn.XLOOKUP($A184,Map!$A:$A,Map!D:D)</f>
        <v>Selling and Marketing</v>
      </c>
      <c r="I184" t="str">
        <f>_xlfn.XLOOKUP($A184,Map!$A:$A,Map!E:E)</f>
        <v>Buffet expenses</v>
      </c>
      <c r="J184" t="str">
        <f>_xlfn.XLOOKUP($A184,Map!$A:$A,Map!F:F)</f>
        <v>Buffet expenses</v>
      </c>
    </row>
    <row r="185" spans="1:10" hidden="1" x14ac:dyDescent="0.25">
      <c r="A185" s="90">
        <v>700040</v>
      </c>
      <c r="B185" s="90" t="s">
        <v>210</v>
      </c>
      <c r="C185" s="91">
        <v>0</v>
      </c>
      <c r="D185" s="91">
        <v>28017</v>
      </c>
      <c r="E185" s="91">
        <v>0</v>
      </c>
      <c r="F185" s="91">
        <v>28017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Utilities</v>
      </c>
      <c r="J185" t="str">
        <f>_xlfn.XLOOKUP($A185,Map!$A:$A,Map!F:F)</f>
        <v xml:space="preserve">Cleaning Expenses </v>
      </c>
    </row>
    <row r="186" spans="1:10" hidden="1" x14ac:dyDescent="0.25">
      <c r="A186" s="90">
        <v>700041</v>
      </c>
      <c r="B186" s="90" t="s">
        <v>211</v>
      </c>
      <c r="C186" s="91">
        <v>0</v>
      </c>
      <c r="D186" s="91">
        <v>30254.87</v>
      </c>
      <c r="E186" s="91">
        <v>0</v>
      </c>
      <c r="F186" s="91">
        <v>30254.87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Salaries and wages</v>
      </c>
      <c r="J186" t="str">
        <f>_xlfn.XLOOKUP($A186,Map!$A:$A,Map!F:F)</f>
        <v>Recruitment</v>
      </c>
    </row>
    <row r="187" spans="1:10" hidden="1" x14ac:dyDescent="0.25">
      <c r="A187" s="90">
        <v>700043</v>
      </c>
      <c r="B187" s="90" t="s">
        <v>213</v>
      </c>
      <c r="C187" s="91">
        <v>0</v>
      </c>
      <c r="D187" s="91">
        <v>15650</v>
      </c>
      <c r="E187" s="91">
        <v>0</v>
      </c>
      <c r="F187" s="91">
        <v>15650</v>
      </c>
      <c r="G187" t="str">
        <f>_xlfn.XLOOKUP($A187,Map!$A:$A,Map!C:C)</f>
        <v>IS</v>
      </c>
      <c r="H187" t="str">
        <f>_xlfn.XLOOKUP($A187,Map!$A:$A,Map!D:D)</f>
        <v>General and Admin</v>
      </c>
      <c r="I187" t="str">
        <f>_xlfn.XLOOKUP($A187,Map!$A:$A,Map!E:E)</f>
        <v>Govt license and fees (including modon)</v>
      </c>
      <c r="J187" t="str">
        <f>_xlfn.XLOOKUP($A187,Map!$A:$A,Map!F:F)</f>
        <v>Licenses and fees</v>
      </c>
    </row>
    <row r="188" spans="1:10" hidden="1" x14ac:dyDescent="0.25">
      <c r="A188" s="90">
        <v>700044</v>
      </c>
      <c r="B188" s="90" t="s">
        <v>214</v>
      </c>
      <c r="C188" s="91">
        <v>0</v>
      </c>
      <c r="D188" s="91">
        <v>37940.697999999997</v>
      </c>
      <c r="E188" s="91">
        <v>0</v>
      </c>
      <c r="F188" s="91">
        <v>37940.697999999997</v>
      </c>
      <c r="G188" t="str">
        <f>_xlfn.XLOOKUP($A188,Map!$A:$A,Map!C:C)</f>
        <v>IS</v>
      </c>
      <c r="H188" t="str">
        <f>_xlfn.XLOOKUP($A188,Map!$A:$A,Map!D:D)</f>
        <v>General and Admin</v>
      </c>
      <c r="I188" t="str">
        <f>_xlfn.XLOOKUP($A188,Map!$A:$A,Map!E:E)</f>
        <v>Govt license and fees (including modon)</v>
      </c>
      <c r="J188" t="str">
        <f>_xlfn.XLOOKUP($A188,Map!$A:$A,Map!F:F)</f>
        <v>Government fees</v>
      </c>
    </row>
    <row r="189" spans="1:10" hidden="1" x14ac:dyDescent="0.25">
      <c r="A189" s="90">
        <v>700045</v>
      </c>
      <c r="B189" s="90" t="s">
        <v>215</v>
      </c>
      <c r="C189" s="91">
        <v>0</v>
      </c>
      <c r="D189" s="91">
        <v>2012093.7720000001</v>
      </c>
      <c r="E189" s="91">
        <v>443758.77100000001</v>
      </c>
      <c r="F189" s="91">
        <v>1568335.0009999999</v>
      </c>
      <c r="G189" t="str">
        <f>_xlfn.XLOOKUP($A189,Map!$A:$A,Map!C:C)</f>
        <v>IS</v>
      </c>
      <c r="H189" t="str">
        <f>_xlfn.XLOOKUP($A189,Map!$A:$A,Map!D:D)</f>
        <v>Finance cost</v>
      </c>
      <c r="I189" t="str">
        <f>_xlfn.XLOOKUP($A189,Map!$A:$A,Map!E:E)</f>
        <v>Finance cost</v>
      </c>
      <c r="J189" t="str">
        <f>_xlfn.XLOOKUP($A189,Map!$A:$A,Map!F:F)</f>
        <v>Bank charges</v>
      </c>
    </row>
    <row r="190" spans="1:10" hidden="1" x14ac:dyDescent="0.25">
      <c r="A190" s="90">
        <v>700048</v>
      </c>
      <c r="B190" s="90" t="s">
        <v>216</v>
      </c>
      <c r="C190" s="91">
        <v>0</v>
      </c>
      <c r="D190" s="91">
        <v>1319039</v>
      </c>
      <c r="E190" s="91">
        <v>324389.77</v>
      </c>
      <c r="F190" s="91">
        <v>994649.23</v>
      </c>
      <c r="G190" t="str">
        <f>_xlfn.XLOOKUP($A190,Map!$A:$A,Map!C:C)</f>
        <v>IS</v>
      </c>
      <c r="H190" t="str">
        <f>_xlfn.XLOOKUP($A190,Map!$A:$A,Map!D:D)</f>
        <v>Zakat</v>
      </c>
      <c r="I190" t="str">
        <f>_xlfn.XLOOKUP($A190,Map!$A:$A,Map!E:E)</f>
        <v>Zakat expenses</v>
      </c>
      <c r="J190" t="str">
        <f>_xlfn.XLOOKUP($A190,Map!$A:$A,Map!F:F)</f>
        <v>Zakat expenses</v>
      </c>
    </row>
    <row r="191" spans="1:10" hidden="1" x14ac:dyDescent="0.25">
      <c r="A191" s="90">
        <v>700050</v>
      </c>
      <c r="B191" s="90" t="s">
        <v>218</v>
      </c>
      <c r="C191" s="91">
        <v>0</v>
      </c>
      <c r="D191" s="91">
        <v>531.66999999999996</v>
      </c>
      <c r="E191" s="91">
        <v>0</v>
      </c>
      <c r="F191" s="91">
        <v>531.66999999999996</v>
      </c>
      <c r="G191" t="str">
        <f>_xlfn.XLOOKUP($A191,Map!$A:$A,Map!C:C)</f>
        <v>IS</v>
      </c>
      <c r="H191" t="str">
        <f>_xlfn.XLOOKUP($A191,Map!$A:$A,Map!D:D)</f>
        <v>Depreciation expenses</v>
      </c>
      <c r="I191" t="str">
        <f>_xlfn.XLOOKUP($A191,Map!$A:$A,Map!E:E)</f>
        <v>Depreciation expenses</v>
      </c>
      <c r="J191" t="str">
        <f>_xlfn.XLOOKUP($A191,Map!$A:$A,Map!F:F)</f>
        <v>Depreciation of property, plant and equipment</v>
      </c>
    </row>
    <row r="192" spans="1:10" hidden="1" x14ac:dyDescent="0.25">
      <c r="A192" s="90">
        <v>700052</v>
      </c>
      <c r="B192" s="90" t="s">
        <v>219</v>
      </c>
      <c r="C192" s="91">
        <v>0</v>
      </c>
      <c r="D192" s="91">
        <v>397.74</v>
      </c>
      <c r="E192" s="91">
        <v>397.74</v>
      </c>
      <c r="F192" s="91">
        <v>0</v>
      </c>
      <c r="G192" t="str">
        <f>_xlfn.XLOOKUP($A192,Map!$A:$A,Map!C:C)</f>
        <v>IS</v>
      </c>
      <c r="H192" t="str">
        <f>_xlfn.XLOOKUP($A192,Map!$A:$A,Map!D:D)</f>
        <v>Depreciation expenses</v>
      </c>
      <c r="I192" t="str">
        <f>_xlfn.XLOOKUP($A192,Map!$A:$A,Map!E:E)</f>
        <v>Depreciation expenses</v>
      </c>
      <c r="J192" t="str">
        <f>_xlfn.XLOOKUP($A192,Map!$A:$A,Map!F:F)</f>
        <v>Depreciation of property, plant and equipment</v>
      </c>
    </row>
    <row r="193" spans="1:10" hidden="1" x14ac:dyDescent="0.25">
      <c r="A193" s="90">
        <v>700053</v>
      </c>
      <c r="B193" s="90" t="s">
        <v>220</v>
      </c>
      <c r="C193" s="91">
        <v>0</v>
      </c>
      <c r="D193" s="91">
        <v>0</v>
      </c>
      <c r="E193" s="91">
        <v>0</v>
      </c>
      <c r="F193" s="91">
        <v>0</v>
      </c>
      <c r="G193" t="str">
        <f>_xlfn.XLOOKUP($A193,Map!$A:$A,Map!C:C)</f>
        <v>IS</v>
      </c>
      <c r="H193" t="str">
        <f>_xlfn.XLOOKUP($A193,Map!$A:$A,Map!D:D)</f>
        <v>Depreciation expenses</v>
      </c>
      <c r="I193" t="str">
        <f>_xlfn.XLOOKUP($A193,Map!$A:$A,Map!E:E)</f>
        <v>Depreciation expenses</v>
      </c>
      <c r="J193" t="str">
        <f>_xlfn.XLOOKUP($A193,Map!$A:$A,Map!F:F)</f>
        <v>Depreciation of property, plant and equipment</v>
      </c>
    </row>
    <row r="194" spans="1:10" hidden="1" x14ac:dyDescent="0.25">
      <c r="A194" s="90">
        <v>700054</v>
      </c>
      <c r="B194" s="90" t="s">
        <v>221</v>
      </c>
      <c r="C194" s="91">
        <v>0</v>
      </c>
      <c r="D194" s="91">
        <v>190020.83</v>
      </c>
      <c r="E194" s="91">
        <v>350</v>
      </c>
      <c r="F194" s="91">
        <v>189670.83</v>
      </c>
      <c r="G194" t="str">
        <f>_xlfn.XLOOKUP($A194,Map!$A:$A,Map!C:C)</f>
        <v>IS</v>
      </c>
      <c r="H194" t="str">
        <f>_xlfn.XLOOKUP($A194,Map!$A:$A,Map!D:D)</f>
        <v>Depreciation expenses</v>
      </c>
      <c r="I194" t="str">
        <f>_xlfn.XLOOKUP($A194,Map!$A:$A,Map!E:E)</f>
        <v>Depreciation expenses</v>
      </c>
      <c r="J194" t="str">
        <f>_xlfn.XLOOKUP($A194,Map!$A:$A,Map!F:F)</f>
        <v>Depreciation of property, plant and equipment</v>
      </c>
    </row>
    <row r="195" spans="1:10" hidden="1" x14ac:dyDescent="0.25">
      <c r="A195" s="90">
        <v>700055</v>
      </c>
      <c r="B195" s="90" t="s">
        <v>222</v>
      </c>
      <c r="C195" s="91">
        <v>0</v>
      </c>
      <c r="D195" s="91">
        <v>179702.46100000001</v>
      </c>
      <c r="E195" s="91">
        <v>0</v>
      </c>
      <c r="F195" s="91">
        <v>179702.46100000001</v>
      </c>
      <c r="G195" t="str">
        <f>_xlfn.XLOOKUP($A195,Map!$A:$A,Map!C:C)</f>
        <v>IS</v>
      </c>
      <c r="H195" t="str">
        <f>_xlfn.XLOOKUP($A195,Map!$A:$A,Map!D:D)</f>
        <v>Depreciation expenses</v>
      </c>
      <c r="I195" t="str">
        <f>_xlfn.XLOOKUP($A195,Map!$A:$A,Map!E:E)</f>
        <v>Depreciation expenses</v>
      </c>
      <c r="J195" t="str">
        <f>_xlfn.XLOOKUP($A195,Map!$A:$A,Map!F:F)</f>
        <v>Depreciation of property, plant and equipment</v>
      </c>
    </row>
    <row r="196" spans="1:10" hidden="1" x14ac:dyDescent="0.25">
      <c r="A196" s="90">
        <v>700056</v>
      </c>
      <c r="B196" s="90" t="s">
        <v>223</v>
      </c>
      <c r="C196" s="91">
        <v>0</v>
      </c>
      <c r="D196" s="91">
        <v>0</v>
      </c>
      <c r="E196" s="91">
        <v>0</v>
      </c>
      <c r="F196" s="91">
        <v>0</v>
      </c>
      <c r="G196" t="str">
        <f>_xlfn.XLOOKUP($A196,Map!$A:$A,Map!C:C)</f>
        <v>IS</v>
      </c>
      <c r="H196" t="str">
        <f>_xlfn.XLOOKUP($A196,Map!$A:$A,Map!D:D)</f>
        <v>Depreciation expenses</v>
      </c>
      <c r="I196" t="str">
        <f>_xlfn.XLOOKUP($A196,Map!$A:$A,Map!E:E)</f>
        <v>Depreciation expenses</v>
      </c>
      <c r="J196" t="str">
        <f>_xlfn.XLOOKUP($A196,Map!$A:$A,Map!F:F)</f>
        <v>Depreciation of property, plant and equipment</v>
      </c>
    </row>
    <row r="197" spans="1:10" hidden="1" x14ac:dyDescent="0.25">
      <c r="A197" s="90">
        <v>700057</v>
      </c>
      <c r="B197" s="90" t="s">
        <v>224</v>
      </c>
      <c r="C197" s="91">
        <v>0</v>
      </c>
      <c r="D197" s="91">
        <v>506755.739</v>
      </c>
      <c r="E197" s="91">
        <v>57916.68</v>
      </c>
      <c r="F197" s="91">
        <v>448839.05900000001</v>
      </c>
      <c r="G197" t="str">
        <f>_xlfn.XLOOKUP($A197,Map!$A:$A,Map!C:C)</f>
        <v>IS</v>
      </c>
      <c r="H197" t="str">
        <f>_xlfn.XLOOKUP($A197,Map!$A:$A,Map!D:D)</f>
        <v>Cost of sales</v>
      </c>
      <c r="I197" t="str">
        <f>_xlfn.XLOOKUP($A197,Map!$A:$A,Map!E:E)</f>
        <v>Overhead - Rent</v>
      </c>
      <c r="J197" t="str">
        <f>_xlfn.XLOOKUP($A197,Map!$A:$A,Map!F:F)</f>
        <v>Warehouse Rent ( Khamis, Rioyadh, Dammam)</v>
      </c>
    </row>
    <row r="198" spans="1:10" hidden="1" x14ac:dyDescent="0.25">
      <c r="A198" s="90">
        <v>700058</v>
      </c>
      <c r="B198" s="90" t="s">
        <v>225</v>
      </c>
      <c r="C198" s="91">
        <v>0</v>
      </c>
      <c r="D198" s="91">
        <v>35415.370000000003</v>
      </c>
      <c r="E198" s="91">
        <v>0</v>
      </c>
      <c r="F198" s="91">
        <v>35415.370000000003</v>
      </c>
      <c r="G198" t="str">
        <f>_xlfn.XLOOKUP($A198,Map!$A:$A,Map!C:C)</f>
        <v>IS</v>
      </c>
      <c r="H198" t="str">
        <f>_xlfn.XLOOKUP($A198,Map!$A:$A,Map!D:D)</f>
        <v>Selling and Marketing</v>
      </c>
      <c r="I198" t="str">
        <f>_xlfn.XLOOKUP($A198,Map!$A:$A,Map!E:E)</f>
        <v>Advertising and promotion expenses</v>
      </c>
      <c r="J198" t="str">
        <f>_xlfn.XLOOKUP($A198,Map!$A:$A,Map!F:F)</f>
        <v>Advertising and promotion expenses</v>
      </c>
    </row>
    <row r="199" spans="1:10" hidden="1" x14ac:dyDescent="0.25">
      <c r="A199" s="90">
        <v>700059</v>
      </c>
      <c r="B199" s="90" t="s">
        <v>226</v>
      </c>
      <c r="C199" s="91">
        <v>0</v>
      </c>
      <c r="D199" s="91">
        <v>0</v>
      </c>
      <c r="E199" s="91">
        <v>0</v>
      </c>
      <c r="F199" s="91">
        <v>0</v>
      </c>
      <c r="G199" t="str">
        <f>_xlfn.XLOOKUP($A199,Map!$A:$A,Map!C:C)</f>
        <v>IS</v>
      </c>
      <c r="H199" t="str">
        <f>_xlfn.XLOOKUP($A199,Map!$A:$A,Map!D:D)</f>
        <v>Selling and Marketing</v>
      </c>
      <c r="I199" t="str">
        <f>_xlfn.XLOOKUP($A199,Map!$A:$A,Map!E:E)</f>
        <v>Exhibitions</v>
      </c>
      <c r="J199" t="str">
        <f>_xlfn.XLOOKUP($A199,Map!$A:$A,Map!F:F)</f>
        <v>Exhibitions</v>
      </c>
    </row>
    <row r="200" spans="1:10" hidden="1" x14ac:dyDescent="0.25">
      <c r="A200" s="90">
        <v>700060</v>
      </c>
      <c r="B200" s="90" t="s">
        <v>227</v>
      </c>
      <c r="C200" s="91">
        <v>0</v>
      </c>
      <c r="D200" s="91">
        <v>2384497.64</v>
      </c>
      <c r="E200" s="91">
        <v>151264</v>
      </c>
      <c r="F200" s="91">
        <v>2233233.64</v>
      </c>
      <c r="G200" t="str">
        <f>_xlfn.XLOOKUP($A200,Map!$A:$A,Map!C:C)</f>
        <v>IS</v>
      </c>
      <c r="H200" t="str">
        <f>_xlfn.XLOOKUP($A200,Map!$A:$A,Map!D:D)</f>
        <v>Cost of sales</v>
      </c>
      <c r="I200" t="str">
        <f>_xlfn.XLOOKUP($A200,Map!$A:$A,Map!E:E)</f>
        <v>Freight expenses</v>
      </c>
      <c r="J200" t="str">
        <f>_xlfn.XLOOKUP($A200,Map!$A:$A,Map!F:F)</f>
        <v>Freight expenses</v>
      </c>
    </row>
    <row r="201" spans="1:10" hidden="1" x14ac:dyDescent="0.25">
      <c r="A201" s="90">
        <v>700061</v>
      </c>
      <c r="B201" s="90" t="s">
        <v>228</v>
      </c>
      <c r="C201" s="91">
        <v>0</v>
      </c>
      <c r="D201" s="91">
        <v>246478.318</v>
      </c>
      <c r="E201" s="91">
        <v>7389</v>
      </c>
      <c r="F201" s="91">
        <v>239089.318</v>
      </c>
      <c r="G201" t="str">
        <f>_xlfn.XLOOKUP($A201,Map!$A:$A,Map!C:C)</f>
        <v>IS</v>
      </c>
      <c r="H201" t="str">
        <f>_xlfn.XLOOKUP($A201,Map!$A:$A,Map!D:D)</f>
        <v>Selling and Marketing</v>
      </c>
      <c r="I201" t="str">
        <f>_xlfn.XLOOKUP($A201,Map!$A:$A,Map!E:E)</f>
        <v>Commission expenses</v>
      </c>
      <c r="J201" t="str">
        <f>_xlfn.XLOOKUP($A201,Map!$A:$A,Map!F:F)</f>
        <v>Commission expenses</v>
      </c>
    </row>
    <row r="202" spans="1:10" hidden="1" x14ac:dyDescent="0.25">
      <c r="A202" s="90">
        <v>700062</v>
      </c>
      <c r="B202" s="90" t="s">
        <v>229</v>
      </c>
      <c r="C202" s="91">
        <v>0</v>
      </c>
      <c r="D202" s="91">
        <v>0</v>
      </c>
      <c r="E202" s="91">
        <v>0</v>
      </c>
      <c r="F202" s="91">
        <v>0</v>
      </c>
      <c r="G202" t="str">
        <f>_xlfn.XLOOKUP($A202,Map!$A:$A,Map!C:C)</f>
        <v>IS</v>
      </c>
      <c r="H202" t="str">
        <f>_xlfn.XLOOKUP($A202,Map!$A:$A,Map!D:D)</f>
        <v>Revised provision on Bad Debts</v>
      </c>
      <c r="I202" t="str">
        <f>_xlfn.XLOOKUP($A202,Map!$A:$A,Map!E:E)</f>
        <v>Bad debts expense</v>
      </c>
      <c r="J202" t="str">
        <f>_xlfn.XLOOKUP($A202,Map!$A:$A,Map!F:F)</f>
        <v>Bad debts expense</v>
      </c>
    </row>
    <row r="203" spans="1:10" hidden="1" x14ac:dyDescent="0.25">
      <c r="A203" s="90">
        <v>700063</v>
      </c>
      <c r="B203" s="90" t="s">
        <v>230</v>
      </c>
      <c r="C203" s="91">
        <v>0</v>
      </c>
      <c r="D203" s="91">
        <v>589734.25</v>
      </c>
      <c r="E203" s="91">
        <v>63496.82</v>
      </c>
      <c r="F203" s="91">
        <v>526237.43000000005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>Salaries and wages</v>
      </c>
      <c r="J203" t="str">
        <f>_xlfn.XLOOKUP($A203,Map!$A:$A,Map!F:F)</f>
        <v>GOSI</v>
      </c>
    </row>
    <row r="204" spans="1:10" hidden="1" x14ac:dyDescent="0.25">
      <c r="A204" s="90">
        <v>700064</v>
      </c>
      <c r="B204" s="90" t="s">
        <v>231</v>
      </c>
      <c r="C204" s="91">
        <v>0</v>
      </c>
      <c r="D204" s="91">
        <v>6580059</v>
      </c>
      <c r="E204" s="91">
        <v>916108</v>
      </c>
      <c r="F204" s="91">
        <v>5663951</v>
      </c>
      <c r="G204" t="str">
        <f>_xlfn.XLOOKUP($A204,Map!$A:$A,Map!C:C)</f>
        <v>IS</v>
      </c>
      <c r="H204" t="str">
        <f>_xlfn.XLOOKUP($A204,Map!$A:$A,Map!D:D)</f>
        <v>Pre-operating expenses</v>
      </c>
      <c r="I204" t="str">
        <f>_xlfn.XLOOKUP($A204,Map!$A:$A,Map!E:E)</f>
        <v>Pre-operating expenses</v>
      </c>
      <c r="J204" t="str">
        <f>_xlfn.XLOOKUP($A204,Map!$A:$A,Map!F:F)</f>
        <v>Amortization</v>
      </c>
    </row>
    <row r="205" spans="1:10" hidden="1" x14ac:dyDescent="0.25">
      <c r="G205"/>
      <c r="H205"/>
      <c r="I205"/>
      <c r="J205"/>
    </row>
    <row r="206" spans="1:10" hidden="1" x14ac:dyDescent="0.25">
      <c r="C206" s="93">
        <f>SUBTOTAL(9,C5:C205)</f>
        <v>-26152571.23</v>
      </c>
      <c r="D206" s="93">
        <f>SUBTOTAL(9,D5:D205)</f>
        <v>51172157.011</v>
      </c>
      <c r="E206" s="93">
        <f>SUBTOTAL(9,E5:E205)</f>
        <v>25019585.780999999</v>
      </c>
      <c r="F206" s="93">
        <f>SUBTOTAL(9,F5:F205)</f>
        <v>0</v>
      </c>
    </row>
    <row r="207" spans="1:10" hidden="1" x14ac:dyDescent="0.25">
      <c r="C207" s="93"/>
      <c r="D207" s="93"/>
      <c r="E207" s="93"/>
      <c r="F207" s="93"/>
    </row>
    <row r="208" spans="1:10" hidden="1" x14ac:dyDescent="0.25">
      <c r="A208" s="5" t="s">
        <v>531</v>
      </c>
      <c r="D208" s="4"/>
      <c r="E208" s="4"/>
      <c r="F208" s="4"/>
    </row>
    <row r="209" spans="1:10" hidden="1" x14ac:dyDescent="0.25">
      <c r="A209" s="90">
        <v>600031</v>
      </c>
      <c r="B209" s="90" t="s">
        <v>723</v>
      </c>
      <c r="D209" s="91">
        <v>2409.9670000000001</v>
      </c>
      <c r="E209" s="91">
        <v>0</v>
      </c>
      <c r="F209" s="91">
        <f>D209-E209</f>
        <v>2409.9670000000001</v>
      </c>
      <c r="G209" t="str">
        <f>_xlfn.XLOOKUP($A209,Map!$A:$A,Map!C:C)</f>
        <v>IS</v>
      </c>
      <c r="H209" t="str">
        <f>_xlfn.XLOOKUP($A209,Map!$A:$A,Map!D:D)</f>
        <v>Depreciation expenses</v>
      </c>
      <c r="I209" t="str">
        <f>_xlfn.XLOOKUP($A209,Map!$A:$A,Map!E:E)</f>
        <v>Depreciation expenses</v>
      </c>
      <c r="J209" t="str">
        <f>_xlfn.XLOOKUP($A209,Map!$A:$A,Map!F:F)</f>
        <v>Depreciation of property, plant and equipment</v>
      </c>
    </row>
    <row r="210" spans="1:10" hidden="1" x14ac:dyDescent="0.25">
      <c r="A210" s="90">
        <v>600030</v>
      </c>
      <c r="B210" s="90" t="s">
        <v>723</v>
      </c>
      <c r="D210" s="91">
        <v>5931.53</v>
      </c>
      <c r="E210" s="91">
        <v>0</v>
      </c>
      <c r="F210" s="91">
        <f t="shared" ref="F210:F273" si="0">D210-E210</f>
        <v>5931.53</v>
      </c>
      <c r="G210" t="str">
        <f>_xlfn.XLOOKUP($A210,Map!$A:$A,Map!C:C)</f>
        <v>IS</v>
      </c>
      <c r="H210" t="str">
        <f>_xlfn.XLOOKUP($A210,Map!$A:$A,Map!D:D)</f>
        <v>Depreciation expenses</v>
      </c>
      <c r="I210" t="str">
        <f>_xlfn.XLOOKUP($A210,Map!$A:$A,Map!E:E)</f>
        <v>Depreciation expenses</v>
      </c>
      <c r="J210" t="str">
        <f>_xlfn.XLOOKUP($A210,Map!$A:$A,Map!F:F)</f>
        <v>Depreciation of property, plant and equipment</v>
      </c>
    </row>
    <row r="211" spans="1:10" hidden="1" x14ac:dyDescent="0.25">
      <c r="A211" s="90">
        <v>600029</v>
      </c>
      <c r="B211" s="90" t="s">
        <v>723</v>
      </c>
      <c r="D211" s="91">
        <v>3533037.389</v>
      </c>
      <c r="E211" s="91">
        <v>0</v>
      </c>
      <c r="F211" s="91">
        <f t="shared" si="0"/>
        <v>3533037.389</v>
      </c>
      <c r="G211" t="str">
        <f>_xlfn.XLOOKUP($A211,Map!$A:$A,Map!C:C)</f>
        <v>IS</v>
      </c>
      <c r="H211" t="str">
        <f>_xlfn.XLOOKUP($A211,Map!$A:$A,Map!D:D)</f>
        <v>Cost of sales</v>
      </c>
      <c r="I211" t="str">
        <f>_xlfn.XLOOKUP($A211,Map!$A:$A,Map!E:E)</f>
        <v>Depreciation - Machines</v>
      </c>
      <c r="J211" t="str">
        <f>_xlfn.XLOOKUP($A211,Map!$A:$A,Map!F:F)</f>
        <v>Depreciation of property, plant and equipment</v>
      </c>
    </row>
    <row r="212" spans="1:10" hidden="1" x14ac:dyDescent="0.25">
      <c r="A212" s="90">
        <v>600028</v>
      </c>
      <c r="B212" s="90" t="s">
        <v>723</v>
      </c>
      <c r="D212" s="91">
        <v>3483</v>
      </c>
      <c r="E212" s="91">
        <v>0</v>
      </c>
      <c r="F212" s="91">
        <f t="shared" si="0"/>
        <v>3483</v>
      </c>
      <c r="G212" t="str">
        <f>_xlfn.XLOOKUP($A212,Map!$A:$A,Map!C:C)</f>
        <v>IS</v>
      </c>
      <c r="H212" t="str">
        <f>_xlfn.XLOOKUP($A212,Map!$A:$A,Map!D:D)</f>
        <v>Cost of sales</v>
      </c>
      <c r="I212" t="str">
        <f>_xlfn.XLOOKUP($A212,Map!$A:$A,Map!E:E)</f>
        <v>Overhead - Consumables &amp; SP</v>
      </c>
      <c r="J212" t="str">
        <f>_xlfn.XLOOKUP($A212,Map!$A:$A,Map!F:F)</f>
        <v xml:space="preserve">Education &amp; Furniture Allowances </v>
      </c>
    </row>
    <row r="213" spans="1:10" hidden="1" x14ac:dyDescent="0.25">
      <c r="A213" s="90">
        <v>600027</v>
      </c>
      <c r="B213" s="90" t="s">
        <v>723</v>
      </c>
      <c r="D213" s="91">
        <v>308000.03999999998</v>
      </c>
      <c r="E213" s="91">
        <v>0</v>
      </c>
      <c r="F213" s="91">
        <f t="shared" si="0"/>
        <v>308000.03999999998</v>
      </c>
      <c r="G213" t="str">
        <f>_xlfn.XLOOKUP($A213,Map!$A:$A,Map!C:C)</f>
        <v>IS</v>
      </c>
      <c r="H213" t="str">
        <f>_xlfn.XLOOKUP($A213,Map!$A:$A,Map!D:D)</f>
        <v>Cost of sales</v>
      </c>
      <c r="I213" t="str">
        <f>_xlfn.XLOOKUP($A213,Map!$A:$A,Map!E:E)</f>
        <v>Overhead - Rent</v>
      </c>
      <c r="J213" t="str">
        <f>_xlfn.XLOOKUP($A213,Map!$A:$A,Map!F:F)</f>
        <v>Production hall rental</v>
      </c>
    </row>
    <row r="214" spans="1:10" hidden="1" x14ac:dyDescent="0.25">
      <c r="A214" s="90">
        <v>600024</v>
      </c>
      <c r="B214" s="90" t="s">
        <v>723</v>
      </c>
      <c r="D214" s="91">
        <v>11081</v>
      </c>
      <c r="E214" s="91">
        <v>0</v>
      </c>
      <c r="F214" s="91">
        <f t="shared" si="0"/>
        <v>11081</v>
      </c>
      <c r="G214" t="str">
        <f>_xlfn.XLOOKUP($A214,Map!$A:$A,Map!C:C)</f>
        <v>IS</v>
      </c>
      <c r="H214" t="str">
        <f>_xlfn.XLOOKUP($A214,Map!$A:$A,Map!D:D)</f>
        <v>Cost of sales</v>
      </c>
      <c r="I214" t="str">
        <f>_xlfn.XLOOKUP($A214,Map!$A:$A,Map!E:E)</f>
        <v>Overhead - Rent</v>
      </c>
      <c r="J214" t="str">
        <f>_xlfn.XLOOKUP($A214,Map!$A:$A,Map!F:F)</f>
        <v>Pump rental expenses</v>
      </c>
    </row>
    <row r="215" spans="1:10" hidden="1" x14ac:dyDescent="0.25">
      <c r="A215" s="90">
        <v>600024</v>
      </c>
      <c r="B215" s="90" t="s">
        <v>723</v>
      </c>
      <c r="D215" s="91">
        <v>22879.5</v>
      </c>
      <c r="E215" s="91">
        <v>0</v>
      </c>
      <c r="F215" s="91">
        <f t="shared" si="0"/>
        <v>22879.5</v>
      </c>
      <c r="G215" t="str">
        <f>_xlfn.XLOOKUP($A215,Map!$A:$A,Map!C:C)</f>
        <v>IS</v>
      </c>
      <c r="H215" t="str">
        <f>_xlfn.XLOOKUP($A215,Map!$A:$A,Map!D:D)</f>
        <v>Cost of sales</v>
      </c>
      <c r="I215" t="str">
        <f>_xlfn.XLOOKUP($A215,Map!$A:$A,Map!E:E)</f>
        <v>Overhead - Rent</v>
      </c>
      <c r="J215" t="str">
        <f>_xlfn.XLOOKUP($A215,Map!$A:$A,Map!F:F)</f>
        <v>Pump rental expenses</v>
      </c>
    </row>
    <row r="216" spans="1:10" hidden="1" x14ac:dyDescent="0.25">
      <c r="A216" s="90">
        <v>600022</v>
      </c>
      <c r="B216" s="90" t="s">
        <v>723</v>
      </c>
      <c r="D216" s="91">
        <v>9818</v>
      </c>
      <c r="E216" s="91">
        <v>0</v>
      </c>
      <c r="F216" s="91">
        <f t="shared" si="0"/>
        <v>9818</v>
      </c>
      <c r="G216" t="str">
        <f>_xlfn.XLOOKUP($A216,Map!$A:$A,Map!C:C)</f>
        <v>IS</v>
      </c>
      <c r="H216" t="str">
        <f>_xlfn.XLOOKUP($A216,Map!$A:$A,Map!D:D)</f>
        <v>Cost of sales</v>
      </c>
      <c r="I216" t="str">
        <f>_xlfn.XLOOKUP($A216,Map!$A:$A,Map!E:E)</f>
        <v>Overhead - R&amp;M</v>
      </c>
      <c r="J216" t="str">
        <f>_xlfn.XLOOKUP($A216,Map!$A:$A,Map!F:F)</f>
        <v>Building maintenance</v>
      </c>
    </row>
    <row r="217" spans="1:10" hidden="1" x14ac:dyDescent="0.25">
      <c r="A217" s="90">
        <v>600021</v>
      </c>
      <c r="B217" s="90" t="s">
        <v>723</v>
      </c>
      <c r="D217" s="91">
        <v>43973</v>
      </c>
      <c r="E217" s="91">
        <v>0</v>
      </c>
      <c r="F217" s="91">
        <f t="shared" si="0"/>
        <v>43973</v>
      </c>
      <c r="G217" t="str">
        <f>_xlfn.XLOOKUP($A217,Map!$A:$A,Map!C:C)</f>
        <v>IS</v>
      </c>
      <c r="H217" t="str">
        <f>_xlfn.XLOOKUP($A217,Map!$A:$A,Map!D:D)</f>
        <v>Cost of sales</v>
      </c>
      <c r="I217" t="str">
        <f>_xlfn.XLOOKUP($A217,Map!$A:$A,Map!E:E)</f>
        <v>Overhead - R&amp;M</v>
      </c>
      <c r="J217" t="str">
        <f>_xlfn.XLOOKUP($A217,Map!$A:$A,Map!F:F)</f>
        <v>Vehicle maintenance</v>
      </c>
    </row>
    <row r="218" spans="1:10" hidden="1" x14ac:dyDescent="0.25">
      <c r="A218" s="90">
        <v>600020</v>
      </c>
      <c r="B218" s="90" t="s">
        <v>723</v>
      </c>
      <c r="D218" s="91">
        <v>149977.74</v>
      </c>
      <c r="E218" s="91">
        <v>0</v>
      </c>
      <c r="F218" s="91">
        <f t="shared" si="0"/>
        <v>149977.74</v>
      </c>
      <c r="G218" t="str">
        <f>_xlfn.XLOOKUP($A218,Map!$A:$A,Map!C:C)</f>
        <v>IS</v>
      </c>
      <c r="H218" t="str">
        <f>_xlfn.XLOOKUP($A218,Map!$A:$A,Map!D:D)</f>
        <v>Cost of sales</v>
      </c>
      <c r="I218" t="str">
        <f>_xlfn.XLOOKUP($A218,Map!$A:$A,Map!E:E)</f>
        <v>Overhead - R&amp;M</v>
      </c>
      <c r="J218" t="str">
        <f>_xlfn.XLOOKUP($A218,Map!$A:$A,Map!F:F)</f>
        <v>Machine and equipment</v>
      </c>
    </row>
    <row r="219" spans="1:10" hidden="1" x14ac:dyDescent="0.25">
      <c r="A219" s="90">
        <v>600019</v>
      </c>
      <c r="B219" s="90" t="s">
        <v>723</v>
      </c>
      <c r="D219" s="91">
        <v>38839</v>
      </c>
      <c r="E219" s="91">
        <v>0</v>
      </c>
      <c r="F219" s="91">
        <f t="shared" si="0"/>
        <v>38839</v>
      </c>
      <c r="G219" t="str">
        <f>_xlfn.XLOOKUP($A219,Map!$A:$A,Map!C:C)</f>
        <v>IS</v>
      </c>
      <c r="H219" t="str">
        <f>_xlfn.XLOOKUP($A219,Map!$A:$A,Map!D:D)</f>
        <v>Cost of sales</v>
      </c>
      <c r="I219" t="str">
        <f>_xlfn.XLOOKUP($A219,Map!$A:$A,Map!E:E)</f>
        <v>Overhead - Utility</v>
      </c>
      <c r="J219" t="str">
        <f>_xlfn.XLOOKUP($A219,Map!$A:$A,Map!F:F)</f>
        <v>Fuel and oil</v>
      </c>
    </row>
    <row r="220" spans="1:10" hidden="1" x14ac:dyDescent="0.25">
      <c r="A220" s="90">
        <v>600018</v>
      </c>
      <c r="B220" s="90" t="s">
        <v>723</v>
      </c>
      <c r="D220" s="91">
        <v>84828</v>
      </c>
      <c r="E220" s="91">
        <v>0</v>
      </c>
      <c r="F220" s="91">
        <f t="shared" si="0"/>
        <v>84828</v>
      </c>
      <c r="G220" t="str">
        <f>_xlfn.XLOOKUP($A220,Map!$A:$A,Map!C:C)</f>
        <v>IS</v>
      </c>
      <c r="H220" t="str">
        <f>_xlfn.XLOOKUP($A220,Map!$A:$A,Map!D:D)</f>
        <v>Cost of sales</v>
      </c>
      <c r="I220" t="str">
        <f>_xlfn.XLOOKUP($A220,Map!$A:$A,Map!E:E)</f>
        <v>Overhead - Utility</v>
      </c>
      <c r="J220" t="str">
        <f>_xlfn.XLOOKUP($A220,Map!$A:$A,Map!F:F)</f>
        <v>Water expenses</v>
      </c>
    </row>
    <row r="221" spans="1:10" hidden="1" x14ac:dyDescent="0.25">
      <c r="A221" s="90">
        <v>600017</v>
      </c>
      <c r="B221" s="90" t="s">
        <v>723</v>
      </c>
      <c r="D221" s="91">
        <v>1855447.81</v>
      </c>
      <c r="E221" s="91">
        <v>0</v>
      </c>
      <c r="F221" s="91">
        <f t="shared" si="0"/>
        <v>1855447.81</v>
      </c>
      <c r="G221" t="str">
        <f>_xlfn.XLOOKUP($A221,Map!$A:$A,Map!C:C)</f>
        <v>IS</v>
      </c>
      <c r="H221" t="str">
        <f>_xlfn.XLOOKUP($A221,Map!$A:$A,Map!D:D)</f>
        <v>Cost of sales</v>
      </c>
      <c r="I221" t="str">
        <f>_xlfn.XLOOKUP($A221,Map!$A:$A,Map!E:E)</f>
        <v>Overhead - Utility</v>
      </c>
      <c r="J221" t="str">
        <f>_xlfn.XLOOKUP($A221,Map!$A:$A,Map!F:F)</f>
        <v>Electricity expenses</v>
      </c>
    </row>
    <row r="222" spans="1:10" hidden="1" x14ac:dyDescent="0.25">
      <c r="A222" s="90">
        <v>600016</v>
      </c>
      <c r="B222" s="90" t="s">
        <v>723</v>
      </c>
      <c r="D222" s="91">
        <v>222550.00099999999</v>
      </c>
      <c r="E222" s="91">
        <v>0</v>
      </c>
      <c r="F222" s="91">
        <f t="shared" si="0"/>
        <v>222550.00099999999</v>
      </c>
      <c r="G222" t="str">
        <f>_xlfn.XLOOKUP($A222,Map!$A:$A,Map!C:C)</f>
        <v>IS</v>
      </c>
      <c r="H222" t="str">
        <f>_xlfn.XLOOKUP($A222,Map!$A:$A,Map!D:D)</f>
        <v>Cost of sales</v>
      </c>
      <c r="I222" t="str">
        <f>_xlfn.XLOOKUP($A222,Map!$A:$A,Map!E:E)</f>
        <v>Overhead - Consumables &amp; SP</v>
      </c>
      <c r="J222" t="str">
        <f>_xlfn.XLOOKUP($A222,Map!$A:$A,Map!F:F)</f>
        <v>Tools</v>
      </c>
    </row>
    <row r="223" spans="1:10" hidden="1" x14ac:dyDescent="0.25">
      <c r="A223" s="90">
        <v>600016</v>
      </c>
      <c r="B223" s="90" t="s">
        <v>723</v>
      </c>
      <c r="D223" s="91">
        <v>222550.00099999999</v>
      </c>
      <c r="E223" s="91">
        <v>0</v>
      </c>
      <c r="F223" s="91">
        <f t="shared" si="0"/>
        <v>222550.00099999999</v>
      </c>
      <c r="G223" t="str">
        <f>_xlfn.XLOOKUP($A223,Map!$A:$A,Map!C:C)</f>
        <v>IS</v>
      </c>
      <c r="H223" t="str">
        <f>_xlfn.XLOOKUP($A223,Map!$A:$A,Map!D:D)</f>
        <v>Cost of sales</v>
      </c>
      <c r="I223" t="str">
        <f>_xlfn.XLOOKUP($A223,Map!$A:$A,Map!E:E)</f>
        <v>Overhead - Consumables &amp; SP</v>
      </c>
      <c r="J223" t="str">
        <f>_xlfn.XLOOKUP($A223,Map!$A:$A,Map!F:F)</f>
        <v>Tools</v>
      </c>
    </row>
    <row r="224" spans="1:10" hidden="1" x14ac:dyDescent="0.25">
      <c r="A224" s="90">
        <v>600016</v>
      </c>
      <c r="B224" s="90" t="s">
        <v>723</v>
      </c>
      <c r="D224" s="91">
        <v>222545.00099999999</v>
      </c>
      <c r="E224" s="91">
        <v>0</v>
      </c>
      <c r="F224" s="91">
        <f t="shared" si="0"/>
        <v>222545.00099999999</v>
      </c>
      <c r="G224" t="str">
        <f>_xlfn.XLOOKUP($A224,Map!$A:$A,Map!C:C)</f>
        <v>IS</v>
      </c>
      <c r="H224" t="str">
        <f>_xlfn.XLOOKUP($A224,Map!$A:$A,Map!D:D)</f>
        <v>Cost of sales</v>
      </c>
      <c r="I224" t="str">
        <f>_xlfn.XLOOKUP($A224,Map!$A:$A,Map!E:E)</f>
        <v>Overhead - Consumables &amp; SP</v>
      </c>
      <c r="J224" t="str">
        <f>_xlfn.XLOOKUP($A224,Map!$A:$A,Map!F:F)</f>
        <v>Tools</v>
      </c>
    </row>
    <row r="225" spans="1:10" hidden="1" x14ac:dyDescent="0.25">
      <c r="A225" s="90">
        <v>600016</v>
      </c>
      <c r="B225" s="90" t="s">
        <v>723</v>
      </c>
      <c r="D225" s="91">
        <v>222550.00099999999</v>
      </c>
      <c r="E225" s="91">
        <v>0</v>
      </c>
      <c r="F225" s="91">
        <f t="shared" si="0"/>
        <v>222550.00099999999</v>
      </c>
      <c r="G225" t="str">
        <f>_xlfn.XLOOKUP($A225,Map!$A:$A,Map!C:C)</f>
        <v>IS</v>
      </c>
      <c r="H225" t="str">
        <f>_xlfn.XLOOKUP($A225,Map!$A:$A,Map!D:D)</f>
        <v>Cost of sales</v>
      </c>
      <c r="I225" t="str">
        <f>_xlfn.XLOOKUP($A225,Map!$A:$A,Map!E:E)</f>
        <v>Overhead - Consumables &amp; SP</v>
      </c>
      <c r="J225" t="str">
        <f>_xlfn.XLOOKUP($A225,Map!$A:$A,Map!F:F)</f>
        <v>Tools</v>
      </c>
    </row>
    <row r="226" spans="1:10" hidden="1" x14ac:dyDescent="0.25">
      <c r="A226" s="90">
        <v>600016</v>
      </c>
      <c r="B226" s="90" t="s">
        <v>723</v>
      </c>
      <c r="D226" s="91">
        <v>516362.3</v>
      </c>
      <c r="E226" s="91">
        <v>0</v>
      </c>
      <c r="F226" s="91">
        <f t="shared" si="0"/>
        <v>516362.3</v>
      </c>
      <c r="G226" t="str">
        <f>_xlfn.XLOOKUP($A226,Map!$A:$A,Map!C:C)</f>
        <v>IS</v>
      </c>
      <c r="H226" t="str">
        <f>_xlfn.XLOOKUP($A226,Map!$A:$A,Map!D:D)</f>
        <v>Cost of sales</v>
      </c>
      <c r="I226" t="str">
        <f>_xlfn.XLOOKUP($A226,Map!$A:$A,Map!E:E)</f>
        <v>Overhead - Consumables &amp; SP</v>
      </c>
      <c r="J226" t="str">
        <f>_xlfn.XLOOKUP($A226,Map!$A:$A,Map!F:F)</f>
        <v>Tools</v>
      </c>
    </row>
    <row r="227" spans="1:10" hidden="1" x14ac:dyDescent="0.25">
      <c r="A227" s="90">
        <v>600015</v>
      </c>
      <c r="B227" s="90" t="s">
        <v>723</v>
      </c>
      <c r="D227" s="91">
        <v>90000</v>
      </c>
      <c r="E227" s="91">
        <v>0</v>
      </c>
      <c r="F227" s="91">
        <f t="shared" si="0"/>
        <v>90000</v>
      </c>
      <c r="G227" t="str">
        <f>_xlfn.XLOOKUP($A227,Map!$A:$A,Map!C:C)</f>
        <v>IS</v>
      </c>
      <c r="H227" t="str">
        <f>_xlfn.XLOOKUP($A227,Map!$A:$A,Map!D:D)</f>
        <v>Cost of sales</v>
      </c>
      <c r="I227" t="str">
        <f>_xlfn.XLOOKUP($A227,Map!$A:$A,Map!E:E)</f>
        <v>Overhead - Consumables &amp; SP</v>
      </c>
      <c r="J227" t="str">
        <f>_xlfn.XLOOKUP($A227,Map!$A:$A,Map!F:F)</f>
        <v>Consumables</v>
      </c>
    </row>
    <row r="228" spans="1:10" hidden="1" x14ac:dyDescent="0.25">
      <c r="A228" s="90">
        <v>600014</v>
      </c>
      <c r="B228" s="90" t="s">
        <v>723</v>
      </c>
      <c r="D228" s="91">
        <v>758582.11399999994</v>
      </c>
      <c r="E228" s="91">
        <v>0</v>
      </c>
      <c r="F228" s="91">
        <f t="shared" si="0"/>
        <v>758582.11399999994</v>
      </c>
      <c r="G228" t="str">
        <f>_xlfn.XLOOKUP($A228,Map!$A:$A,Map!C:C)</f>
        <v>IS</v>
      </c>
      <c r="H228" t="str">
        <f>_xlfn.XLOOKUP($A228,Map!$A:$A,Map!D:D)</f>
        <v>Cost of sales</v>
      </c>
      <c r="I228" t="str">
        <f>_xlfn.XLOOKUP($A228,Map!$A:$A,Map!E:E)</f>
        <v>Overhead - Consumables &amp; SP</v>
      </c>
      <c r="J228" t="str">
        <f>_xlfn.XLOOKUP($A228,Map!$A:$A,Map!F:F)</f>
        <v>Consumables</v>
      </c>
    </row>
    <row r="229" spans="1:10" hidden="1" x14ac:dyDescent="0.25">
      <c r="A229" s="90">
        <v>600013</v>
      </c>
      <c r="B229" s="90" t="s">
        <v>723</v>
      </c>
      <c r="D229" s="91">
        <v>50</v>
      </c>
      <c r="E229" s="91">
        <v>0</v>
      </c>
      <c r="F229" s="91">
        <f t="shared" si="0"/>
        <v>50</v>
      </c>
      <c r="G229" t="str">
        <f>_xlfn.XLOOKUP($A229,Map!$A:$A,Map!C:C)</f>
        <v>IS</v>
      </c>
      <c r="H229" t="str">
        <f>_xlfn.XLOOKUP($A229,Map!$A:$A,Map!D:D)</f>
        <v>Cost of sales</v>
      </c>
      <c r="I229" t="str">
        <f>_xlfn.XLOOKUP($A229,Map!$A:$A,Map!E:E)</f>
        <v>Overhead - Labor Cost</v>
      </c>
      <c r="J229" t="str">
        <f>_xlfn.XLOOKUP($A229,Map!$A:$A,Map!F:F)</f>
        <v>Telephone allowance</v>
      </c>
    </row>
    <row r="230" spans="1:10" hidden="1" x14ac:dyDescent="0.25">
      <c r="A230" s="90">
        <v>600012</v>
      </c>
      <c r="B230" s="90" t="s">
        <v>723</v>
      </c>
      <c r="D230" s="91">
        <v>1250</v>
      </c>
      <c r="E230" s="91">
        <v>0</v>
      </c>
      <c r="F230" s="91">
        <f t="shared" si="0"/>
        <v>1250</v>
      </c>
      <c r="G230" t="str">
        <f>_xlfn.XLOOKUP($A230,Map!$A:$A,Map!C:C)</f>
        <v>IS</v>
      </c>
      <c r="H230" t="str">
        <f>_xlfn.XLOOKUP($A230,Map!$A:$A,Map!D:D)</f>
        <v>Cost of sales</v>
      </c>
      <c r="I230" t="str">
        <f>_xlfn.XLOOKUP($A230,Map!$A:$A,Map!E:E)</f>
        <v>Overhead - Labor Cost</v>
      </c>
      <c r="J230" t="str">
        <f>_xlfn.XLOOKUP($A230,Map!$A:$A,Map!F:F)</f>
        <v xml:space="preserve">Education &amp; Furniture Allowances </v>
      </c>
    </row>
    <row r="231" spans="1:10" hidden="1" x14ac:dyDescent="0.25">
      <c r="A231" s="90">
        <v>600011</v>
      </c>
      <c r="B231" s="90" t="s">
        <v>723</v>
      </c>
      <c r="D231" s="91">
        <v>12000</v>
      </c>
      <c r="E231" s="91">
        <v>0</v>
      </c>
      <c r="F231" s="91">
        <f t="shared" si="0"/>
        <v>12000</v>
      </c>
      <c r="G231" t="str">
        <f>_xlfn.XLOOKUP($A231,Map!$A:$A,Map!C:C)</f>
        <v>IS</v>
      </c>
      <c r="H231" t="str">
        <f>_xlfn.XLOOKUP($A231,Map!$A:$A,Map!D:D)</f>
        <v>Cost of sales</v>
      </c>
      <c r="I231" t="str">
        <f>_xlfn.XLOOKUP($A231,Map!$A:$A,Map!E:E)</f>
        <v>Overhead - Labor Cost</v>
      </c>
      <c r="J231" t="str">
        <f>_xlfn.XLOOKUP($A231,Map!$A:$A,Map!F:F)</f>
        <v>Air tickets</v>
      </c>
    </row>
    <row r="232" spans="1:10" hidden="1" x14ac:dyDescent="0.25">
      <c r="A232" s="90">
        <v>600009</v>
      </c>
      <c r="B232" s="90" t="s">
        <v>723</v>
      </c>
      <c r="D232" s="91">
        <v>196843</v>
      </c>
      <c r="E232" s="91">
        <v>0</v>
      </c>
      <c r="F232" s="91">
        <f t="shared" si="0"/>
        <v>196843</v>
      </c>
      <c r="G232" t="str">
        <f>_xlfn.XLOOKUP($A232,Map!$A:$A,Map!C:C)</f>
        <v>IS</v>
      </c>
      <c r="H232" t="str">
        <f>_xlfn.XLOOKUP($A232,Map!$A:$A,Map!D:D)</f>
        <v>Cost of sales</v>
      </c>
      <c r="I232" t="str">
        <f>_xlfn.XLOOKUP($A232,Map!$A:$A,Map!E:E)</f>
        <v>Overhead - Labor Cost</v>
      </c>
      <c r="J232" t="str">
        <f>_xlfn.XLOOKUP($A232,Map!$A:$A,Map!F:F)</f>
        <v>Vacation pay</v>
      </c>
    </row>
    <row r="233" spans="1:10" hidden="1" x14ac:dyDescent="0.25">
      <c r="A233" s="90">
        <v>600009</v>
      </c>
      <c r="B233" s="90" t="s">
        <v>723</v>
      </c>
      <c r="D233" s="91">
        <v>1400</v>
      </c>
      <c r="E233" s="91">
        <v>0</v>
      </c>
      <c r="F233" s="91">
        <f t="shared" si="0"/>
        <v>1400</v>
      </c>
      <c r="G233" t="str">
        <f>_xlfn.XLOOKUP($A233,Map!$A:$A,Map!C:C)</f>
        <v>IS</v>
      </c>
      <c r="H233" t="str">
        <f>_xlfn.XLOOKUP($A233,Map!$A:$A,Map!D:D)</f>
        <v>Cost of sales</v>
      </c>
      <c r="I233" t="str">
        <f>_xlfn.XLOOKUP($A233,Map!$A:$A,Map!E:E)</f>
        <v>Overhead - Labor Cost</v>
      </c>
      <c r="J233" t="str">
        <f>_xlfn.XLOOKUP($A233,Map!$A:$A,Map!F:F)</f>
        <v>Vacation pay</v>
      </c>
    </row>
    <row r="234" spans="1:10" hidden="1" x14ac:dyDescent="0.25">
      <c r="A234" s="90">
        <v>600008</v>
      </c>
      <c r="B234" s="90" t="s">
        <v>723</v>
      </c>
      <c r="D234" s="91">
        <v>144762.16</v>
      </c>
      <c r="E234" s="91">
        <v>0</v>
      </c>
      <c r="F234" s="91">
        <f t="shared" si="0"/>
        <v>144762.16</v>
      </c>
      <c r="G234" t="str">
        <f>_xlfn.XLOOKUP($A234,Map!$A:$A,Map!C:C)</f>
        <v>IS</v>
      </c>
      <c r="H234" t="str">
        <f>_xlfn.XLOOKUP($A234,Map!$A:$A,Map!D:D)</f>
        <v>Cost of sales</v>
      </c>
      <c r="I234" t="str">
        <f>_xlfn.XLOOKUP($A234,Map!$A:$A,Map!E:E)</f>
        <v>Overhead - Labor Cost</v>
      </c>
      <c r="J234" t="str">
        <f>_xlfn.XLOOKUP($A234,Map!$A:$A,Map!F:F)</f>
        <v>Air tickets</v>
      </c>
    </row>
    <row r="235" spans="1:10" hidden="1" x14ac:dyDescent="0.25">
      <c r="A235" s="90">
        <v>600007</v>
      </c>
      <c r="B235" s="90" t="s">
        <v>723</v>
      </c>
      <c r="D235" s="91">
        <v>3700</v>
      </c>
      <c r="E235" s="91">
        <v>0</v>
      </c>
      <c r="F235" s="91">
        <f t="shared" si="0"/>
        <v>3700</v>
      </c>
      <c r="G235" t="str">
        <f>_xlfn.XLOOKUP($A235,Map!$A:$A,Map!C:C)</f>
        <v>IS</v>
      </c>
      <c r="H235" t="str">
        <f>_xlfn.XLOOKUP($A235,Map!$A:$A,Map!D:D)</f>
        <v>Cost of sales</v>
      </c>
      <c r="I235" t="str">
        <f>_xlfn.XLOOKUP($A235,Map!$A:$A,Map!E:E)</f>
        <v>Overhead - Labor Cost</v>
      </c>
      <c r="J235" t="str">
        <f>_xlfn.XLOOKUP($A235,Map!$A:$A,Map!F:F)</f>
        <v>Transportation allowance</v>
      </c>
    </row>
    <row r="236" spans="1:10" hidden="1" x14ac:dyDescent="0.25">
      <c r="A236" s="90">
        <v>600006</v>
      </c>
      <c r="B236" s="90" t="s">
        <v>723</v>
      </c>
      <c r="D236" s="91">
        <v>247651.12</v>
      </c>
      <c r="E236" s="91">
        <v>0</v>
      </c>
      <c r="F236" s="91">
        <f t="shared" si="0"/>
        <v>247651.12</v>
      </c>
      <c r="G236" t="str">
        <f>_xlfn.XLOOKUP($A236,Map!$A:$A,Map!C:C)</f>
        <v>IS</v>
      </c>
      <c r="H236" t="str">
        <f>_xlfn.XLOOKUP($A236,Map!$A:$A,Map!D:D)</f>
        <v>Cost of sales</v>
      </c>
      <c r="I236" t="str">
        <f>_xlfn.XLOOKUP($A236,Map!$A:$A,Map!E:E)</f>
        <v>Overhead - Labor Cost</v>
      </c>
      <c r="J236" t="str">
        <f>_xlfn.XLOOKUP($A236,Map!$A:$A,Map!F:F)</f>
        <v xml:space="preserve">Food &amp; Housing </v>
      </c>
    </row>
    <row r="237" spans="1:10" hidden="1" x14ac:dyDescent="0.25">
      <c r="A237" s="90">
        <v>600005</v>
      </c>
      <c r="B237" s="90" t="s">
        <v>723</v>
      </c>
      <c r="D237" s="91">
        <v>665731</v>
      </c>
      <c r="E237" s="91">
        <v>0</v>
      </c>
      <c r="F237" s="91">
        <f t="shared" si="0"/>
        <v>665731</v>
      </c>
      <c r="G237" t="str">
        <f>_xlfn.XLOOKUP($A237,Map!$A:$A,Map!C:C)</f>
        <v>IS</v>
      </c>
      <c r="H237" t="str">
        <f>_xlfn.XLOOKUP($A237,Map!$A:$A,Map!D:D)</f>
        <v>General and Admin</v>
      </c>
      <c r="I237" t="str">
        <f>_xlfn.XLOOKUP($A237,Map!$A:$A,Map!E:E)</f>
        <v>Govt license and fees (including modon)</v>
      </c>
      <c r="J237" t="str">
        <f>_xlfn.XLOOKUP($A237,Map!$A:$A,Map!F:F)</f>
        <v>Government fees</v>
      </c>
    </row>
    <row r="238" spans="1:10" hidden="1" x14ac:dyDescent="0.25">
      <c r="A238" s="90">
        <v>600004</v>
      </c>
      <c r="B238" s="90" t="s">
        <v>723</v>
      </c>
      <c r="D238" s="91">
        <v>163641.56</v>
      </c>
      <c r="E238" s="91">
        <v>0</v>
      </c>
      <c r="F238" s="91">
        <f t="shared" si="0"/>
        <v>163641.56</v>
      </c>
      <c r="G238" t="str">
        <f>_xlfn.XLOOKUP($A238,Map!$A:$A,Map!C:C)</f>
        <v>IS</v>
      </c>
      <c r="H238" t="str">
        <f>_xlfn.XLOOKUP($A238,Map!$A:$A,Map!D:D)</f>
        <v>Cost of sales</v>
      </c>
      <c r="I238" t="str">
        <f>_xlfn.XLOOKUP($A238,Map!$A:$A,Map!E:E)</f>
        <v>Overhead - Labor Cost</v>
      </c>
      <c r="J238" t="str">
        <f>_xlfn.XLOOKUP($A238,Map!$A:$A,Map!F:F)</f>
        <v>Medical insurance</v>
      </c>
    </row>
    <row r="239" spans="1:10" hidden="1" x14ac:dyDescent="0.25">
      <c r="A239" s="90">
        <v>600003</v>
      </c>
      <c r="B239" s="90" t="s">
        <v>723</v>
      </c>
      <c r="D239" s="91">
        <v>51633</v>
      </c>
      <c r="E239" s="91">
        <v>0</v>
      </c>
      <c r="F239" s="91">
        <f t="shared" si="0"/>
        <v>51633</v>
      </c>
      <c r="G239" t="str">
        <f>_xlfn.XLOOKUP($A239,Map!$A:$A,Map!C:C)</f>
        <v>IS</v>
      </c>
      <c r="H239" t="str">
        <f>_xlfn.XLOOKUP($A239,Map!$A:$A,Map!D:D)</f>
        <v>Cost of sales</v>
      </c>
      <c r="I239" t="str">
        <f>_xlfn.XLOOKUP($A239,Map!$A:$A,Map!E:E)</f>
        <v>Overhead - Labor Cost</v>
      </c>
      <c r="J239" t="str">
        <f>_xlfn.XLOOKUP($A239,Map!$A:$A,Map!F:F)</f>
        <v xml:space="preserve">Food &amp; Housing </v>
      </c>
    </row>
    <row r="240" spans="1:10" hidden="1" x14ac:dyDescent="0.25">
      <c r="A240" s="90">
        <v>600003</v>
      </c>
      <c r="B240" s="90" t="s">
        <v>723</v>
      </c>
      <c r="D240" s="91">
        <v>200</v>
      </c>
      <c r="E240" s="91">
        <v>0</v>
      </c>
      <c r="F240" s="91">
        <f t="shared" si="0"/>
        <v>200</v>
      </c>
      <c r="G240" t="str">
        <f>_xlfn.XLOOKUP($A240,Map!$A:$A,Map!C:C)</f>
        <v>IS</v>
      </c>
      <c r="H240" t="str">
        <f>_xlfn.XLOOKUP($A240,Map!$A:$A,Map!D:D)</f>
        <v>Cost of sales</v>
      </c>
      <c r="I240" t="str">
        <f>_xlfn.XLOOKUP($A240,Map!$A:$A,Map!E:E)</f>
        <v>Overhead - Labor Cost</v>
      </c>
      <c r="J240" t="str">
        <f>_xlfn.XLOOKUP($A240,Map!$A:$A,Map!F:F)</f>
        <v xml:space="preserve">Food &amp; Housing </v>
      </c>
    </row>
    <row r="241" spans="1:10" hidden="1" x14ac:dyDescent="0.25">
      <c r="A241" s="90">
        <v>600002</v>
      </c>
      <c r="B241" s="90" t="s">
        <v>723</v>
      </c>
      <c r="D241" s="91">
        <v>222822</v>
      </c>
      <c r="E241" s="91">
        <v>0</v>
      </c>
      <c r="F241" s="91">
        <f t="shared" si="0"/>
        <v>222822</v>
      </c>
      <c r="G241" t="str">
        <f>_xlfn.XLOOKUP($A241,Map!$A:$A,Map!C:C)</f>
        <v>IS</v>
      </c>
      <c r="H241" t="str">
        <f>_xlfn.XLOOKUP($A241,Map!$A:$A,Map!D:D)</f>
        <v>Cost of sales</v>
      </c>
      <c r="I241" t="str">
        <f>_xlfn.XLOOKUP($A241,Map!$A:$A,Map!E:E)</f>
        <v>Overhead - Labor Cost</v>
      </c>
      <c r="J241" t="str">
        <f>_xlfn.XLOOKUP($A241,Map!$A:$A,Map!F:F)</f>
        <v>Overtime pay</v>
      </c>
    </row>
    <row r="242" spans="1:10" hidden="1" x14ac:dyDescent="0.25">
      <c r="A242" s="90">
        <v>600001</v>
      </c>
      <c r="B242" s="90" t="s">
        <v>723</v>
      </c>
      <c r="D242" s="91">
        <v>982033.55</v>
      </c>
      <c r="E242" s="91">
        <v>0</v>
      </c>
      <c r="F242" s="91">
        <f t="shared" si="0"/>
        <v>982033.55</v>
      </c>
      <c r="G242" t="str">
        <f>_xlfn.XLOOKUP($A242,Map!$A:$A,Map!C:C)</f>
        <v>IS</v>
      </c>
      <c r="H242" t="str">
        <f>_xlfn.XLOOKUP($A242,Map!$A:$A,Map!D:D)</f>
        <v>Cost of sales</v>
      </c>
      <c r="I242" t="str">
        <f>_xlfn.XLOOKUP($A242,Map!$A:$A,Map!E:E)</f>
        <v>Overhead - Labor Cost</v>
      </c>
      <c r="J242" t="str">
        <f>_xlfn.XLOOKUP($A242,Map!$A:$A,Map!F:F)</f>
        <v>Salaries and wages</v>
      </c>
    </row>
    <row r="243" spans="1:10" hidden="1" x14ac:dyDescent="0.25">
      <c r="A243" s="90">
        <v>600001</v>
      </c>
      <c r="B243" s="90" t="s">
        <v>723</v>
      </c>
      <c r="D243" s="91">
        <v>6300</v>
      </c>
      <c r="E243" s="91">
        <v>0</v>
      </c>
      <c r="F243" s="91">
        <f t="shared" si="0"/>
        <v>6300</v>
      </c>
      <c r="G243" t="str">
        <f>_xlfn.XLOOKUP($A243,Map!$A:$A,Map!C:C)</f>
        <v>IS</v>
      </c>
      <c r="H243" t="str">
        <f>_xlfn.XLOOKUP($A243,Map!$A:$A,Map!D:D)</f>
        <v>Cost of sales</v>
      </c>
      <c r="I243" t="str">
        <f>_xlfn.XLOOKUP($A243,Map!$A:$A,Map!E:E)</f>
        <v>Overhead - Labor Cost</v>
      </c>
      <c r="J243" t="str">
        <f>_xlfn.XLOOKUP($A243,Map!$A:$A,Map!F:F)</f>
        <v>Salaries and wages</v>
      </c>
    </row>
    <row r="244" spans="1:10" hidden="1" x14ac:dyDescent="0.25">
      <c r="A244" s="90">
        <v>520042</v>
      </c>
      <c r="B244" s="90" t="s">
        <v>723</v>
      </c>
      <c r="D244" s="91">
        <v>0</v>
      </c>
      <c r="E244" s="91">
        <v>292322.45299999998</v>
      </c>
      <c r="F244" s="91">
        <f t="shared" si="0"/>
        <v>-292322.45299999998</v>
      </c>
      <c r="G244" t="str">
        <f>_xlfn.XLOOKUP($A244,Map!$A:$A,Map!C:C)</f>
        <v>IS</v>
      </c>
      <c r="H244" t="str">
        <f>_xlfn.XLOOKUP($A244,Map!$A:$A,Map!D:D)</f>
        <v>Cost of sales</v>
      </c>
      <c r="I244" t="str">
        <f>_xlfn.XLOOKUP($A244,Map!$A:$A,Map!E:E)</f>
        <v>Raw materials</v>
      </c>
      <c r="J244" t="str">
        <f>_xlfn.XLOOKUP($A244,Map!$A:$A,Map!F:F)</f>
        <v>Inventory Adjustment</v>
      </c>
    </row>
    <row r="245" spans="1:10" hidden="1" x14ac:dyDescent="0.25">
      <c r="A245" s="90">
        <v>520041</v>
      </c>
      <c r="B245" s="90" t="s">
        <v>723</v>
      </c>
      <c r="D245" s="91">
        <v>0</v>
      </c>
      <c r="E245" s="91">
        <v>9191982.3729999997</v>
      </c>
      <c r="F245" s="91">
        <f t="shared" si="0"/>
        <v>-9191982.3729999997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Raw materials</v>
      </c>
      <c r="J245" t="str">
        <f>_xlfn.XLOOKUP($A245,Map!$A:$A,Map!F:F)</f>
        <v>Other expenses</v>
      </c>
    </row>
    <row r="246" spans="1:10" hidden="1" x14ac:dyDescent="0.25">
      <c r="A246" s="90">
        <v>520037</v>
      </c>
      <c r="B246" s="90" t="s">
        <v>723</v>
      </c>
      <c r="D246" s="91">
        <v>0</v>
      </c>
      <c r="E246" s="91">
        <v>161768.13</v>
      </c>
      <c r="F246" s="91">
        <f t="shared" si="0"/>
        <v>-161768.13</v>
      </c>
      <c r="G246" t="str">
        <f>_xlfn.XLOOKUP($A246,Map!$A:$A,Map!C:C)</f>
        <v>IS</v>
      </c>
      <c r="H246" t="str">
        <f>_xlfn.XLOOKUP($A246,Map!$A:$A,Map!D:D)</f>
        <v>Cost of sales</v>
      </c>
      <c r="I246" t="str">
        <f>_xlfn.XLOOKUP($A246,Map!$A:$A,Map!E:E)</f>
        <v>Raw materials</v>
      </c>
      <c r="J246" t="str">
        <f>_xlfn.XLOOKUP($A246,Map!$A:$A,Map!F:F)</f>
        <v>Raw materials</v>
      </c>
    </row>
    <row r="247" spans="1:10" hidden="1" x14ac:dyDescent="0.25">
      <c r="A247" s="90">
        <v>520036</v>
      </c>
      <c r="B247" s="90" t="s">
        <v>723</v>
      </c>
      <c r="D247" s="91">
        <v>0</v>
      </c>
      <c r="E247" s="91">
        <v>1.4999999999999999E-2</v>
      </c>
      <c r="F247" s="91">
        <f t="shared" si="0"/>
        <v>-1.4999999999999999E-2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Raw materials</v>
      </c>
      <c r="J247" t="str">
        <f>_xlfn.XLOOKUP($A247,Map!$A:$A,Map!F:F)</f>
        <v>Raw materials</v>
      </c>
    </row>
    <row r="248" spans="1:10" hidden="1" x14ac:dyDescent="0.25">
      <c r="A248" s="90">
        <v>520021</v>
      </c>
      <c r="B248" s="90" t="s">
        <v>723</v>
      </c>
      <c r="D248" s="91">
        <v>34941</v>
      </c>
      <c r="E248" s="91">
        <v>0</v>
      </c>
      <c r="F248" s="91">
        <f t="shared" si="0"/>
        <v>34941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Direct Labor</v>
      </c>
      <c r="J248" t="str">
        <f>_xlfn.XLOOKUP($A248,Map!$A:$A,Map!F:F)</f>
        <v>Medical insurance</v>
      </c>
    </row>
    <row r="249" spans="1:10" hidden="1" x14ac:dyDescent="0.25">
      <c r="A249" s="90">
        <v>520011</v>
      </c>
      <c r="B249" s="90" t="s">
        <v>723</v>
      </c>
      <c r="D249" s="91">
        <v>188039</v>
      </c>
      <c r="E249" s="91">
        <v>0</v>
      </c>
      <c r="F249" s="91">
        <f t="shared" si="0"/>
        <v>188039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Direct Labor</v>
      </c>
      <c r="J249" t="str">
        <f>_xlfn.XLOOKUP($A249,Map!$A:$A,Map!F:F)</f>
        <v>Overtime pay</v>
      </c>
    </row>
    <row r="250" spans="1:10" hidden="1" x14ac:dyDescent="0.25">
      <c r="A250" s="90">
        <v>520011</v>
      </c>
      <c r="B250" s="90" t="s">
        <v>723</v>
      </c>
      <c r="D250" s="91">
        <v>131766</v>
      </c>
      <c r="E250" s="91">
        <v>0</v>
      </c>
      <c r="F250" s="91">
        <f t="shared" si="0"/>
        <v>131766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Direct Labor</v>
      </c>
      <c r="J250" t="str">
        <f>_xlfn.XLOOKUP($A250,Map!$A:$A,Map!F:F)</f>
        <v>Overtime pay</v>
      </c>
    </row>
    <row r="251" spans="1:10" hidden="1" x14ac:dyDescent="0.25">
      <c r="A251" s="90">
        <v>520006</v>
      </c>
      <c r="B251" s="90" t="s">
        <v>723</v>
      </c>
      <c r="D251" s="91">
        <v>78120</v>
      </c>
      <c r="E251" s="91">
        <v>0</v>
      </c>
      <c r="F251" s="91">
        <f t="shared" si="0"/>
        <v>78120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Direct Labor</v>
      </c>
      <c r="J251" t="str">
        <f>_xlfn.XLOOKUP($A251,Map!$A:$A,Map!F:F)</f>
        <v>Medical insurance</v>
      </c>
    </row>
    <row r="252" spans="1:10" hidden="1" x14ac:dyDescent="0.25">
      <c r="A252" s="90">
        <v>520006</v>
      </c>
      <c r="B252" s="90" t="s">
        <v>723</v>
      </c>
      <c r="D252" s="91">
        <v>42096</v>
      </c>
      <c r="E252" s="91">
        <v>0</v>
      </c>
      <c r="F252" s="91">
        <f t="shared" si="0"/>
        <v>42096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Direct Labor</v>
      </c>
      <c r="J252" t="str">
        <f>_xlfn.XLOOKUP($A252,Map!$A:$A,Map!F:F)</f>
        <v>Medical insurance</v>
      </c>
    </row>
    <row r="253" spans="1:10" hidden="1" x14ac:dyDescent="0.25">
      <c r="A253" s="90">
        <v>520006</v>
      </c>
      <c r="B253" s="90" t="s">
        <v>723</v>
      </c>
      <c r="D253" s="91">
        <v>27084</v>
      </c>
      <c r="E253" s="91">
        <v>0</v>
      </c>
      <c r="F253" s="91">
        <f t="shared" si="0"/>
        <v>27084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Direct Labor</v>
      </c>
      <c r="J253" t="str">
        <f>_xlfn.XLOOKUP($A253,Map!$A:$A,Map!F:F)</f>
        <v>Medical insurance</v>
      </c>
    </row>
    <row r="254" spans="1:10" hidden="1" x14ac:dyDescent="0.25">
      <c r="A254" s="90">
        <v>520006</v>
      </c>
      <c r="B254" s="90" t="s">
        <v>723</v>
      </c>
      <c r="D254" s="91">
        <v>24288</v>
      </c>
      <c r="E254" s="91">
        <v>0</v>
      </c>
      <c r="F254" s="91">
        <f t="shared" si="0"/>
        <v>24288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Direct Labor</v>
      </c>
      <c r="J254" t="str">
        <f>_xlfn.XLOOKUP($A254,Map!$A:$A,Map!F:F)</f>
        <v>Medical insurance</v>
      </c>
    </row>
    <row r="255" spans="1:10" hidden="1" x14ac:dyDescent="0.25">
      <c r="A255" s="90">
        <v>520006</v>
      </c>
      <c r="B255" s="90" t="s">
        <v>723</v>
      </c>
      <c r="D255" s="91">
        <v>30634.5</v>
      </c>
      <c r="E255" s="91">
        <v>0</v>
      </c>
      <c r="F255" s="91">
        <f t="shared" si="0"/>
        <v>30634.5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Direct Labor</v>
      </c>
      <c r="J255" t="str">
        <f>_xlfn.XLOOKUP($A255,Map!$A:$A,Map!F:F)</f>
        <v>Medical insurance</v>
      </c>
    </row>
    <row r="256" spans="1:10" hidden="1" x14ac:dyDescent="0.25">
      <c r="A256" s="90">
        <v>520006</v>
      </c>
      <c r="B256" s="90" t="s">
        <v>723</v>
      </c>
      <c r="D256" s="91">
        <v>21120</v>
      </c>
      <c r="E256" s="91">
        <v>0</v>
      </c>
      <c r="F256" s="91">
        <f t="shared" si="0"/>
        <v>21120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Direct Labor</v>
      </c>
      <c r="J256" t="str">
        <f>_xlfn.XLOOKUP($A256,Map!$A:$A,Map!F:F)</f>
        <v>Medical insurance</v>
      </c>
    </row>
    <row r="257" spans="1:10" hidden="1" x14ac:dyDescent="0.25">
      <c r="A257" s="90">
        <v>520006</v>
      </c>
      <c r="B257" s="90" t="s">
        <v>723</v>
      </c>
      <c r="D257" s="91">
        <v>34451.11</v>
      </c>
      <c r="E257" s="91">
        <v>0</v>
      </c>
      <c r="F257" s="91">
        <f t="shared" si="0"/>
        <v>34451.11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Direct Labor</v>
      </c>
      <c r="J257" t="str">
        <f>_xlfn.XLOOKUP($A257,Map!$A:$A,Map!F:F)</f>
        <v>Medical insurance</v>
      </c>
    </row>
    <row r="258" spans="1:10" hidden="1" x14ac:dyDescent="0.25">
      <c r="A258" s="90">
        <v>520004</v>
      </c>
      <c r="B258" s="90" t="s">
        <v>723</v>
      </c>
      <c r="D258" s="91">
        <v>78339.5</v>
      </c>
      <c r="E258" s="91">
        <v>0</v>
      </c>
      <c r="F258" s="91">
        <f t="shared" si="0"/>
        <v>78339.5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Direct Labor</v>
      </c>
      <c r="J258" t="str">
        <f>_xlfn.XLOOKUP($A258,Map!$A:$A,Map!F:F)</f>
        <v>Food and housing</v>
      </c>
    </row>
    <row r="259" spans="1:10" hidden="1" x14ac:dyDescent="0.25">
      <c r="A259" s="90">
        <v>520004</v>
      </c>
      <c r="B259" s="90" t="s">
        <v>723</v>
      </c>
      <c r="D259" s="91">
        <v>42960</v>
      </c>
      <c r="E259" s="91">
        <v>0</v>
      </c>
      <c r="F259" s="91">
        <f t="shared" si="0"/>
        <v>42960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Direct Labor</v>
      </c>
      <c r="J259" t="str">
        <f>_xlfn.XLOOKUP($A259,Map!$A:$A,Map!F:F)</f>
        <v>Food and housing</v>
      </c>
    </row>
    <row r="260" spans="1:10" hidden="1" x14ac:dyDescent="0.25">
      <c r="A260" s="90">
        <v>520003</v>
      </c>
      <c r="B260" s="90" t="s">
        <v>723</v>
      </c>
      <c r="D260" s="91">
        <v>35338</v>
      </c>
      <c r="E260" s="91">
        <v>0</v>
      </c>
      <c r="F260" s="91">
        <f t="shared" si="0"/>
        <v>35338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Direct Labor</v>
      </c>
      <c r="J260" t="str">
        <f>_xlfn.XLOOKUP($A260,Map!$A:$A,Map!F:F)</f>
        <v>Transportation allowance</v>
      </c>
    </row>
    <row r="261" spans="1:10" hidden="1" x14ac:dyDescent="0.25">
      <c r="A261" s="90">
        <v>520001</v>
      </c>
      <c r="B261" s="90" t="s">
        <v>723</v>
      </c>
      <c r="D261" s="91">
        <v>1678544.33</v>
      </c>
      <c r="E261" s="91">
        <v>0</v>
      </c>
      <c r="F261" s="91">
        <f t="shared" si="0"/>
        <v>1678544.33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Direct Labor</v>
      </c>
      <c r="J261" t="str">
        <f>_xlfn.XLOOKUP($A261,Map!$A:$A,Map!F:F)</f>
        <v>Salaries and wages</v>
      </c>
    </row>
    <row r="262" spans="1:10" hidden="1" x14ac:dyDescent="0.25">
      <c r="A262" s="90">
        <v>520001</v>
      </c>
      <c r="B262" s="90" t="s">
        <v>723</v>
      </c>
      <c r="D262" s="91">
        <v>309088</v>
      </c>
      <c r="E262" s="91">
        <v>0</v>
      </c>
      <c r="F262" s="91">
        <f t="shared" si="0"/>
        <v>309088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Direct Labor</v>
      </c>
      <c r="J262" t="str">
        <f>_xlfn.XLOOKUP($A262,Map!$A:$A,Map!F:F)</f>
        <v>Salaries and wages</v>
      </c>
    </row>
    <row r="263" spans="1:10" hidden="1" x14ac:dyDescent="0.25">
      <c r="A263" s="90">
        <v>520001</v>
      </c>
      <c r="B263" s="90" t="s">
        <v>723</v>
      </c>
      <c r="D263" s="91">
        <v>483776.5</v>
      </c>
      <c r="E263" s="91">
        <v>0</v>
      </c>
      <c r="F263" s="91">
        <f t="shared" si="0"/>
        <v>483776.5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Direct Labor</v>
      </c>
      <c r="J263" t="str">
        <f>_xlfn.XLOOKUP($A263,Map!$A:$A,Map!F:F)</f>
        <v>Salaries and wages</v>
      </c>
    </row>
    <row r="264" spans="1:10" hidden="1" x14ac:dyDescent="0.25">
      <c r="A264" s="90">
        <v>520001</v>
      </c>
      <c r="B264" s="90" t="s">
        <v>723</v>
      </c>
      <c r="D264" s="91">
        <v>185750</v>
      </c>
      <c r="E264" s="91">
        <v>0</v>
      </c>
      <c r="F264" s="91">
        <f t="shared" si="0"/>
        <v>185750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Direct Labor</v>
      </c>
      <c r="J264" t="str">
        <f>_xlfn.XLOOKUP($A264,Map!$A:$A,Map!F:F)</f>
        <v>Salaries and wages</v>
      </c>
    </row>
    <row r="265" spans="1:10" hidden="1" x14ac:dyDescent="0.25">
      <c r="A265" s="90">
        <v>520001</v>
      </c>
      <c r="B265" s="90" t="s">
        <v>723</v>
      </c>
      <c r="D265" s="91">
        <v>139332.54</v>
      </c>
      <c r="E265" s="91">
        <v>0</v>
      </c>
      <c r="F265" s="91">
        <f t="shared" si="0"/>
        <v>139332.54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Direct Labor</v>
      </c>
      <c r="J265" t="str">
        <f>_xlfn.XLOOKUP($A265,Map!$A:$A,Map!F:F)</f>
        <v>Salaries and wages</v>
      </c>
    </row>
    <row r="266" spans="1:10" hidden="1" x14ac:dyDescent="0.25">
      <c r="A266" s="90">
        <v>510005</v>
      </c>
      <c r="B266" s="90" t="s">
        <v>723</v>
      </c>
      <c r="D266" s="91">
        <v>44384.302000000003</v>
      </c>
      <c r="E266" s="91">
        <v>0</v>
      </c>
      <c r="F266" s="91">
        <f t="shared" si="0"/>
        <v>44384.302000000003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Raw materials</v>
      </c>
      <c r="J266" t="str">
        <f>_xlfn.XLOOKUP($A266,Map!$A:$A,Map!F:F)</f>
        <v>Other expenses</v>
      </c>
    </row>
    <row r="267" spans="1:10" hidden="1" x14ac:dyDescent="0.25">
      <c r="A267" s="90">
        <v>510004</v>
      </c>
      <c r="B267" s="90" t="s">
        <v>723</v>
      </c>
      <c r="D267" s="91">
        <v>0</v>
      </c>
      <c r="E267" s="91">
        <v>3912648.423</v>
      </c>
      <c r="F267" s="91">
        <f t="shared" si="0"/>
        <v>-3912648.423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Raw materials</v>
      </c>
      <c r="J267" t="str">
        <f>_xlfn.XLOOKUP($A267,Map!$A:$A,Map!F:F)</f>
        <v>Other expenses</v>
      </c>
    </row>
    <row r="268" spans="1:10" hidden="1" x14ac:dyDescent="0.25">
      <c r="A268" s="90">
        <v>510004</v>
      </c>
      <c r="B268" s="90" t="s">
        <v>723</v>
      </c>
      <c r="D268" s="91">
        <v>3321812.27</v>
      </c>
      <c r="E268" s="91">
        <v>0</v>
      </c>
      <c r="F268" s="91">
        <f t="shared" si="0"/>
        <v>3321812.27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Raw materials</v>
      </c>
      <c r="J268" t="str">
        <f>_xlfn.XLOOKUP($A268,Map!$A:$A,Map!F:F)</f>
        <v>Other expenses</v>
      </c>
    </row>
    <row r="269" spans="1:10" hidden="1" x14ac:dyDescent="0.25">
      <c r="A269" s="90">
        <v>510004</v>
      </c>
      <c r="B269" s="90" t="s">
        <v>723</v>
      </c>
      <c r="D269" s="91">
        <v>0</v>
      </c>
      <c r="E269" s="91">
        <v>1595092.4350000001</v>
      </c>
      <c r="F269" s="91">
        <f t="shared" si="0"/>
        <v>-1595092.4350000001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Raw materials</v>
      </c>
      <c r="J269" t="str">
        <f>_xlfn.XLOOKUP($A269,Map!$A:$A,Map!F:F)</f>
        <v>Other expenses</v>
      </c>
    </row>
    <row r="270" spans="1:10" hidden="1" x14ac:dyDescent="0.25">
      <c r="A270" s="90">
        <v>510004</v>
      </c>
      <c r="B270" s="90" t="s">
        <v>723</v>
      </c>
      <c r="D270" s="91">
        <v>874901.75899999996</v>
      </c>
      <c r="E270" s="91">
        <v>0</v>
      </c>
      <c r="F270" s="91">
        <f t="shared" si="0"/>
        <v>874901.75899999996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Raw materials</v>
      </c>
      <c r="J270" t="str">
        <f>_xlfn.XLOOKUP($A270,Map!$A:$A,Map!F:F)</f>
        <v>Other expenses</v>
      </c>
    </row>
    <row r="271" spans="1:10" hidden="1" x14ac:dyDescent="0.25">
      <c r="A271" s="90">
        <v>510004</v>
      </c>
      <c r="B271" s="90" t="s">
        <v>723</v>
      </c>
      <c r="D271" s="91">
        <v>0</v>
      </c>
      <c r="E271" s="91">
        <v>72460.153000000006</v>
      </c>
      <c r="F271" s="91">
        <f t="shared" si="0"/>
        <v>-72460.153000000006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Raw materials</v>
      </c>
      <c r="J271" t="str">
        <f>_xlfn.XLOOKUP($A271,Map!$A:$A,Map!F:F)</f>
        <v>Other expenses</v>
      </c>
    </row>
    <row r="272" spans="1:10" hidden="1" x14ac:dyDescent="0.25">
      <c r="A272" s="90">
        <v>510004</v>
      </c>
      <c r="B272" s="90" t="s">
        <v>723</v>
      </c>
      <c r="D272" s="91">
        <v>33620.292999999998</v>
      </c>
      <c r="E272" s="91">
        <v>0</v>
      </c>
      <c r="F272" s="91">
        <f t="shared" si="0"/>
        <v>33620.292999999998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Raw materials</v>
      </c>
      <c r="J272" t="str">
        <f>_xlfn.XLOOKUP($A272,Map!$A:$A,Map!F:F)</f>
        <v>Other expenses</v>
      </c>
    </row>
    <row r="273" spans="1:10" hidden="1" x14ac:dyDescent="0.25">
      <c r="A273" s="90">
        <v>510004</v>
      </c>
      <c r="B273" s="90" t="s">
        <v>723</v>
      </c>
      <c r="D273" s="91">
        <v>0</v>
      </c>
      <c r="E273" s="91">
        <v>2018258.2660000001</v>
      </c>
      <c r="F273" s="91">
        <f t="shared" si="0"/>
        <v>-2018258.2660000001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Raw materials</v>
      </c>
      <c r="J273" t="str">
        <f>_xlfn.XLOOKUP($A273,Map!$A:$A,Map!F:F)</f>
        <v>Other expenses</v>
      </c>
    </row>
    <row r="274" spans="1:10" hidden="1" x14ac:dyDescent="0.25">
      <c r="A274" s="90">
        <v>510004</v>
      </c>
      <c r="B274" s="90" t="s">
        <v>723</v>
      </c>
      <c r="D274" s="91">
        <v>1141671.824</v>
      </c>
      <c r="E274" s="91">
        <v>0</v>
      </c>
      <c r="F274" s="91">
        <f t="shared" ref="F274:F305" si="1">D274-E274</f>
        <v>1141671.824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Raw materials</v>
      </c>
      <c r="J274" t="str">
        <f>_xlfn.XLOOKUP($A274,Map!$A:$A,Map!F:F)</f>
        <v>Other expenses</v>
      </c>
    </row>
    <row r="275" spans="1:10" hidden="1" x14ac:dyDescent="0.25">
      <c r="A275" s="90">
        <v>510004</v>
      </c>
      <c r="B275" s="90" t="s">
        <v>723</v>
      </c>
      <c r="D275" s="91">
        <v>0</v>
      </c>
      <c r="E275" s="91">
        <v>1772395.7830000001</v>
      </c>
      <c r="F275" s="91">
        <f t="shared" si="1"/>
        <v>-1772395.7830000001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Raw materials</v>
      </c>
      <c r="J275" t="str">
        <f>_xlfn.XLOOKUP($A275,Map!$A:$A,Map!F:F)</f>
        <v>Other expenses</v>
      </c>
    </row>
    <row r="276" spans="1:10" hidden="1" x14ac:dyDescent="0.25">
      <c r="A276" s="90">
        <v>510004</v>
      </c>
      <c r="B276" s="90" t="s">
        <v>723</v>
      </c>
      <c r="D276" s="91">
        <v>1672267.0689999999</v>
      </c>
      <c r="E276" s="91">
        <v>0</v>
      </c>
      <c r="F276" s="91">
        <f t="shared" si="1"/>
        <v>1672267.0689999999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Raw materials</v>
      </c>
      <c r="J276" t="str">
        <f>_xlfn.XLOOKUP($A276,Map!$A:$A,Map!F:F)</f>
        <v>Other expenses</v>
      </c>
    </row>
    <row r="277" spans="1:10" hidden="1" x14ac:dyDescent="0.25">
      <c r="A277" s="90">
        <v>510004</v>
      </c>
      <c r="B277" s="90" t="s">
        <v>723</v>
      </c>
      <c r="D277" s="91">
        <v>0</v>
      </c>
      <c r="E277" s="91">
        <v>490005.05200000003</v>
      </c>
      <c r="F277" s="91">
        <f t="shared" si="1"/>
        <v>-490005.05200000003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Raw materials</v>
      </c>
      <c r="J277" t="str">
        <f>_xlfn.XLOOKUP($A277,Map!$A:$A,Map!F:F)</f>
        <v>Other expenses</v>
      </c>
    </row>
    <row r="278" spans="1:10" hidden="1" x14ac:dyDescent="0.25">
      <c r="A278" s="90">
        <v>510004</v>
      </c>
      <c r="B278" s="90" t="s">
        <v>723</v>
      </c>
      <c r="D278" s="91">
        <v>366844.853</v>
      </c>
      <c r="E278" s="91">
        <v>0</v>
      </c>
      <c r="F278" s="91">
        <f t="shared" si="1"/>
        <v>366844.853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Raw materials</v>
      </c>
      <c r="J278" t="str">
        <f>_xlfn.XLOOKUP($A278,Map!$A:$A,Map!F:F)</f>
        <v>Other expenses</v>
      </c>
    </row>
    <row r="279" spans="1:10" hidden="1" x14ac:dyDescent="0.25">
      <c r="A279" s="90">
        <v>510004</v>
      </c>
      <c r="B279" s="90" t="s">
        <v>723</v>
      </c>
      <c r="D279" s="91">
        <v>0</v>
      </c>
      <c r="E279" s="91">
        <v>55141.821000000004</v>
      </c>
      <c r="F279" s="91">
        <f t="shared" si="1"/>
        <v>-55141.821000000004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Raw materials</v>
      </c>
      <c r="J279" t="str">
        <f>_xlfn.XLOOKUP($A279,Map!$A:$A,Map!F:F)</f>
        <v>Other expenses</v>
      </c>
    </row>
    <row r="280" spans="1:10" hidden="1" x14ac:dyDescent="0.25">
      <c r="A280" s="90">
        <v>510004</v>
      </c>
      <c r="B280" s="90" t="s">
        <v>723</v>
      </c>
      <c r="D280" s="91">
        <v>25947.844000000001</v>
      </c>
      <c r="E280" s="91">
        <v>0</v>
      </c>
      <c r="F280" s="91">
        <f t="shared" si="1"/>
        <v>25947.844000000001</v>
      </c>
      <c r="G280" t="str">
        <f>_xlfn.XLOOKUP($A280,Map!$A:$A,Map!C:C)</f>
        <v>IS</v>
      </c>
      <c r="H280" t="str">
        <f>_xlfn.XLOOKUP($A280,Map!$A:$A,Map!D:D)</f>
        <v>Cost of sales</v>
      </c>
      <c r="I280" t="str">
        <f>_xlfn.XLOOKUP($A280,Map!$A:$A,Map!E:E)</f>
        <v>Raw materials</v>
      </c>
      <c r="J280" t="str">
        <f>_xlfn.XLOOKUP($A280,Map!$A:$A,Map!F:F)</f>
        <v>Other expenses</v>
      </c>
    </row>
    <row r="281" spans="1:10" hidden="1" x14ac:dyDescent="0.25">
      <c r="A281" s="90">
        <v>510004</v>
      </c>
      <c r="B281" s="90" t="s">
        <v>723</v>
      </c>
      <c r="D281" s="91">
        <v>0</v>
      </c>
      <c r="E281" s="91">
        <v>817123.74699999997</v>
      </c>
      <c r="F281" s="91">
        <f t="shared" si="1"/>
        <v>-817123.74699999997</v>
      </c>
      <c r="G281" t="str">
        <f>_xlfn.XLOOKUP($A281,Map!$A:$A,Map!C:C)</f>
        <v>IS</v>
      </c>
      <c r="H281" t="str">
        <f>_xlfn.XLOOKUP($A281,Map!$A:$A,Map!D:D)</f>
        <v>Cost of sales</v>
      </c>
      <c r="I281" t="str">
        <f>_xlfn.XLOOKUP($A281,Map!$A:$A,Map!E:E)</f>
        <v>Raw materials</v>
      </c>
      <c r="J281" t="str">
        <f>_xlfn.XLOOKUP($A281,Map!$A:$A,Map!F:F)</f>
        <v>Other expenses</v>
      </c>
    </row>
    <row r="282" spans="1:10" hidden="1" x14ac:dyDescent="0.25">
      <c r="A282" s="90">
        <v>510004</v>
      </c>
      <c r="B282" s="90" t="s">
        <v>723</v>
      </c>
      <c r="D282" s="91">
        <v>639242.84100000001</v>
      </c>
      <c r="E282" s="91">
        <v>0</v>
      </c>
      <c r="F282" s="91">
        <f t="shared" si="1"/>
        <v>639242.84100000001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Raw materials</v>
      </c>
      <c r="J282" t="str">
        <f>_xlfn.XLOOKUP($A282,Map!$A:$A,Map!F:F)</f>
        <v>Other expenses</v>
      </c>
    </row>
    <row r="283" spans="1:10" hidden="1" x14ac:dyDescent="0.25">
      <c r="A283" s="90">
        <v>510004</v>
      </c>
      <c r="B283" s="90" t="s">
        <v>723</v>
      </c>
      <c r="D283" s="91">
        <v>0</v>
      </c>
      <c r="E283" s="91">
        <v>4510531.1160000004</v>
      </c>
      <c r="F283" s="91">
        <f t="shared" si="1"/>
        <v>-4510531.1160000004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Raw materials</v>
      </c>
      <c r="J283" t="str">
        <f>_xlfn.XLOOKUP($A283,Map!$A:$A,Map!F:F)</f>
        <v>Other expenses</v>
      </c>
    </row>
    <row r="284" spans="1:10" hidden="1" x14ac:dyDescent="0.25">
      <c r="A284" s="90">
        <v>510004</v>
      </c>
      <c r="B284" s="90" t="s">
        <v>723</v>
      </c>
      <c r="D284" s="91">
        <v>497899.41700000002</v>
      </c>
      <c r="E284" s="91">
        <v>0</v>
      </c>
      <c r="F284" s="91">
        <f t="shared" si="1"/>
        <v>497899.41700000002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Raw materials</v>
      </c>
      <c r="J284" t="str">
        <f>_xlfn.XLOOKUP($A284,Map!$A:$A,Map!F:F)</f>
        <v>Other expenses</v>
      </c>
    </row>
    <row r="285" spans="1:10" hidden="1" x14ac:dyDescent="0.25">
      <c r="A285" s="90">
        <v>510004</v>
      </c>
      <c r="B285" s="90" t="s">
        <v>723</v>
      </c>
      <c r="D285" s="91">
        <v>0</v>
      </c>
      <c r="E285" s="91">
        <v>256589.035</v>
      </c>
      <c r="F285" s="91">
        <f t="shared" si="1"/>
        <v>-256589.035</v>
      </c>
      <c r="G285" t="str">
        <f>_xlfn.XLOOKUP($A285,Map!$A:$A,Map!C:C)</f>
        <v>IS</v>
      </c>
      <c r="H285" t="str">
        <f>_xlfn.XLOOKUP($A285,Map!$A:$A,Map!D:D)</f>
        <v>Cost of sales</v>
      </c>
      <c r="I285" t="str">
        <f>_xlfn.XLOOKUP($A285,Map!$A:$A,Map!E:E)</f>
        <v>Raw materials</v>
      </c>
      <c r="J285" t="str">
        <f>_xlfn.XLOOKUP($A285,Map!$A:$A,Map!F:F)</f>
        <v>Other expenses</v>
      </c>
    </row>
    <row r="286" spans="1:10" hidden="1" x14ac:dyDescent="0.25">
      <c r="A286" s="90">
        <v>510004</v>
      </c>
      <c r="B286" s="90" t="s">
        <v>723</v>
      </c>
      <c r="D286" s="91">
        <v>71412.47</v>
      </c>
      <c r="E286" s="91">
        <v>0</v>
      </c>
      <c r="F286" s="91">
        <f t="shared" si="1"/>
        <v>71412.47</v>
      </c>
      <c r="G286" t="str">
        <f>_xlfn.XLOOKUP($A286,Map!$A:$A,Map!C:C)</f>
        <v>IS</v>
      </c>
      <c r="H286" t="str">
        <f>_xlfn.XLOOKUP($A286,Map!$A:$A,Map!D:D)</f>
        <v>Cost of sales</v>
      </c>
      <c r="I286" t="str">
        <f>_xlfn.XLOOKUP($A286,Map!$A:$A,Map!E:E)</f>
        <v>Raw materials</v>
      </c>
      <c r="J286" t="str">
        <f>_xlfn.XLOOKUP($A286,Map!$A:$A,Map!F:F)</f>
        <v>Other expenses</v>
      </c>
    </row>
    <row r="287" spans="1:10" hidden="1" x14ac:dyDescent="0.25">
      <c r="A287" s="90">
        <v>510004</v>
      </c>
      <c r="B287" s="90" t="s">
        <v>723</v>
      </c>
      <c r="D287" s="91">
        <v>4616.3010000000004</v>
      </c>
      <c r="E287" s="91">
        <v>0</v>
      </c>
      <c r="F287" s="91">
        <f t="shared" si="1"/>
        <v>4616.3010000000004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Raw materials</v>
      </c>
      <c r="J287" t="str">
        <f>_xlfn.XLOOKUP($A287,Map!$A:$A,Map!F:F)</f>
        <v>Other expenses</v>
      </c>
    </row>
    <row r="288" spans="1:10" hidden="1" x14ac:dyDescent="0.25">
      <c r="A288" s="90">
        <v>510003</v>
      </c>
      <c r="B288" s="90" t="s">
        <v>723</v>
      </c>
      <c r="D288" s="91">
        <v>667214.549</v>
      </c>
      <c r="E288" s="91">
        <v>0</v>
      </c>
      <c r="F288" s="91">
        <f t="shared" si="1"/>
        <v>667214.549</v>
      </c>
      <c r="G288" t="str">
        <f>_xlfn.XLOOKUP($A288,Map!$A:$A,Map!C:C)</f>
        <v>IS</v>
      </c>
      <c r="H288" t="str">
        <f>_xlfn.XLOOKUP($A288,Map!$A:$A,Map!D:D)</f>
        <v>Cost of sales</v>
      </c>
      <c r="I288" t="str">
        <f>_xlfn.XLOOKUP($A288,Map!$A:$A,Map!E:E)</f>
        <v>Raw materials</v>
      </c>
      <c r="J288" t="str">
        <f>_xlfn.XLOOKUP($A288,Map!$A:$A,Map!F:F)</f>
        <v>Raw materials</v>
      </c>
    </row>
    <row r="289" spans="1:10" hidden="1" x14ac:dyDescent="0.25">
      <c r="A289" s="90">
        <v>510003</v>
      </c>
      <c r="B289" s="90" t="s">
        <v>723</v>
      </c>
      <c r="D289" s="91">
        <v>43912.46</v>
      </c>
      <c r="E289" s="91">
        <v>0</v>
      </c>
      <c r="F289" s="91">
        <f t="shared" si="1"/>
        <v>43912.46</v>
      </c>
      <c r="G289" t="str">
        <f>_xlfn.XLOOKUP($A289,Map!$A:$A,Map!C:C)</f>
        <v>IS</v>
      </c>
      <c r="H289" t="str">
        <f>_xlfn.XLOOKUP($A289,Map!$A:$A,Map!D:D)</f>
        <v>Cost of sales</v>
      </c>
      <c r="I289" t="str">
        <f>_xlfn.XLOOKUP($A289,Map!$A:$A,Map!E:E)</f>
        <v>Raw materials</v>
      </c>
      <c r="J289" t="str">
        <f>_xlfn.XLOOKUP($A289,Map!$A:$A,Map!F:F)</f>
        <v>Raw materials</v>
      </c>
    </row>
    <row r="290" spans="1:10" hidden="1" x14ac:dyDescent="0.25">
      <c r="A290" s="90">
        <v>510003</v>
      </c>
      <c r="B290" s="90" t="s">
        <v>723</v>
      </c>
      <c r="D290" s="91">
        <v>242139.69399999999</v>
      </c>
      <c r="E290" s="91">
        <v>0</v>
      </c>
      <c r="F290" s="91">
        <f t="shared" si="1"/>
        <v>242139.69399999999</v>
      </c>
      <c r="G290" t="str">
        <f>_xlfn.XLOOKUP($A290,Map!$A:$A,Map!C:C)</f>
        <v>IS</v>
      </c>
      <c r="H290" t="str">
        <f>_xlfn.XLOOKUP($A290,Map!$A:$A,Map!D:D)</f>
        <v>Cost of sales</v>
      </c>
      <c r="I290" t="str">
        <f>_xlfn.XLOOKUP($A290,Map!$A:$A,Map!E:E)</f>
        <v>Raw materials</v>
      </c>
      <c r="J290" t="str">
        <f>_xlfn.XLOOKUP($A290,Map!$A:$A,Map!F:F)</f>
        <v>Raw materials</v>
      </c>
    </row>
    <row r="291" spans="1:10" hidden="1" x14ac:dyDescent="0.25">
      <c r="A291" s="90">
        <v>510003</v>
      </c>
      <c r="B291" s="90" t="s">
        <v>723</v>
      </c>
      <c r="D291" s="91">
        <v>303450.63400000002</v>
      </c>
      <c r="E291" s="91">
        <v>0</v>
      </c>
      <c r="F291" s="91">
        <f t="shared" si="1"/>
        <v>303450.63400000002</v>
      </c>
      <c r="G291" t="str">
        <f>_xlfn.XLOOKUP($A291,Map!$A:$A,Map!C:C)</f>
        <v>IS</v>
      </c>
      <c r="H291" t="str">
        <f>_xlfn.XLOOKUP($A291,Map!$A:$A,Map!D:D)</f>
        <v>Cost of sales</v>
      </c>
      <c r="I291" t="str">
        <f>_xlfn.XLOOKUP($A291,Map!$A:$A,Map!E:E)</f>
        <v>Raw materials</v>
      </c>
      <c r="J291" t="str">
        <f>_xlfn.XLOOKUP($A291,Map!$A:$A,Map!F:F)</f>
        <v>Raw materials</v>
      </c>
    </row>
    <row r="292" spans="1:10" hidden="1" x14ac:dyDescent="0.25">
      <c r="A292" s="90">
        <v>510003</v>
      </c>
      <c r="B292" s="90" t="s">
        <v>723</v>
      </c>
      <c r="D292" s="91">
        <v>124999.499</v>
      </c>
      <c r="E292" s="91">
        <v>0</v>
      </c>
      <c r="F292" s="91">
        <f t="shared" si="1"/>
        <v>124999.499</v>
      </c>
      <c r="G292" t="str">
        <f>_xlfn.XLOOKUP($A292,Map!$A:$A,Map!C:C)</f>
        <v>IS</v>
      </c>
      <c r="H292" t="str">
        <f>_xlfn.XLOOKUP($A292,Map!$A:$A,Map!D:D)</f>
        <v>Cost of sales</v>
      </c>
      <c r="I292" t="str">
        <f>_xlfn.XLOOKUP($A292,Map!$A:$A,Map!E:E)</f>
        <v>Raw materials</v>
      </c>
      <c r="J292" t="str">
        <f>_xlfn.XLOOKUP($A292,Map!$A:$A,Map!F:F)</f>
        <v>Raw materials</v>
      </c>
    </row>
    <row r="293" spans="1:10" hidden="1" x14ac:dyDescent="0.25">
      <c r="A293" s="90">
        <v>510003</v>
      </c>
      <c r="B293" s="90" t="s">
        <v>723</v>
      </c>
      <c r="D293" s="91">
        <v>79927.649999999994</v>
      </c>
      <c r="E293" s="91">
        <v>0</v>
      </c>
      <c r="F293" s="91">
        <f t="shared" si="1"/>
        <v>79927.649999999994</v>
      </c>
      <c r="G293" t="str">
        <f>_xlfn.XLOOKUP($A293,Map!$A:$A,Map!C:C)</f>
        <v>IS</v>
      </c>
      <c r="H293" t="str">
        <f>_xlfn.XLOOKUP($A293,Map!$A:$A,Map!D:D)</f>
        <v>Cost of sales</v>
      </c>
      <c r="I293" t="str">
        <f>_xlfn.XLOOKUP($A293,Map!$A:$A,Map!E:E)</f>
        <v>Raw materials</v>
      </c>
      <c r="J293" t="str">
        <f>_xlfn.XLOOKUP($A293,Map!$A:$A,Map!F:F)</f>
        <v>Raw materials</v>
      </c>
    </row>
    <row r="294" spans="1:10" hidden="1" x14ac:dyDescent="0.25">
      <c r="A294" s="90">
        <v>510003</v>
      </c>
      <c r="B294" s="90" t="s">
        <v>723</v>
      </c>
      <c r="D294" s="91">
        <v>177932.549</v>
      </c>
      <c r="E294" s="91">
        <v>0</v>
      </c>
      <c r="F294" s="91">
        <f t="shared" si="1"/>
        <v>177932.549</v>
      </c>
      <c r="G294" t="str">
        <f>_xlfn.XLOOKUP($A294,Map!$A:$A,Map!C:C)</f>
        <v>IS</v>
      </c>
      <c r="H294" t="str">
        <f>_xlfn.XLOOKUP($A294,Map!$A:$A,Map!D:D)</f>
        <v>Cost of sales</v>
      </c>
      <c r="I294" t="str">
        <f>_xlfn.XLOOKUP($A294,Map!$A:$A,Map!E:E)</f>
        <v>Raw materials</v>
      </c>
      <c r="J294" t="str">
        <f>_xlfn.XLOOKUP($A294,Map!$A:$A,Map!F:F)</f>
        <v>Raw materials</v>
      </c>
    </row>
    <row r="295" spans="1:10" hidden="1" x14ac:dyDescent="0.25">
      <c r="A295" s="90">
        <v>510003</v>
      </c>
      <c r="B295" s="90" t="s">
        <v>723</v>
      </c>
      <c r="D295" s="91">
        <v>137811.201</v>
      </c>
      <c r="E295" s="91">
        <v>0</v>
      </c>
      <c r="F295" s="91">
        <f t="shared" si="1"/>
        <v>137811.201</v>
      </c>
      <c r="G295" t="str">
        <f>_xlfn.XLOOKUP($A295,Map!$A:$A,Map!C:C)</f>
        <v>IS</v>
      </c>
      <c r="H295" t="str">
        <f>_xlfn.XLOOKUP($A295,Map!$A:$A,Map!D:D)</f>
        <v>Cost of sales</v>
      </c>
      <c r="I295" t="str">
        <f>_xlfn.XLOOKUP($A295,Map!$A:$A,Map!E:E)</f>
        <v>Raw materials</v>
      </c>
      <c r="J295" t="str">
        <f>_xlfn.XLOOKUP($A295,Map!$A:$A,Map!F:F)</f>
        <v>Raw materials</v>
      </c>
    </row>
    <row r="296" spans="1:10" hidden="1" x14ac:dyDescent="0.25">
      <c r="A296" s="90">
        <v>510003</v>
      </c>
      <c r="B296" s="90" t="s">
        <v>723</v>
      </c>
      <c r="D296" s="91">
        <v>74392.955000000002</v>
      </c>
      <c r="E296" s="91">
        <v>0</v>
      </c>
      <c r="F296" s="91">
        <f t="shared" si="1"/>
        <v>74392.955000000002</v>
      </c>
      <c r="G296" t="str">
        <f>_xlfn.XLOOKUP($A296,Map!$A:$A,Map!C:C)</f>
        <v>IS</v>
      </c>
      <c r="H296" t="str">
        <f>_xlfn.XLOOKUP($A296,Map!$A:$A,Map!D:D)</f>
        <v>Cost of sales</v>
      </c>
      <c r="I296" t="str">
        <f>_xlfn.XLOOKUP($A296,Map!$A:$A,Map!E:E)</f>
        <v>Raw materials</v>
      </c>
      <c r="J296" t="str">
        <f>_xlfn.XLOOKUP($A296,Map!$A:$A,Map!F:F)</f>
        <v>Raw materials</v>
      </c>
    </row>
    <row r="297" spans="1:10" hidden="1" x14ac:dyDescent="0.25">
      <c r="A297" s="90">
        <v>510003</v>
      </c>
      <c r="B297" s="90" t="s">
        <v>723</v>
      </c>
      <c r="D297" s="91">
        <v>4238.4250000000002</v>
      </c>
      <c r="E297" s="91">
        <v>0</v>
      </c>
      <c r="F297" s="91">
        <f t="shared" si="1"/>
        <v>4238.4250000000002</v>
      </c>
      <c r="G297" t="str">
        <f>_xlfn.XLOOKUP($A297,Map!$A:$A,Map!C:C)</f>
        <v>IS</v>
      </c>
      <c r="H297" t="str">
        <f>_xlfn.XLOOKUP($A297,Map!$A:$A,Map!D:D)</f>
        <v>Cost of sales</v>
      </c>
      <c r="I297" t="str">
        <f>_xlfn.XLOOKUP($A297,Map!$A:$A,Map!E:E)</f>
        <v>Raw materials</v>
      </c>
      <c r="J297" t="str">
        <f>_xlfn.XLOOKUP($A297,Map!$A:$A,Map!F:F)</f>
        <v>Raw materials</v>
      </c>
    </row>
    <row r="298" spans="1:10" hidden="1" x14ac:dyDescent="0.25">
      <c r="A298" s="90">
        <v>510003</v>
      </c>
      <c r="B298" s="90" t="s">
        <v>723</v>
      </c>
      <c r="D298" s="91">
        <v>211.80600000000001</v>
      </c>
      <c r="E298" s="91">
        <v>0</v>
      </c>
      <c r="F298" s="91">
        <f t="shared" si="1"/>
        <v>211.80600000000001</v>
      </c>
      <c r="G298" t="str">
        <f>_xlfn.XLOOKUP($A298,Map!$A:$A,Map!C:C)</f>
        <v>IS</v>
      </c>
      <c r="H298" t="str">
        <f>_xlfn.XLOOKUP($A298,Map!$A:$A,Map!D:D)</f>
        <v>Cost of sales</v>
      </c>
      <c r="I298" t="str">
        <f>_xlfn.XLOOKUP($A298,Map!$A:$A,Map!E:E)</f>
        <v>Raw materials</v>
      </c>
      <c r="J298" t="str">
        <f>_xlfn.XLOOKUP($A298,Map!$A:$A,Map!F:F)</f>
        <v>Raw materials</v>
      </c>
    </row>
    <row r="299" spans="1:10" hidden="1" x14ac:dyDescent="0.25">
      <c r="A299" s="90">
        <v>510002</v>
      </c>
      <c r="B299" s="90" t="s">
        <v>723</v>
      </c>
      <c r="D299" s="91">
        <v>159.352</v>
      </c>
      <c r="E299" s="91">
        <v>0</v>
      </c>
      <c r="F299" s="91">
        <f t="shared" si="1"/>
        <v>159.352</v>
      </c>
      <c r="G299" t="str">
        <f>_xlfn.XLOOKUP($A299,Map!$A:$A,Map!C:C)</f>
        <v>IS</v>
      </c>
      <c r="H299" t="str">
        <f>_xlfn.XLOOKUP($A299,Map!$A:$A,Map!D:D)</f>
        <v>Cost of sales</v>
      </c>
      <c r="I299" t="str">
        <f>_xlfn.XLOOKUP($A299,Map!$A:$A,Map!E:E)</f>
        <v>Direct Labor</v>
      </c>
      <c r="J299" t="str">
        <f>_xlfn.XLOOKUP($A299,Map!$A:$A,Map!F:F)</f>
        <v>Direct Labor</v>
      </c>
    </row>
    <row r="300" spans="1:10" hidden="1" x14ac:dyDescent="0.25">
      <c r="A300" s="90">
        <v>510002</v>
      </c>
      <c r="B300" s="90" t="s">
        <v>723</v>
      </c>
      <c r="D300" s="91">
        <v>0.16200000000000001</v>
      </c>
      <c r="E300" s="91">
        <v>0</v>
      </c>
      <c r="F300" s="91">
        <f t="shared" si="1"/>
        <v>0.16200000000000001</v>
      </c>
      <c r="G300" t="str">
        <f>_xlfn.XLOOKUP($A300,Map!$A:$A,Map!C:C)</f>
        <v>IS</v>
      </c>
      <c r="H300" t="str">
        <f>_xlfn.XLOOKUP($A300,Map!$A:$A,Map!D:D)</f>
        <v>Cost of sales</v>
      </c>
      <c r="I300" t="str">
        <f>_xlfn.XLOOKUP($A300,Map!$A:$A,Map!E:E)</f>
        <v>Direct Labor</v>
      </c>
      <c r="J300" t="str">
        <f>_xlfn.XLOOKUP($A300,Map!$A:$A,Map!F:F)</f>
        <v>Direct Labor</v>
      </c>
    </row>
    <row r="301" spans="1:10" hidden="1" x14ac:dyDescent="0.25">
      <c r="A301" s="90">
        <v>510002</v>
      </c>
      <c r="B301" s="90" t="s">
        <v>723</v>
      </c>
      <c r="D301" s="91">
        <v>451.53199999999998</v>
      </c>
      <c r="E301" s="91">
        <v>0</v>
      </c>
      <c r="F301" s="91">
        <f t="shared" si="1"/>
        <v>451.53199999999998</v>
      </c>
      <c r="G301" t="str">
        <f>_xlfn.XLOOKUP($A301,Map!$A:$A,Map!C:C)</f>
        <v>IS</v>
      </c>
      <c r="H301" t="str">
        <f>_xlfn.XLOOKUP($A301,Map!$A:$A,Map!D:D)</f>
        <v>Cost of sales</v>
      </c>
      <c r="I301" t="str">
        <f>_xlfn.XLOOKUP($A301,Map!$A:$A,Map!E:E)</f>
        <v>Direct Labor</v>
      </c>
      <c r="J301" t="str">
        <f>_xlfn.XLOOKUP($A301,Map!$A:$A,Map!F:F)</f>
        <v>Direct Labor</v>
      </c>
    </row>
    <row r="302" spans="1:10" hidden="1" x14ac:dyDescent="0.25">
      <c r="A302" s="90">
        <v>510002</v>
      </c>
      <c r="B302" s="90" t="s">
        <v>723</v>
      </c>
      <c r="D302" s="91">
        <v>4323.491</v>
      </c>
      <c r="E302" s="91">
        <v>0</v>
      </c>
      <c r="F302" s="91">
        <f t="shared" si="1"/>
        <v>4323.491</v>
      </c>
      <c r="G302" t="str">
        <f>_xlfn.XLOOKUP($A302,Map!$A:$A,Map!C:C)</f>
        <v>IS</v>
      </c>
      <c r="H302" t="str">
        <f>_xlfn.XLOOKUP($A302,Map!$A:$A,Map!D:D)</f>
        <v>Cost of sales</v>
      </c>
      <c r="I302" t="str">
        <f>_xlfn.XLOOKUP($A302,Map!$A:$A,Map!E:E)</f>
        <v>Direct Labor</v>
      </c>
      <c r="J302" t="str">
        <f>_xlfn.XLOOKUP($A302,Map!$A:$A,Map!F:F)</f>
        <v>Direct Labor</v>
      </c>
    </row>
    <row r="303" spans="1:10" hidden="1" x14ac:dyDescent="0.25">
      <c r="A303" s="90">
        <v>510002</v>
      </c>
      <c r="B303" s="90" t="s">
        <v>723</v>
      </c>
      <c r="D303" s="91">
        <v>0.21299999999999999</v>
      </c>
      <c r="E303" s="91">
        <v>0</v>
      </c>
      <c r="F303" s="91">
        <f t="shared" si="1"/>
        <v>0.21299999999999999</v>
      </c>
      <c r="G303" t="str">
        <f>_xlfn.XLOOKUP($A303,Map!$A:$A,Map!C:C)</f>
        <v>IS</v>
      </c>
      <c r="H303" t="str">
        <f>_xlfn.XLOOKUP($A303,Map!$A:$A,Map!D:D)</f>
        <v>Cost of sales</v>
      </c>
      <c r="I303" t="str">
        <f>_xlfn.XLOOKUP($A303,Map!$A:$A,Map!E:E)</f>
        <v>Direct Labor</v>
      </c>
      <c r="J303" t="str">
        <f>_xlfn.XLOOKUP($A303,Map!$A:$A,Map!F:F)</f>
        <v>Direct Labor</v>
      </c>
    </row>
    <row r="304" spans="1:10" hidden="1" x14ac:dyDescent="0.25">
      <c r="A304" s="90">
        <v>510002</v>
      </c>
      <c r="B304" s="90" t="s">
        <v>723</v>
      </c>
      <c r="D304" s="91">
        <v>0.15</v>
      </c>
      <c r="E304" s="91">
        <v>0</v>
      </c>
      <c r="F304" s="91">
        <f t="shared" si="1"/>
        <v>0.15</v>
      </c>
      <c r="G304" t="str">
        <f>_xlfn.XLOOKUP($A304,Map!$A:$A,Map!C:C)</f>
        <v>IS</v>
      </c>
      <c r="H304" t="str">
        <f>_xlfn.XLOOKUP($A304,Map!$A:$A,Map!D:D)</f>
        <v>Cost of sales</v>
      </c>
      <c r="I304" t="str">
        <f>_xlfn.XLOOKUP($A304,Map!$A:$A,Map!E:E)</f>
        <v>Direct Labor</v>
      </c>
      <c r="J304" t="str">
        <f>_xlfn.XLOOKUP($A304,Map!$A:$A,Map!F:F)</f>
        <v>Direct Labor</v>
      </c>
    </row>
    <row r="305" spans="1:10" hidden="1" x14ac:dyDescent="0.25">
      <c r="A305" s="90">
        <v>420003</v>
      </c>
      <c r="B305" s="90" t="s">
        <v>723</v>
      </c>
      <c r="D305" s="91">
        <v>0</v>
      </c>
      <c r="E305" s="91">
        <v>2.7E-2</v>
      </c>
      <c r="F305" s="91">
        <f t="shared" si="1"/>
        <v>-2.7E-2</v>
      </c>
      <c r="G305" t="str">
        <f>_xlfn.XLOOKUP($A305,Map!$A:$A,Map!C:C)</f>
        <v>IS</v>
      </c>
      <c r="H305" t="str">
        <f>_xlfn.XLOOKUP($A305,Map!$A:$A,Map!D:D)</f>
        <v>Sales</v>
      </c>
      <c r="I305" t="str">
        <f>_xlfn.XLOOKUP($A305,Map!$A:$A,Map!E:E)</f>
        <v>Sales</v>
      </c>
      <c r="J305" t="str">
        <f>_xlfn.XLOOKUP($A305,Map!$A:$A,Map!F:F)</f>
        <v>Scrap sales</v>
      </c>
    </row>
    <row r="308" spans="1:10" s="1" customFormat="1" x14ac:dyDescent="0.25">
      <c r="A308" s="90">
        <v>170021</v>
      </c>
      <c r="B308" s="90" t="s">
        <v>535</v>
      </c>
      <c r="D308" s="161">
        <v>12679112.02</v>
      </c>
      <c r="F308" s="3">
        <f t="shared" ref="F308:F309" si="2">D308-E308</f>
        <v>12679112.02</v>
      </c>
      <c r="G308" t="str">
        <f>_xlfn.XLOOKUP($A308,Map!$A:$A,Map!C:C)</f>
        <v>BS</v>
      </c>
      <c r="H308" t="str">
        <f>_xlfn.XLOOKUP($A308,Map!$A:$A,Map!D:D)</f>
        <v>Current Assets</v>
      </c>
      <c r="I308" t="str">
        <f>_xlfn.XLOOKUP($A308,Map!$A:$A,Map!E:E)</f>
        <v>Prepaid expenses</v>
      </c>
      <c r="J308" t="str">
        <f>_xlfn.XLOOKUP($A308,Map!$A:$A,Map!F:F)</f>
        <v>Prepaid expense</v>
      </c>
    </row>
    <row r="309" spans="1:10" s="1" customFormat="1" x14ac:dyDescent="0.25">
      <c r="A309" s="1">
        <v>210001</v>
      </c>
      <c r="B309" s="1" t="s">
        <v>78</v>
      </c>
      <c r="E309" s="161">
        <f>D308</f>
        <v>12679112.02</v>
      </c>
      <c r="F309" s="3">
        <f t="shared" si="2"/>
        <v>-12679112.02</v>
      </c>
      <c r="G309" t="str">
        <f>_xlfn.XLOOKUP($A309,Map!$A:$A,Map!C:C)</f>
        <v>BS</v>
      </c>
      <c r="H309" t="str">
        <f>_xlfn.XLOOKUP($A309,Map!$A:$A,Map!D:D)</f>
        <v>Current Liabilities</v>
      </c>
      <c r="I309" t="str">
        <f>_xlfn.XLOOKUP($A309,Map!$A:$A,Map!E:E)</f>
        <v>Tade payables and Accuals &amp; other credit balances</v>
      </c>
      <c r="J309" t="str">
        <f>_xlfn.XLOOKUP($A309,Map!$A:$A,Map!F:F)</f>
        <v>Trade payables - Foreign</v>
      </c>
    </row>
    <row r="312" spans="1:10" s="1" customFormat="1" x14ac:dyDescent="0.25">
      <c r="A312" s="1">
        <v>410001</v>
      </c>
      <c r="B312" s="163" t="s">
        <v>737</v>
      </c>
      <c r="D312" s="164">
        <v>17120225.503132004</v>
      </c>
      <c r="E312" s="164"/>
      <c r="F312" s="3">
        <f t="shared" ref="F312:F313" si="3">D312-E312</f>
        <v>17120225.503132004</v>
      </c>
      <c r="G312" t="str">
        <f>_xlfn.XLOOKUP($A312,Map!$A:$A,Map!C:C)</f>
        <v>IS</v>
      </c>
      <c r="H312" t="str">
        <f>_xlfn.XLOOKUP($A312,Map!$A:$A,Map!D:D)</f>
        <v>Sales</v>
      </c>
      <c r="I312" t="str">
        <f>_xlfn.XLOOKUP($A312,Map!$A:$A,Map!E:E)</f>
        <v>Sales</v>
      </c>
      <c r="J312" t="str">
        <f>_xlfn.XLOOKUP($A312,Map!$A:$A,Map!F:F)</f>
        <v>Trading revenue</v>
      </c>
    </row>
    <row r="313" spans="1:10" s="1" customFormat="1" x14ac:dyDescent="0.25">
      <c r="A313" s="1">
        <v>510001</v>
      </c>
      <c r="B313" s="163" t="s">
        <v>738</v>
      </c>
      <c r="D313" s="164"/>
      <c r="E313" s="164">
        <v>13859202.685386395</v>
      </c>
      <c r="F313" s="3">
        <f t="shared" si="3"/>
        <v>-13859202.685386395</v>
      </c>
      <c r="G313" t="str">
        <f>_xlfn.XLOOKUP($A313,Map!$A:$A,Map!C:C)</f>
        <v>IS</v>
      </c>
      <c r="H313" t="str">
        <f>_xlfn.XLOOKUP($A313,Map!$A:$A,Map!D:D)</f>
        <v>Cost of sales</v>
      </c>
      <c r="I313" t="str">
        <f>_xlfn.XLOOKUP($A313,Map!$A:$A,Map!E:E)</f>
        <v>Raw materials</v>
      </c>
      <c r="J313" t="str">
        <f>_xlfn.XLOOKUP($A313,Map!$A:$A,Map!F:F)</f>
        <v>Raw materials</v>
      </c>
    </row>
  </sheetData>
  <autoFilter ref="A4:K305" xr:uid="{316E71D6-674B-4436-BD31-A1D3A8893E2F}">
    <filterColumn colId="8">
      <filters>
        <filter val="Short-term Murabaha loan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BBF9-4B1C-49FB-A6B5-6869CB087A71}">
  <sheetPr filterMode="1"/>
  <dimension ref="A1:J266"/>
  <sheetViews>
    <sheetView zoomScale="90" zoomScaleNormal="90" workbookViewId="0">
      <pane ySplit="4" topLeftCell="A68" activePane="bottomLeft" state="frozen"/>
      <selection activeCell="I119" sqref="I119"/>
      <selection pane="bottomLeft" activeCell="E265" sqref="A265:XFD266"/>
    </sheetView>
  </sheetViews>
  <sheetFormatPr defaultColWidth="8.85546875" defaultRowHeight="15" x14ac:dyDescent="0.25"/>
  <cols>
    <col min="1" max="1" width="13.42578125" style="90" bestFit="1" customWidth="1"/>
    <col min="2" max="2" width="52.28515625" style="90" bestFit="1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42.7109375" style="90" bestFit="1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588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90">
        <v>110002</v>
      </c>
      <c r="B5" s="90" t="s">
        <v>1</v>
      </c>
      <c r="C5" s="91">
        <v>249682</v>
      </c>
      <c r="D5" s="91">
        <v>106255314.56999999</v>
      </c>
      <c r="E5" s="91">
        <v>0</v>
      </c>
      <c r="F5" s="91">
        <v>106504996.56999999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90">
        <v>110003</v>
      </c>
      <c r="B6" s="90" t="s">
        <v>2</v>
      </c>
      <c r="C6" s="91">
        <v>1773233.75</v>
      </c>
      <c r="D6" s="91">
        <v>51370</v>
      </c>
      <c r="E6" s="91">
        <v>0</v>
      </c>
      <c r="F6" s="91">
        <v>1824603.75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90">
        <v>110004</v>
      </c>
      <c r="B7" s="90" t="s">
        <v>3</v>
      </c>
      <c r="C7" s="91">
        <v>43898751.101000004</v>
      </c>
      <c r="D7" s="91">
        <v>19223143.805</v>
      </c>
      <c r="E7" s="91">
        <v>241902.17199999999</v>
      </c>
      <c r="F7" s="91">
        <v>62879992.733999997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90">
        <v>110006</v>
      </c>
      <c r="B8" s="90" t="s">
        <v>4</v>
      </c>
      <c r="C8" s="91">
        <v>1891752.15</v>
      </c>
      <c r="D8" s="91">
        <v>603456.30500000005</v>
      </c>
      <c r="E8" s="91">
        <v>0</v>
      </c>
      <c r="F8" s="91">
        <v>2495208.4550000001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90">
        <v>110007</v>
      </c>
      <c r="B9" s="90" t="s">
        <v>5</v>
      </c>
      <c r="C9" s="91">
        <v>798523.45</v>
      </c>
      <c r="D9" s="91">
        <v>77992.5</v>
      </c>
      <c r="E9" s="91">
        <v>0</v>
      </c>
      <c r="F9" s="91">
        <v>876515.95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90">
        <v>110008</v>
      </c>
      <c r="B10" s="90" t="s">
        <v>6</v>
      </c>
      <c r="C10" s="91">
        <v>191765.4</v>
      </c>
      <c r="D10" s="91">
        <v>341782</v>
      </c>
      <c r="E10" s="91">
        <v>0</v>
      </c>
      <c r="F10" s="91">
        <v>533547.4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90">
        <v>111009</v>
      </c>
      <c r="B11" s="90" t="s">
        <v>7</v>
      </c>
      <c r="C11" s="91">
        <v>0</v>
      </c>
      <c r="D11" s="91">
        <v>0</v>
      </c>
      <c r="E11" s="91">
        <v>0</v>
      </c>
      <c r="F11" s="91">
        <v>0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Right of use</v>
      </c>
      <c r="J11" t="str">
        <f>_xlfn.XLOOKUP($A11,Map!$A:$A,Map!F:F)</f>
        <v>Leases - right of use assets</v>
      </c>
    </row>
    <row r="12" spans="1:10" hidden="1" x14ac:dyDescent="0.25">
      <c r="A12" s="90">
        <v>111013</v>
      </c>
      <c r="B12" s="90" t="s">
        <v>9</v>
      </c>
      <c r="C12" s="91">
        <v>102265401.13600001</v>
      </c>
      <c r="D12" s="91">
        <v>5522713.6560000004</v>
      </c>
      <c r="E12" s="91">
        <v>102647915.831</v>
      </c>
      <c r="F12" s="91">
        <v>5140198.9610000001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Property, plant and equipment</v>
      </c>
      <c r="J12" t="str">
        <f>_xlfn.XLOOKUP($A12,Map!$A:$A,Map!F:F)</f>
        <v>Property, plant and equipment - Accumulated depreciation</v>
      </c>
    </row>
    <row r="13" spans="1:10" hidden="1" x14ac:dyDescent="0.25">
      <c r="A13" s="90">
        <v>120001</v>
      </c>
      <c r="B13" s="90" t="s">
        <v>11</v>
      </c>
      <c r="C13" s="91">
        <v>-249682.00700000001</v>
      </c>
      <c r="D13" s="91">
        <v>581061.05700000003</v>
      </c>
      <c r="E13" s="91">
        <v>1026246.737</v>
      </c>
      <c r="F13" s="91">
        <v>-694867.68700000003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90">
        <v>120002</v>
      </c>
      <c r="B14" s="90" t="s">
        <v>12</v>
      </c>
      <c r="C14" s="91">
        <v>-1769803.922</v>
      </c>
      <c r="D14" s="91">
        <v>0</v>
      </c>
      <c r="E14" s="91">
        <v>12377.518</v>
      </c>
      <c r="F14" s="91">
        <v>-1782181.44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90">
        <v>120003</v>
      </c>
      <c r="B15" s="90" t="s">
        <v>13</v>
      </c>
      <c r="C15" s="91">
        <v>-30823321.811999999</v>
      </c>
      <c r="D15" s="91">
        <v>446372.625</v>
      </c>
      <c r="E15" s="91">
        <v>4410363.193</v>
      </c>
      <c r="F15" s="91">
        <v>-34787312.380000003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90">
        <v>120005</v>
      </c>
      <c r="B16" s="90" t="s">
        <v>14</v>
      </c>
      <c r="C16" s="91">
        <v>-1421470.1470000001</v>
      </c>
      <c r="D16" s="91">
        <v>84541.645000000004</v>
      </c>
      <c r="E16" s="91">
        <v>234662.128</v>
      </c>
      <c r="F16" s="91">
        <v>-1571590.63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90">
        <v>120006</v>
      </c>
      <c r="B17" s="90" t="s">
        <v>15</v>
      </c>
      <c r="C17" s="91">
        <v>-619613.80299999996</v>
      </c>
      <c r="D17" s="91">
        <v>0</v>
      </c>
      <c r="E17" s="91">
        <v>193120.68799999999</v>
      </c>
      <c r="F17" s="91">
        <v>-812734.49100000004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90">
        <v>120007</v>
      </c>
      <c r="B18" s="90" t="s">
        <v>16</v>
      </c>
      <c r="C18" s="91">
        <v>-182314.43299999999</v>
      </c>
      <c r="D18" s="91">
        <v>35.412999999999997</v>
      </c>
      <c r="E18" s="91">
        <v>38740.957000000002</v>
      </c>
      <c r="F18" s="91">
        <v>-221019.97700000001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hidden="1" x14ac:dyDescent="0.25">
      <c r="A19" s="90">
        <v>121001</v>
      </c>
      <c r="B19" s="90" t="s">
        <v>18</v>
      </c>
      <c r="C19" s="91">
        <v>13762616.130000001</v>
      </c>
      <c r="D19" s="91">
        <v>164414.54999999999</v>
      </c>
      <c r="E19" s="91">
        <v>164414.54999999999</v>
      </c>
      <c r="F19" s="91">
        <v>13762616.130000001</v>
      </c>
      <c r="G19" t="str">
        <f>_xlfn.XLOOKUP($A19,Map!$A:$A,Map!C:C)</f>
        <v>BS</v>
      </c>
      <c r="H19" t="str">
        <f>_xlfn.XLOOKUP($A19,Map!$A:$A,Map!D:D)</f>
        <v>Current Assets</v>
      </c>
      <c r="I19" t="str">
        <f>_xlfn.XLOOKUP($A19,Map!$A:$A,Map!E:E)</f>
        <v>Prepaid expenses</v>
      </c>
      <c r="J19" t="str">
        <f>_xlfn.XLOOKUP($A19,Map!$A:$A,Map!F:F)</f>
        <v>Pre Operating Exps</v>
      </c>
    </row>
    <row r="20" spans="1:10" hidden="1" x14ac:dyDescent="0.25">
      <c r="A20" s="90">
        <v>121002</v>
      </c>
      <c r="B20" s="90" t="s">
        <v>19</v>
      </c>
      <c r="C20" s="91">
        <v>-13762616.130000001</v>
      </c>
      <c r="D20" s="91">
        <v>0</v>
      </c>
      <c r="E20" s="91">
        <v>0</v>
      </c>
      <c r="F20" s="91">
        <v>-13762616.130000001</v>
      </c>
      <c r="G20" t="str">
        <f>_xlfn.XLOOKUP($A20,Map!$A:$A,Map!C:C)</f>
        <v>BS</v>
      </c>
      <c r="H20" t="str">
        <f>_xlfn.XLOOKUP($A20,Map!$A:$A,Map!D:D)</f>
        <v>Current Assets</v>
      </c>
      <c r="I20" t="str">
        <f>_xlfn.XLOOKUP($A20,Map!$A:$A,Map!E:E)</f>
        <v>Prepaid expenses</v>
      </c>
      <c r="J20" t="str">
        <f>_xlfn.XLOOKUP($A20,Map!$A:$A,Map!F:F)</f>
        <v>Amortization Of Pre Operating Exps</v>
      </c>
    </row>
    <row r="21" spans="1:10" hidden="1" x14ac:dyDescent="0.25">
      <c r="A21" s="90">
        <v>130001</v>
      </c>
      <c r="B21" s="90" t="s">
        <v>20</v>
      </c>
      <c r="C21" s="91">
        <v>2591031.906</v>
      </c>
      <c r="D21" s="91">
        <v>137938960.65900001</v>
      </c>
      <c r="E21" s="91">
        <v>138461442.875</v>
      </c>
      <c r="F21" s="91">
        <v>2068549.69</v>
      </c>
      <c r="G21" t="str">
        <f>_xlfn.XLOOKUP($A21,Map!$A:$A,Map!C:C)</f>
        <v>BS</v>
      </c>
      <c r="H21" t="str">
        <f>_xlfn.XLOOKUP($A21,Map!$A:$A,Map!D:D)</f>
        <v>Current Assets</v>
      </c>
      <c r="I21" t="str">
        <f>_xlfn.XLOOKUP($A21,Map!$A:$A,Map!E:E)</f>
        <v>Cash and cash equivalents</v>
      </c>
      <c r="J21" t="str">
        <f>_xlfn.XLOOKUP($A21,Map!$A:$A,Map!F:F)</f>
        <v>Bank balances</v>
      </c>
    </row>
    <row r="22" spans="1:10" hidden="1" x14ac:dyDescent="0.25">
      <c r="A22" s="90">
        <v>130002</v>
      </c>
      <c r="B22" s="90" t="s">
        <v>21</v>
      </c>
      <c r="C22" s="91">
        <v>51063.64</v>
      </c>
      <c r="D22" s="91">
        <v>89244929.233999997</v>
      </c>
      <c r="E22" s="91">
        <v>89289643.554000005</v>
      </c>
      <c r="F22" s="91">
        <v>6349.32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Cash and cash equivalents</v>
      </c>
      <c r="J22" t="str">
        <f>_xlfn.XLOOKUP($A22,Map!$A:$A,Map!F:F)</f>
        <v>Bank balances</v>
      </c>
    </row>
    <row r="23" spans="1:10" hidden="1" x14ac:dyDescent="0.25">
      <c r="A23" s="90">
        <v>130003</v>
      </c>
      <c r="B23" s="90" t="s">
        <v>22</v>
      </c>
      <c r="C23" s="91">
        <v>0</v>
      </c>
      <c r="D23" s="91">
        <v>362486.9</v>
      </c>
      <c r="E23" s="91">
        <v>362486.9</v>
      </c>
      <c r="F23" s="91">
        <v>0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Cash and cash equivalents</v>
      </c>
      <c r="J23" t="str">
        <f>_xlfn.XLOOKUP($A23,Map!$A:$A,Map!F:F)</f>
        <v>Bank balances</v>
      </c>
    </row>
    <row r="24" spans="1:10" hidden="1" x14ac:dyDescent="0.25">
      <c r="A24" s="90">
        <v>130004</v>
      </c>
      <c r="B24" s="90" t="s">
        <v>23</v>
      </c>
      <c r="C24" s="91">
        <v>2170226.4300000002</v>
      </c>
      <c r="D24" s="91">
        <v>21373965.848000001</v>
      </c>
      <c r="E24" s="91">
        <v>23262230.767999999</v>
      </c>
      <c r="F24" s="91">
        <v>281961.51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hidden="1" x14ac:dyDescent="0.25">
      <c r="A25" s="90">
        <v>130005</v>
      </c>
      <c r="B25" s="90" t="s">
        <v>24</v>
      </c>
      <c r="C25" s="91">
        <v>1196050.98</v>
      </c>
      <c r="D25" s="91">
        <v>368450</v>
      </c>
      <c r="E25" s="91">
        <v>1564500.98</v>
      </c>
      <c r="F25" s="91">
        <v>0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90">
        <v>130006</v>
      </c>
      <c r="B26" s="90" t="s">
        <v>25</v>
      </c>
      <c r="C26" s="91">
        <v>91646.45</v>
      </c>
      <c r="D26" s="91">
        <v>329325.5</v>
      </c>
      <c r="E26" s="91">
        <v>394301.6</v>
      </c>
      <c r="F26" s="91">
        <v>26670.35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90">
        <v>130007</v>
      </c>
      <c r="B27" s="90" t="s">
        <v>26</v>
      </c>
      <c r="C27" s="91">
        <v>812449.21699999995</v>
      </c>
      <c r="D27" s="91">
        <v>25323494.489999998</v>
      </c>
      <c r="E27" s="91">
        <v>24501328.616999999</v>
      </c>
      <c r="F27" s="91">
        <v>1634615.09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90">
        <v>130008</v>
      </c>
      <c r="B28" s="90" t="s">
        <v>247</v>
      </c>
      <c r="C28" s="91">
        <v>298807.52</v>
      </c>
      <c r="D28" s="91">
        <v>38842390.534999996</v>
      </c>
      <c r="E28" s="91">
        <v>34372046.475000001</v>
      </c>
      <c r="F28" s="91">
        <v>4769151.58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hidden="1" x14ac:dyDescent="0.25">
      <c r="A29" s="90">
        <v>130099</v>
      </c>
      <c r="B29" s="90" t="s">
        <v>34</v>
      </c>
      <c r="C29" s="91">
        <v>0</v>
      </c>
      <c r="D29" s="91">
        <v>148554481.83000001</v>
      </c>
      <c r="E29" s="91">
        <v>148554481.83000001</v>
      </c>
      <c r="F29" s="91">
        <v>0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hidden="1" x14ac:dyDescent="0.25">
      <c r="A30" s="90">
        <v>140001</v>
      </c>
      <c r="B30" s="90" t="s">
        <v>35</v>
      </c>
      <c r="C30" s="91">
        <v>39364277.743000001</v>
      </c>
      <c r="D30" s="91">
        <v>176613057.49000001</v>
      </c>
      <c r="E30" s="91">
        <v>177669149.185</v>
      </c>
      <c r="F30" s="91">
        <v>38308186.048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Trade receivables</v>
      </c>
      <c r="J30" t="str">
        <f>_xlfn.XLOOKUP($A30,Map!$A:$A,Map!F:F)</f>
        <v>Trade receivables - current</v>
      </c>
    </row>
    <row r="31" spans="1:10" hidden="1" x14ac:dyDescent="0.25">
      <c r="A31" s="90">
        <v>140010</v>
      </c>
      <c r="B31" s="90" t="s">
        <v>36</v>
      </c>
      <c r="C31" s="91">
        <v>0</v>
      </c>
      <c r="D31" s="91">
        <v>0</v>
      </c>
      <c r="E31" s="91">
        <v>0</v>
      </c>
      <c r="F31" s="91">
        <v>0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Trade receivables</v>
      </c>
      <c r="J31" t="str">
        <f>_xlfn.XLOOKUP($A31,Map!$A:$A,Map!F:F)</f>
        <v>Trade receivables - current</v>
      </c>
    </row>
    <row r="32" spans="1:10" hidden="1" x14ac:dyDescent="0.25">
      <c r="A32" s="90">
        <v>150001</v>
      </c>
      <c r="B32" s="90" t="s">
        <v>37</v>
      </c>
      <c r="C32" s="91">
        <v>43750</v>
      </c>
      <c r="D32" s="91">
        <v>563067</v>
      </c>
      <c r="E32" s="91">
        <v>223449</v>
      </c>
      <c r="F32" s="91">
        <v>383368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Prepaid expenses</v>
      </c>
      <c r="J32" t="str">
        <f>_xlfn.XLOOKUP($A32,Map!$A:$A,Map!F:F)</f>
        <v>Advances - current</v>
      </c>
    </row>
    <row r="33" spans="1:10" hidden="1" x14ac:dyDescent="0.25">
      <c r="A33" s="90">
        <v>160001</v>
      </c>
      <c r="B33" s="90" t="s">
        <v>39</v>
      </c>
      <c r="C33" s="91">
        <v>46000</v>
      </c>
      <c r="D33" s="91">
        <v>727305.96</v>
      </c>
      <c r="E33" s="91">
        <v>743059.08</v>
      </c>
      <c r="F33" s="91">
        <v>30246.880000000001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Petty cash</v>
      </c>
    </row>
    <row r="34" spans="1:10" hidden="1" x14ac:dyDescent="0.25">
      <c r="A34" s="90">
        <v>170000</v>
      </c>
      <c r="B34" s="90" t="s">
        <v>40</v>
      </c>
      <c r="C34" s="91">
        <v>3.0000000000000001E-3</v>
      </c>
      <c r="D34" s="91">
        <v>3176594.699</v>
      </c>
      <c r="E34" s="91">
        <v>2355154.247</v>
      </c>
      <c r="F34" s="91">
        <v>821440.45499999996</v>
      </c>
      <c r="G34" t="str">
        <f>_xlfn.XLOOKUP($A34,Map!$A:$A,Map!C:C)</f>
        <v>BS</v>
      </c>
      <c r="H34" t="str">
        <f>_xlfn.XLOOKUP($A34,Map!$A:$A,Map!D:D)</f>
        <v>Current Liabilities</v>
      </c>
      <c r="I34" t="str">
        <f>_xlfn.XLOOKUP($A34,Map!$A:$A,Map!E:E)</f>
        <v>Short-term Murabaha loans</v>
      </c>
      <c r="J34" t="str">
        <f>_xlfn.XLOOKUP($A34,Map!$A:$A,Map!F:F)</f>
        <v>Prepayments - current</v>
      </c>
    </row>
    <row r="35" spans="1:10" hidden="1" x14ac:dyDescent="0.25">
      <c r="A35" s="90">
        <v>170001</v>
      </c>
      <c r="B35" s="90" t="s">
        <v>41</v>
      </c>
      <c r="C35" s="91">
        <v>0</v>
      </c>
      <c r="D35" s="91">
        <v>0</v>
      </c>
      <c r="E35" s="91">
        <v>0</v>
      </c>
      <c r="F35" s="91">
        <v>0</v>
      </c>
      <c r="G35" t="str">
        <f>_xlfn.XLOOKUP($A35,Map!$A:$A,Map!C:C)</f>
        <v>BS</v>
      </c>
      <c r="H35" t="str">
        <f>_xlfn.XLOOKUP($A35,Map!$A:$A,Map!D:D)</f>
        <v>Current Liabilities</v>
      </c>
      <c r="I35" t="str">
        <f>_xlfn.XLOOKUP($A35,Map!$A:$A,Map!E:E)</f>
        <v>Short-term Murabaha loans</v>
      </c>
      <c r="J35" t="str">
        <f>_xlfn.XLOOKUP($A35,Map!$A:$A,Map!F:F)</f>
        <v>Prepayments - current</v>
      </c>
    </row>
    <row r="36" spans="1:10" hidden="1" x14ac:dyDescent="0.25">
      <c r="A36" s="90">
        <v>170002</v>
      </c>
      <c r="B36" s="90" t="s">
        <v>42</v>
      </c>
      <c r="C36" s="91">
        <v>0</v>
      </c>
      <c r="D36" s="91">
        <v>899145</v>
      </c>
      <c r="E36" s="91">
        <v>0</v>
      </c>
      <c r="F36" s="91">
        <v>899145</v>
      </c>
      <c r="G36" t="str">
        <f>_xlfn.XLOOKUP($A36,Map!$A:$A,Map!C:C)</f>
        <v>BS</v>
      </c>
      <c r="H36" t="str">
        <f>_xlfn.XLOOKUP($A36,Map!$A:$A,Map!D:D)</f>
        <v>Current Liabilities</v>
      </c>
      <c r="I36" t="str">
        <f>_xlfn.XLOOKUP($A36,Map!$A:$A,Map!E:E)</f>
        <v>Short-term Murabaha loans</v>
      </c>
      <c r="J36" t="str">
        <f>_xlfn.XLOOKUP($A36,Map!$A:$A,Map!F:F)</f>
        <v>Prepayments - current</v>
      </c>
    </row>
    <row r="37" spans="1:10" hidden="1" x14ac:dyDescent="0.25">
      <c r="A37" s="90">
        <v>170003</v>
      </c>
      <c r="B37" s="90" t="s">
        <v>43</v>
      </c>
      <c r="C37" s="91">
        <v>-3.0000000000000001E-3</v>
      </c>
      <c r="D37" s="91">
        <v>135208.67600000001</v>
      </c>
      <c r="E37" s="91">
        <v>135208.67300000001</v>
      </c>
      <c r="F37" s="91">
        <v>0</v>
      </c>
      <c r="G37" t="str">
        <f>_xlfn.XLOOKUP($A37,Map!$A:$A,Map!C:C)</f>
        <v>BS</v>
      </c>
      <c r="H37" t="str">
        <f>_xlfn.XLOOKUP($A37,Map!$A:$A,Map!D:D)</f>
        <v>Current Liabilities</v>
      </c>
      <c r="I37" t="str">
        <f>_xlfn.XLOOKUP($A37,Map!$A:$A,Map!E:E)</f>
        <v>Short-term Murabaha loans</v>
      </c>
      <c r="J37" t="str">
        <f>_xlfn.XLOOKUP($A37,Map!$A:$A,Map!F:F)</f>
        <v>Prepayments - current</v>
      </c>
    </row>
    <row r="38" spans="1:10" hidden="1" x14ac:dyDescent="0.25">
      <c r="A38" s="90">
        <v>170004</v>
      </c>
      <c r="B38" s="90" t="s">
        <v>244</v>
      </c>
      <c r="C38" s="91">
        <v>0</v>
      </c>
      <c r="D38" s="91">
        <v>0</v>
      </c>
      <c r="E38" s="91">
        <v>0</v>
      </c>
      <c r="F38" s="91">
        <v>0</v>
      </c>
      <c r="G38" t="str">
        <f>_xlfn.XLOOKUP($A38,Map!$A:$A,Map!C:C)</f>
        <v>BS</v>
      </c>
      <c r="H38" t="str">
        <f>_xlfn.XLOOKUP($A38,Map!$A:$A,Map!D:D)</f>
        <v>Current Liabilities</v>
      </c>
      <c r="I38" t="str">
        <f>_xlfn.XLOOKUP($A38,Map!$A:$A,Map!E:E)</f>
        <v>Short-term Murabaha loans</v>
      </c>
      <c r="J38" t="str">
        <f>_xlfn.XLOOKUP($A38,Map!$A:$A,Map!F:F)</f>
        <v>Prepayments - current</v>
      </c>
    </row>
    <row r="39" spans="1:10" hidden="1" x14ac:dyDescent="0.25">
      <c r="A39" s="90">
        <v>170005</v>
      </c>
      <c r="B39" s="90" t="s">
        <v>44</v>
      </c>
      <c r="C39" s="91">
        <v>0</v>
      </c>
      <c r="D39" s="91">
        <v>0</v>
      </c>
      <c r="E39" s="91">
        <v>0</v>
      </c>
      <c r="F39" s="91">
        <v>0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Prepaid expenses</v>
      </c>
      <c r="J39" t="str">
        <f>_xlfn.XLOOKUP($A39,Map!$A:$A,Map!F:F)</f>
        <v>Deposits - current</v>
      </c>
    </row>
    <row r="40" spans="1:10" hidden="1" x14ac:dyDescent="0.25">
      <c r="A40" s="90">
        <v>170006</v>
      </c>
      <c r="B40" s="90" t="s">
        <v>45</v>
      </c>
      <c r="C40" s="91">
        <v>0</v>
      </c>
      <c r="D40" s="91">
        <v>4820943.4960000003</v>
      </c>
      <c r="E40" s="91">
        <v>4820943.4960000003</v>
      </c>
      <c r="F40" s="91">
        <v>0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Prepaid expenses</v>
      </c>
      <c r="J40" t="str">
        <f>_xlfn.XLOOKUP($A40,Map!$A:$A,Map!F:F)</f>
        <v>Deposits - current</v>
      </c>
    </row>
    <row r="41" spans="1:10" hidden="1" x14ac:dyDescent="0.25">
      <c r="A41" s="90">
        <v>170007</v>
      </c>
      <c r="B41" s="90" t="s">
        <v>46</v>
      </c>
      <c r="C41" s="91">
        <v>0</v>
      </c>
      <c r="D41" s="91">
        <v>48445</v>
      </c>
      <c r="E41" s="91">
        <v>48445</v>
      </c>
      <c r="F41" s="91">
        <v>0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Prepaid expenses</v>
      </c>
      <c r="J41" t="str">
        <f>_xlfn.XLOOKUP($A41,Map!$A:$A,Map!F:F)</f>
        <v>Deposits - current</v>
      </c>
    </row>
    <row r="42" spans="1:10" hidden="1" x14ac:dyDescent="0.25">
      <c r="A42" s="90">
        <v>170008</v>
      </c>
      <c r="B42" s="90" t="s">
        <v>47</v>
      </c>
      <c r="C42" s="91">
        <v>0</v>
      </c>
      <c r="D42" s="91">
        <v>0</v>
      </c>
      <c r="E42" s="91">
        <v>0</v>
      </c>
      <c r="F42" s="91">
        <v>0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Prepaid expenses</v>
      </c>
      <c r="J42" t="str">
        <f>_xlfn.XLOOKUP($A42,Map!$A:$A,Map!F:F)</f>
        <v>Deposits - current</v>
      </c>
    </row>
    <row r="43" spans="1:10" hidden="1" x14ac:dyDescent="0.25">
      <c r="A43" s="90">
        <v>170009</v>
      </c>
      <c r="B43" s="90" t="s">
        <v>48</v>
      </c>
      <c r="C43" s="91">
        <v>34444.000999999997</v>
      </c>
      <c r="D43" s="91">
        <v>1101718.273</v>
      </c>
      <c r="E43" s="91">
        <v>1060927.274</v>
      </c>
      <c r="F43" s="91">
        <v>75235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Prepaid expenses</v>
      </c>
      <c r="J43" t="str">
        <f>_xlfn.XLOOKUP($A43,Map!$A:$A,Map!F:F)</f>
        <v>Rent</v>
      </c>
    </row>
    <row r="44" spans="1:10" hidden="1" x14ac:dyDescent="0.25">
      <c r="A44" s="90">
        <v>170010</v>
      </c>
      <c r="B44" s="90" t="s">
        <v>49</v>
      </c>
      <c r="C44" s="91">
        <v>0</v>
      </c>
      <c r="D44" s="91">
        <v>694466.652</v>
      </c>
      <c r="E44" s="91">
        <v>694466.652</v>
      </c>
      <c r="F44" s="91">
        <v>0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Prepaid expenses</v>
      </c>
      <c r="J44" t="str">
        <f>_xlfn.XLOOKUP($A44,Map!$A:$A,Map!F:F)</f>
        <v>Housing allowance</v>
      </c>
    </row>
    <row r="45" spans="1:10" hidden="1" x14ac:dyDescent="0.25">
      <c r="A45" s="90">
        <v>170011</v>
      </c>
      <c r="B45" s="90" t="s">
        <v>50</v>
      </c>
      <c r="C45" s="91">
        <v>0</v>
      </c>
      <c r="D45" s="91">
        <v>1050976.58</v>
      </c>
      <c r="E45" s="91">
        <v>875976.58</v>
      </c>
      <c r="F45" s="91">
        <v>175000</v>
      </c>
      <c r="G45" t="str">
        <f>_xlfn.XLOOKUP($A45,Map!$A:$A,Map!C:C)</f>
        <v>BS</v>
      </c>
      <c r="H45" t="str">
        <f>_xlfn.XLOOKUP($A45,Map!$A:$A,Map!D:D)</f>
        <v>Current Assets</v>
      </c>
      <c r="I45" t="str">
        <f>_xlfn.XLOOKUP($A45,Map!$A:$A,Map!E:E)</f>
        <v>Prepaid expenses</v>
      </c>
      <c r="J45" t="str">
        <f>_xlfn.XLOOKUP($A45,Map!$A:$A,Map!F:F)</f>
        <v>Air tickets</v>
      </c>
    </row>
    <row r="46" spans="1:10" hidden="1" x14ac:dyDescent="0.25">
      <c r="A46" s="90">
        <v>170013</v>
      </c>
      <c r="B46" s="90" t="s">
        <v>52</v>
      </c>
      <c r="C46" s="91">
        <v>59000</v>
      </c>
      <c r="D46" s="91">
        <v>5000</v>
      </c>
      <c r="E46" s="91">
        <v>0</v>
      </c>
      <c r="F46" s="91">
        <v>64000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Prepaid expenses</v>
      </c>
      <c r="J46" t="str">
        <f>_xlfn.XLOOKUP($A46,Map!$A:$A,Map!F:F)</f>
        <v>Insurance</v>
      </c>
    </row>
    <row r="47" spans="1:10" hidden="1" x14ac:dyDescent="0.25">
      <c r="A47" s="90">
        <v>170014</v>
      </c>
      <c r="B47" s="90" t="s">
        <v>53</v>
      </c>
      <c r="C47" s="91">
        <v>284241.5</v>
      </c>
      <c r="D47" s="91">
        <v>674208.14800000004</v>
      </c>
      <c r="E47" s="91">
        <v>637352.64800000004</v>
      </c>
      <c r="F47" s="91">
        <v>321097</v>
      </c>
      <c r="G47" t="str">
        <f>_xlfn.XLOOKUP($A47,Map!$A:$A,Map!C:C)</f>
        <v>BS</v>
      </c>
      <c r="H47" t="str">
        <f>_xlfn.XLOOKUP($A47,Map!$A:$A,Map!D:D)</f>
        <v>Current Assets</v>
      </c>
      <c r="I47" t="str">
        <f>_xlfn.XLOOKUP($A47,Map!$A:$A,Map!E:E)</f>
        <v>Prepaid expenses</v>
      </c>
      <c r="J47" t="str">
        <f>_xlfn.XLOOKUP($A47,Map!$A:$A,Map!F:F)</f>
        <v>Insurance</v>
      </c>
    </row>
    <row r="48" spans="1:10" hidden="1" x14ac:dyDescent="0.25">
      <c r="A48" s="90">
        <v>170015</v>
      </c>
      <c r="B48" s="90" t="s">
        <v>54</v>
      </c>
      <c r="C48" s="91">
        <v>0</v>
      </c>
      <c r="D48" s="91">
        <v>170477</v>
      </c>
      <c r="E48" s="91">
        <v>170477</v>
      </c>
      <c r="F48" s="91">
        <v>0</v>
      </c>
      <c r="G48" t="str">
        <f>_xlfn.XLOOKUP($A48,Map!$A:$A,Map!C:C)</f>
        <v>BS</v>
      </c>
      <c r="H48" t="str">
        <f>_xlfn.XLOOKUP($A48,Map!$A:$A,Map!D:D)</f>
        <v>Current Assets</v>
      </c>
      <c r="I48" t="str">
        <f>_xlfn.XLOOKUP($A48,Map!$A:$A,Map!E:E)</f>
        <v>Prepaid expenses</v>
      </c>
      <c r="J48" t="str">
        <f>_xlfn.XLOOKUP($A48,Map!$A:$A,Map!F:F)</f>
        <v>Salaries and wages</v>
      </c>
    </row>
    <row r="49" spans="1:10" hidden="1" x14ac:dyDescent="0.25">
      <c r="A49" s="90">
        <v>170016</v>
      </c>
      <c r="B49" s="90" t="s">
        <v>55</v>
      </c>
      <c r="C49" s="91">
        <v>0</v>
      </c>
      <c r="D49" s="91">
        <v>659957.69999999995</v>
      </c>
      <c r="E49" s="91">
        <v>336779.7</v>
      </c>
      <c r="F49" s="91">
        <v>323178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Prepaid expenses</v>
      </c>
      <c r="J49" t="str">
        <f>_xlfn.XLOOKUP($A49,Map!$A:$A,Map!F:F)</f>
        <v>Other receivables - current</v>
      </c>
    </row>
    <row r="50" spans="1:10" hidden="1" x14ac:dyDescent="0.25">
      <c r="A50" s="90">
        <v>180001</v>
      </c>
      <c r="B50" s="90" t="s">
        <v>60</v>
      </c>
      <c r="C50" s="91">
        <v>0</v>
      </c>
      <c r="D50" s="91">
        <v>1525240.3319999999</v>
      </c>
      <c r="E50" s="91">
        <v>1525240.3319999999</v>
      </c>
      <c r="F50" s="91">
        <v>0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Inventories</v>
      </c>
      <c r="J50" t="str">
        <f>_xlfn.XLOOKUP($A50,Map!$A:$A,Map!F:F)</f>
        <v>Raw materials - Inventory</v>
      </c>
    </row>
    <row r="51" spans="1:10" hidden="1" x14ac:dyDescent="0.25">
      <c r="A51" s="90">
        <v>180002</v>
      </c>
      <c r="B51" s="90" t="s">
        <v>61</v>
      </c>
      <c r="C51" s="91">
        <v>0</v>
      </c>
      <c r="D51" s="91">
        <v>9053.99</v>
      </c>
      <c r="E51" s="91">
        <v>9053.99</v>
      </c>
      <c r="F51" s="91">
        <v>0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Inventories</v>
      </c>
      <c r="J51" t="str">
        <f>_xlfn.XLOOKUP($A51,Map!$A:$A,Map!F:F)</f>
        <v>Raw materials - Inventory</v>
      </c>
    </row>
    <row r="52" spans="1:10" hidden="1" x14ac:dyDescent="0.25">
      <c r="A52" s="90">
        <v>180003</v>
      </c>
      <c r="B52" s="90" t="s">
        <v>62</v>
      </c>
      <c r="C52" s="91">
        <v>3299573.9649999999</v>
      </c>
      <c r="D52" s="91">
        <v>7838301.4939999999</v>
      </c>
      <c r="E52" s="91">
        <v>4519973.4819999998</v>
      </c>
      <c r="F52" s="91">
        <v>6617901.977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Inventories</v>
      </c>
      <c r="J52" t="str">
        <f>_xlfn.XLOOKUP($A52,Map!$A:$A,Map!F:F)</f>
        <v>Spare parts - Inventory</v>
      </c>
    </row>
    <row r="53" spans="1:10" hidden="1" x14ac:dyDescent="0.25">
      <c r="A53" s="90">
        <v>180004</v>
      </c>
      <c r="B53" s="90" t="s">
        <v>63</v>
      </c>
      <c r="C53" s="91">
        <v>5349660.4009999996</v>
      </c>
      <c r="D53" s="91">
        <v>34796596.783</v>
      </c>
      <c r="E53" s="91">
        <v>22684966.585999999</v>
      </c>
      <c r="F53" s="91">
        <v>17461290.598000001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Inventories</v>
      </c>
      <c r="J53" t="str">
        <f>_xlfn.XLOOKUP($A53,Map!$A:$A,Map!F:F)</f>
        <v>Raw materials - Inventory</v>
      </c>
    </row>
    <row r="54" spans="1:10" hidden="1" x14ac:dyDescent="0.25">
      <c r="A54" s="90">
        <v>180005</v>
      </c>
      <c r="B54" s="90" t="s">
        <v>64</v>
      </c>
      <c r="C54" s="91">
        <v>2403224.9559999998</v>
      </c>
      <c r="D54" s="91">
        <v>21855945.98</v>
      </c>
      <c r="E54" s="91">
        <v>10587231.960000001</v>
      </c>
      <c r="F54" s="91">
        <v>13671938.976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Inventories</v>
      </c>
      <c r="J54" t="str">
        <f>_xlfn.XLOOKUP($A54,Map!$A:$A,Map!F:F)</f>
        <v>Raw materials - Inventory</v>
      </c>
    </row>
    <row r="55" spans="1:10" hidden="1" x14ac:dyDescent="0.25">
      <c r="A55" s="90">
        <v>180006</v>
      </c>
      <c r="B55" s="90" t="s">
        <v>65</v>
      </c>
      <c r="C55" s="91">
        <v>425239.42300000001</v>
      </c>
      <c r="D55" s="91">
        <v>6468924.0480000004</v>
      </c>
      <c r="E55" s="91">
        <v>3488339.37</v>
      </c>
      <c r="F55" s="91">
        <v>3405824.1009999998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Inventories</v>
      </c>
      <c r="J55" t="str">
        <f>_xlfn.XLOOKUP($A55,Map!$A:$A,Map!F:F)</f>
        <v>Raw materials - Inventory</v>
      </c>
    </row>
    <row r="56" spans="1:10" hidden="1" x14ac:dyDescent="0.25">
      <c r="A56" s="90">
        <v>180007</v>
      </c>
      <c r="B56" s="90" t="s">
        <v>66</v>
      </c>
      <c r="C56" s="91">
        <v>1090998.24</v>
      </c>
      <c r="D56" s="91">
        <v>11431391.359999999</v>
      </c>
      <c r="E56" s="91">
        <v>10548465.300000001</v>
      </c>
      <c r="F56" s="91">
        <v>1973924.3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Inventories</v>
      </c>
      <c r="J56" t="str">
        <f>_xlfn.XLOOKUP($A56,Map!$A:$A,Map!F:F)</f>
        <v>Raw materials - Inventory</v>
      </c>
    </row>
    <row r="57" spans="1:10" hidden="1" x14ac:dyDescent="0.25">
      <c r="A57" s="90">
        <v>180008</v>
      </c>
      <c r="B57" s="90" t="s">
        <v>67</v>
      </c>
      <c r="C57" s="91">
        <v>1568037.8160000001</v>
      </c>
      <c r="D57" s="91">
        <v>668604.24199999997</v>
      </c>
      <c r="E57" s="91">
        <v>367647.81</v>
      </c>
      <c r="F57" s="91">
        <v>1868994.2479999999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Inventories</v>
      </c>
      <c r="J57" t="str">
        <f>_xlfn.XLOOKUP($A57,Map!$A:$A,Map!F:F)</f>
        <v>Raw materials - Inventory</v>
      </c>
    </row>
    <row r="58" spans="1:10" hidden="1" x14ac:dyDescent="0.25">
      <c r="A58" s="90">
        <v>180009</v>
      </c>
      <c r="B58" s="90" t="s">
        <v>68</v>
      </c>
      <c r="C58" s="91">
        <v>-0.02</v>
      </c>
      <c r="D58" s="91">
        <v>132777696.609</v>
      </c>
      <c r="E58" s="91">
        <v>132777696.59299999</v>
      </c>
      <c r="F58" s="91">
        <v>-4.0000000000000001E-3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Inventories</v>
      </c>
      <c r="J58" t="str">
        <f>_xlfn.XLOOKUP($A58,Map!$A:$A,Map!F:F)</f>
        <v>Raw materials - Inventory</v>
      </c>
    </row>
    <row r="59" spans="1:10" hidden="1" x14ac:dyDescent="0.25">
      <c r="A59" s="90">
        <v>180010</v>
      </c>
      <c r="B59" s="90" t="s">
        <v>69</v>
      </c>
      <c r="C59" s="91">
        <v>1731640.504</v>
      </c>
      <c r="D59" s="91">
        <v>7431351.7089999998</v>
      </c>
      <c r="E59" s="91">
        <v>5878505.1780000003</v>
      </c>
      <c r="F59" s="91">
        <v>3284487.0350000001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Inventories</v>
      </c>
      <c r="J59" t="str">
        <f>_xlfn.XLOOKUP($A59,Map!$A:$A,Map!F:F)</f>
        <v>Packaging materials - Inventory</v>
      </c>
    </row>
    <row r="60" spans="1:10" hidden="1" x14ac:dyDescent="0.25">
      <c r="A60" s="90">
        <v>180011</v>
      </c>
      <c r="B60" s="90" t="s">
        <v>70</v>
      </c>
      <c r="C60" s="91">
        <v>3759293.67</v>
      </c>
      <c r="D60" s="91">
        <v>45418241.355999999</v>
      </c>
      <c r="E60" s="91">
        <v>43187005.086999997</v>
      </c>
      <c r="F60" s="91">
        <v>5990529.9390000002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Inventories</v>
      </c>
      <c r="J60" t="str">
        <f>_xlfn.XLOOKUP($A60,Map!$A:$A,Map!F:F)</f>
        <v>Finished goods - Inventory</v>
      </c>
    </row>
    <row r="61" spans="1:10" hidden="1" x14ac:dyDescent="0.25">
      <c r="A61" s="90">
        <v>180012</v>
      </c>
      <c r="B61" s="90" t="s">
        <v>71</v>
      </c>
      <c r="C61" s="91">
        <v>1969194.7039999999</v>
      </c>
      <c r="D61" s="91">
        <v>36037443.204000004</v>
      </c>
      <c r="E61" s="91">
        <v>33851264.467</v>
      </c>
      <c r="F61" s="91">
        <v>4155373.4410000001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Inventories</v>
      </c>
      <c r="J61" t="str">
        <f>_xlfn.XLOOKUP($A61,Map!$A:$A,Map!F:F)</f>
        <v>Work in progress - Inventory</v>
      </c>
    </row>
    <row r="62" spans="1:10" hidden="1" x14ac:dyDescent="0.25">
      <c r="A62" s="90">
        <v>180013</v>
      </c>
      <c r="B62" s="90" t="s">
        <v>72</v>
      </c>
      <c r="C62" s="91">
        <v>4435009.0870000003</v>
      </c>
      <c r="D62" s="91">
        <v>23763497.223000001</v>
      </c>
      <c r="E62" s="91">
        <v>19874535.824999999</v>
      </c>
      <c r="F62" s="91">
        <v>8323970.4850000003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Inventories</v>
      </c>
      <c r="J62" t="str">
        <f>_xlfn.XLOOKUP($A62,Map!$A:$A,Map!F:F)</f>
        <v>Finished goods - Inventory</v>
      </c>
    </row>
    <row r="63" spans="1:10" hidden="1" x14ac:dyDescent="0.25">
      <c r="A63" s="90">
        <v>180014</v>
      </c>
      <c r="B63" s="90" t="s">
        <v>73</v>
      </c>
      <c r="C63" s="91">
        <v>759475.83</v>
      </c>
      <c r="D63" s="91">
        <v>44763288.721000001</v>
      </c>
      <c r="E63" s="91">
        <v>45522764.550999999</v>
      </c>
      <c r="F63" s="91">
        <v>0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Work in progress - Inventory</v>
      </c>
    </row>
    <row r="64" spans="1:10" hidden="1" x14ac:dyDescent="0.25">
      <c r="A64" s="90">
        <v>180096</v>
      </c>
      <c r="B64" s="90" t="s">
        <v>74</v>
      </c>
      <c r="C64" s="91">
        <v>177283.36499999999</v>
      </c>
      <c r="D64" s="91">
        <v>33079668.467999998</v>
      </c>
      <c r="E64" s="91">
        <v>33256951.835000001</v>
      </c>
      <c r="F64" s="91">
        <v>-2E-3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Inventories</v>
      </c>
      <c r="J64" t="str">
        <f>_xlfn.XLOOKUP($A64,Map!$A:$A,Map!F:F)</f>
        <v>Work in progress - Inventory</v>
      </c>
    </row>
    <row r="65" spans="1:10" hidden="1" x14ac:dyDescent="0.25">
      <c r="A65" s="90">
        <v>180097</v>
      </c>
      <c r="B65" s="90" t="s">
        <v>75</v>
      </c>
      <c r="C65" s="91">
        <v>0</v>
      </c>
      <c r="D65" s="91">
        <v>111103.143</v>
      </c>
      <c r="E65" s="91">
        <v>111103.143</v>
      </c>
      <c r="F65" s="91">
        <v>0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Inventories</v>
      </c>
      <c r="J65" t="str">
        <f>_xlfn.XLOOKUP($A65,Map!$A:$A,Map!F:F)</f>
        <v>Work in progress - Inventory</v>
      </c>
    </row>
    <row r="66" spans="1:10" hidden="1" x14ac:dyDescent="0.25">
      <c r="A66" s="90">
        <v>180098</v>
      </c>
      <c r="B66" s="90" t="s">
        <v>76</v>
      </c>
      <c r="C66" s="91">
        <v>0</v>
      </c>
      <c r="D66" s="91">
        <v>0</v>
      </c>
      <c r="E66" s="91">
        <v>0</v>
      </c>
      <c r="F66" s="91">
        <v>0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Inventories</v>
      </c>
      <c r="J66" t="str">
        <f>_xlfn.XLOOKUP($A66,Map!$A:$A,Map!F:F)</f>
        <v>Work in progress - Inventory</v>
      </c>
    </row>
    <row r="67" spans="1:10" hidden="1" x14ac:dyDescent="0.25">
      <c r="A67" s="90">
        <v>180099</v>
      </c>
      <c r="B67" s="90" t="s">
        <v>77</v>
      </c>
      <c r="C67" s="91">
        <v>0</v>
      </c>
      <c r="D67" s="91">
        <v>0</v>
      </c>
      <c r="E67" s="91">
        <v>0</v>
      </c>
      <c r="F67" s="91">
        <v>0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Inventories</v>
      </c>
      <c r="J67" t="str">
        <f>_xlfn.XLOOKUP($A67,Map!$A:$A,Map!F:F)</f>
        <v>Goods in transit - Inventory</v>
      </c>
    </row>
    <row r="68" spans="1:10" x14ac:dyDescent="0.25">
      <c r="A68" s="90">
        <v>210001</v>
      </c>
      <c r="B68" s="90" t="s">
        <v>78</v>
      </c>
      <c r="C68" s="91">
        <v>9273696.4460000005</v>
      </c>
      <c r="D68" s="91">
        <v>109453636.58499999</v>
      </c>
      <c r="E68" s="91">
        <v>116800132.296</v>
      </c>
      <c r="F68" s="91">
        <v>1927200.7350000001</v>
      </c>
      <c r="G68" t="str">
        <f>_xlfn.XLOOKUP($A68,Map!$A:$A,Map!C:C)</f>
        <v>BS</v>
      </c>
      <c r="H68" t="str">
        <f>_xlfn.XLOOKUP($A68,Map!$A:$A,Map!D:D)</f>
        <v>Current Liabilities</v>
      </c>
      <c r="I68" t="str">
        <f>_xlfn.XLOOKUP($A68,Map!$A:$A,Map!E:E)</f>
        <v>Tade payables and Accuals &amp; other credit balances</v>
      </c>
      <c r="J68" t="str">
        <f>_xlfn.XLOOKUP($A68,Map!$A:$A,Map!F:F)</f>
        <v>Trade payables - Foreign</v>
      </c>
    </row>
    <row r="69" spans="1:10" x14ac:dyDescent="0.25">
      <c r="A69" s="90">
        <v>210002</v>
      </c>
      <c r="B69" s="90" t="s">
        <v>79</v>
      </c>
      <c r="C69" s="91">
        <v>-3454413.4240000001</v>
      </c>
      <c r="D69" s="91">
        <v>51355896.531000003</v>
      </c>
      <c r="E69" s="91">
        <v>51404467.836999997</v>
      </c>
      <c r="F69" s="91">
        <v>-3502984.73</v>
      </c>
      <c r="G69" t="str">
        <f>_xlfn.XLOOKUP($A69,Map!$A:$A,Map!C:C)</f>
        <v>BS</v>
      </c>
      <c r="H69" t="str">
        <f>_xlfn.XLOOKUP($A69,Map!$A:$A,Map!D:D)</f>
        <v>Current Liabilities</v>
      </c>
      <c r="I69" t="str">
        <f>_xlfn.XLOOKUP($A69,Map!$A:$A,Map!E:E)</f>
        <v>Tade payables and Accuals &amp; other credit balances</v>
      </c>
      <c r="J69" t="str">
        <f>_xlfn.XLOOKUP($A69,Map!$A:$A,Map!F:F)</f>
        <v>Trade payables - Local</v>
      </c>
    </row>
    <row r="70" spans="1:10" hidden="1" x14ac:dyDescent="0.25">
      <c r="A70" s="90">
        <v>220001</v>
      </c>
      <c r="B70" s="90" t="s">
        <v>80</v>
      </c>
      <c r="C70" s="91">
        <v>0</v>
      </c>
      <c r="D70" s="91">
        <v>0</v>
      </c>
      <c r="E70" s="91">
        <v>0</v>
      </c>
      <c r="F70" s="91">
        <v>0</v>
      </c>
      <c r="G70" t="str">
        <f>_xlfn.XLOOKUP($A70,Map!$A:$A,Map!C:C)</f>
        <v>BS</v>
      </c>
      <c r="H70" t="str">
        <f>_xlfn.XLOOKUP($A70,Map!$A:$A,Map!D:D)</f>
        <v>Current Liabilities</v>
      </c>
      <c r="I70" t="str">
        <f>_xlfn.XLOOKUP($A70,Map!$A:$A,Map!E:E)</f>
        <v>Short-term Murabaha loans</v>
      </c>
      <c r="J70" t="str">
        <f>_xlfn.XLOOKUP($A70,Map!$A:$A,Map!F:F)</f>
        <v>Other loans - current</v>
      </c>
    </row>
    <row r="71" spans="1:10" hidden="1" x14ac:dyDescent="0.25">
      <c r="A71" s="90">
        <v>220002</v>
      </c>
      <c r="B71" s="90" t="s">
        <v>81</v>
      </c>
      <c r="C71" s="91">
        <v>0</v>
      </c>
      <c r="D71" s="91">
        <v>0</v>
      </c>
      <c r="E71" s="91">
        <v>0</v>
      </c>
      <c r="F71" s="91">
        <v>0</v>
      </c>
      <c r="G71" t="str">
        <f>_xlfn.XLOOKUP($A71,Map!$A:$A,Map!C:C)</f>
        <v>BS</v>
      </c>
      <c r="H71" t="str">
        <f>_xlfn.XLOOKUP($A71,Map!$A:$A,Map!D:D)</f>
        <v>Current Liabilities</v>
      </c>
      <c r="I71" t="str">
        <f>_xlfn.XLOOKUP($A71,Map!$A:$A,Map!E:E)</f>
        <v>Short-term Murabaha loans</v>
      </c>
      <c r="J71" t="str">
        <f>_xlfn.XLOOKUP($A71,Map!$A:$A,Map!F:F)</f>
        <v>Other loans - current</v>
      </c>
    </row>
    <row r="72" spans="1:10" hidden="1" x14ac:dyDescent="0.25">
      <c r="A72" s="90">
        <v>220003</v>
      </c>
      <c r="B72" s="90" t="s">
        <v>82</v>
      </c>
      <c r="C72" s="91">
        <v>0</v>
      </c>
      <c r="D72" s="91">
        <v>0</v>
      </c>
      <c r="E72" s="91">
        <v>0</v>
      </c>
      <c r="F72" s="91">
        <v>0</v>
      </c>
      <c r="G72" t="str">
        <f>_xlfn.XLOOKUP($A72,Map!$A:$A,Map!C:C)</f>
        <v>BS</v>
      </c>
      <c r="H72" t="str">
        <f>_xlfn.XLOOKUP($A72,Map!$A:$A,Map!D:D)</f>
        <v>Current Liabilities</v>
      </c>
      <c r="I72" t="str">
        <f>_xlfn.XLOOKUP($A72,Map!$A:$A,Map!E:E)</f>
        <v>Short-term Murabaha loans</v>
      </c>
      <c r="J72" t="str">
        <f>_xlfn.XLOOKUP($A72,Map!$A:$A,Map!F:F)</f>
        <v>Other loans - current</v>
      </c>
    </row>
    <row r="73" spans="1:10" hidden="1" x14ac:dyDescent="0.25">
      <c r="A73" s="90">
        <v>220004</v>
      </c>
      <c r="B73" s="90" t="s">
        <v>83</v>
      </c>
      <c r="C73" s="91">
        <v>0</v>
      </c>
      <c r="D73" s="91">
        <v>22323029.383000001</v>
      </c>
      <c r="E73" s="91">
        <v>65129568.133000001</v>
      </c>
      <c r="F73" s="91">
        <v>-42806538.75</v>
      </c>
      <c r="G73" t="str">
        <f>_xlfn.XLOOKUP($A73,Map!$A:$A,Map!C:C)</f>
        <v>BS</v>
      </c>
      <c r="H73" t="str">
        <f>_xlfn.XLOOKUP($A73,Map!$A:$A,Map!D:D)</f>
        <v>Current Liabilities</v>
      </c>
      <c r="I73" t="str">
        <f>_xlfn.XLOOKUP($A73,Map!$A:$A,Map!E:E)</f>
        <v>Short-term Murabaha loans</v>
      </c>
      <c r="J73" t="str">
        <f>_xlfn.XLOOKUP($A73,Map!$A:$A,Map!F:F)</f>
        <v>Other loans - current</v>
      </c>
    </row>
    <row r="74" spans="1:10" hidden="1" x14ac:dyDescent="0.25">
      <c r="A74" s="90">
        <v>220005</v>
      </c>
      <c r="B74" s="90" t="s">
        <v>84</v>
      </c>
      <c r="C74" s="91">
        <v>0</v>
      </c>
      <c r="D74" s="91">
        <v>0</v>
      </c>
      <c r="E74" s="91">
        <v>19749145</v>
      </c>
      <c r="F74" s="91">
        <v>-19749145</v>
      </c>
      <c r="G74" t="str">
        <f>_xlfn.XLOOKUP($A74,Map!$A:$A,Map!C:C)</f>
        <v>BS</v>
      </c>
      <c r="H74" t="str">
        <f>_xlfn.XLOOKUP($A74,Map!$A:$A,Map!D:D)</f>
        <v>Current Liabilities</v>
      </c>
      <c r="I74" t="str">
        <f>_xlfn.XLOOKUP($A74,Map!$A:$A,Map!E:E)</f>
        <v>Short-term Murabaha loans</v>
      </c>
      <c r="J74" t="str">
        <f>_xlfn.XLOOKUP($A74,Map!$A:$A,Map!F:F)</f>
        <v>Other loans - current</v>
      </c>
    </row>
    <row r="75" spans="1:10" x14ac:dyDescent="0.25">
      <c r="A75" s="90">
        <v>230001</v>
      </c>
      <c r="B75" s="90" t="s">
        <v>86</v>
      </c>
      <c r="C75" s="91">
        <v>0</v>
      </c>
      <c r="D75" s="91">
        <v>132957145.692</v>
      </c>
      <c r="E75" s="91">
        <v>132957145.692</v>
      </c>
      <c r="F75" s="91">
        <v>0</v>
      </c>
      <c r="G75" t="str">
        <f>_xlfn.XLOOKUP($A75,Map!$A:$A,Map!C:C)</f>
        <v>BS</v>
      </c>
      <c r="H75" t="str">
        <f>_xlfn.XLOOKUP($A75,Map!$A:$A,Map!D:D)</f>
        <v>Current Liabilities</v>
      </c>
      <c r="I75" t="str">
        <f>_xlfn.XLOOKUP($A75,Map!$A:$A,Map!E:E)</f>
        <v>Tade payables and Accuals &amp; other credit balances</v>
      </c>
      <c r="J75" t="str">
        <f>_xlfn.XLOOKUP($A75,Map!$A:$A,Map!F:F)</f>
        <v>Clearing account</v>
      </c>
    </row>
    <row r="76" spans="1:10" x14ac:dyDescent="0.25">
      <c r="A76" s="90">
        <v>240001</v>
      </c>
      <c r="B76" s="90" t="s">
        <v>87</v>
      </c>
      <c r="C76" s="91">
        <v>0</v>
      </c>
      <c r="D76" s="91">
        <v>2396265.662</v>
      </c>
      <c r="E76" s="91">
        <v>2396265.662</v>
      </c>
      <c r="F76" s="91">
        <v>0</v>
      </c>
      <c r="G76" t="str">
        <f>_xlfn.XLOOKUP($A76,Map!$A:$A,Map!C:C)</f>
        <v>BS</v>
      </c>
      <c r="H76" t="str">
        <f>_xlfn.XLOOKUP($A76,Map!$A:$A,Map!D:D)</f>
        <v>Current Liabilities</v>
      </c>
      <c r="I76" t="str">
        <f>_xlfn.XLOOKUP($A76,Map!$A:$A,Map!E:E)</f>
        <v>Tade payables and Accuals &amp; other credit balances</v>
      </c>
      <c r="J76" t="str">
        <f>_xlfn.XLOOKUP($A76,Map!$A:$A,Map!F:F)</f>
        <v>Overhead</v>
      </c>
    </row>
    <row r="77" spans="1:10" x14ac:dyDescent="0.25">
      <c r="A77" s="90">
        <v>240002</v>
      </c>
      <c r="B77" s="90" t="s">
        <v>88</v>
      </c>
      <c r="C77" s="91">
        <v>0</v>
      </c>
      <c r="D77" s="91">
        <v>887791</v>
      </c>
      <c r="E77" s="91">
        <v>42283</v>
      </c>
      <c r="F77" s="91">
        <v>845508</v>
      </c>
      <c r="G77" t="str">
        <f>_xlfn.XLOOKUP($A77,Map!$A:$A,Map!C:C)</f>
        <v>BS</v>
      </c>
      <c r="H77" t="str">
        <f>_xlfn.XLOOKUP($A77,Map!$A:$A,Map!D:D)</f>
        <v>Current Liabilities</v>
      </c>
      <c r="I77" t="str">
        <f>_xlfn.XLOOKUP($A77,Map!$A:$A,Map!E:E)</f>
        <v>Tade payables and Accuals &amp; other credit balances</v>
      </c>
      <c r="J77" t="str">
        <f>_xlfn.XLOOKUP($A77,Map!$A:$A,Map!F:F)</f>
        <v>Landed Cost - Customs</v>
      </c>
    </row>
    <row r="78" spans="1:10" x14ac:dyDescent="0.25">
      <c r="A78" s="90">
        <v>250001</v>
      </c>
      <c r="B78" s="90" t="s">
        <v>90</v>
      </c>
      <c r="C78" s="91">
        <v>0</v>
      </c>
      <c r="D78" s="91">
        <v>9049637.4199999999</v>
      </c>
      <c r="E78" s="91">
        <v>9049637.4199999999</v>
      </c>
      <c r="F78" s="91">
        <v>0</v>
      </c>
      <c r="G78" t="str">
        <f>_xlfn.XLOOKUP($A78,Map!$A:$A,Map!C:C)</f>
        <v>BS</v>
      </c>
      <c r="H78" t="str">
        <f>_xlfn.XLOOKUP($A78,Map!$A:$A,Map!D:D)</f>
        <v>Current Liabilities</v>
      </c>
      <c r="I78" t="str">
        <f>_xlfn.XLOOKUP($A78,Map!$A:$A,Map!E:E)</f>
        <v>Tade payables and Accuals &amp; other credit balances</v>
      </c>
      <c r="J78" t="str">
        <f>_xlfn.XLOOKUP($A78,Map!$A:$A,Map!F:F)</f>
        <v>Accrued salaries and wages</v>
      </c>
    </row>
    <row r="79" spans="1:10" x14ac:dyDescent="0.25">
      <c r="A79" s="90">
        <v>250002</v>
      </c>
      <c r="B79" s="90" t="s">
        <v>91</v>
      </c>
      <c r="C79" s="91">
        <v>0</v>
      </c>
      <c r="D79" s="91">
        <v>0</v>
      </c>
      <c r="E79" s="91">
        <v>0</v>
      </c>
      <c r="F79" s="91">
        <v>0</v>
      </c>
      <c r="G79" t="str">
        <f>_xlfn.XLOOKUP($A79,Map!$A:$A,Map!C:C)</f>
        <v>BS</v>
      </c>
      <c r="H79" t="str">
        <f>_xlfn.XLOOKUP($A79,Map!$A:$A,Map!D:D)</f>
        <v>Current Liabilities</v>
      </c>
      <c r="I79" t="str">
        <f>_xlfn.XLOOKUP($A79,Map!$A:$A,Map!E:E)</f>
        <v>Tade payables and Accuals &amp; other credit balances</v>
      </c>
      <c r="J79" t="str">
        <f>_xlfn.XLOOKUP($A79,Map!$A:$A,Map!F:F)</f>
        <v>Accrued utilities</v>
      </c>
    </row>
    <row r="80" spans="1:10" hidden="1" x14ac:dyDescent="0.25">
      <c r="A80" s="90">
        <v>250003</v>
      </c>
      <c r="B80" s="90" t="s">
        <v>92</v>
      </c>
      <c r="C80" s="91">
        <v>-1119039</v>
      </c>
      <c r="D80" s="91">
        <v>1181763.25</v>
      </c>
      <c r="E80" s="91">
        <v>1212724.75</v>
      </c>
      <c r="F80" s="91">
        <v>-1150000.5</v>
      </c>
      <c r="G80" t="str">
        <f>_xlfn.XLOOKUP($A80,Map!$A:$A,Map!C:C)</f>
        <v>BS</v>
      </c>
      <c r="H80" t="str">
        <f>_xlfn.XLOOKUP($A80,Map!$A:$A,Map!D:D)</f>
        <v>Current Liabilities</v>
      </c>
      <c r="I80" t="str">
        <f>_xlfn.XLOOKUP($A80,Map!$A:$A,Map!E:E)</f>
        <v>Zakat provision</v>
      </c>
      <c r="J80" t="str">
        <f>_xlfn.XLOOKUP($A80,Map!$A:$A,Map!F:F)</f>
        <v>Zakat provision</v>
      </c>
    </row>
    <row r="81" spans="1:10" x14ac:dyDescent="0.25">
      <c r="A81" s="90">
        <v>250004</v>
      </c>
      <c r="B81" s="90" t="s">
        <v>93</v>
      </c>
      <c r="C81" s="91">
        <v>0</v>
      </c>
      <c r="D81" s="91">
        <v>0</v>
      </c>
      <c r="E81" s="91">
        <v>0</v>
      </c>
      <c r="F81" s="91">
        <v>0</v>
      </c>
      <c r="G81" t="str">
        <f>_xlfn.XLOOKUP($A81,Map!$A:$A,Map!C:C)</f>
        <v>BS</v>
      </c>
      <c r="H81" t="str">
        <f>_xlfn.XLOOKUP($A81,Map!$A:$A,Map!D:D)</f>
        <v>Current Liabilities</v>
      </c>
      <c r="I81" t="str">
        <f>_xlfn.XLOOKUP($A81,Map!$A:$A,Map!E:E)</f>
        <v>Tade payables and Accuals &amp; other credit balances</v>
      </c>
      <c r="J81" t="str">
        <f>_xlfn.XLOOKUP($A81,Map!$A:$A,Map!F:F)</f>
        <v>Accrued bonus</v>
      </c>
    </row>
    <row r="82" spans="1:10" x14ac:dyDescent="0.25">
      <c r="A82" s="90">
        <v>250005</v>
      </c>
      <c r="B82" s="90" t="s">
        <v>94</v>
      </c>
      <c r="C82" s="91">
        <v>-55000</v>
      </c>
      <c r="D82" s="91">
        <v>55000</v>
      </c>
      <c r="E82" s="91">
        <v>118000</v>
      </c>
      <c r="F82" s="91">
        <v>-118000</v>
      </c>
      <c r="G82" t="str">
        <f>_xlfn.XLOOKUP($A82,Map!$A:$A,Map!C:C)</f>
        <v>BS</v>
      </c>
      <c r="H82" t="str">
        <f>_xlfn.XLOOKUP($A82,Map!$A:$A,Map!D:D)</f>
        <v>Current Liabilities</v>
      </c>
      <c r="I82" t="str">
        <f>_xlfn.XLOOKUP($A82,Map!$A:$A,Map!E:E)</f>
        <v>Tade payables and Accuals &amp; other credit balances</v>
      </c>
      <c r="J82" t="str">
        <f>_xlfn.XLOOKUP($A82,Map!$A:$A,Map!F:F)</f>
        <v>Accrued expenses</v>
      </c>
    </row>
    <row r="83" spans="1:10" hidden="1" x14ac:dyDescent="0.25">
      <c r="A83" s="90">
        <v>260001</v>
      </c>
      <c r="B83" s="90" t="s">
        <v>96</v>
      </c>
      <c r="C83" s="91">
        <v>-5627620</v>
      </c>
      <c r="D83" s="91">
        <v>5632</v>
      </c>
      <c r="E83" s="91">
        <v>431409</v>
      </c>
      <c r="F83" s="91">
        <v>-6053397</v>
      </c>
      <c r="G83" t="str">
        <f>_xlfn.XLOOKUP($A83,Map!$A:$A,Map!C:C)</f>
        <v>BS</v>
      </c>
      <c r="H83" t="str">
        <f>_xlfn.XLOOKUP($A83,Map!$A:$A,Map!D:D)</f>
        <v>Stockholder's equity</v>
      </c>
      <c r="I83" t="str">
        <f>_xlfn.XLOOKUP($A83,Map!$A:$A,Map!E:E)</f>
        <v>Statutory reserve</v>
      </c>
      <c r="J83" t="str">
        <f>_xlfn.XLOOKUP($A83,Map!$A:$A,Map!F:F)</f>
        <v>Statutory reserve</v>
      </c>
    </row>
    <row r="84" spans="1:10" hidden="1" x14ac:dyDescent="0.25">
      <c r="A84" s="90">
        <v>260002</v>
      </c>
      <c r="B84" s="90" t="s">
        <v>97</v>
      </c>
      <c r="C84" s="91">
        <v>-4847761</v>
      </c>
      <c r="D84" s="91">
        <v>1585863</v>
      </c>
      <c r="E84" s="91">
        <v>1372000</v>
      </c>
      <c r="F84" s="91">
        <v>-4633898</v>
      </c>
      <c r="G84" t="str">
        <f>_xlfn.XLOOKUP($A84,Map!$A:$A,Map!C:C)</f>
        <v>BS</v>
      </c>
      <c r="H84" t="str">
        <f>_xlfn.XLOOKUP($A84,Map!$A:$A,Map!D:D)</f>
        <v>Non-Current Liabilities</v>
      </c>
      <c r="I84" t="str">
        <f>_xlfn.XLOOKUP($A84,Map!$A:$A,Map!E:E)</f>
        <v xml:space="preserve">End-of-service indemnities </v>
      </c>
      <c r="J84" t="str">
        <f>_xlfn.XLOOKUP($A84,Map!$A:$A,Map!F:F)</f>
        <v xml:space="preserve">End-of-service indemnities </v>
      </c>
    </row>
    <row r="85" spans="1:10" hidden="1" x14ac:dyDescent="0.25">
      <c r="A85" s="90">
        <v>260003</v>
      </c>
      <c r="B85" s="90" t="s">
        <v>98</v>
      </c>
      <c r="C85" s="91">
        <v>-3563173.54</v>
      </c>
      <c r="D85" s="91">
        <v>320853.44</v>
      </c>
      <c r="E85" s="91">
        <v>165000</v>
      </c>
      <c r="F85" s="91">
        <v>-3407320.1</v>
      </c>
      <c r="G85" t="str">
        <f>_xlfn.XLOOKUP($A85,Map!$A:$A,Map!C:C)</f>
        <v>BS</v>
      </c>
      <c r="H85" t="str">
        <f>_xlfn.XLOOKUP($A85,Map!$A:$A,Map!D:D)</f>
        <v>Current Assets</v>
      </c>
      <c r="I85" t="str">
        <f>_xlfn.XLOOKUP($A85,Map!$A:$A,Map!E:E)</f>
        <v>Trade receivables</v>
      </c>
      <c r="J85" t="str">
        <f>_xlfn.XLOOKUP($A85,Map!$A:$A,Map!F:F)</f>
        <v>Provisions</v>
      </c>
    </row>
    <row r="86" spans="1:10" hidden="1" x14ac:dyDescent="0.25">
      <c r="A86" s="90">
        <v>260004</v>
      </c>
      <c r="B86" s="90" t="s">
        <v>99</v>
      </c>
      <c r="C86" s="91">
        <v>-1121501.433</v>
      </c>
      <c r="D86" s="91">
        <v>0</v>
      </c>
      <c r="E86" s="91">
        <v>0</v>
      </c>
      <c r="F86" s="91">
        <v>-1121501.433</v>
      </c>
      <c r="G86" t="str">
        <f>_xlfn.XLOOKUP($A86,Map!$A:$A,Map!C:C)</f>
        <v>BS</v>
      </c>
      <c r="H86" t="str">
        <f>_xlfn.XLOOKUP($A86,Map!$A:$A,Map!D:D)</f>
        <v>Current Assets</v>
      </c>
      <c r="I86" t="str">
        <f>_xlfn.XLOOKUP($A86,Map!$A:$A,Map!E:E)</f>
        <v>Inventories</v>
      </c>
      <c r="J86" t="str">
        <f>_xlfn.XLOOKUP($A86,Map!$A:$A,Map!F:F)</f>
        <v>Allowance for slow moving/obsolete inventories - Inventory</v>
      </c>
    </row>
    <row r="87" spans="1:10" hidden="1" x14ac:dyDescent="0.25">
      <c r="A87" s="90">
        <v>260005</v>
      </c>
      <c r="B87" s="90" t="s">
        <v>100</v>
      </c>
      <c r="C87" s="91">
        <v>0</v>
      </c>
      <c r="D87" s="91">
        <v>0</v>
      </c>
      <c r="E87" s="91">
        <v>4000000</v>
      </c>
      <c r="F87" s="91">
        <v>-4000000</v>
      </c>
      <c r="G87" t="str">
        <f>_xlfn.XLOOKUP($A87,Map!$A:$A,Map!C:C)</f>
        <v>BS</v>
      </c>
      <c r="H87" t="str">
        <f>_xlfn.XLOOKUP($A87,Map!$A:$A,Map!D:D)</f>
        <v>Non-Current Liabilities</v>
      </c>
      <c r="I87" t="str">
        <f>_xlfn.XLOOKUP($A87,Map!$A:$A,Map!E:E)</f>
        <v>Provision for evacuation</v>
      </c>
      <c r="J87" t="str">
        <f>_xlfn.XLOOKUP($A87,Map!$A:$A,Map!F:F)</f>
        <v>Provision for evacuation</v>
      </c>
    </row>
    <row r="88" spans="1:10" hidden="1" x14ac:dyDescent="0.25">
      <c r="A88" s="90">
        <v>270001</v>
      </c>
      <c r="B88" s="90" t="s">
        <v>101</v>
      </c>
      <c r="C88" s="91">
        <v>-31714781.920000002</v>
      </c>
      <c r="D88" s="91">
        <v>59389418.490000002</v>
      </c>
      <c r="E88" s="91">
        <v>35370932.740000002</v>
      </c>
      <c r="F88" s="91">
        <v>-7696296.1699999999</v>
      </c>
      <c r="G88" t="str">
        <f>_xlfn.XLOOKUP($A88,Map!$A:$A,Map!C:C)</f>
        <v>BS</v>
      </c>
      <c r="H88" t="str">
        <f>_xlfn.XLOOKUP($A88,Map!$A:$A,Map!D:D)</f>
        <v>Non-Current Liabilities</v>
      </c>
      <c r="I88" t="str">
        <f>_xlfn.XLOOKUP($A88,Map!$A:$A,Map!E:E)</f>
        <v xml:space="preserve">Due to related parties </v>
      </c>
      <c r="J88" t="str">
        <f>_xlfn.XLOOKUP($A88,Map!$A:$A,Map!F:F)</f>
        <v>Aims Holding  Current Acc</v>
      </c>
    </row>
    <row r="89" spans="1:10" x14ac:dyDescent="0.25">
      <c r="A89" s="90">
        <v>270002</v>
      </c>
      <c r="B89" s="90" t="s">
        <v>102</v>
      </c>
      <c r="C89" s="91">
        <v>0</v>
      </c>
      <c r="D89" s="91">
        <v>6272690.8190000001</v>
      </c>
      <c r="E89" s="91">
        <v>6272690.8190000001</v>
      </c>
      <c r="F89" s="91">
        <v>0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Tade payables and Accuals &amp; other credit balances</v>
      </c>
      <c r="J89" t="str">
        <f>_xlfn.XLOOKUP($A89,Map!$A:$A,Map!F:F)</f>
        <v>VAT payables</v>
      </c>
    </row>
    <row r="90" spans="1:10" x14ac:dyDescent="0.25">
      <c r="A90" s="90">
        <v>270003</v>
      </c>
      <c r="B90" s="90" t="s">
        <v>103</v>
      </c>
      <c r="C90" s="91">
        <v>0</v>
      </c>
      <c r="D90" s="91">
        <v>7283026.9040000001</v>
      </c>
      <c r="E90" s="91">
        <v>7283026.9040000001</v>
      </c>
      <c r="F90" s="91">
        <v>0</v>
      </c>
      <c r="G90" t="str">
        <f>_xlfn.XLOOKUP($A90,Map!$A:$A,Map!C:C)</f>
        <v>BS</v>
      </c>
      <c r="H90" t="str">
        <f>_xlfn.XLOOKUP($A90,Map!$A:$A,Map!D:D)</f>
        <v>Current Liabilities</v>
      </c>
      <c r="I90" t="str">
        <f>_xlfn.XLOOKUP($A90,Map!$A:$A,Map!E:E)</f>
        <v>Tade payables and Accuals &amp; other credit balances</v>
      </c>
      <c r="J90" t="str">
        <f>_xlfn.XLOOKUP($A90,Map!$A:$A,Map!F:F)</f>
        <v>VAT payables</v>
      </c>
    </row>
    <row r="91" spans="1:10" x14ac:dyDescent="0.25">
      <c r="A91" s="90">
        <v>270004</v>
      </c>
      <c r="B91" s="90" t="s">
        <v>104</v>
      </c>
      <c r="C91" s="91">
        <v>0</v>
      </c>
      <c r="D91" s="91">
        <v>2621443.4380000001</v>
      </c>
      <c r="E91" s="91">
        <v>512113.14</v>
      </c>
      <c r="F91" s="91">
        <v>2109330.298</v>
      </c>
      <c r="G91" t="str">
        <f>_xlfn.XLOOKUP($A91,Map!$A:$A,Map!C:C)</f>
        <v>BS</v>
      </c>
      <c r="H91" t="str">
        <f>_xlfn.XLOOKUP($A91,Map!$A:$A,Map!D:D)</f>
        <v>Current Liabilities</v>
      </c>
      <c r="I91" t="str">
        <f>_xlfn.XLOOKUP($A91,Map!$A:$A,Map!E:E)</f>
        <v>Tade payables and Accuals &amp; other credit balances</v>
      </c>
      <c r="J91" t="str">
        <f>_xlfn.XLOOKUP($A91,Map!$A:$A,Map!F:F)</f>
        <v>VAT payables</v>
      </c>
    </row>
    <row r="92" spans="1:10" hidden="1" x14ac:dyDescent="0.25">
      <c r="A92" s="90">
        <v>310001</v>
      </c>
      <c r="B92" s="90" t="s">
        <v>106</v>
      </c>
      <c r="C92" s="91">
        <v>-26583799.879999999</v>
      </c>
      <c r="D92" s="91">
        <v>431409</v>
      </c>
      <c r="E92" s="91">
        <v>5632</v>
      </c>
      <c r="F92" s="91">
        <v>-26158022.879999999</v>
      </c>
      <c r="G92" t="str">
        <f>_xlfn.XLOOKUP($A92,Map!$A:$A,Map!C:C)</f>
        <v>BS</v>
      </c>
      <c r="H92" t="str">
        <f>_xlfn.XLOOKUP($A92,Map!$A:$A,Map!D:D)</f>
        <v>Stockholder's equity</v>
      </c>
      <c r="I92" t="str">
        <f>_xlfn.XLOOKUP($A92,Map!$A:$A,Map!E:E)</f>
        <v>Retained earnings</v>
      </c>
      <c r="J92" t="str">
        <f>_xlfn.XLOOKUP($A92,Map!$A:$A,Map!F:F)</f>
        <v>Retained earnings</v>
      </c>
    </row>
    <row r="93" spans="1:10" hidden="1" x14ac:dyDescent="0.25">
      <c r="A93" s="90">
        <v>330001</v>
      </c>
      <c r="B93" s="90" t="s">
        <v>107</v>
      </c>
      <c r="C93" s="91">
        <v>-1766750</v>
      </c>
      <c r="D93" s="91">
        <v>0</v>
      </c>
      <c r="E93" s="91">
        <v>0</v>
      </c>
      <c r="F93" s="91">
        <v>-1766750</v>
      </c>
      <c r="G93" t="str">
        <f>_xlfn.XLOOKUP($A93,Map!$A:$A,Map!C:C)</f>
        <v>BS</v>
      </c>
      <c r="H93" t="str">
        <f>_xlfn.XLOOKUP($A93,Map!$A:$A,Map!D:D)</f>
        <v>Stockholder's equity</v>
      </c>
      <c r="I93" t="str">
        <f>_xlfn.XLOOKUP($A93,Map!$A:$A,Map!E:E)</f>
        <v>Retained earnings</v>
      </c>
      <c r="J93" t="str">
        <f>_xlfn.XLOOKUP($A93,Map!$A:$A,Map!F:F)</f>
        <v>Retained earnings</v>
      </c>
    </row>
    <row r="94" spans="1:10" hidden="1" x14ac:dyDescent="0.25">
      <c r="A94" s="90">
        <v>330002</v>
      </c>
      <c r="B94" s="90" t="s">
        <v>108</v>
      </c>
      <c r="C94" s="91">
        <v>-33568250</v>
      </c>
      <c r="D94" s="91">
        <v>0</v>
      </c>
      <c r="E94" s="91">
        <v>0</v>
      </c>
      <c r="F94" s="91">
        <v>-33568250</v>
      </c>
      <c r="G94" t="str">
        <f>_xlfn.XLOOKUP($A94,Map!$A:$A,Map!C:C)</f>
        <v>BS</v>
      </c>
      <c r="H94" t="str">
        <f>_xlfn.XLOOKUP($A94,Map!$A:$A,Map!D:D)</f>
        <v>Stockholder's equity</v>
      </c>
      <c r="I94" t="str">
        <f>_xlfn.XLOOKUP($A94,Map!$A:$A,Map!E:E)</f>
        <v>Share capital</v>
      </c>
      <c r="J94" t="str">
        <f>_xlfn.XLOOKUP($A94,Map!$A:$A,Map!F:F)</f>
        <v>Share capital</v>
      </c>
    </row>
    <row r="95" spans="1:10" hidden="1" x14ac:dyDescent="0.25">
      <c r="A95" s="90">
        <v>330003</v>
      </c>
      <c r="B95" s="90" t="s">
        <v>109</v>
      </c>
      <c r="C95" s="91">
        <v>-85866130.439999998</v>
      </c>
      <c r="D95" s="91">
        <v>2500</v>
      </c>
      <c r="E95" s="91">
        <v>16391684.57</v>
      </c>
      <c r="F95" s="91">
        <v>-102255315.01000001</v>
      </c>
      <c r="G95" t="str">
        <f>_xlfn.XLOOKUP($A95,Map!$A:$A,Map!C:C)</f>
        <v>BS</v>
      </c>
      <c r="H95" t="str">
        <f>_xlfn.XLOOKUP($A95,Map!$A:$A,Map!D:D)</f>
        <v>Stockholder's equity</v>
      </c>
      <c r="I95" t="str">
        <f>_xlfn.XLOOKUP($A95,Map!$A:$A,Map!E:E)</f>
        <v>Additional contribution from shareholders</v>
      </c>
      <c r="J95" t="str">
        <f>_xlfn.XLOOKUP($A95,Map!$A:$A,Map!F:F)</f>
        <v>Additional contribution from shareholders</v>
      </c>
    </row>
    <row r="96" spans="1:10" hidden="1" x14ac:dyDescent="0.25">
      <c r="A96" s="90">
        <v>410001</v>
      </c>
      <c r="B96" s="90" t="s">
        <v>110</v>
      </c>
      <c r="C96" s="91">
        <v>0</v>
      </c>
      <c r="D96" s="91">
        <v>25430049.331999999</v>
      </c>
      <c r="E96" s="91">
        <v>141909322.64399999</v>
      </c>
      <c r="F96" s="91">
        <v>-116479273.31200001</v>
      </c>
      <c r="G96" t="str">
        <f>_xlfn.XLOOKUP($A96,Map!$A:$A,Map!C:C)</f>
        <v>IS</v>
      </c>
      <c r="H96" t="str">
        <f>_xlfn.XLOOKUP($A96,Map!$A:$A,Map!D:D)</f>
        <v>Sales</v>
      </c>
      <c r="I96" t="str">
        <f>_xlfn.XLOOKUP($A96,Map!$A:$A,Map!E:E)</f>
        <v>Sales</v>
      </c>
      <c r="J96" t="str">
        <f>_xlfn.XLOOKUP($A96,Map!$A:$A,Map!F:F)</f>
        <v>Trading revenue</v>
      </c>
    </row>
    <row r="97" spans="1:10" hidden="1" x14ac:dyDescent="0.25">
      <c r="A97" s="90">
        <v>410002</v>
      </c>
      <c r="B97" s="90" t="s">
        <v>111</v>
      </c>
      <c r="C97" s="91">
        <v>0</v>
      </c>
      <c r="D97" s="91">
        <v>537894.94799999997</v>
      </c>
      <c r="E97" s="91">
        <v>161735.79999999999</v>
      </c>
      <c r="F97" s="91">
        <v>376159.14799999999</v>
      </c>
      <c r="G97" t="str">
        <f>_xlfn.XLOOKUP($A97,Map!$A:$A,Map!C:C)</f>
        <v>IS</v>
      </c>
      <c r="H97" t="str">
        <f>_xlfn.XLOOKUP($A97,Map!$A:$A,Map!D:D)</f>
        <v>Sales</v>
      </c>
      <c r="I97" t="str">
        <f>_xlfn.XLOOKUP($A97,Map!$A:$A,Map!E:E)</f>
        <v>Sales</v>
      </c>
      <c r="J97" t="str">
        <f>_xlfn.XLOOKUP($A97,Map!$A:$A,Map!F:F)</f>
        <v>Trading revenue</v>
      </c>
    </row>
    <row r="98" spans="1:10" hidden="1" x14ac:dyDescent="0.25">
      <c r="A98" s="90">
        <v>410003</v>
      </c>
      <c r="B98" s="90" t="s">
        <v>112</v>
      </c>
      <c r="C98" s="91">
        <v>0</v>
      </c>
      <c r="D98" s="91">
        <v>40785.455000000002</v>
      </c>
      <c r="E98" s="91">
        <v>550.69600000000003</v>
      </c>
      <c r="F98" s="91">
        <v>40234.758999999998</v>
      </c>
      <c r="G98" t="str">
        <f>_xlfn.XLOOKUP($A98,Map!$A:$A,Map!C:C)</f>
        <v>IS</v>
      </c>
      <c r="H98" t="str">
        <f>_xlfn.XLOOKUP($A98,Map!$A:$A,Map!D:D)</f>
        <v>Sales</v>
      </c>
      <c r="I98" t="str">
        <f>_xlfn.XLOOKUP($A98,Map!$A:$A,Map!E:E)</f>
        <v>Sales</v>
      </c>
      <c r="J98" t="str">
        <f>_xlfn.XLOOKUP($A98,Map!$A:$A,Map!F:F)</f>
        <v>Trading revenue</v>
      </c>
    </row>
    <row r="99" spans="1:10" hidden="1" x14ac:dyDescent="0.25">
      <c r="A99" s="90">
        <v>410004</v>
      </c>
      <c r="B99" s="90" t="s">
        <v>113</v>
      </c>
      <c r="C99" s="91">
        <v>0</v>
      </c>
      <c r="D99" s="91">
        <v>0</v>
      </c>
      <c r="E99" s="91">
        <v>0</v>
      </c>
      <c r="F99" s="91">
        <v>0</v>
      </c>
      <c r="G99" t="str">
        <f>_xlfn.XLOOKUP($A99,Map!$A:$A,Map!C:C)</f>
        <v>IS</v>
      </c>
      <c r="H99" t="str">
        <f>_xlfn.XLOOKUP($A99,Map!$A:$A,Map!D:D)</f>
        <v>Sales</v>
      </c>
      <c r="I99" t="str">
        <f>_xlfn.XLOOKUP($A99,Map!$A:$A,Map!E:E)</f>
        <v>Sales</v>
      </c>
      <c r="J99" t="str">
        <f>_xlfn.XLOOKUP($A99,Map!$A:$A,Map!F:F)</f>
        <v>Scrap sales</v>
      </c>
    </row>
    <row r="100" spans="1:10" hidden="1" x14ac:dyDescent="0.25">
      <c r="A100" s="90">
        <v>420003</v>
      </c>
      <c r="B100" s="90" t="s">
        <v>115</v>
      </c>
      <c r="C100" s="91">
        <v>0</v>
      </c>
      <c r="D100" s="91">
        <v>4.8000000000000001E-2</v>
      </c>
      <c r="E100" s="91">
        <v>4.9000000000000002E-2</v>
      </c>
      <c r="F100" s="91">
        <v>-1E-3</v>
      </c>
      <c r="G100" t="str">
        <f>_xlfn.XLOOKUP($A100,Map!$A:$A,Map!C:C)</f>
        <v>IS</v>
      </c>
      <c r="H100" t="str">
        <f>_xlfn.XLOOKUP($A100,Map!$A:$A,Map!D:D)</f>
        <v>Sales</v>
      </c>
      <c r="I100" t="str">
        <f>_xlfn.XLOOKUP($A100,Map!$A:$A,Map!E:E)</f>
        <v>Sales</v>
      </c>
      <c r="J100" t="str">
        <f>_xlfn.XLOOKUP($A100,Map!$A:$A,Map!F:F)</f>
        <v>Scrap sales</v>
      </c>
    </row>
    <row r="101" spans="1:10" hidden="1" x14ac:dyDescent="0.25">
      <c r="A101" s="90">
        <v>510001</v>
      </c>
      <c r="B101" s="90" t="s">
        <v>116</v>
      </c>
      <c r="C101" s="91">
        <v>0</v>
      </c>
      <c r="D101" s="91">
        <v>96391445.991999999</v>
      </c>
      <c r="E101" s="91">
        <v>16268421.077</v>
      </c>
      <c r="F101" s="91">
        <v>80123024.915000007</v>
      </c>
      <c r="G101" t="str">
        <f>_xlfn.XLOOKUP($A101,Map!$A:$A,Map!C:C)</f>
        <v>IS</v>
      </c>
      <c r="H101" t="str">
        <f>_xlfn.XLOOKUP($A101,Map!$A:$A,Map!D:D)</f>
        <v>Cost of sales</v>
      </c>
      <c r="I101" t="str">
        <f>_xlfn.XLOOKUP($A101,Map!$A:$A,Map!E:E)</f>
        <v>Raw materials</v>
      </c>
      <c r="J101" t="str">
        <f>_xlfn.XLOOKUP($A101,Map!$A:$A,Map!F:F)</f>
        <v>Raw materials</v>
      </c>
    </row>
    <row r="102" spans="1:10" hidden="1" x14ac:dyDescent="0.25">
      <c r="A102" s="90">
        <v>510002</v>
      </c>
      <c r="B102" s="90" t="s">
        <v>117</v>
      </c>
      <c r="C102" s="91">
        <v>0</v>
      </c>
      <c r="D102" s="91">
        <v>7062613.8810000001</v>
      </c>
      <c r="E102" s="91">
        <v>2353946.389</v>
      </c>
      <c r="F102" s="91">
        <v>4708667.4919999996</v>
      </c>
      <c r="G102" t="str">
        <f>_xlfn.XLOOKUP($A102,Map!$A:$A,Map!C:C)</f>
        <v>IS</v>
      </c>
      <c r="H102" t="str">
        <f>_xlfn.XLOOKUP($A102,Map!$A:$A,Map!D:D)</f>
        <v>Cost of sales</v>
      </c>
      <c r="I102" t="str">
        <f>_xlfn.XLOOKUP($A102,Map!$A:$A,Map!E:E)</f>
        <v>Direct Labor</v>
      </c>
      <c r="J102" t="str">
        <f>_xlfn.XLOOKUP($A102,Map!$A:$A,Map!F:F)</f>
        <v>Direct Labor</v>
      </c>
    </row>
    <row r="103" spans="1:10" hidden="1" x14ac:dyDescent="0.25">
      <c r="A103" s="90">
        <v>510003</v>
      </c>
      <c r="B103" s="90" t="s">
        <v>118</v>
      </c>
      <c r="C103" s="91">
        <v>0</v>
      </c>
      <c r="D103" s="91">
        <v>3320680.0830000001</v>
      </c>
      <c r="E103" s="91">
        <v>688802.92700000003</v>
      </c>
      <c r="F103" s="91">
        <v>2631877.156</v>
      </c>
      <c r="G103" t="str">
        <f>_xlfn.XLOOKUP($A103,Map!$A:$A,Map!C:C)</f>
        <v>IS</v>
      </c>
      <c r="H103" t="str">
        <f>_xlfn.XLOOKUP($A103,Map!$A:$A,Map!D:D)</f>
        <v>Cost of sales</v>
      </c>
      <c r="I103" t="str">
        <f>_xlfn.XLOOKUP($A103,Map!$A:$A,Map!E:E)</f>
        <v>Raw materials</v>
      </c>
      <c r="J103" t="str">
        <f>_xlfn.XLOOKUP($A103,Map!$A:$A,Map!F:F)</f>
        <v>Raw materials</v>
      </c>
    </row>
    <row r="104" spans="1:10" hidden="1" x14ac:dyDescent="0.25">
      <c r="A104" s="90">
        <v>510004</v>
      </c>
      <c r="B104" s="90" t="s">
        <v>119</v>
      </c>
      <c r="C104" s="91">
        <v>0</v>
      </c>
      <c r="D104" s="91">
        <v>11022776.618000001</v>
      </c>
      <c r="E104" s="91">
        <v>3721720.7560000001</v>
      </c>
      <c r="F104" s="91">
        <v>7301055.8619999997</v>
      </c>
      <c r="G104" t="str">
        <f>_xlfn.XLOOKUP($A104,Map!$A:$A,Map!C:C)</f>
        <v>IS</v>
      </c>
      <c r="H104" t="str">
        <f>_xlfn.XLOOKUP($A104,Map!$A:$A,Map!D:D)</f>
        <v>Cost of sales</v>
      </c>
      <c r="I104" t="str">
        <f>_xlfn.XLOOKUP($A104,Map!$A:$A,Map!E:E)</f>
        <v>Raw materials</v>
      </c>
      <c r="J104" t="str">
        <f>_xlfn.XLOOKUP($A104,Map!$A:$A,Map!F:F)</f>
        <v>Other expenses</v>
      </c>
    </row>
    <row r="105" spans="1:10" hidden="1" x14ac:dyDescent="0.25">
      <c r="A105" s="90">
        <v>510005</v>
      </c>
      <c r="B105" s="90" t="s">
        <v>120</v>
      </c>
      <c r="C105" s="91">
        <v>0</v>
      </c>
      <c r="D105" s="91">
        <v>0</v>
      </c>
      <c r="E105" s="91">
        <v>0</v>
      </c>
      <c r="F105" s="91">
        <v>0</v>
      </c>
      <c r="G105" t="str">
        <f>_xlfn.XLOOKUP($A105,Map!$A:$A,Map!C:C)</f>
        <v>IS</v>
      </c>
      <c r="H105" t="str">
        <f>_xlfn.XLOOKUP($A105,Map!$A:$A,Map!D:D)</f>
        <v>Cost of sales</v>
      </c>
      <c r="I105" t="str">
        <f>_xlfn.XLOOKUP($A105,Map!$A:$A,Map!E:E)</f>
        <v>Raw materials</v>
      </c>
      <c r="J105" t="str">
        <f>_xlfn.XLOOKUP($A105,Map!$A:$A,Map!F:F)</f>
        <v>Other expenses</v>
      </c>
    </row>
    <row r="106" spans="1:10" hidden="1" x14ac:dyDescent="0.25">
      <c r="A106" s="90">
        <v>520001</v>
      </c>
      <c r="B106" s="90" t="s">
        <v>121</v>
      </c>
      <c r="C106" s="91">
        <v>0</v>
      </c>
      <c r="D106" s="91">
        <v>4712919.84</v>
      </c>
      <c r="E106" s="91">
        <v>4712919.84</v>
      </c>
      <c r="F106" s="91">
        <v>0</v>
      </c>
      <c r="G106" t="str">
        <f>_xlfn.XLOOKUP($A106,Map!$A:$A,Map!C:C)</f>
        <v>IS</v>
      </c>
      <c r="H106" t="str">
        <f>_xlfn.XLOOKUP($A106,Map!$A:$A,Map!D:D)</f>
        <v>Cost of sales</v>
      </c>
      <c r="I106" t="str">
        <f>_xlfn.XLOOKUP($A106,Map!$A:$A,Map!E:E)</f>
        <v>Direct Labor</v>
      </c>
      <c r="J106" t="str">
        <f>_xlfn.XLOOKUP($A106,Map!$A:$A,Map!F:F)</f>
        <v>Salaries and wages</v>
      </c>
    </row>
    <row r="107" spans="1:10" hidden="1" x14ac:dyDescent="0.25">
      <c r="A107" s="90">
        <v>520002</v>
      </c>
      <c r="B107" s="90" t="s">
        <v>122</v>
      </c>
      <c r="C107" s="91">
        <v>0</v>
      </c>
      <c r="D107" s="91">
        <v>116704</v>
      </c>
      <c r="E107" s="91">
        <v>116704</v>
      </c>
      <c r="F107" s="91">
        <v>0</v>
      </c>
      <c r="G107" t="str">
        <f>_xlfn.XLOOKUP($A107,Map!$A:$A,Map!C:C)</f>
        <v>IS</v>
      </c>
      <c r="H107" t="str">
        <f>_xlfn.XLOOKUP($A107,Map!$A:$A,Map!D:D)</f>
        <v>Cost of sales</v>
      </c>
      <c r="I107" t="str">
        <f>_xlfn.XLOOKUP($A107,Map!$A:$A,Map!E:E)</f>
        <v>Direct Labor</v>
      </c>
      <c r="J107" t="str">
        <f>_xlfn.XLOOKUP($A107,Map!$A:$A,Map!F:F)</f>
        <v>Overtime pay</v>
      </c>
    </row>
    <row r="108" spans="1:10" hidden="1" x14ac:dyDescent="0.25">
      <c r="A108" s="90">
        <v>520003</v>
      </c>
      <c r="B108" s="90" t="s">
        <v>123</v>
      </c>
      <c r="C108" s="91">
        <v>0</v>
      </c>
      <c r="D108" s="91">
        <v>121491</v>
      </c>
      <c r="E108" s="91">
        <v>121491</v>
      </c>
      <c r="F108" s="91">
        <v>0</v>
      </c>
      <c r="G108" t="str">
        <f>_xlfn.XLOOKUP($A108,Map!$A:$A,Map!C:C)</f>
        <v>IS</v>
      </c>
      <c r="H108" t="str">
        <f>_xlfn.XLOOKUP($A108,Map!$A:$A,Map!D:D)</f>
        <v>Cost of sales</v>
      </c>
      <c r="I108" t="str">
        <f>_xlfn.XLOOKUP($A108,Map!$A:$A,Map!E:E)</f>
        <v>Direct Labor</v>
      </c>
      <c r="J108" t="str">
        <f>_xlfn.XLOOKUP($A108,Map!$A:$A,Map!F:F)</f>
        <v>Transportation allowance</v>
      </c>
    </row>
    <row r="109" spans="1:10" hidden="1" x14ac:dyDescent="0.25">
      <c r="A109" s="90">
        <v>520004</v>
      </c>
      <c r="B109" s="90" t="s">
        <v>124</v>
      </c>
      <c r="C109" s="91">
        <v>0</v>
      </c>
      <c r="D109" s="91">
        <v>225525.5</v>
      </c>
      <c r="E109" s="91">
        <v>225525.5</v>
      </c>
      <c r="F109" s="91">
        <v>0</v>
      </c>
      <c r="G109" t="str">
        <f>_xlfn.XLOOKUP($A109,Map!$A:$A,Map!C:C)</f>
        <v>IS</v>
      </c>
      <c r="H109" t="str">
        <f>_xlfn.XLOOKUP($A109,Map!$A:$A,Map!D:D)</f>
        <v>Cost of sales</v>
      </c>
      <c r="I109" t="str">
        <f>_xlfn.XLOOKUP($A109,Map!$A:$A,Map!E:E)</f>
        <v>Direct Labor</v>
      </c>
      <c r="J109" t="str">
        <f>_xlfn.XLOOKUP($A109,Map!$A:$A,Map!F:F)</f>
        <v>Food and housing</v>
      </c>
    </row>
    <row r="110" spans="1:10" hidden="1" x14ac:dyDescent="0.25">
      <c r="A110" s="90">
        <v>520005</v>
      </c>
      <c r="B110" s="90" t="s">
        <v>125</v>
      </c>
      <c r="C110" s="91">
        <v>0</v>
      </c>
      <c r="D110" s="91">
        <v>0</v>
      </c>
      <c r="E110" s="91">
        <v>0</v>
      </c>
      <c r="F110" s="91">
        <v>0</v>
      </c>
      <c r="G110" t="str">
        <f>_xlfn.XLOOKUP($A110,Map!$A:$A,Map!C:C)</f>
        <v>IS</v>
      </c>
      <c r="H110" t="str">
        <f>_xlfn.XLOOKUP($A110,Map!$A:$A,Map!D:D)</f>
        <v>Cost of sales</v>
      </c>
      <c r="I110" t="str">
        <f>_xlfn.XLOOKUP($A110,Map!$A:$A,Map!E:E)</f>
        <v>Direct Labor</v>
      </c>
      <c r="J110" t="str">
        <f>_xlfn.XLOOKUP($A110,Map!$A:$A,Map!F:F)</f>
        <v>Leave pay</v>
      </c>
    </row>
    <row r="111" spans="1:10" hidden="1" x14ac:dyDescent="0.25">
      <c r="A111" s="90">
        <v>520006</v>
      </c>
      <c r="B111" s="90" t="s">
        <v>126</v>
      </c>
      <c r="C111" s="91">
        <v>0</v>
      </c>
      <c r="D111" s="91">
        <v>333846</v>
      </c>
      <c r="E111" s="91">
        <v>333846</v>
      </c>
      <c r="F111" s="91">
        <v>0</v>
      </c>
      <c r="G111" t="str">
        <f>_xlfn.XLOOKUP($A111,Map!$A:$A,Map!C:C)</f>
        <v>IS</v>
      </c>
      <c r="H111" t="str">
        <f>_xlfn.XLOOKUP($A111,Map!$A:$A,Map!D:D)</f>
        <v>Cost of sales</v>
      </c>
      <c r="I111" t="str">
        <f>_xlfn.XLOOKUP($A111,Map!$A:$A,Map!E:E)</f>
        <v>Direct Labor</v>
      </c>
      <c r="J111" t="str">
        <f>_xlfn.XLOOKUP($A111,Map!$A:$A,Map!F:F)</f>
        <v>Medical insurance</v>
      </c>
    </row>
    <row r="112" spans="1:10" hidden="1" x14ac:dyDescent="0.25">
      <c r="A112" s="90">
        <v>520010</v>
      </c>
      <c r="B112" s="90" t="s">
        <v>127</v>
      </c>
      <c r="C112" s="91">
        <v>0</v>
      </c>
      <c r="D112" s="91">
        <v>0</v>
      </c>
      <c r="E112" s="91">
        <v>0</v>
      </c>
      <c r="F112" s="91">
        <v>0</v>
      </c>
      <c r="G112" t="str">
        <f>_xlfn.XLOOKUP($A112,Map!$A:$A,Map!C:C)</f>
        <v>IS</v>
      </c>
      <c r="H112" t="str">
        <f>_xlfn.XLOOKUP($A112,Map!$A:$A,Map!D:D)</f>
        <v>Cost of sales</v>
      </c>
      <c r="I112" t="str">
        <f>_xlfn.XLOOKUP($A112,Map!$A:$A,Map!E:E)</f>
        <v>Direct Labor</v>
      </c>
      <c r="J112" t="str">
        <f>_xlfn.XLOOKUP($A112,Map!$A:$A,Map!F:F)</f>
        <v>Salaries and wages</v>
      </c>
    </row>
    <row r="113" spans="1:10" hidden="1" x14ac:dyDescent="0.25">
      <c r="A113" s="90">
        <v>520011</v>
      </c>
      <c r="B113" s="90" t="s">
        <v>122</v>
      </c>
      <c r="C113" s="91">
        <v>0</v>
      </c>
      <c r="D113" s="91">
        <v>612128</v>
      </c>
      <c r="E113" s="91">
        <v>612128</v>
      </c>
      <c r="F113" s="91">
        <v>0</v>
      </c>
      <c r="G113" t="str">
        <f>_xlfn.XLOOKUP($A113,Map!$A:$A,Map!C:C)</f>
        <v>IS</v>
      </c>
      <c r="H113" t="str">
        <f>_xlfn.XLOOKUP($A113,Map!$A:$A,Map!D:D)</f>
        <v>Cost of sales</v>
      </c>
      <c r="I113" t="str">
        <f>_xlfn.XLOOKUP($A113,Map!$A:$A,Map!E:E)</f>
        <v>Direct Labor</v>
      </c>
      <c r="J113" t="str">
        <f>_xlfn.XLOOKUP($A113,Map!$A:$A,Map!F:F)</f>
        <v>Overtime pay</v>
      </c>
    </row>
    <row r="114" spans="1:10" hidden="1" x14ac:dyDescent="0.25">
      <c r="A114" s="90">
        <v>520013</v>
      </c>
      <c r="B114" s="90" t="s">
        <v>124</v>
      </c>
      <c r="C114" s="91">
        <v>0</v>
      </c>
      <c r="D114" s="91">
        <v>0</v>
      </c>
      <c r="E114" s="91">
        <v>0</v>
      </c>
      <c r="F114" s="91">
        <v>0</v>
      </c>
      <c r="G114" t="str">
        <f>_xlfn.XLOOKUP($A114,Map!$A:$A,Map!C:C)</f>
        <v>IS</v>
      </c>
      <c r="H114" t="str">
        <f>_xlfn.XLOOKUP($A114,Map!$A:$A,Map!D:D)</f>
        <v>Cost of sales</v>
      </c>
      <c r="I114" t="str">
        <f>_xlfn.XLOOKUP($A114,Map!$A:$A,Map!E:E)</f>
        <v>Direct Labor</v>
      </c>
      <c r="J114" t="str">
        <f>_xlfn.XLOOKUP($A114,Map!$A:$A,Map!F:F)</f>
        <v>Food and housing</v>
      </c>
    </row>
    <row r="115" spans="1:10" hidden="1" x14ac:dyDescent="0.25">
      <c r="A115" s="90">
        <v>520014</v>
      </c>
      <c r="B115" s="90" t="s">
        <v>125</v>
      </c>
      <c r="C115" s="91">
        <v>0</v>
      </c>
      <c r="D115" s="91">
        <v>0</v>
      </c>
      <c r="E115" s="91">
        <v>0</v>
      </c>
      <c r="F115" s="91">
        <v>0</v>
      </c>
      <c r="G115" t="str">
        <f>_xlfn.XLOOKUP($A115,Map!$A:$A,Map!C:C)</f>
        <v>IS</v>
      </c>
      <c r="H115" t="str">
        <f>_xlfn.XLOOKUP($A115,Map!$A:$A,Map!D:D)</f>
        <v>Cost of sales</v>
      </c>
      <c r="I115" t="str">
        <f>_xlfn.XLOOKUP($A115,Map!$A:$A,Map!E:E)</f>
        <v>Direct Labor</v>
      </c>
      <c r="J115" t="str">
        <f>_xlfn.XLOOKUP($A115,Map!$A:$A,Map!F:F)</f>
        <v>Leave pay</v>
      </c>
    </row>
    <row r="116" spans="1:10" hidden="1" x14ac:dyDescent="0.25">
      <c r="A116" s="90">
        <v>520021</v>
      </c>
      <c r="B116" s="90" t="s">
        <v>129</v>
      </c>
      <c r="C116" s="91">
        <v>0</v>
      </c>
      <c r="D116" s="91">
        <v>37712.269999999997</v>
      </c>
      <c r="E116" s="91">
        <v>37712.269999999997</v>
      </c>
      <c r="F116" s="91">
        <v>0</v>
      </c>
      <c r="G116" t="str">
        <f>_xlfn.XLOOKUP($A116,Map!$A:$A,Map!C:C)</f>
        <v>IS</v>
      </c>
      <c r="H116" t="str">
        <f>_xlfn.XLOOKUP($A116,Map!$A:$A,Map!D:D)</f>
        <v>Cost of sales</v>
      </c>
      <c r="I116" t="str">
        <f>_xlfn.XLOOKUP($A116,Map!$A:$A,Map!E:E)</f>
        <v>Direct Labor</v>
      </c>
      <c r="J116" t="str">
        <f>_xlfn.XLOOKUP($A116,Map!$A:$A,Map!F:F)</f>
        <v>Medical insurance</v>
      </c>
    </row>
    <row r="117" spans="1:10" hidden="1" x14ac:dyDescent="0.25">
      <c r="A117" s="90">
        <v>520022</v>
      </c>
      <c r="B117" s="90" t="s">
        <v>130</v>
      </c>
      <c r="C117" s="91">
        <v>0</v>
      </c>
      <c r="D117" s="91">
        <v>0</v>
      </c>
      <c r="E117" s="91">
        <v>0</v>
      </c>
      <c r="F117" s="91">
        <v>0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Direct Labor</v>
      </c>
      <c r="J117" t="str">
        <f>_xlfn.XLOOKUP($A117,Map!$A:$A,Map!F:F)</f>
        <v>Iqama renewal</v>
      </c>
    </row>
    <row r="118" spans="1:10" hidden="1" x14ac:dyDescent="0.25">
      <c r="A118" s="90">
        <v>520023</v>
      </c>
      <c r="B118" s="90" t="s">
        <v>255</v>
      </c>
      <c r="C118" s="91">
        <v>0</v>
      </c>
      <c r="D118" s="91">
        <v>0</v>
      </c>
      <c r="E118" s="91">
        <v>0</v>
      </c>
      <c r="F118" s="91">
        <v>0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Direct Labor</v>
      </c>
      <c r="J118" t="str">
        <f>_xlfn.XLOOKUP($A118,Map!$A:$A,Map!F:F)</f>
        <v>Medical insurance</v>
      </c>
    </row>
    <row r="119" spans="1:10" hidden="1" x14ac:dyDescent="0.25">
      <c r="A119" s="90">
        <v>520032</v>
      </c>
      <c r="B119" s="90" t="s">
        <v>131</v>
      </c>
      <c r="C119" s="91">
        <v>0</v>
      </c>
      <c r="D119" s="91">
        <v>0</v>
      </c>
      <c r="E119" s="91">
        <v>0</v>
      </c>
      <c r="F119" s="91">
        <v>0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Raw materials</v>
      </c>
      <c r="J119" t="str">
        <f>_xlfn.XLOOKUP($A119,Map!$A:$A,Map!F:F)</f>
        <v>Consumables</v>
      </c>
    </row>
    <row r="120" spans="1:10" hidden="1" x14ac:dyDescent="0.25">
      <c r="A120" s="90">
        <v>520036</v>
      </c>
      <c r="B120" s="90" t="s">
        <v>132</v>
      </c>
      <c r="C120" s="91">
        <v>0</v>
      </c>
      <c r="D120" s="91">
        <v>0.11700000000000001</v>
      </c>
      <c r="E120" s="91">
        <v>0.11700000000000001</v>
      </c>
      <c r="F120" s="91">
        <v>0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Raw materials</v>
      </c>
      <c r="J120" t="str">
        <f>_xlfn.XLOOKUP($A120,Map!$A:$A,Map!F:F)</f>
        <v>Raw materials</v>
      </c>
    </row>
    <row r="121" spans="1:10" hidden="1" x14ac:dyDescent="0.25">
      <c r="A121" s="90">
        <v>520037</v>
      </c>
      <c r="B121" s="90" t="s">
        <v>133</v>
      </c>
      <c r="C121" s="91">
        <v>0</v>
      </c>
      <c r="D121" s="91">
        <v>1395641.7220000001</v>
      </c>
      <c r="E121" s="91">
        <v>1395641.7220000001</v>
      </c>
      <c r="F121" s="91">
        <v>0</v>
      </c>
      <c r="G121" t="str">
        <f>_xlfn.XLOOKUP($A121,Map!$A:$A,Map!C:C)</f>
        <v>IS</v>
      </c>
      <c r="H121" t="str">
        <f>_xlfn.XLOOKUP($A121,Map!$A:$A,Map!D:D)</f>
        <v>Cost of sales</v>
      </c>
      <c r="I121" t="str">
        <f>_xlfn.XLOOKUP($A121,Map!$A:$A,Map!E:E)</f>
        <v>Raw materials</v>
      </c>
      <c r="J121" t="str">
        <f>_xlfn.XLOOKUP($A121,Map!$A:$A,Map!F:F)</f>
        <v>Raw materials</v>
      </c>
    </row>
    <row r="122" spans="1:10" hidden="1" x14ac:dyDescent="0.25">
      <c r="A122" s="90">
        <v>520040</v>
      </c>
      <c r="B122" s="90" t="s">
        <v>134</v>
      </c>
      <c r="C122" s="91">
        <v>0</v>
      </c>
      <c r="D122" s="91">
        <v>0</v>
      </c>
      <c r="E122" s="91">
        <v>0</v>
      </c>
      <c r="F122" s="91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Raw materials</v>
      </c>
      <c r="J122" t="str">
        <f>_xlfn.XLOOKUP($A122,Map!$A:$A,Map!F:F)</f>
        <v>Other expenses</v>
      </c>
    </row>
    <row r="123" spans="1:10" hidden="1" x14ac:dyDescent="0.25">
      <c r="A123" s="90">
        <v>520041</v>
      </c>
      <c r="B123" s="90" t="s">
        <v>135</v>
      </c>
      <c r="C123" s="91">
        <v>0</v>
      </c>
      <c r="D123" s="91">
        <v>12282826.806</v>
      </c>
      <c r="E123" s="91">
        <v>12282826.806</v>
      </c>
      <c r="F123" s="91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Raw materials</v>
      </c>
      <c r="J123" t="str">
        <f>_xlfn.XLOOKUP($A123,Map!$A:$A,Map!F:F)</f>
        <v>Other expenses</v>
      </c>
    </row>
    <row r="124" spans="1:10" hidden="1" x14ac:dyDescent="0.25">
      <c r="A124" s="90">
        <v>520042</v>
      </c>
      <c r="B124" s="90" t="s">
        <v>136</v>
      </c>
      <c r="C124" s="91">
        <v>0</v>
      </c>
      <c r="D124" s="91">
        <v>4180928.6639999999</v>
      </c>
      <c r="E124" s="91">
        <v>4180928.6639999999</v>
      </c>
      <c r="F124" s="91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Raw materials</v>
      </c>
      <c r="J124" t="str">
        <f>_xlfn.XLOOKUP($A124,Map!$A:$A,Map!F:F)</f>
        <v>Inventory Adjustment</v>
      </c>
    </row>
    <row r="125" spans="1:10" hidden="1" x14ac:dyDescent="0.25">
      <c r="A125" s="90">
        <v>600001</v>
      </c>
      <c r="B125" s="90" t="s">
        <v>137</v>
      </c>
      <c r="C125" s="91">
        <v>0</v>
      </c>
      <c r="D125" s="91">
        <v>1717697.49</v>
      </c>
      <c r="E125" s="91">
        <v>1717697.49</v>
      </c>
      <c r="F125" s="91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Overhead - Labor Cost</v>
      </c>
      <c r="J125" t="str">
        <f>_xlfn.XLOOKUP($A125,Map!$A:$A,Map!F:F)</f>
        <v>Salaries and wages</v>
      </c>
    </row>
    <row r="126" spans="1:10" hidden="1" x14ac:dyDescent="0.25">
      <c r="A126" s="90">
        <v>600002</v>
      </c>
      <c r="B126" s="90" t="s">
        <v>138</v>
      </c>
      <c r="C126" s="91">
        <v>0</v>
      </c>
      <c r="D126" s="91">
        <v>348025</v>
      </c>
      <c r="E126" s="91">
        <v>348025</v>
      </c>
      <c r="F126" s="91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Overhead - Labor Cost</v>
      </c>
      <c r="J126" t="str">
        <f>_xlfn.XLOOKUP($A126,Map!$A:$A,Map!F:F)</f>
        <v>Overtime pay</v>
      </c>
    </row>
    <row r="127" spans="1:10" hidden="1" x14ac:dyDescent="0.25">
      <c r="A127" s="90">
        <v>600003</v>
      </c>
      <c r="B127" s="90" t="s">
        <v>139</v>
      </c>
      <c r="C127" s="91">
        <v>0</v>
      </c>
      <c r="D127" s="91">
        <v>66828</v>
      </c>
      <c r="E127" s="91">
        <v>66828</v>
      </c>
      <c r="F127" s="91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Overhead - Labor Cost</v>
      </c>
      <c r="J127" t="str">
        <f>_xlfn.XLOOKUP($A127,Map!$A:$A,Map!F:F)</f>
        <v xml:space="preserve">Food &amp; Housing </v>
      </c>
    </row>
    <row r="128" spans="1:10" hidden="1" x14ac:dyDescent="0.25">
      <c r="A128" s="90">
        <v>600004</v>
      </c>
      <c r="B128" s="90" t="s">
        <v>140</v>
      </c>
      <c r="C128" s="91">
        <v>0</v>
      </c>
      <c r="D128" s="91">
        <v>336024.73800000001</v>
      </c>
      <c r="E128" s="91">
        <v>336024.73800000001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Overhead - Labor Cost</v>
      </c>
      <c r="J128" t="str">
        <f>_xlfn.XLOOKUP($A128,Map!$A:$A,Map!F:F)</f>
        <v>Medical insurance</v>
      </c>
    </row>
    <row r="129" spans="1:10" hidden="1" x14ac:dyDescent="0.25">
      <c r="A129" s="90">
        <v>600005</v>
      </c>
      <c r="B129" s="90" t="s">
        <v>141</v>
      </c>
      <c r="C129" s="91">
        <v>0</v>
      </c>
      <c r="D129" s="91">
        <v>1928804.0589999999</v>
      </c>
      <c r="E129" s="91">
        <v>1928804.0589999999</v>
      </c>
      <c r="F129" s="91">
        <v>0</v>
      </c>
      <c r="G129" t="str">
        <f>_xlfn.XLOOKUP($A129,Map!$A:$A,Map!C:C)</f>
        <v>IS</v>
      </c>
      <c r="H129" t="str">
        <f>_xlfn.XLOOKUP($A129,Map!$A:$A,Map!D:D)</f>
        <v>General and Admin</v>
      </c>
      <c r="I129" t="str">
        <f>_xlfn.XLOOKUP($A129,Map!$A:$A,Map!E:E)</f>
        <v>Govt license and fees (including modon)</v>
      </c>
      <c r="J129" t="str">
        <f>_xlfn.XLOOKUP($A129,Map!$A:$A,Map!F:F)</f>
        <v>Government fees</v>
      </c>
    </row>
    <row r="130" spans="1:10" hidden="1" x14ac:dyDescent="0.25">
      <c r="A130" s="90">
        <v>600006</v>
      </c>
      <c r="B130" s="90" t="s">
        <v>142</v>
      </c>
      <c r="C130" s="91">
        <v>0</v>
      </c>
      <c r="D130" s="91">
        <v>593235.80599999998</v>
      </c>
      <c r="E130" s="91">
        <v>593235.80599999998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Overhead - Labor Cost</v>
      </c>
      <c r="J130" t="str">
        <f>_xlfn.XLOOKUP($A130,Map!$A:$A,Map!F:F)</f>
        <v xml:space="preserve">Food &amp; Housing </v>
      </c>
    </row>
    <row r="131" spans="1:10" hidden="1" x14ac:dyDescent="0.25">
      <c r="A131" s="90">
        <v>600007</v>
      </c>
      <c r="B131" s="90" t="s">
        <v>143</v>
      </c>
      <c r="C131" s="91">
        <v>0</v>
      </c>
      <c r="D131" s="91">
        <v>650</v>
      </c>
      <c r="E131" s="91">
        <v>650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Overhead - Labor Cost</v>
      </c>
      <c r="J131" t="str">
        <f>_xlfn.XLOOKUP($A131,Map!$A:$A,Map!F:F)</f>
        <v>Transportation allowance</v>
      </c>
    </row>
    <row r="132" spans="1:10" hidden="1" x14ac:dyDescent="0.25">
      <c r="A132" s="90">
        <v>600008</v>
      </c>
      <c r="B132" s="90" t="s">
        <v>144</v>
      </c>
      <c r="C132" s="91">
        <v>0</v>
      </c>
      <c r="D132" s="91">
        <v>303877.63199999998</v>
      </c>
      <c r="E132" s="91">
        <v>303877.63199999998</v>
      </c>
      <c r="F132" s="91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Overhead - Labor Cost</v>
      </c>
      <c r="J132" t="str">
        <f>_xlfn.XLOOKUP($A132,Map!$A:$A,Map!F:F)</f>
        <v>Air tickets</v>
      </c>
    </row>
    <row r="133" spans="1:10" hidden="1" x14ac:dyDescent="0.25">
      <c r="A133" s="90">
        <v>600009</v>
      </c>
      <c r="B133" s="90" t="s">
        <v>145</v>
      </c>
      <c r="C133" s="91">
        <v>0</v>
      </c>
      <c r="D133" s="91">
        <v>212066</v>
      </c>
      <c r="E133" s="91">
        <v>212066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Overhead - Labor Cost</v>
      </c>
      <c r="J133" t="str">
        <f>_xlfn.XLOOKUP($A133,Map!$A:$A,Map!F:F)</f>
        <v>Vacation pay</v>
      </c>
    </row>
    <row r="134" spans="1:10" hidden="1" x14ac:dyDescent="0.25">
      <c r="A134" s="90">
        <v>600010</v>
      </c>
      <c r="B134" s="90" t="s">
        <v>146</v>
      </c>
      <c r="C134" s="91">
        <v>0</v>
      </c>
      <c r="D134" s="91">
        <v>0</v>
      </c>
      <c r="E134" s="91">
        <v>0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Overhead - Labor Cost</v>
      </c>
      <c r="J134" t="str">
        <f>_xlfn.XLOOKUP($A134,Map!$A:$A,Map!F:F)</f>
        <v>EOS expenses</v>
      </c>
    </row>
    <row r="135" spans="1:10" hidden="1" x14ac:dyDescent="0.25">
      <c r="A135" s="90">
        <v>600011</v>
      </c>
      <c r="B135" s="90" t="s">
        <v>147</v>
      </c>
      <c r="C135" s="91">
        <v>0</v>
      </c>
      <c r="D135" s="91">
        <v>19000</v>
      </c>
      <c r="E135" s="91">
        <v>19000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Overhead - Labor Cost</v>
      </c>
      <c r="J135" t="str">
        <f>_xlfn.XLOOKUP($A135,Map!$A:$A,Map!F:F)</f>
        <v>Air tickets</v>
      </c>
    </row>
    <row r="136" spans="1:10" hidden="1" x14ac:dyDescent="0.25">
      <c r="A136" s="90">
        <v>600012</v>
      </c>
      <c r="B136" s="90" t="s">
        <v>148</v>
      </c>
      <c r="C136" s="91">
        <v>0</v>
      </c>
      <c r="D136" s="91">
        <v>375</v>
      </c>
      <c r="E136" s="91">
        <v>375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Overhead - Labor Cost</v>
      </c>
      <c r="J136" t="str">
        <f>_xlfn.XLOOKUP($A136,Map!$A:$A,Map!F:F)</f>
        <v xml:space="preserve">Education &amp; Furniture Allowances </v>
      </c>
    </row>
    <row r="137" spans="1:10" hidden="1" x14ac:dyDescent="0.25">
      <c r="A137" s="90">
        <v>600013</v>
      </c>
      <c r="B137" s="90" t="s">
        <v>149</v>
      </c>
      <c r="C137" s="91">
        <v>0</v>
      </c>
      <c r="D137" s="91">
        <v>45</v>
      </c>
      <c r="E137" s="91">
        <v>45</v>
      </c>
      <c r="F137" s="91">
        <v>0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Overhead - Labor Cost</v>
      </c>
      <c r="J137" t="str">
        <f>_xlfn.XLOOKUP($A137,Map!$A:$A,Map!F:F)</f>
        <v>Telephone allowance</v>
      </c>
    </row>
    <row r="138" spans="1:10" hidden="1" x14ac:dyDescent="0.25">
      <c r="A138" s="90">
        <v>600014</v>
      </c>
      <c r="B138" s="90" t="s">
        <v>60</v>
      </c>
      <c r="C138" s="91">
        <v>0</v>
      </c>
      <c r="D138" s="91">
        <v>2374714.0490000001</v>
      </c>
      <c r="E138" s="91">
        <v>2374714.0490000001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Overhead - Consumables &amp; SP</v>
      </c>
      <c r="J138" t="str">
        <f>_xlfn.XLOOKUP($A138,Map!$A:$A,Map!F:F)</f>
        <v>Consumables</v>
      </c>
    </row>
    <row r="139" spans="1:10" hidden="1" x14ac:dyDescent="0.25">
      <c r="A139" s="90">
        <v>600015</v>
      </c>
      <c r="B139" s="90" t="s">
        <v>150</v>
      </c>
      <c r="C139" s="91">
        <v>0</v>
      </c>
      <c r="D139" s="91">
        <v>28427.98</v>
      </c>
      <c r="E139" s="91">
        <v>28427.98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Overhead - Consumables &amp; SP</v>
      </c>
      <c r="J139" t="str">
        <f>_xlfn.XLOOKUP($A139,Map!$A:$A,Map!F:F)</f>
        <v>Consumables</v>
      </c>
    </row>
    <row r="140" spans="1:10" hidden="1" x14ac:dyDescent="0.25">
      <c r="A140" s="90">
        <v>600016</v>
      </c>
      <c r="B140" s="90" t="s">
        <v>151</v>
      </c>
      <c r="C140" s="91">
        <v>0</v>
      </c>
      <c r="D140" s="91">
        <v>2103649.9389999998</v>
      </c>
      <c r="E140" s="91">
        <v>2103649.9389999998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Overhead - Consumables &amp; SP</v>
      </c>
      <c r="J140" t="str">
        <f>_xlfn.XLOOKUP($A140,Map!$A:$A,Map!F:F)</f>
        <v>Tools</v>
      </c>
    </row>
    <row r="141" spans="1:10" hidden="1" x14ac:dyDescent="0.25">
      <c r="A141" s="90">
        <v>600017</v>
      </c>
      <c r="B141" s="90" t="s">
        <v>152</v>
      </c>
      <c r="C141" s="91">
        <v>0</v>
      </c>
      <c r="D141" s="91">
        <v>2451280.52</v>
      </c>
      <c r="E141" s="91">
        <v>2451280.52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Overhead - Utility</v>
      </c>
      <c r="J141" t="str">
        <f>_xlfn.XLOOKUP($A141,Map!$A:$A,Map!F:F)</f>
        <v>Electricity expenses</v>
      </c>
    </row>
    <row r="142" spans="1:10" hidden="1" x14ac:dyDescent="0.25">
      <c r="A142" s="90">
        <v>600018</v>
      </c>
      <c r="B142" s="90" t="s">
        <v>153</v>
      </c>
      <c r="C142" s="91">
        <v>0</v>
      </c>
      <c r="D142" s="91">
        <v>440796.13799999998</v>
      </c>
      <c r="E142" s="91">
        <v>440796.13799999998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Overhead - Utility</v>
      </c>
      <c r="J142" t="str">
        <f>_xlfn.XLOOKUP($A142,Map!$A:$A,Map!F:F)</f>
        <v>Water expenses</v>
      </c>
    </row>
    <row r="143" spans="1:10" hidden="1" x14ac:dyDescent="0.25">
      <c r="A143" s="90">
        <v>600019</v>
      </c>
      <c r="B143" s="90" t="s">
        <v>154</v>
      </c>
      <c r="C143" s="91">
        <v>0</v>
      </c>
      <c r="D143" s="91">
        <v>216059.62</v>
      </c>
      <c r="E143" s="91">
        <v>216059.62</v>
      </c>
      <c r="F143" s="91">
        <v>0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Overhead - Utility</v>
      </c>
      <c r="J143" t="str">
        <f>_xlfn.XLOOKUP($A143,Map!$A:$A,Map!F:F)</f>
        <v>Fuel and oil</v>
      </c>
    </row>
    <row r="144" spans="1:10" hidden="1" x14ac:dyDescent="0.25">
      <c r="A144" s="90">
        <v>600020</v>
      </c>
      <c r="B144" s="90" t="s">
        <v>155</v>
      </c>
      <c r="C144" s="91">
        <v>0</v>
      </c>
      <c r="D144" s="91">
        <v>174489.342</v>
      </c>
      <c r="E144" s="91">
        <v>174489.342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Overhead - R&amp;M</v>
      </c>
      <c r="J144" t="str">
        <f>_xlfn.XLOOKUP($A144,Map!$A:$A,Map!F:F)</f>
        <v>Machine and equipment</v>
      </c>
    </row>
    <row r="145" spans="1:10" hidden="1" x14ac:dyDescent="0.25">
      <c r="A145" s="90">
        <v>600021</v>
      </c>
      <c r="B145" s="90" t="s">
        <v>156</v>
      </c>
      <c r="C145" s="91">
        <v>0</v>
      </c>
      <c r="D145" s="91">
        <v>81910.567999999999</v>
      </c>
      <c r="E145" s="91">
        <v>81910.567999999999</v>
      </c>
      <c r="F145" s="91">
        <v>0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Overhead - R&amp;M</v>
      </c>
      <c r="J145" t="str">
        <f>_xlfn.XLOOKUP($A145,Map!$A:$A,Map!F:F)</f>
        <v>Vehicle maintenance</v>
      </c>
    </row>
    <row r="146" spans="1:10" hidden="1" x14ac:dyDescent="0.25">
      <c r="A146" s="90">
        <v>600022</v>
      </c>
      <c r="B146" s="90" t="s">
        <v>157</v>
      </c>
      <c r="C146" s="91">
        <v>0</v>
      </c>
      <c r="D146" s="91">
        <v>17741</v>
      </c>
      <c r="E146" s="91">
        <v>17741</v>
      </c>
      <c r="F146" s="91">
        <v>0</v>
      </c>
      <c r="G146" t="str">
        <f>_xlfn.XLOOKUP($A146,Map!$A:$A,Map!C:C)</f>
        <v>IS</v>
      </c>
      <c r="H146" t="str">
        <f>_xlfn.XLOOKUP($A146,Map!$A:$A,Map!D:D)</f>
        <v>Cost of sales</v>
      </c>
      <c r="I146" t="str">
        <f>_xlfn.XLOOKUP($A146,Map!$A:$A,Map!E:E)</f>
        <v>Overhead - R&amp;M</v>
      </c>
      <c r="J146" t="str">
        <f>_xlfn.XLOOKUP($A146,Map!$A:$A,Map!F:F)</f>
        <v>Building maintenance</v>
      </c>
    </row>
    <row r="147" spans="1:10" hidden="1" x14ac:dyDescent="0.25">
      <c r="A147" s="90">
        <v>600023</v>
      </c>
      <c r="B147" s="90" t="s">
        <v>158</v>
      </c>
      <c r="C147" s="91">
        <v>0</v>
      </c>
      <c r="D147" s="91">
        <v>3400</v>
      </c>
      <c r="E147" s="91">
        <v>3400</v>
      </c>
      <c r="F147" s="91">
        <v>0</v>
      </c>
      <c r="G147" t="str">
        <f>_xlfn.XLOOKUP($A147,Map!$A:$A,Map!C:C)</f>
        <v>IS</v>
      </c>
      <c r="H147" t="str">
        <f>_xlfn.XLOOKUP($A147,Map!$A:$A,Map!D:D)</f>
        <v>Cost of sales</v>
      </c>
      <c r="I147" t="str">
        <f>_xlfn.XLOOKUP($A147,Map!$A:$A,Map!E:E)</f>
        <v>Overhead - R&amp;M</v>
      </c>
      <c r="J147" t="str">
        <f>_xlfn.XLOOKUP($A147,Map!$A:$A,Map!F:F)</f>
        <v>Office equipment maintenance</v>
      </c>
    </row>
    <row r="148" spans="1:10" hidden="1" x14ac:dyDescent="0.25">
      <c r="A148" s="90">
        <v>600024</v>
      </c>
      <c r="B148" s="90" t="s">
        <v>159</v>
      </c>
      <c r="C148" s="91">
        <v>0</v>
      </c>
      <c r="D148" s="91">
        <v>6479.05</v>
      </c>
      <c r="E148" s="91">
        <v>6479.05</v>
      </c>
      <c r="F148" s="91">
        <v>0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Overhead - Rent</v>
      </c>
      <c r="J148" t="str">
        <f>_xlfn.XLOOKUP($A148,Map!$A:$A,Map!F:F)</f>
        <v>Pump rental expenses</v>
      </c>
    </row>
    <row r="149" spans="1:10" hidden="1" x14ac:dyDescent="0.25">
      <c r="A149" s="90">
        <v>600026</v>
      </c>
      <c r="B149" s="90" t="s">
        <v>161</v>
      </c>
      <c r="C149" s="91">
        <v>0</v>
      </c>
      <c r="D149" s="91">
        <v>0</v>
      </c>
      <c r="E149" s="91">
        <v>0</v>
      </c>
      <c r="F149" s="91">
        <v>0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Overhead - Insurance</v>
      </c>
      <c r="J149" t="str">
        <f>_xlfn.XLOOKUP($A149,Map!$A:$A,Map!F:F)</f>
        <v>Machine and equipment insurance</v>
      </c>
    </row>
    <row r="150" spans="1:10" hidden="1" x14ac:dyDescent="0.25">
      <c r="A150" s="90">
        <v>600027</v>
      </c>
      <c r="B150" s="90" t="s">
        <v>162</v>
      </c>
      <c r="C150" s="91">
        <v>0</v>
      </c>
      <c r="D150" s="91">
        <v>234844.67300000001</v>
      </c>
      <c r="E150" s="91">
        <v>234844.67300000001</v>
      </c>
      <c r="F150" s="91">
        <v>0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Overhead - Rent</v>
      </c>
      <c r="J150" t="str">
        <f>_xlfn.XLOOKUP($A150,Map!$A:$A,Map!F:F)</f>
        <v>Production hall rental</v>
      </c>
    </row>
    <row r="151" spans="1:10" hidden="1" x14ac:dyDescent="0.25">
      <c r="A151" s="90">
        <v>600028</v>
      </c>
      <c r="B151" s="90" t="s">
        <v>163</v>
      </c>
      <c r="C151" s="91">
        <v>0</v>
      </c>
      <c r="D151" s="91">
        <v>72821.929999999993</v>
      </c>
      <c r="E151" s="91">
        <v>72821.929999999993</v>
      </c>
      <c r="F151" s="91">
        <v>0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Overhead - Consumables &amp; SP</v>
      </c>
      <c r="J151" t="str">
        <f>_xlfn.XLOOKUP($A151,Map!$A:$A,Map!F:F)</f>
        <v xml:space="preserve">Education &amp; Furniture Allowances </v>
      </c>
    </row>
    <row r="152" spans="1:10" hidden="1" x14ac:dyDescent="0.25">
      <c r="A152" s="90">
        <v>600029</v>
      </c>
      <c r="B152" s="90" t="s">
        <v>164</v>
      </c>
      <c r="C152" s="91">
        <v>0</v>
      </c>
      <c r="D152" s="91">
        <v>6928758.9280000003</v>
      </c>
      <c r="E152" s="91">
        <v>6928758.9280000003</v>
      </c>
      <c r="F152" s="91">
        <v>0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Depreciation - Machines</v>
      </c>
      <c r="J152" t="str">
        <f>_xlfn.XLOOKUP($A152,Map!$A:$A,Map!F:F)</f>
        <v>Depreciation of property, plant and equipment</v>
      </c>
    </row>
    <row r="153" spans="1:10" hidden="1" x14ac:dyDescent="0.25">
      <c r="A153" s="90">
        <v>600030</v>
      </c>
      <c r="B153" s="90" t="s">
        <v>165</v>
      </c>
      <c r="C153" s="91">
        <v>0</v>
      </c>
      <c r="D153" s="91">
        <v>61493.072999999997</v>
      </c>
      <c r="E153" s="91">
        <v>61493.072999999997</v>
      </c>
      <c r="F153" s="91">
        <v>0</v>
      </c>
      <c r="G153" t="str">
        <f>_xlfn.XLOOKUP($A153,Map!$A:$A,Map!C:C)</f>
        <v>IS</v>
      </c>
      <c r="H153" t="str">
        <f>_xlfn.XLOOKUP($A153,Map!$A:$A,Map!D:D)</f>
        <v>Depreciation expenses</v>
      </c>
      <c r="I153" t="str">
        <f>_xlfn.XLOOKUP($A153,Map!$A:$A,Map!E:E)</f>
        <v>Depreciation expenses</v>
      </c>
      <c r="J153" t="str">
        <f>_xlfn.XLOOKUP($A153,Map!$A:$A,Map!F:F)</f>
        <v>Depreciation of property, plant and equipment</v>
      </c>
    </row>
    <row r="154" spans="1:10" hidden="1" x14ac:dyDescent="0.25">
      <c r="A154" s="90">
        <v>600031</v>
      </c>
      <c r="B154" s="90" t="s">
        <v>166</v>
      </c>
      <c r="C154" s="91">
        <v>0</v>
      </c>
      <c r="D154" s="91">
        <v>19597.740000000002</v>
      </c>
      <c r="E154" s="91">
        <v>19597.740000000002</v>
      </c>
      <c r="F154" s="91">
        <v>0</v>
      </c>
      <c r="G154" t="str">
        <f>_xlfn.XLOOKUP($A154,Map!$A:$A,Map!C:C)</f>
        <v>IS</v>
      </c>
      <c r="H154" t="str">
        <f>_xlfn.XLOOKUP($A154,Map!$A:$A,Map!D:D)</f>
        <v>Depreciation expenses</v>
      </c>
      <c r="I154" t="str">
        <f>_xlfn.XLOOKUP($A154,Map!$A:$A,Map!E:E)</f>
        <v>Depreciation expenses</v>
      </c>
      <c r="J154" t="str">
        <f>_xlfn.XLOOKUP($A154,Map!$A:$A,Map!F:F)</f>
        <v>Depreciation of property, plant and equipment</v>
      </c>
    </row>
    <row r="155" spans="1:10" hidden="1" x14ac:dyDescent="0.25">
      <c r="A155" s="90">
        <v>600032</v>
      </c>
      <c r="B155" s="90" t="s">
        <v>167</v>
      </c>
      <c r="C155" s="91">
        <v>0</v>
      </c>
      <c r="D155" s="91">
        <v>1471770.21</v>
      </c>
      <c r="E155" s="91">
        <v>1471770.21</v>
      </c>
      <c r="F155" s="91">
        <v>0</v>
      </c>
      <c r="G155" t="str">
        <f>_xlfn.XLOOKUP($A155,Map!$A:$A,Map!C:C)</f>
        <v>IS</v>
      </c>
      <c r="H155" t="str">
        <f>_xlfn.XLOOKUP($A155,Map!$A:$A,Map!D:D)</f>
        <v>Depreciation expenses</v>
      </c>
      <c r="I155" t="str">
        <f>_xlfn.XLOOKUP($A155,Map!$A:$A,Map!E:E)</f>
        <v>Depreciation expenses</v>
      </c>
      <c r="J155" t="str">
        <f>_xlfn.XLOOKUP($A155,Map!$A:$A,Map!F:F)</f>
        <v>Depreciation of property, plant and equipment</v>
      </c>
    </row>
    <row r="156" spans="1:10" hidden="1" x14ac:dyDescent="0.25">
      <c r="A156" s="90">
        <v>700001</v>
      </c>
      <c r="B156" s="90" t="s">
        <v>171</v>
      </c>
      <c r="C156" s="91">
        <v>0</v>
      </c>
      <c r="D156" s="91">
        <v>3644233.5</v>
      </c>
      <c r="E156" s="91">
        <v>20373.86</v>
      </c>
      <c r="F156" s="91">
        <v>3623859.64</v>
      </c>
      <c r="G156" t="str">
        <f>_xlfn.XLOOKUP($A156,Map!$A:$A,Map!C:C)</f>
        <v>IS</v>
      </c>
      <c r="H156" t="str">
        <f>_xlfn.XLOOKUP($A156,Map!$A:$A,Map!D:D)</f>
        <v>General and Admin</v>
      </c>
      <c r="I156" t="str">
        <f>_xlfn.XLOOKUP($A156,Map!$A:$A,Map!E:E)</f>
        <v>Salaries and wages</v>
      </c>
      <c r="J156" t="str">
        <f>_xlfn.XLOOKUP($A156,Map!$A:$A,Map!F:F)</f>
        <v>Salaries and wages</v>
      </c>
    </row>
    <row r="157" spans="1:10" hidden="1" x14ac:dyDescent="0.25">
      <c r="A157" s="90">
        <v>700002</v>
      </c>
      <c r="B157" s="90" t="s">
        <v>172</v>
      </c>
      <c r="C157" s="91">
        <v>0</v>
      </c>
      <c r="D157" s="91">
        <v>47886</v>
      </c>
      <c r="E157" s="91">
        <v>0</v>
      </c>
      <c r="F157" s="91">
        <v>47886</v>
      </c>
      <c r="G157" t="str">
        <f>_xlfn.XLOOKUP($A157,Map!$A:$A,Map!C:C)</f>
        <v>IS</v>
      </c>
      <c r="H157" t="str">
        <f>_xlfn.XLOOKUP($A157,Map!$A:$A,Map!D:D)</f>
        <v>General and Admin</v>
      </c>
      <c r="I157" t="str">
        <f>_xlfn.XLOOKUP($A157,Map!$A:$A,Map!E:E)</f>
        <v>Salaries and wages</v>
      </c>
      <c r="J157" t="str">
        <f>_xlfn.XLOOKUP($A157,Map!$A:$A,Map!F:F)</f>
        <v>Overtime pay</v>
      </c>
    </row>
    <row r="158" spans="1:10" hidden="1" x14ac:dyDescent="0.25">
      <c r="A158" s="90">
        <v>700003</v>
      </c>
      <c r="B158" s="90" t="s">
        <v>173</v>
      </c>
      <c r="C158" s="91">
        <v>0</v>
      </c>
      <c r="D158" s="91">
        <v>54943</v>
      </c>
      <c r="E158" s="91">
        <v>0</v>
      </c>
      <c r="F158" s="91">
        <v>54943</v>
      </c>
      <c r="G158" t="str">
        <f>_xlfn.XLOOKUP($A158,Map!$A:$A,Map!C:C)</f>
        <v>IS</v>
      </c>
      <c r="H158" t="str">
        <f>_xlfn.XLOOKUP($A158,Map!$A:$A,Map!D:D)</f>
        <v>General and Admin</v>
      </c>
      <c r="I158" t="str">
        <f>_xlfn.XLOOKUP($A158,Map!$A:$A,Map!E:E)</f>
        <v>Salaries and wages</v>
      </c>
      <c r="J158" t="str">
        <f>_xlfn.XLOOKUP($A158,Map!$A:$A,Map!F:F)</f>
        <v xml:space="preserve">Food &amp; Housing </v>
      </c>
    </row>
    <row r="159" spans="1:10" hidden="1" x14ac:dyDescent="0.25">
      <c r="A159" s="90">
        <v>700004</v>
      </c>
      <c r="B159" s="90" t="s">
        <v>174</v>
      </c>
      <c r="C159" s="91">
        <v>0</v>
      </c>
      <c r="D159" s="91">
        <v>205562.829</v>
      </c>
      <c r="E159" s="91">
        <v>2677.51</v>
      </c>
      <c r="F159" s="91">
        <v>202885.31899999999</v>
      </c>
      <c r="G159" t="str">
        <f>_xlfn.XLOOKUP($A159,Map!$A:$A,Map!C:C)</f>
        <v>IS</v>
      </c>
      <c r="H159" t="str">
        <f>_xlfn.XLOOKUP($A159,Map!$A:$A,Map!D:D)</f>
        <v>General and Admin</v>
      </c>
      <c r="I159" t="str">
        <f>_xlfn.XLOOKUP($A159,Map!$A:$A,Map!E:E)</f>
        <v>Salaries and wages</v>
      </c>
      <c r="J159" t="str">
        <f>_xlfn.XLOOKUP($A159,Map!$A:$A,Map!F:F)</f>
        <v>Medical insurance</v>
      </c>
    </row>
    <row r="160" spans="1:10" hidden="1" x14ac:dyDescent="0.25">
      <c r="A160" s="90">
        <v>700005</v>
      </c>
      <c r="B160" s="90" t="s">
        <v>175</v>
      </c>
      <c r="C160" s="91">
        <v>0</v>
      </c>
      <c r="D160" s="91">
        <v>406555.25400000002</v>
      </c>
      <c r="E160" s="91">
        <v>116361.93</v>
      </c>
      <c r="F160" s="91">
        <v>290193.32400000002</v>
      </c>
      <c r="G160" t="str">
        <f>_xlfn.XLOOKUP($A160,Map!$A:$A,Map!C:C)</f>
        <v>IS</v>
      </c>
      <c r="H160" t="str">
        <f>_xlfn.XLOOKUP($A160,Map!$A:$A,Map!D:D)</f>
        <v>General and Admin</v>
      </c>
      <c r="I160" t="str">
        <f>_xlfn.XLOOKUP($A160,Map!$A:$A,Map!E:E)</f>
        <v>Govt license and fees (including modon)</v>
      </c>
      <c r="J160" t="str">
        <f>_xlfn.XLOOKUP($A160,Map!$A:$A,Map!F:F)</f>
        <v>Government fees</v>
      </c>
    </row>
    <row r="161" spans="1:10" hidden="1" x14ac:dyDescent="0.25">
      <c r="A161" s="90">
        <v>700006</v>
      </c>
      <c r="B161" s="90" t="s">
        <v>176</v>
      </c>
      <c r="C161" s="91">
        <v>0</v>
      </c>
      <c r="D161" s="91">
        <v>793825.65500000003</v>
      </c>
      <c r="E161" s="91">
        <v>47350</v>
      </c>
      <c r="F161" s="91">
        <v>746475.65500000003</v>
      </c>
      <c r="G161" t="str">
        <f>_xlfn.XLOOKUP($A161,Map!$A:$A,Map!C:C)</f>
        <v>IS</v>
      </c>
      <c r="H161" t="str">
        <f>_xlfn.XLOOKUP($A161,Map!$A:$A,Map!D:D)</f>
        <v>General and Admin</v>
      </c>
      <c r="I161" t="str">
        <f>_xlfn.XLOOKUP($A161,Map!$A:$A,Map!E:E)</f>
        <v>Salaries and wages</v>
      </c>
      <c r="J161" t="str">
        <f>_xlfn.XLOOKUP($A161,Map!$A:$A,Map!F:F)</f>
        <v xml:space="preserve">Food &amp; Housing </v>
      </c>
    </row>
    <row r="162" spans="1:10" hidden="1" x14ac:dyDescent="0.25">
      <c r="A162" s="90">
        <v>700007</v>
      </c>
      <c r="B162" s="90" t="s">
        <v>177</v>
      </c>
      <c r="C162" s="91">
        <v>0</v>
      </c>
      <c r="D162" s="91">
        <v>379762</v>
      </c>
      <c r="E162" s="91">
        <v>0</v>
      </c>
      <c r="F162" s="91">
        <v>379762</v>
      </c>
      <c r="G162" t="str">
        <f>_xlfn.XLOOKUP($A162,Map!$A:$A,Map!C:C)</f>
        <v>IS</v>
      </c>
      <c r="H162" t="str">
        <f>_xlfn.XLOOKUP($A162,Map!$A:$A,Map!D:D)</f>
        <v>General and Admin</v>
      </c>
      <c r="I162" t="str">
        <f>_xlfn.XLOOKUP($A162,Map!$A:$A,Map!E:E)</f>
        <v>Salaries and wages</v>
      </c>
      <c r="J162" t="str">
        <f>_xlfn.XLOOKUP($A162,Map!$A:$A,Map!F:F)</f>
        <v>Transportation allowance</v>
      </c>
    </row>
    <row r="163" spans="1:10" hidden="1" x14ac:dyDescent="0.25">
      <c r="A163" s="90">
        <v>700008</v>
      </c>
      <c r="B163" s="90" t="s">
        <v>178</v>
      </c>
      <c r="C163" s="91">
        <v>0</v>
      </c>
      <c r="D163" s="91">
        <v>58073.324000000001</v>
      </c>
      <c r="E163" s="91">
        <v>1251.5</v>
      </c>
      <c r="F163" s="91">
        <v>56821.824000000001</v>
      </c>
      <c r="G163" t="str">
        <f>_xlfn.XLOOKUP($A163,Map!$A:$A,Map!C:C)</f>
        <v>IS</v>
      </c>
      <c r="H163" t="str">
        <f>_xlfn.XLOOKUP($A163,Map!$A:$A,Map!D:D)</f>
        <v>General and Admin</v>
      </c>
      <c r="I163" t="str">
        <f>_xlfn.XLOOKUP($A163,Map!$A:$A,Map!E:E)</f>
        <v>Salaries and wages</v>
      </c>
      <c r="J163" t="str">
        <f>_xlfn.XLOOKUP($A163,Map!$A:$A,Map!F:F)</f>
        <v>Air tickets</v>
      </c>
    </row>
    <row r="164" spans="1:10" hidden="1" x14ac:dyDescent="0.25">
      <c r="A164" s="90">
        <v>700009</v>
      </c>
      <c r="B164" s="90" t="s">
        <v>179</v>
      </c>
      <c r="C164" s="91">
        <v>0</v>
      </c>
      <c r="D164" s="91">
        <v>266275</v>
      </c>
      <c r="E164" s="91">
        <v>0</v>
      </c>
      <c r="F164" s="91">
        <v>266275</v>
      </c>
      <c r="G164" t="str">
        <f>_xlfn.XLOOKUP($A164,Map!$A:$A,Map!C:C)</f>
        <v>IS</v>
      </c>
      <c r="H164" t="str">
        <f>_xlfn.XLOOKUP($A164,Map!$A:$A,Map!D:D)</f>
        <v>General and Admin</v>
      </c>
      <c r="I164" t="str">
        <f>_xlfn.XLOOKUP($A164,Map!$A:$A,Map!E:E)</f>
        <v>Salaries and wages</v>
      </c>
      <c r="J164" t="str">
        <f>_xlfn.XLOOKUP($A164,Map!$A:$A,Map!F:F)</f>
        <v>Leave pay</v>
      </c>
    </row>
    <row r="165" spans="1:10" hidden="1" x14ac:dyDescent="0.25">
      <c r="A165" s="90">
        <v>700010</v>
      </c>
      <c r="B165" s="90" t="s">
        <v>180</v>
      </c>
      <c r="C165" s="91">
        <v>0</v>
      </c>
      <c r="D165" s="91">
        <v>872000</v>
      </c>
      <c r="E165" s="91">
        <v>303126</v>
      </c>
      <c r="F165" s="91">
        <v>568874</v>
      </c>
      <c r="G165" t="str">
        <f>_xlfn.XLOOKUP($A165,Map!$A:$A,Map!C:C)</f>
        <v>IS</v>
      </c>
      <c r="H165" t="str">
        <f>_xlfn.XLOOKUP($A165,Map!$A:$A,Map!D:D)</f>
        <v>General and Admin</v>
      </c>
      <c r="I165" t="str">
        <f>_xlfn.XLOOKUP($A165,Map!$A:$A,Map!E:E)</f>
        <v>Salaries and wages</v>
      </c>
      <c r="J165" t="str">
        <f>_xlfn.XLOOKUP($A165,Map!$A:$A,Map!F:F)</f>
        <v>Indemnities</v>
      </c>
    </row>
    <row r="166" spans="1:10" hidden="1" x14ac:dyDescent="0.25">
      <c r="A166" s="90">
        <v>700011</v>
      </c>
      <c r="B166" s="90" t="s">
        <v>181</v>
      </c>
      <c r="C166" s="91">
        <v>0</v>
      </c>
      <c r="D166" s="91">
        <v>111332.989</v>
      </c>
      <c r="E166" s="91">
        <v>0</v>
      </c>
      <c r="F166" s="91">
        <v>111332.989</v>
      </c>
      <c r="G166" t="str">
        <f>_xlfn.XLOOKUP($A166,Map!$A:$A,Map!C:C)</f>
        <v>IS</v>
      </c>
      <c r="H166" t="str">
        <f>_xlfn.XLOOKUP($A166,Map!$A:$A,Map!D:D)</f>
        <v>General and Admin</v>
      </c>
      <c r="I166" t="str">
        <f>_xlfn.XLOOKUP($A166,Map!$A:$A,Map!E:E)</f>
        <v>Salaries and wages</v>
      </c>
      <c r="J166" t="str">
        <f>_xlfn.XLOOKUP($A166,Map!$A:$A,Map!F:F)</f>
        <v>Air tickets</v>
      </c>
    </row>
    <row r="167" spans="1:10" hidden="1" x14ac:dyDescent="0.25">
      <c r="A167" s="90">
        <v>700012</v>
      </c>
      <c r="B167" s="90" t="s">
        <v>182</v>
      </c>
      <c r="C167" s="91">
        <v>0</v>
      </c>
      <c r="D167" s="91">
        <v>214710</v>
      </c>
      <c r="E167" s="91">
        <v>0</v>
      </c>
      <c r="F167" s="91">
        <v>214710</v>
      </c>
      <c r="G167" t="str">
        <f>_xlfn.XLOOKUP($A167,Map!$A:$A,Map!C:C)</f>
        <v>IS</v>
      </c>
      <c r="H167" t="str">
        <f>_xlfn.XLOOKUP($A167,Map!$A:$A,Map!D:D)</f>
        <v>General and Admin</v>
      </c>
      <c r="I167" t="str">
        <f>_xlfn.XLOOKUP($A167,Map!$A:$A,Map!E:E)</f>
        <v>Salaries and wages</v>
      </c>
      <c r="J167" t="str">
        <f>_xlfn.XLOOKUP($A167,Map!$A:$A,Map!F:F)</f>
        <v xml:space="preserve">Education &amp; Furniture Allowances </v>
      </c>
    </row>
    <row r="168" spans="1:10" hidden="1" x14ac:dyDescent="0.25">
      <c r="A168" s="90">
        <v>700013</v>
      </c>
      <c r="B168" s="90" t="s">
        <v>183</v>
      </c>
      <c r="C168" s="91">
        <v>0</v>
      </c>
      <c r="D168" s="91">
        <v>137685</v>
      </c>
      <c r="E168" s="91">
        <v>19682</v>
      </c>
      <c r="F168" s="91">
        <v>118003</v>
      </c>
      <c r="G168" t="str">
        <f>_xlfn.XLOOKUP($A168,Map!$A:$A,Map!C:C)</f>
        <v>IS</v>
      </c>
      <c r="H168" t="str">
        <f>_xlfn.XLOOKUP($A168,Map!$A:$A,Map!D:D)</f>
        <v>General and Admin</v>
      </c>
      <c r="I168" t="str">
        <f>_xlfn.XLOOKUP($A168,Map!$A:$A,Map!E:E)</f>
        <v>Utilities</v>
      </c>
      <c r="J168" t="str">
        <f>_xlfn.XLOOKUP($A168,Map!$A:$A,Map!F:F)</f>
        <v>Other general and administrative expenses</v>
      </c>
    </row>
    <row r="169" spans="1:10" hidden="1" x14ac:dyDescent="0.25">
      <c r="A169" s="90">
        <v>700014</v>
      </c>
      <c r="B169" s="90" t="s">
        <v>184</v>
      </c>
      <c r="C169" s="91">
        <v>0</v>
      </c>
      <c r="D169" s="91">
        <v>1500</v>
      </c>
      <c r="E169" s="91">
        <v>0</v>
      </c>
      <c r="F169" s="91">
        <v>1500</v>
      </c>
      <c r="G169" t="str">
        <f>_xlfn.XLOOKUP($A169,Map!$A:$A,Map!C:C)</f>
        <v>IS</v>
      </c>
      <c r="H169" t="str">
        <f>_xlfn.XLOOKUP($A169,Map!$A:$A,Map!D:D)</f>
        <v>General and Admin</v>
      </c>
      <c r="I169" t="str">
        <f>_xlfn.XLOOKUP($A169,Map!$A:$A,Map!E:E)</f>
        <v>Salaries and wages</v>
      </c>
      <c r="J169" t="str">
        <f>_xlfn.XLOOKUP($A169,Map!$A:$A,Map!F:F)</f>
        <v xml:space="preserve">Education &amp; Furniture Allowances </v>
      </c>
    </row>
    <row r="170" spans="1:10" hidden="1" x14ac:dyDescent="0.25">
      <c r="A170" s="90">
        <v>700015</v>
      </c>
      <c r="B170" s="90" t="s">
        <v>185</v>
      </c>
      <c r="C170" s="91">
        <v>0</v>
      </c>
      <c r="D170" s="91">
        <v>25949.319</v>
      </c>
      <c r="E170" s="91">
        <v>158.023</v>
      </c>
      <c r="F170" s="91">
        <v>25791.295999999998</v>
      </c>
      <c r="G170" t="str">
        <f>_xlfn.XLOOKUP($A170,Map!$A:$A,Map!C:C)</f>
        <v>IS</v>
      </c>
      <c r="H170" t="str">
        <f>_xlfn.XLOOKUP($A170,Map!$A:$A,Map!D:D)</f>
        <v>General and Admin</v>
      </c>
      <c r="I170" t="str">
        <f>_xlfn.XLOOKUP($A170,Map!$A:$A,Map!E:E)</f>
        <v>Business travel</v>
      </c>
      <c r="J170" t="str">
        <f>_xlfn.XLOOKUP($A170,Map!$A:$A,Map!F:F)</f>
        <v>Transportation expenses</v>
      </c>
    </row>
    <row r="171" spans="1:10" hidden="1" x14ac:dyDescent="0.25">
      <c r="A171" s="90">
        <v>700016</v>
      </c>
      <c r="B171" s="90" t="s">
        <v>186</v>
      </c>
      <c r="C171" s="91">
        <v>0</v>
      </c>
      <c r="D171" s="91">
        <v>17382.990000000002</v>
      </c>
      <c r="E171" s="91">
        <v>972</v>
      </c>
      <c r="F171" s="91">
        <v>16410.990000000002</v>
      </c>
      <c r="G171" t="str">
        <f>_xlfn.XLOOKUP($A171,Map!$A:$A,Map!C:C)</f>
        <v>IS</v>
      </c>
      <c r="H171" t="str">
        <f>_xlfn.XLOOKUP($A171,Map!$A:$A,Map!D:D)</f>
        <v>Selling and Marketing</v>
      </c>
      <c r="I171" t="str">
        <f>_xlfn.XLOOKUP($A171,Map!$A:$A,Map!E:E)</f>
        <v>Buffet expenses</v>
      </c>
      <c r="J171" t="str">
        <f>_xlfn.XLOOKUP($A171,Map!$A:$A,Map!F:F)</f>
        <v>Food expenses</v>
      </c>
    </row>
    <row r="172" spans="1:10" hidden="1" x14ac:dyDescent="0.25">
      <c r="A172" s="90">
        <v>700017</v>
      </c>
      <c r="B172" s="90" t="s">
        <v>187</v>
      </c>
      <c r="C172" s="91">
        <v>0</v>
      </c>
      <c r="D172" s="91">
        <v>360</v>
      </c>
      <c r="E172" s="91">
        <v>0</v>
      </c>
      <c r="F172" s="91">
        <v>360</v>
      </c>
      <c r="G172" t="str">
        <f>_xlfn.XLOOKUP($A172,Map!$A:$A,Map!C:C)</f>
        <v>IS</v>
      </c>
      <c r="H172" t="str">
        <f>_xlfn.XLOOKUP($A172,Map!$A:$A,Map!D:D)</f>
        <v>General and Admin</v>
      </c>
      <c r="I172" t="str">
        <f>_xlfn.XLOOKUP($A172,Map!$A:$A,Map!E:E)</f>
        <v>Salaries and wages</v>
      </c>
      <c r="J172" t="str">
        <f>_xlfn.XLOOKUP($A172,Map!$A:$A,Map!F:F)</f>
        <v>Accommodation expenses</v>
      </c>
    </row>
    <row r="173" spans="1:10" hidden="1" x14ac:dyDescent="0.25">
      <c r="A173" s="90">
        <v>700018</v>
      </c>
      <c r="B173" s="90" t="s">
        <v>188</v>
      </c>
      <c r="C173" s="91">
        <v>0</v>
      </c>
      <c r="D173" s="91">
        <v>54163.919000000002</v>
      </c>
      <c r="E173" s="91">
        <v>80.739999999999995</v>
      </c>
      <c r="F173" s="91">
        <v>54083.178999999996</v>
      </c>
      <c r="G173" t="str">
        <f>_xlfn.XLOOKUP($A173,Map!$A:$A,Map!C:C)</f>
        <v>IS</v>
      </c>
      <c r="H173" t="str">
        <f>_xlfn.XLOOKUP($A173,Map!$A:$A,Map!D:D)</f>
        <v>General and Admin</v>
      </c>
      <c r="I173" t="str">
        <f>_xlfn.XLOOKUP($A173,Map!$A:$A,Map!E:E)</f>
        <v>Salaries and wages</v>
      </c>
      <c r="J173" t="str">
        <f>_xlfn.XLOOKUP($A173,Map!$A:$A,Map!F:F)</f>
        <v xml:space="preserve">Employee Medical Emergency Expenses </v>
      </c>
    </row>
    <row r="174" spans="1:10" hidden="1" x14ac:dyDescent="0.25">
      <c r="A174" s="90">
        <v>700019</v>
      </c>
      <c r="B174" s="90" t="s">
        <v>189</v>
      </c>
      <c r="C174" s="91">
        <v>0</v>
      </c>
      <c r="D174" s="91">
        <v>330954</v>
      </c>
      <c r="E174" s="91">
        <v>165477</v>
      </c>
      <c r="F174" s="91">
        <v>165477</v>
      </c>
      <c r="G174" t="str">
        <f>_xlfn.XLOOKUP($A174,Map!$A:$A,Map!C:C)</f>
        <v>IS</v>
      </c>
      <c r="H174" t="str">
        <f>_xlfn.XLOOKUP($A174,Map!$A:$A,Map!D:D)</f>
        <v>General and Admin</v>
      </c>
      <c r="I174" t="str">
        <f>_xlfn.XLOOKUP($A174,Map!$A:$A,Map!E:E)</f>
        <v>Salaries and wages</v>
      </c>
      <c r="J174" t="str">
        <f>_xlfn.XLOOKUP($A174,Map!$A:$A,Map!F:F)</f>
        <v xml:space="preserve">Incentives </v>
      </c>
    </row>
    <row r="175" spans="1:10" hidden="1" x14ac:dyDescent="0.25">
      <c r="A175" s="90">
        <v>700020</v>
      </c>
      <c r="B175" s="90" t="s">
        <v>190</v>
      </c>
      <c r="C175" s="91">
        <v>0</v>
      </c>
      <c r="D175" s="91">
        <v>69160.663</v>
      </c>
      <c r="E175" s="91">
        <v>90</v>
      </c>
      <c r="F175" s="91">
        <v>69070.663</v>
      </c>
      <c r="G175" t="str">
        <f>_xlfn.XLOOKUP($A175,Map!$A:$A,Map!C:C)</f>
        <v>IS</v>
      </c>
      <c r="H175" t="str">
        <f>_xlfn.XLOOKUP($A175,Map!$A:$A,Map!D:D)</f>
        <v>General and Admin</v>
      </c>
      <c r="I175" t="str">
        <f>_xlfn.XLOOKUP($A175,Map!$A:$A,Map!E:E)</f>
        <v>Utilities</v>
      </c>
      <c r="J175" t="str">
        <f>_xlfn.XLOOKUP($A175,Map!$A:$A,Map!F:F)</f>
        <v>Electricity expenses</v>
      </c>
    </row>
    <row r="176" spans="1:10" hidden="1" x14ac:dyDescent="0.25">
      <c r="A176" s="90">
        <v>700021</v>
      </c>
      <c r="B176" s="90" t="s">
        <v>191</v>
      </c>
      <c r="C176" s="91">
        <v>0</v>
      </c>
      <c r="D176" s="91">
        <v>18692.84</v>
      </c>
      <c r="E176" s="91">
        <v>0</v>
      </c>
      <c r="F176" s="91">
        <v>18692.84</v>
      </c>
      <c r="G176" t="str">
        <f>_xlfn.XLOOKUP($A176,Map!$A:$A,Map!C:C)</f>
        <v>IS</v>
      </c>
      <c r="H176" t="str">
        <f>_xlfn.XLOOKUP($A176,Map!$A:$A,Map!D:D)</f>
        <v>General and Admin</v>
      </c>
      <c r="I176" t="str">
        <f>_xlfn.XLOOKUP($A176,Map!$A:$A,Map!E:E)</f>
        <v>Utilities</v>
      </c>
      <c r="J176" t="str">
        <f>_xlfn.XLOOKUP($A176,Map!$A:$A,Map!F:F)</f>
        <v>Other general and administrative expenses</v>
      </c>
    </row>
    <row r="177" spans="1:10" hidden="1" x14ac:dyDescent="0.25">
      <c r="A177" s="90">
        <v>700022</v>
      </c>
      <c r="B177" s="90" t="s">
        <v>192</v>
      </c>
      <c r="C177" s="91">
        <v>0</v>
      </c>
      <c r="D177" s="91">
        <v>61809.180999999997</v>
      </c>
      <c r="E177" s="91">
        <v>0</v>
      </c>
      <c r="F177" s="91">
        <v>61809.180999999997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Utilities</v>
      </c>
      <c r="J177" t="str">
        <f>_xlfn.XLOOKUP($A177,Map!$A:$A,Map!F:F)</f>
        <v>Other general and administrative expenses</v>
      </c>
    </row>
    <row r="178" spans="1:10" hidden="1" x14ac:dyDescent="0.25">
      <c r="A178" s="90">
        <v>700023</v>
      </c>
      <c r="B178" s="90" t="s">
        <v>193</v>
      </c>
      <c r="C178" s="91">
        <v>0</v>
      </c>
      <c r="D178" s="91">
        <v>32060.77</v>
      </c>
      <c r="E178" s="91">
        <v>0</v>
      </c>
      <c r="F178" s="91">
        <v>32060.77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>Utilities</v>
      </c>
      <c r="J178" t="str">
        <f>_xlfn.XLOOKUP($A178,Map!$A:$A,Map!F:F)</f>
        <v xml:space="preserve">Postage &amp; Printing </v>
      </c>
    </row>
    <row r="179" spans="1:10" hidden="1" x14ac:dyDescent="0.25">
      <c r="A179" s="90">
        <v>700024</v>
      </c>
      <c r="B179" s="90" t="s">
        <v>194</v>
      </c>
      <c r="C179" s="91">
        <v>0</v>
      </c>
      <c r="D179" s="91">
        <v>200870.842</v>
      </c>
      <c r="E179" s="91">
        <v>6894.53</v>
      </c>
      <c r="F179" s="91">
        <v>193976.31200000001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IT expenses</v>
      </c>
      <c r="J179" t="str">
        <f>_xlfn.XLOOKUP($A179,Map!$A:$A,Map!F:F)</f>
        <v>Other general and administrative expenses</v>
      </c>
    </row>
    <row r="180" spans="1:10" hidden="1" x14ac:dyDescent="0.25">
      <c r="A180" s="90">
        <v>700025</v>
      </c>
      <c r="B180" s="90" t="s">
        <v>195</v>
      </c>
      <c r="C180" s="91">
        <v>0</v>
      </c>
      <c r="D180" s="91">
        <v>121909</v>
      </c>
      <c r="E180" s="91">
        <v>0</v>
      </c>
      <c r="F180" s="91">
        <v>121909</v>
      </c>
      <c r="G180" t="str">
        <f>_xlfn.XLOOKUP($A180,Map!$A:$A,Map!C:C)</f>
        <v>IS</v>
      </c>
      <c r="H180" t="str">
        <f>_xlfn.XLOOKUP($A180,Map!$A:$A,Map!D:D)</f>
        <v>General and Admin</v>
      </c>
      <c r="I180" t="str">
        <f>_xlfn.XLOOKUP($A180,Map!$A:$A,Map!E:E)</f>
        <v>Salaries and wages</v>
      </c>
      <c r="J180" t="str">
        <f>_xlfn.XLOOKUP($A180,Map!$A:$A,Map!F:F)</f>
        <v>Salaries and wages</v>
      </c>
    </row>
    <row r="181" spans="1:10" hidden="1" x14ac:dyDescent="0.25">
      <c r="A181" s="90">
        <v>700026</v>
      </c>
      <c r="B181" s="90" t="s">
        <v>196</v>
      </c>
      <c r="C181" s="91">
        <v>0</v>
      </c>
      <c r="D181" s="91">
        <v>2427</v>
      </c>
      <c r="E181" s="91">
        <v>1470</v>
      </c>
      <c r="F181" s="91">
        <v>957</v>
      </c>
      <c r="G181" t="str">
        <f>_xlfn.XLOOKUP($A181,Map!$A:$A,Map!C:C)</f>
        <v>IS</v>
      </c>
      <c r="H181" t="str">
        <f>_xlfn.XLOOKUP($A181,Map!$A:$A,Map!D:D)</f>
        <v>General and Admin</v>
      </c>
      <c r="I181" t="str">
        <f>_xlfn.XLOOKUP($A181,Map!$A:$A,Map!E:E)</f>
        <v>Utilities</v>
      </c>
      <c r="J181" t="str">
        <f>_xlfn.XLOOKUP($A181,Map!$A:$A,Map!F:F)</f>
        <v>Magazines &amp; News Papers Exp.</v>
      </c>
    </row>
    <row r="182" spans="1:10" hidden="1" x14ac:dyDescent="0.25">
      <c r="A182" s="90">
        <v>700027</v>
      </c>
      <c r="B182" s="90" t="s">
        <v>197</v>
      </c>
      <c r="C182" s="91">
        <v>0</v>
      </c>
      <c r="D182" s="91">
        <v>0</v>
      </c>
      <c r="E182" s="91">
        <v>0</v>
      </c>
      <c r="F182" s="91">
        <v>0</v>
      </c>
      <c r="G182" t="str">
        <f>_xlfn.XLOOKUP($A182,Map!$A:$A,Map!C:C)</f>
        <v>IS</v>
      </c>
      <c r="H182" t="str">
        <f>_xlfn.XLOOKUP($A182,Map!$A:$A,Map!D:D)</f>
        <v>General and Admin</v>
      </c>
      <c r="I182" t="str">
        <f>_xlfn.XLOOKUP($A182,Map!$A:$A,Map!E:E)</f>
        <v>Training</v>
      </c>
      <c r="J182" t="str">
        <f>_xlfn.XLOOKUP($A182,Map!$A:$A,Map!F:F)</f>
        <v>Training</v>
      </c>
    </row>
    <row r="183" spans="1:10" hidden="1" x14ac:dyDescent="0.25">
      <c r="A183" s="90">
        <v>700028</v>
      </c>
      <c r="B183" s="90" t="s">
        <v>198</v>
      </c>
      <c r="C183" s="91">
        <v>0</v>
      </c>
      <c r="D183" s="91">
        <v>20235.133000000002</v>
      </c>
      <c r="E183" s="91">
        <v>0</v>
      </c>
      <c r="F183" s="91">
        <v>20235.133000000002</v>
      </c>
      <c r="G183" t="str">
        <f>_xlfn.XLOOKUP($A183,Map!$A:$A,Map!C:C)</f>
        <v>IS</v>
      </c>
      <c r="H183" t="str">
        <f>_xlfn.XLOOKUP($A183,Map!$A:$A,Map!D:D)</f>
        <v>General and Admin</v>
      </c>
      <c r="I183" t="str">
        <f>_xlfn.XLOOKUP($A183,Map!$A:$A,Map!E:E)</f>
        <v xml:space="preserve">Back office Support </v>
      </c>
      <c r="J183" t="str">
        <f>_xlfn.XLOOKUP($A183,Map!$A:$A,Map!F:F)</f>
        <v>Stationery expenses</v>
      </c>
    </row>
    <row r="184" spans="1:10" hidden="1" x14ac:dyDescent="0.25">
      <c r="A184" s="90">
        <v>700029</v>
      </c>
      <c r="B184" s="90" t="s">
        <v>199</v>
      </c>
      <c r="C184" s="91">
        <v>0</v>
      </c>
      <c r="D184" s="91">
        <v>6438</v>
      </c>
      <c r="E184" s="91">
        <v>0</v>
      </c>
      <c r="F184" s="91">
        <v>6438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Utilities</v>
      </c>
      <c r="J184" t="str">
        <f>_xlfn.XLOOKUP($A184,Map!$A:$A,Map!F:F)</f>
        <v xml:space="preserve">Postage &amp; Printing </v>
      </c>
    </row>
    <row r="185" spans="1:10" hidden="1" x14ac:dyDescent="0.25">
      <c r="A185" s="90">
        <v>700030</v>
      </c>
      <c r="B185" s="90" t="s">
        <v>200</v>
      </c>
      <c r="C185" s="91">
        <v>0</v>
      </c>
      <c r="D185" s="91">
        <v>63031.26</v>
      </c>
      <c r="E185" s="91">
        <v>0</v>
      </c>
      <c r="F185" s="91">
        <v>63031.26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Utilities</v>
      </c>
      <c r="J185" t="str">
        <f>_xlfn.XLOOKUP($A185,Map!$A:$A,Map!F:F)</f>
        <v>Building maintenance</v>
      </c>
    </row>
    <row r="186" spans="1:10" hidden="1" x14ac:dyDescent="0.25">
      <c r="A186" s="90">
        <v>700031</v>
      </c>
      <c r="B186" s="90" t="s">
        <v>201</v>
      </c>
      <c r="C186" s="91">
        <v>0</v>
      </c>
      <c r="D186" s="91">
        <v>49078.25</v>
      </c>
      <c r="E186" s="91">
        <v>0</v>
      </c>
      <c r="F186" s="91">
        <v>49078.25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Utilities</v>
      </c>
      <c r="J186" t="str">
        <f>_xlfn.XLOOKUP($A186,Map!$A:$A,Map!F:F)</f>
        <v>Office equipment maintenance</v>
      </c>
    </row>
    <row r="187" spans="1:10" hidden="1" x14ac:dyDescent="0.25">
      <c r="A187" s="90">
        <v>700032</v>
      </c>
      <c r="B187" s="90" t="s">
        <v>202</v>
      </c>
      <c r="C187" s="91">
        <v>0</v>
      </c>
      <c r="D187" s="91">
        <v>150743.85200000001</v>
      </c>
      <c r="E187" s="91">
        <v>0</v>
      </c>
      <c r="F187" s="91">
        <v>150743.85200000001</v>
      </c>
      <c r="G187" t="str">
        <f>_xlfn.XLOOKUP($A187,Map!$A:$A,Map!C:C)</f>
        <v>IS</v>
      </c>
      <c r="H187" t="str">
        <f>_xlfn.XLOOKUP($A187,Map!$A:$A,Map!D:D)</f>
        <v>General and Admin</v>
      </c>
      <c r="I187" t="str">
        <f>_xlfn.XLOOKUP($A187,Map!$A:$A,Map!E:E)</f>
        <v>Utilities</v>
      </c>
      <c r="J187" t="str">
        <f>_xlfn.XLOOKUP($A187,Map!$A:$A,Map!F:F)</f>
        <v>Vehicle maintenance</v>
      </c>
    </row>
    <row r="188" spans="1:10" hidden="1" x14ac:dyDescent="0.25">
      <c r="A188" s="90">
        <v>700033</v>
      </c>
      <c r="B188" s="90" t="s">
        <v>203</v>
      </c>
      <c r="C188" s="91">
        <v>0</v>
      </c>
      <c r="D188" s="91">
        <v>21186.455999999998</v>
      </c>
      <c r="E188" s="91">
        <v>572.36199999999997</v>
      </c>
      <c r="F188" s="91">
        <v>20614.094000000001</v>
      </c>
      <c r="G188" t="str">
        <f>_xlfn.XLOOKUP($A188,Map!$A:$A,Map!C:C)</f>
        <v>IS</v>
      </c>
      <c r="H188" t="str">
        <f>_xlfn.XLOOKUP($A188,Map!$A:$A,Map!D:D)</f>
        <v>General and Admin</v>
      </c>
      <c r="I188" t="str">
        <f>_xlfn.XLOOKUP($A188,Map!$A:$A,Map!E:E)</f>
        <v>Utilities</v>
      </c>
      <c r="J188" t="str">
        <f>_xlfn.XLOOKUP($A188,Map!$A:$A,Map!F:F)</f>
        <v>Fuel and oil</v>
      </c>
    </row>
    <row r="189" spans="1:10" hidden="1" x14ac:dyDescent="0.25">
      <c r="A189" s="90">
        <v>700034</v>
      </c>
      <c r="B189" s="90" t="s">
        <v>204</v>
      </c>
      <c r="C189" s="91">
        <v>0</v>
      </c>
      <c r="D189" s="91">
        <v>83299.392000000007</v>
      </c>
      <c r="E189" s="91">
        <v>3093.53</v>
      </c>
      <c r="F189" s="91">
        <v>80205.861999999994</v>
      </c>
      <c r="G189" t="str">
        <f>_xlfn.XLOOKUP($A189,Map!$A:$A,Map!C:C)</f>
        <v>IS</v>
      </c>
      <c r="H189" t="str">
        <f>_xlfn.XLOOKUP($A189,Map!$A:$A,Map!D:D)</f>
        <v>General and Admin</v>
      </c>
      <c r="I189" t="str">
        <f>_xlfn.XLOOKUP($A189,Map!$A:$A,Map!E:E)</f>
        <v xml:space="preserve">Back office Support </v>
      </c>
      <c r="J189" t="str">
        <f>_xlfn.XLOOKUP($A189,Map!$A:$A,Map!F:F)</f>
        <v>Consumables</v>
      </c>
    </row>
    <row r="190" spans="1:10" hidden="1" x14ac:dyDescent="0.25">
      <c r="A190" s="90">
        <v>700036</v>
      </c>
      <c r="B190" s="90" t="s">
        <v>206</v>
      </c>
      <c r="C190" s="91">
        <v>0</v>
      </c>
      <c r="D190" s="91">
        <v>27881</v>
      </c>
      <c r="E190" s="91">
        <v>12900</v>
      </c>
      <c r="F190" s="91">
        <v>14981</v>
      </c>
      <c r="G190" t="str">
        <f>_xlfn.XLOOKUP($A190,Map!$A:$A,Map!C:C)</f>
        <v>IS</v>
      </c>
      <c r="H190" t="str">
        <f>_xlfn.XLOOKUP($A190,Map!$A:$A,Map!D:D)</f>
        <v>General and Admin</v>
      </c>
      <c r="I190" t="str">
        <f>_xlfn.XLOOKUP($A190,Map!$A:$A,Map!E:E)</f>
        <v>Utilities</v>
      </c>
      <c r="J190" t="str">
        <f>_xlfn.XLOOKUP($A190,Map!$A:$A,Map!F:F)</f>
        <v>Vehicle insurance</v>
      </c>
    </row>
    <row r="191" spans="1:10" hidden="1" x14ac:dyDescent="0.25">
      <c r="A191" s="90">
        <v>700037</v>
      </c>
      <c r="B191" s="90" t="s">
        <v>207</v>
      </c>
      <c r="C191" s="91">
        <v>0</v>
      </c>
      <c r="D191" s="91">
        <v>17000</v>
      </c>
      <c r="E191" s="91">
        <v>17000</v>
      </c>
      <c r="F191" s="91">
        <v>0</v>
      </c>
      <c r="G191" t="str">
        <f>_xlfn.XLOOKUP($A191,Map!$A:$A,Map!C:C)</f>
        <v>IS</v>
      </c>
      <c r="H191" t="str">
        <f>_xlfn.XLOOKUP($A191,Map!$A:$A,Map!D:D)</f>
        <v>Finance cost</v>
      </c>
      <c r="I191" t="str">
        <f>_xlfn.XLOOKUP($A191,Map!$A:$A,Map!E:E)</f>
        <v>Finance cost</v>
      </c>
      <c r="J191" t="str">
        <f>_xlfn.XLOOKUP($A191,Map!$A:$A,Map!F:F)</f>
        <v>Lease interest</v>
      </c>
    </row>
    <row r="192" spans="1:10" hidden="1" x14ac:dyDescent="0.25">
      <c r="A192" s="90">
        <v>700038</v>
      </c>
      <c r="B192" s="90" t="s">
        <v>208</v>
      </c>
      <c r="C192" s="91">
        <v>0</v>
      </c>
      <c r="D192" s="91">
        <v>353652.74</v>
      </c>
      <c r="E192" s="91">
        <v>45394.81</v>
      </c>
      <c r="F192" s="91">
        <v>308257.93</v>
      </c>
      <c r="G192" t="str">
        <f>_xlfn.XLOOKUP($A192,Map!$A:$A,Map!C:C)</f>
        <v>IS</v>
      </c>
      <c r="H192" t="str">
        <f>_xlfn.XLOOKUP($A192,Map!$A:$A,Map!D:D)</f>
        <v>General and Admin</v>
      </c>
      <c r="I192" t="str">
        <f>_xlfn.XLOOKUP($A192,Map!$A:$A,Map!E:E)</f>
        <v>Business travel</v>
      </c>
      <c r="J192" t="str">
        <f>_xlfn.XLOOKUP($A192,Map!$A:$A,Map!F:F)</f>
        <v>Bussiness trip expenses</v>
      </c>
    </row>
    <row r="193" spans="1:10" hidden="1" x14ac:dyDescent="0.25">
      <c r="A193" s="90">
        <v>700039</v>
      </c>
      <c r="B193" s="90" t="s">
        <v>209</v>
      </c>
      <c r="C193" s="91">
        <v>0</v>
      </c>
      <c r="D193" s="91">
        <v>22134.133999999998</v>
      </c>
      <c r="E193" s="91">
        <v>0</v>
      </c>
      <c r="F193" s="91">
        <v>22134.133999999998</v>
      </c>
      <c r="G193" t="str">
        <f>_xlfn.XLOOKUP($A193,Map!$A:$A,Map!C:C)</f>
        <v>IS</v>
      </c>
      <c r="H193" t="str">
        <f>_xlfn.XLOOKUP($A193,Map!$A:$A,Map!D:D)</f>
        <v>Selling and Marketing</v>
      </c>
      <c r="I193" t="str">
        <f>_xlfn.XLOOKUP($A193,Map!$A:$A,Map!E:E)</f>
        <v>Buffet expenses</v>
      </c>
      <c r="J193" t="str">
        <f>_xlfn.XLOOKUP($A193,Map!$A:$A,Map!F:F)</f>
        <v>Buffet expenses</v>
      </c>
    </row>
    <row r="194" spans="1:10" hidden="1" x14ac:dyDescent="0.25">
      <c r="A194" s="90">
        <v>700040</v>
      </c>
      <c r="B194" s="90" t="s">
        <v>210</v>
      </c>
      <c r="C194" s="91">
        <v>0</v>
      </c>
      <c r="D194" s="91">
        <v>376009.14500000002</v>
      </c>
      <c r="E194" s="91">
        <v>1995</v>
      </c>
      <c r="F194" s="91">
        <v>374014.14500000002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Utilities</v>
      </c>
      <c r="J194" t="str">
        <f>_xlfn.XLOOKUP($A194,Map!$A:$A,Map!F:F)</f>
        <v xml:space="preserve">Cleaning Expenses </v>
      </c>
    </row>
    <row r="195" spans="1:10" hidden="1" x14ac:dyDescent="0.25">
      <c r="A195" s="90">
        <v>700041</v>
      </c>
      <c r="B195" s="90" t="s">
        <v>211</v>
      </c>
      <c r="C195" s="91">
        <v>0</v>
      </c>
      <c r="D195" s="91">
        <v>309866.55200000003</v>
      </c>
      <c r="E195" s="91">
        <v>75000</v>
      </c>
      <c r="F195" s="91">
        <v>234866.552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Salaries and wages</v>
      </c>
      <c r="J195" t="str">
        <f>_xlfn.XLOOKUP($A195,Map!$A:$A,Map!F:F)</f>
        <v>Recruitment</v>
      </c>
    </row>
    <row r="196" spans="1:10" hidden="1" x14ac:dyDescent="0.25">
      <c r="A196" s="90">
        <v>700042</v>
      </c>
      <c r="B196" s="90" t="s">
        <v>212</v>
      </c>
      <c r="C196" s="91">
        <v>0</v>
      </c>
      <c r="D196" s="91">
        <v>129500</v>
      </c>
      <c r="E196" s="91">
        <v>129500</v>
      </c>
      <c r="F196" s="91">
        <v>0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 xml:space="preserve">Back office Support </v>
      </c>
      <c r="J196" t="str">
        <f>_xlfn.XLOOKUP($A196,Map!$A:$A,Map!F:F)</f>
        <v>Other expenses</v>
      </c>
    </row>
    <row r="197" spans="1:10" hidden="1" x14ac:dyDescent="0.25">
      <c r="A197" s="90">
        <v>700043</v>
      </c>
      <c r="B197" s="90" t="s">
        <v>213</v>
      </c>
      <c r="C197" s="91">
        <v>0</v>
      </c>
      <c r="D197" s="91">
        <v>11186.05</v>
      </c>
      <c r="E197" s="91">
        <v>0</v>
      </c>
      <c r="F197" s="91">
        <v>11186.05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Govt license and fees (including modon)</v>
      </c>
      <c r="J197" t="str">
        <f>_xlfn.XLOOKUP($A197,Map!$A:$A,Map!F:F)</f>
        <v>Licenses and fees</v>
      </c>
    </row>
    <row r="198" spans="1:10" hidden="1" x14ac:dyDescent="0.25">
      <c r="A198" s="90">
        <v>700044</v>
      </c>
      <c r="B198" s="90" t="s">
        <v>214</v>
      </c>
      <c r="C198" s="91">
        <v>0</v>
      </c>
      <c r="D198" s="91">
        <v>54107.356</v>
      </c>
      <c r="E198" s="91">
        <v>7500</v>
      </c>
      <c r="F198" s="91">
        <v>46607.356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Govt license and fees (including modon)</v>
      </c>
      <c r="J198" t="str">
        <f>_xlfn.XLOOKUP($A198,Map!$A:$A,Map!F:F)</f>
        <v>Government fees</v>
      </c>
    </row>
    <row r="199" spans="1:10" hidden="1" x14ac:dyDescent="0.25">
      <c r="A199" s="90">
        <v>700045</v>
      </c>
      <c r="B199" s="90" t="s">
        <v>215</v>
      </c>
      <c r="C199" s="91">
        <v>0</v>
      </c>
      <c r="D199" s="91">
        <v>2467726.622</v>
      </c>
      <c r="E199" s="91">
        <v>128861.912</v>
      </c>
      <c r="F199" s="91">
        <v>2338864.71</v>
      </c>
      <c r="G199" t="str">
        <f>_xlfn.XLOOKUP($A199,Map!$A:$A,Map!C:C)</f>
        <v>IS</v>
      </c>
      <c r="H199" t="str">
        <f>_xlfn.XLOOKUP($A199,Map!$A:$A,Map!D:D)</f>
        <v>Finance cost</v>
      </c>
      <c r="I199" t="str">
        <f>_xlfn.XLOOKUP($A199,Map!$A:$A,Map!E:E)</f>
        <v>Finance cost</v>
      </c>
      <c r="J199" t="str">
        <f>_xlfn.XLOOKUP($A199,Map!$A:$A,Map!F:F)</f>
        <v>Bank charges</v>
      </c>
    </row>
    <row r="200" spans="1:10" hidden="1" x14ac:dyDescent="0.25">
      <c r="A200" s="90">
        <v>700048</v>
      </c>
      <c r="B200" s="90" t="s">
        <v>216</v>
      </c>
      <c r="C200" s="91">
        <v>0</v>
      </c>
      <c r="D200" s="91">
        <v>2012724.5</v>
      </c>
      <c r="E200" s="91">
        <v>862724.5</v>
      </c>
      <c r="F200" s="91">
        <v>1150000</v>
      </c>
      <c r="G200" t="str">
        <f>_xlfn.XLOOKUP($A200,Map!$A:$A,Map!C:C)</f>
        <v>IS</v>
      </c>
      <c r="H200" t="str">
        <f>_xlfn.XLOOKUP($A200,Map!$A:$A,Map!D:D)</f>
        <v>Zakat</v>
      </c>
      <c r="I200" t="str">
        <f>_xlfn.XLOOKUP($A200,Map!$A:$A,Map!E:E)</f>
        <v>Zakat expenses</v>
      </c>
      <c r="J200" t="str">
        <f>_xlfn.XLOOKUP($A200,Map!$A:$A,Map!F:F)</f>
        <v>Zakat expenses</v>
      </c>
    </row>
    <row r="201" spans="1:10" hidden="1" x14ac:dyDescent="0.25">
      <c r="A201" s="90">
        <v>700049</v>
      </c>
      <c r="B201" s="90" t="s">
        <v>217</v>
      </c>
      <c r="C201" s="91">
        <v>0</v>
      </c>
      <c r="D201" s="91">
        <v>12923</v>
      </c>
      <c r="E201" s="91">
        <v>12923</v>
      </c>
      <c r="F201" s="91">
        <v>0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Salaries and wages</v>
      </c>
      <c r="J201" t="str">
        <f>_xlfn.XLOOKUP($A201,Map!$A:$A,Map!F:F)</f>
        <v>Sadagat expense</v>
      </c>
    </row>
    <row r="202" spans="1:10" hidden="1" x14ac:dyDescent="0.25">
      <c r="A202" s="90">
        <v>700050</v>
      </c>
      <c r="B202" s="90" t="s">
        <v>218</v>
      </c>
      <c r="C202" s="91">
        <v>0</v>
      </c>
      <c r="D202" s="91">
        <v>309846.36</v>
      </c>
      <c r="E202" s="91">
        <v>309846.36</v>
      </c>
      <c r="F202" s="91">
        <v>0</v>
      </c>
      <c r="G202" t="str">
        <f>_xlfn.XLOOKUP($A202,Map!$A:$A,Map!C:C)</f>
        <v>IS</v>
      </c>
      <c r="H202" t="str">
        <f>_xlfn.XLOOKUP($A202,Map!$A:$A,Map!D:D)</f>
        <v>Depreciation expenses</v>
      </c>
      <c r="I202" t="str">
        <f>_xlfn.XLOOKUP($A202,Map!$A:$A,Map!E:E)</f>
        <v>Depreciation expenses</v>
      </c>
      <c r="J202" t="str">
        <f>_xlfn.XLOOKUP($A202,Map!$A:$A,Map!F:F)</f>
        <v>Depreciation of property, plant and equipment</v>
      </c>
    </row>
    <row r="203" spans="1:10" hidden="1" x14ac:dyDescent="0.25">
      <c r="A203" s="90">
        <v>700052</v>
      </c>
      <c r="B203" s="90" t="s">
        <v>219</v>
      </c>
      <c r="C203" s="91">
        <v>0</v>
      </c>
      <c r="D203" s="91">
        <v>0</v>
      </c>
      <c r="E203" s="91">
        <v>0</v>
      </c>
      <c r="F203" s="91">
        <v>0</v>
      </c>
      <c r="G203" t="str">
        <f>_xlfn.XLOOKUP($A203,Map!$A:$A,Map!C:C)</f>
        <v>IS</v>
      </c>
      <c r="H203" t="str">
        <f>_xlfn.XLOOKUP($A203,Map!$A:$A,Map!D:D)</f>
        <v>Depreciation expenses</v>
      </c>
      <c r="I203" t="str">
        <f>_xlfn.XLOOKUP($A203,Map!$A:$A,Map!E:E)</f>
        <v>Depreciation expenses</v>
      </c>
      <c r="J203" t="str">
        <f>_xlfn.XLOOKUP($A203,Map!$A:$A,Map!F:F)</f>
        <v>Depreciation of property, plant and equipment</v>
      </c>
    </row>
    <row r="204" spans="1:10" hidden="1" x14ac:dyDescent="0.25">
      <c r="A204" s="90">
        <v>700053</v>
      </c>
      <c r="B204" s="90" t="s">
        <v>220</v>
      </c>
      <c r="C204" s="91">
        <v>0</v>
      </c>
      <c r="D204" s="91">
        <v>0</v>
      </c>
      <c r="E204" s="91">
        <v>0</v>
      </c>
      <c r="F204" s="91">
        <v>0</v>
      </c>
      <c r="G204" t="str">
        <f>_xlfn.XLOOKUP($A204,Map!$A:$A,Map!C:C)</f>
        <v>IS</v>
      </c>
      <c r="H204" t="str">
        <f>_xlfn.XLOOKUP($A204,Map!$A:$A,Map!D:D)</f>
        <v>Depreciation expenses</v>
      </c>
      <c r="I204" t="str">
        <f>_xlfn.XLOOKUP($A204,Map!$A:$A,Map!E:E)</f>
        <v>Depreciation expenses</v>
      </c>
      <c r="J204" t="str">
        <f>_xlfn.XLOOKUP($A204,Map!$A:$A,Map!F:F)</f>
        <v>Depreciation of property, plant and equipment</v>
      </c>
    </row>
    <row r="205" spans="1:10" hidden="1" x14ac:dyDescent="0.25">
      <c r="A205" s="90">
        <v>700054</v>
      </c>
      <c r="B205" s="90" t="s">
        <v>221</v>
      </c>
      <c r="C205" s="91">
        <v>0</v>
      </c>
      <c r="D205" s="91">
        <v>222162.13200000001</v>
      </c>
      <c r="E205" s="91">
        <v>2041.66</v>
      </c>
      <c r="F205" s="91">
        <v>220120.47200000001</v>
      </c>
      <c r="G205" t="str">
        <f>_xlfn.XLOOKUP($A205,Map!$A:$A,Map!C:C)</f>
        <v>IS</v>
      </c>
      <c r="H205" t="str">
        <f>_xlfn.XLOOKUP($A205,Map!$A:$A,Map!D:D)</f>
        <v>Depreciation expenses</v>
      </c>
      <c r="I205" t="str">
        <f>_xlfn.XLOOKUP($A205,Map!$A:$A,Map!E:E)</f>
        <v>Depreciation expenses</v>
      </c>
      <c r="J205" t="str">
        <f>_xlfn.XLOOKUP($A205,Map!$A:$A,Map!F:F)</f>
        <v>Depreciation of property, plant and equipment</v>
      </c>
    </row>
    <row r="206" spans="1:10" hidden="1" x14ac:dyDescent="0.25">
      <c r="A206" s="90">
        <v>700055</v>
      </c>
      <c r="B206" s="90" t="s">
        <v>222</v>
      </c>
      <c r="C206" s="91">
        <v>0</v>
      </c>
      <c r="D206" s="91">
        <v>193120.68799999999</v>
      </c>
      <c r="E206" s="91">
        <v>0</v>
      </c>
      <c r="F206" s="91">
        <v>193120.68799999999</v>
      </c>
      <c r="G206" t="str">
        <f>_xlfn.XLOOKUP($A206,Map!$A:$A,Map!C:C)</f>
        <v>IS</v>
      </c>
      <c r="H206" t="str">
        <f>_xlfn.XLOOKUP($A206,Map!$A:$A,Map!D:D)</f>
        <v>Depreciation expenses</v>
      </c>
      <c r="I206" t="str">
        <f>_xlfn.XLOOKUP($A206,Map!$A:$A,Map!E:E)</f>
        <v>Depreciation expenses</v>
      </c>
      <c r="J206" t="str">
        <f>_xlfn.XLOOKUP($A206,Map!$A:$A,Map!F:F)</f>
        <v>Depreciation of property, plant and equipment</v>
      </c>
    </row>
    <row r="207" spans="1:10" hidden="1" x14ac:dyDescent="0.25">
      <c r="A207" s="90">
        <v>700056</v>
      </c>
      <c r="B207" s="90" t="s">
        <v>223</v>
      </c>
      <c r="C207" s="91">
        <v>0</v>
      </c>
      <c r="D207" s="91">
        <v>0</v>
      </c>
      <c r="E207" s="91">
        <v>0</v>
      </c>
      <c r="F207" s="91">
        <v>0</v>
      </c>
      <c r="G207" t="str">
        <f>_xlfn.XLOOKUP($A207,Map!$A:$A,Map!C:C)</f>
        <v>IS</v>
      </c>
      <c r="H207" t="str">
        <f>_xlfn.XLOOKUP($A207,Map!$A:$A,Map!D:D)</f>
        <v>Depreciation expenses</v>
      </c>
      <c r="I207" t="str">
        <f>_xlfn.XLOOKUP($A207,Map!$A:$A,Map!E:E)</f>
        <v>Depreciation expenses</v>
      </c>
      <c r="J207" t="str">
        <f>_xlfn.XLOOKUP($A207,Map!$A:$A,Map!F:F)</f>
        <v>Depreciation of property, plant and equipment</v>
      </c>
    </row>
    <row r="208" spans="1:10" hidden="1" x14ac:dyDescent="0.25">
      <c r="A208" s="90">
        <v>700057</v>
      </c>
      <c r="B208" s="90" t="s">
        <v>224</v>
      </c>
      <c r="C208" s="91">
        <v>0</v>
      </c>
      <c r="D208" s="91">
        <v>326194.40000000002</v>
      </c>
      <c r="E208" s="91">
        <v>194500</v>
      </c>
      <c r="F208" s="91">
        <v>131694.39999999999</v>
      </c>
      <c r="G208" t="str">
        <f>_xlfn.XLOOKUP($A208,Map!$A:$A,Map!C:C)</f>
        <v>IS</v>
      </c>
      <c r="H208" t="str">
        <f>_xlfn.XLOOKUP($A208,Map!$A:$A,Map!D:D)</f>
        <v>Cost of sales</v>
      </c>
      <c r="I208" t="str">
        <f>_xlfn.XLOOKUP($A208,Map!$A:$A,Map!E:E)</f>
        <v>Overhead - Rent</v>
      </c>
      <c r="J208" t="str">
        <f>_xlfn.XLOOKUP($A208,Map!$A:$A,Map!F:F)</f>
        <v>Warehouse Rent ( Khamis, Rioyadh, Dammam)</v>
      </c>
    </row>
    <row r="209" spans="1:10" hidden="1" x14ac:dyDescent="0.25">
      <c r="A209" s="90">
        <v>700058</v>
      </c>
      <c r="B209" s="90" t="s">
        <v>225</v>
      </c>
      <c r="C209" s="91">
        <v>0</v>
      </c>
      <c r="D209" s="91">
        <v>82674.032000000007</v>
      </c>
      <c r="E209" s="91">
        <v>0</v>
      </c>
      <c r="F209" s="91">
        <v>82674.032000000007</v>
      </c>
      <c r="G209" t="str">
        <f>_xlfn.XLOOKUP($A209,Map!$A:$A,Map!C:C)</f>
        <v>IS</v>
      </c>
      <c r="H209" t="str">
        <f>_xlfn.XLOOKUP($A209,Map!$A:$A,Map!D:D)</f>
        <v>Selling and Marketing</v>
      </c>
      <c r="I209" t="str">
        <f>_xlfn.XLOOKUP($A209,Map!$A:$A,Map!E:E)</f>
        <v>Advertising and promotion expenses</v>
      </c>
      <c r="J209" t="str">
        <f>_xlfn.XLOOKUP($A209,Map!$A:$A,Map!F:F)</f>
        <v>Advertising and promotion expenses</v>
      </c>
    </row>
    <row r="210" spans="1:10" hidden="1" x14ac:dyDescent="0.25">
      <c r="A210" s="90">
        <v>700059</v>
      </c>
      <c r="B210" s="90" t="s">
        <v>226</v>
      </c>
      <c r="C210" s="91">
        <v>0</v>
      </c>
      <c r="D210" s="91">
        <v>17000</v>
      </c>
      <c r="E210" s="91">
        <v>17000</v>
      </c>
      <c r="F210" s="91">
        <v>0</v>
      </c>
      <c r="G210" t="str">
        <f>_xlfn.XLOOKUP($A210,Map!$A:$A,Map!C:C)</f>
        <v>IS</v>
      </c>
      <c r="H210" t="str">
        <f>_xlfn.XLOOKUP($A210,Map!$A:$A,Map!D:D)</f>
        <v>Selling and Marketing</v>
      </c>
      <c r="I210" t="str">
        <f>_xlfn.XLOOKUP($A210,Map!$A:$A,Map!E:E)</f>
        <v>Exhibitions</v>
      </c>
      <c r="J210" t="str">
        <f>_xlfn.XLOOKUP($A210,Map!$A:$A,Map!F:F)</f>
        <v>Exhibitions</v>
      </c>
    </row>
    <row r="211" spans="1:10" hidden="1" x14ac:dyDescent="0.25">
      <c r="A211" s="90">
        <v>700060</v>
      </c>
      <c r="B211" s="90" t="s">
        <v>227</v>
      </c>
      <c r="C211" s="91">
        <v>0</v>
      </c>
      <c r="D211" s="91">
        <v>3660498.92</v>
      </c>
      <c r="E211" s="91">
        <v>404083.38299999997</v>
      </c>
      <c r="F211" s="91">
        <v>3256415.537</v>
      </c>
      <c r="G211" t="str">
        <f>_xlfn.XLOOKUP($A211,Map!$A:$A,Map!C:C)</f>
        <v>IS</v>
      </c>
      <c r="H211" t="str">
        <f>_xlfn.XLOOKUP($A211,Map!$A:$A,Map!D:D)</f>
        <v>Cost of sales</v>
      </c>
      <c r="I211" t="str">
        <f>_xlfn.XLOOKUP($A211,Map!$A:$A,Map!E:E)</f>
        <v>Freight expenses</v>
      </c>
      <c r="J211" t="str">
        <f>_xlfn.XLOOKUP($A211,Map!$A:$A,Map!F:F)</f>
        <v>Freight expenses</v>
      </c>
    </row>
    <row r="212" spans="1:10" hidden="1" x14ac:dyDescent="0.25">
      <c r="A212" s="90">
        <v>700061</v>
      </c>
      <c r="B212" s="90" t="s">
        <v>228</v>
      </c>
      <c r="C212" s="91">
        <v>0</v>
      </c>
      <c r="D212" s="91">
        <v>184849.25</v>
      </c>
      <c r="E212" s="91">
        <v>0</v>
      </c>
      <c r="F212" s="91">
        <v>184849.25</v>
      </c>
      <c r="G212" t="str">
        <f>_xlfn.XLOOKUP($A212,Map!$A:$A,Map!C:C)</f>
        <v>IS</v>
      </c>
      <c r="H212" t="str">
        <f>_xlfn.XLOOKUP($A212,Map!$A:$A,Map!D:D)</f>
        <v>Selling and Marketing</v>
      </c>
      <c r="I212" t="str">
        <f>_xlfn.XLOOKUP($A212,Map!$A:$A,Map!E:E)</f>
        <v>Commission expenses</v>
      </c>
      <c r="J212" t="str">
        <f>_xlfn.XLOOKUP($A212,Map!$A:$A,Map!F:F)</f>
        <v>Commission expenses</v>
      </c>
    </row>
    <row r="213" spans="1:10" hidden="1" x14ac:dyDescent="0.25">
      <c r="A213" s="90">
        <v>700062</v>
      </c>
      <c r="B213" s="90" t="s">
        <v>229</v>
      </c>
      <c r="C213" s="91">
        <v>0</v>
      </c>
      <c r="D213" s="91">
        <v>165000</v>
      </c>
      <c r="E213" s="91">
        <v>165000</v>
      </c>
      <c r="F213" s="91">
        <v>0</v>
      </c>
      <c r="G213" t="str">
        <f>_xlfn.XLOOKUP($A213,Map!$A:$A,Map!C:C)</f>
        <v>IS</v>
      </c>
      <c r="H213" t="str">
        <f>_xlfn.XLOOKUP($A213,Map!$A:$A,Map!D:D)</f>
        <v>Revised provision on Bad Debts</v>
      </c>
      <c r="I213" t="str">
        <f>_xlfn.XLOOKUP($A213,Map!$A:$A,Map!E:E)</f>
        <v>Bad debts expense</v>
      </c>
      <c r="J213" t="str">
        <f>_xlfn.XLOOKUP($A213,Map!$A:$A,Map!F:F)</f>
        <v>Bad debts expense</v>
      </c>
    </row>
    <row r="214" spans="1:10" hidden="1" x14ac:dyDescent="0.25">
      <c r="A214" s="90">
        <v>700063</v>
      </c>
      <c r="B214" s="90" t="s">
        <v>230</v>
      </c>
      <c r="C214" s="91">
        <v>0</v>
      </c>
      <c r="D214" s="91">
        <v>682538.5</v>
      </c>
      <c r="E214" s="91">
        <v>10942.9</v>
      </c>
      <c r="F214" s="91">
        <v>671595.6</v>
      </c>
      <c r="G214" t="str">
        <f>_xlfn.XLOOKUP($A214,Map!$A:$A,Map!C:C)</f>
        <v>IS</v>
      </c>
      <c r="H214" t="str">
        <f>_xlfn.XLOOKUP($A214,Map!$A:$A,Map!D:D)</f>
        <v>General and Admin</v>
      </c>
      <c r="I214" t="str">
        <f>_xlfn.XLOOKUP($A214,Map!$A:$A,Map!E:E)</f>
        <v>Salaries and wages</v>
      </c>
      <c r="J214" t="str">
        <f>_xlfn.XLOOKUP($A214,Map!$A:$A,Map!F:F)</f>
        <v>GOSI</v>
      </c>
    </row>
    <row r="215" spans="1:10" hidden="1" x14ac:dyDescent="0.25">
      <c r="A215" s="90">
        <v>700064</v>
      </c>
      <c r="B215" s="90" t="s">
        <v>231</v>
      </c>
      <c r="C215" s="91">
        <v>0</v>
      </c>
      <c r="D215" s="91">
        <v>0</v>
      </c>
      <c r="E215" s="91">
        <v>0</v>
      </c>
      <c r="F215" s="91">
        <v>0</v>
      </c>
      <c r="G215" t="str">
        <f>_xlfn.XLOOKUP($A215,Map!$A:$A,Map!C:C)</f>
        <v>IS</v>
      </c>
      <c r="H215" t="str">
        <f>_xlfn.XLOOKUP($A215,Map!$A:$A,Map!D:D)</f>
        <v>Pre-operating expenses</v>
      </c>
      <c r="I215" t="str">
        <f>_xlfn.XLOOKUP($A215,Map!$A:$A,Map!E:E)</f>
        <v>Pre-operating expenses</v>
      </c>
      <c r="J215" t="str">
        <f>_xlfn.XLOOKUP($A215,Map!$A:$A,Map!F:F)</f>
        <v>Amortization</v>
      </c>
    </row>
    <row r="216" spans="1:10" hidden="1" x14ac:dyDescent="0.25"/>
    <row r="217" spans="1:10" hidden="1" x14ac:dyDescent="0.25">
      <c r="C217" s="93">
        <f>SUBTOTAL(9,C5:C216)</f>
        <v>5764283.0219999999</v>
      </c>
      <c r="D217" s="93">
        <f>SUBTOTAL(9,D5:D216)</f>
        <v>322332534.051</v>
      </c>
      <c r="E217" s="93">
        <f>SUBTOTAL(9,E5:E216)</f>
        <v>326835762.77000004</v>
      </c>
      <c r="F217" s="93">
        <f>SUBTOTAL(9,F5:F216)</f>
        <v>1261054.3030000001</v>
      </c>
    </row>
    <row r="218" spans="1:10" hidden="1" x14ac:dyDescent="0.25">
      <c r="C218" s="93"/>
      <c r="D218" s="93"/>
      <c r="E218" s="93"/>
      <c r="F218" s="93"/>
    </row>
    <row r="219" spans="1:10" hidden="1" x14ac:dyDescent="0.25">
      <c r="A219" s="5" t="s">
        <v>531</v>
      </c>
    </row>
    <row r="220" spans="1:10" hidden="1" x14ac:dyDescent="0.25">
      <c r="A220" s="90">
        <v>600032</v>
      </c>
      <c r="D220" s="91">
        <v>464769.54</v>
      </c>
      <c r="E220" s="91">
        <v>0</v>
      </c>
      <c r="F220" s="91">
        <f>D220-E220</f>
        <v>464769.54</v>
      </c>
      <c r="G220" t="str">
        <f>_xlfn.XLOOKUP($A220,Map!$A:$A,Map!C:C)</f>
        <v>IS</v>
      </c>
      <c r="H220" t="str">
        <f>_xlfn.XLOOKUP($A220,Map!$A:$A,Map!D:D)</f>
        <v>Depreciation expenses</v>
      </c>
      <c r="I220" t="str">
        <f>_xlfn.XLOOKUP($A220,Map!$A:$A,Map!E:E)</f>
        <v>Depreciation expenses</v>
      </c>
      <c r="J220" t="str">
        <f>_xlfn.XLOOKUP($A220,Map!$A:$A,Map!F:F)</f>
        <v>Depreciation of property, plant and equipment</v>
      </c>
    </row>
    <row r="221" spans="1:10" hidden="1" x14ac:dyDescent="0.25">
      <c r="A221" s="90">
        <v>600031</v>
      </c>
      <c r="D221" s="91">
        <v>6188.76</v>
      </c>
      <c r="E221" s="91">
        <v>0</v>
      </c>
      <c r="F221" s="91">
        <f t="shared" ref="F221:F262" si="0">D221-E221</f>
        <v>6188.76</v>
      </c>
      <c r="G221" t="str">
        <f>_xlfn.XLOOKUP($A221,Map!$A:$A,Map!C:C)</f>
        <v>IS</v>
      </c>
      <c r="H221" t="str">
        <f>_xlfn.XLOOKUP($A221,Map!$A:$A,Map!D:D)</f>
        <v>Depreciation expenses</v>
      </c>
      <c r="I221" t="str">
        <f>_xlfn.XLOOKUP($A221,Map!$A:$A,Map!E:E)</f>
        <v>Depreciation expenses</v>
      </c>
      <c r="J221" t="str">
        <f>_xlfn.XLOOKUP($A221,Map!$A:$A,Map!F:F)</f>
        <v>Depreciation of property, plant and equipment</v>
      </c>
    </row>
    <row r="222" spans="1:10" hidden="1" x14ac:dyDescent="0.25">
      <c r="A222" s="90">
        <v>600030</v>
      </c>
      <c r="D222" s="91">
        <v>19540.267</v>
      </c>
      <c r="E222" s="91">
        <v>0</v>
      </c>
      <c r="F222" s="91">
        <f t="shared" si="0"/>
        <v>19540.267</v>
      </c>
      <c r="G222" t="str">
        <f>_xlfn.XLOOKUP($A222,Map!$A:$A,Map!C:C)</f>
        <v>IS</v>
      </c>
      <c r="H222" t="str">
        <f>_xlfn.XLOOKUP($A222,Map!$A:$A,Map!D:D)</f>
        <v>Depreciation expenses</v>
      </c>
      <c r="I222" t="str">
        <f>_xlfn.XLOOKUP($A222,Map!$A:$A,Map!E:E)</f>
        <v>Depreciation expenses</v>
      </c>
      <c r="J222" t="str">
        <f>_xlfn.XLOOKUP($A222,Map!$A:$A,Map!F:F)</f>
        <v>Depreciation of property, plant and equipment</v>
      </c>
    </row>
    <row r="223" spans="1:10" hidden="1" x14ac:dyDescent="0.25">
      <c r="A223" s="90">
        <v>600029</v>
      </c>
      <c r="D223" s="91">
        <v>2198098.9980000001</v>
      </c>
      <c r="E223" s="91">
        <v>0</v>
      </c>
      <c r="F223" s="91">
        <f t="shared" si="0"/>
        <v>2198098.9980000001</v>
      </c>
      <c r="G223" t="str">
        <f>_xlfn.XLOOKUP($A223,Map!$A:$A,Map!C:C)</f>
        <v>IS</v>
      </c>
      <c r="H223" t="str">
        <f>_xlfn.XLOOKUP($A223,Map!$A:$A,Map!D:D)</f>
        <v>Cost of sales</v>
      </c>
      <c r="I223" t="str">
        <f>_xlfn.XLOOKUP($A223,Map!$A:$A,Map!E:E)</f>
        <v>Depreciation - Machines</v>
      </c>
      <c r="J223" t="str">
        <f>_xlfn.XLOOKUP($A223,Map!$A:$A,Map!F:F)</f>
        <v>Depreciation of property, plant and equipment</v>
      </c>
    </row>
    <row r="224" spans="1:10" hidden="1" x14ac:dyDescent="0.25">
      <c r="A224" s="90">
        <v>600028</v>
      </c>
      <c r="D224" s="91">
        <v>25229.200000000001</v>
      </c>
      <c r="E224" s="91">
        <v>0</v>
      </c>
      <c r="F224" s="91">
        <f t="shared" si="0"/>
        <v>25229.200000000001</v>
      </c>
      <c r="G224" t="str">
        <f>_xlfn.XLOOKUP($A224,Map!$A:$A,Map!C:C)</f>
        <v>IS</v>
      </c>
      <c r="H224" t="str">
        <f>_xlfn.XLOOKUP($A224,Map!$A:$A,Map!D:D)</f>
        <v>Cost of sales</v>
      </c>
      <c r="I224" t="str">
        <f>_xlfn.XLOOKUP($A224,Map!$A:$A,Map!E:E)</f>
        <v>Overhead - Consumables &amp; SP</v>
      </c>
      <c r="J224" t="str">
        <f>_xlfn.XLOOKUP($A224,Map!$A:$A,Map!F:F)</f>
        <v xml:space="preserve">Education &amp; Furniture Allowances </v>
      </c>
    </row>
    <row r="225" spans="1:10" hidden="1" x14ac:dyDescent="0.25">
      <c r="A225" s="90">
        <v>600027</v>
      </c>
      <c r="D225" s="91">
        <v>75357</v>
      </c>
      <c r="E225" s="91">
        <v>0</v>
      </c>
      <c r="F225" s="91">
        <f t="shared" si="0"/>
        <v>75357</v>
      </c>
      <c r="G225" t="str">
        <f>_xlfn.XLOOKUP($A225,Map!$A:$A,Map!C:C)</f>
        <v>IS</v>
      </c>
      <c r="H225" t="str">
        <f>_xlfn.XLOOKUP($A225,Map!$A:$A,Map!D:D)</f>
        <v>Cost of sales</v>
      </c>
      <c r="I225" t="str">
        <f>_xlfn.XLOOKUP($A225,Map!$A:$A,Map!E:E)</f>
        <v>Overhead - Rent</v>
      </c>
      <c r="J225" t="str">
        <f>_xlfn.XLOOKUP($A225,Map!$A:$A,Map!F:F)</f>
        <v>Production hall rental</v>
      </c>
    </row>
    <row r="226" spans="1:10" hidden="1" x14ac:dyDescent="0.25">
      <c r="A226" s="90">
        <v>600024</v>
      </c>
      <c r="D226" s="91">
        <v>4342.5</v>
      </c>
      <c r="E226" s="91">
        <v>0</v>
      </c>
      <c r="F226" s="91">
        <f t="shared" si="0"/>
        <v>4342.5</v>
      </c>
      <c r="G226" t="str">
        <f>_xlfn.XLOOKUP($A226,Map!$A:$A,Map!C:C)</f>
        <v>IS</v>
      </c>
      <c r="H226" t="str">
        <f>_xlfn.XLOOKUP($A226,Map!$A:$A,Map!D:D)</f>
        <v>Cost of sales</v>
      </c>
      <c r="I226" t="str">
        <f>_xlfn.XLOOKUP($A226,Map!$A:$A,Map!E:E)</f>
        <v>Overhead - Rent</v>
      </c>
      <c r="J226" t="str">
        <f>_xlfn.XLOOKUP($A226,Map!$A:$A,Map!F:F)</f>
        <v>Pump rental expenses</v>
      </c>
    </row>
    <row r="227" spans="1:10" hidden="1" x14ac:dyDescent="0.25">
      <c r="A227" s="90">
        <v>600022</v>
      </c>
      <c r="D227" s="91">
        <v>2200</v>
      </c>
      <c r="E227" s="91">
        <v>0</v>
      </c>
      <c r="F227" s="91">
        <f t="shared" si="0"/>
        <v>2200</v>
      </c>
      <c r="G227" t="str">
        <f>_xlfn.XLOOKUP($A227,Map!$A:$A,Map!C:C)</f>
        <v>IS</v>
      </c>
      <c r="H227" t="str">
        <f>_xlfn.XLOOKUP($A227,Map!$A:$A,Map!D:D)</f>
        <v>Cost of sales</v>
      </c>
      <c r="I227" t="str">
        <f>_xlfn.XLOOKUP($A227,Map!$A:$A,Map!E:E)</f>
        <v>Overhead - R&amp;M</v>
      </c>
      <c r="J227" t="str">
        <f>_xlfn.XLOOKUP($A227,Map!$A:$A,Map!F:F)</f>
        <v>Building maintenance</v>
      </c>
    </row>
    <row r="228" spans="1:10" hidden="1" x14ac:dyDescent="0.25">
      <c r="A228" s="90">
        <v>600021</v>
      </c>
      <c r="D228" s="91">
        <v>25450.32</v>
      </c>
      <c r="E228" s="91">
        <v>0</v>
      </c>
      <c r="F228" s="91">
        <f t="shared" si="0"/>
        <v>25450.32</v>
      </c>
      <c r="G228" t="str">
        <f>_xlfn.XLOOKUP($A228,Map!$A:$A,Map!C:C)</f>
        <v>IS</v>
      </c>
      <c r="H228" t="str">
        <f>_xlfn.XLOOKUP($A228,Map!$A:$A,Map!D:D)</f>
        <v>Cost of sales</v>
      </c>
      <c r="I228" t="str">
        <f>_xlfn.XLOOKUP($A228,Map!$A:$A,Map!E:E)</f>
        <v>Overhead - R&amp;M</v>
      </c>
      <c r="J228" t="str">
        <f>_xlfn.XLOOKUP($A228,Map!$A:$A,Map!F:F)</f>
        <v>Vehicle maintenance</v>
      </c>
    </row>
    <row r="229" spans="1:10" hidden="1" x14ac:dyDescent="0.25">
      <c r="A229" s="90">
        <v>600020</v>
      </c>
      <c r="D229" s="91">
        <v>51226.521000000001</v>
      </c>
      <c r="E229" s="91">
        <v>0</v>
      </c>
      <c r="F229" s="91">
        <f t="shared" si="0"/>
        <v>51226.521000000001</v>
      </c>
      <c r="G229" t="str">
        <f>_xlfn.XLOOKUP($A229,Map!$A:$A,Map!C:C)</f>
        <v>IS</v>
      </c>
      <c r="H229" t="str">
        <f>_xlfn.XLOOKUP($A229,Map!$A:$A,Map!D:D)</f>
        <v>Cost of sales</v>
      </c>
      <c r="I229" t="str">
        <f>_xlfn.XLOOKUP($A229,Map!$A:$A,Map!E:E)</f>
        <v>Overhead - R&amp;M</v>
      </c>
      <c r="J229" t="str">
        <f>_xlfn.XLOOKUP($A229,Map!$A:$A,Map!F:F)</f>
        <v>Machine and equipment</v>
      </c>
    </row>
    <row r="230" spans="1:10" hidden="1" x14ac:dyDescent="0.25">
      <c r="A230" s="90">
        <v>600019</v>
      </c>
      <c r="D230" s="91">
        <v>47050.004999999997</v>
      </c>
      <c r="E230" s="91">
        <v>0</v>
      </c>
      <c r="F230" s="91">
        <f t="shared" si="0"/>
        <v>47050.004999999997</v>
      </c>
      <c r="G230" t="str">
        <f>_xlfn.XLOOKUP($A230,Map!$A:$A,Map!C:C)</f>
        <v>IS</v>
      </c>
      <c r="H230" t="str">
        <f>_xlfn.XLOOKUP($A230,Map!$A:$A,Map!D:D)</f>
        <v>Cost of sales</v>
      </c>
      <c r="I230" t="str">
        <f>_xlfn.XLOOKUP($A230,Map!$A:$A,Map!E:E)</f>
        <v>Overhead - Utility</v>
      </c>
      <c r="J230" t="str">
        <f>_xlfn.XLOOKUP($A230,Map!$A:$A,Map!F:F)</f>
        <v>Fuel and oil</v>
      </c>
    </row>
    <row r="231" spans="1:10" hidden="1" x14ac:dyDescent="0.25">
      <c r="A231" s="90">
        <v>600018</v>
      </c>
      <c r="D231" s="91">
        <v>128714.819</v>
      </c>
      <c r="E231" s="91">
        <v>0</v>
      </c>
      <c r="F231" s="91">
        <f t="shared" si="0"/>
        <v>128714.819</v>
      </c>
      <c r="G231" t="str">
        <f>_xlfn.XLOOKUP($A231,Map!$A:$A,Map!C:C)</f>
        <v>IS</v>
      </c>
      <c r="H231" t="str">
        <f>_xlfn.XLOOKUP($A231,Map!$A:$A,Map!D:D)</f>
        <v>Cost of sales</v>
      </c>
      <c r="I231" t="str">
        <f>_xlfn.XLOOKUP($A231,Map!$A:$A,Map!E:E)</f>
        <v>Overhead - Utility</v>
      </c>
      <c r="J231" t="str">
        <f>_xlfn.XLOOKUP($A231,Map!$A:$A,Map!F:F)</f>
        <v>Water expenses</v>
      </c>
    </row>
    <row r="232" spans="1:10" hidden="1" x14ac:dyDescent="0.25">
      <c r="A232" s="90">
        <v>600017</v>
      </c>
      <c r="D232" s="91">
        <v>702932.21</v>
      </c>
      <c r="E232" s="91">
        <v>0</v>
      </c>
      <c r="F232" s="91">
        <f t="shared" si="0"/>
        <v>702932.21</v>
      </c>
      <c r="G232" t="str">
        <f>_xlfn.XLOOKUP($A232,Map!$A:$A,Map!C:C)</f>
        <v>IS</v>
      </c>
      <c r="H232" t="str">
        <f>_xlfn.XLOOKUP($A232,Map!$A:$A,Map!D:D)</f>
        <v>Cost of sales</v>
      </c>
      <c r="I232" t="str">
        <f>_xlfn.XLOOKUP($A232,Map!$A:$A,Map!E:E)</f>
        <v>Overhead - Utility</v>
      </c>
      <c r="J232" t="str">
        <f>_xlfn.XLOOKUP($A232,Map!$A:$A,Map!F:F)</f>
        <v>Electricity expenses</v>
      </c>
    </row>
    <row r="233" spans="1:10" hidden="1" x14ac:dyDescent="0.25">
      <c r="A233" s="90">
        <v>600016</v>
      </c>
      <c r="D233" s="91">
        <v>546560.00600000005</v>
      </c>
      <c r="E233" s="91">
        <v>0</v>
      </c>
      <c r="F233" s="91">
        <f t="shared" si="0"/>
        <v>546560.00600000005</v>
      </c>
      <c r="G233" t="str">
        <f>_xlfn.XLOOKUP($A233,Map!$A:$A,Map!C:C)</f>
        <v>IS</v>
      </c>
      <c r="H233" t="str">
        <f>_xlfn.XLOOKUP($A233,Map!$A:$A,Map!D:D)</f>
        <v>Cost of sales</v>
      </c>
      <c r="I233" t="str">
        <f>_xlfn.XLOOKUP($A233,Map!$A:$A,Map!E:E)</f>
        <v>Overhead - Consumables &amp; SP</v>
      </c>
      <c r="J233" t="str">
        <f>_xlfn.XLOOKUP($A233,Map!$A:$A,Map!F:F)</f>
        <v>Tools</v>
      </c>
    </row>
    <row r="234" spans="1:10" hidden="1" x14ac:dyDescent="0.25">
      <c r="A234" s="90">
        <v>600015</v>
      </c>
      <c r="D234" s="91">
        <v>14213.99</v>
      </c>
      <c r="E234" s="91">
        <v>0</v>
      </c>
      <c r="F234" s="91">
        <f t="shared" si="0"/>
        <v>14213.99</v>
      </c>
      <c r="G234" t="str">
        <f>_xlfn.XLOOKUP($A234,Map!$A:$A,Map!C:C)</f>
        <v>IS</v>
      </c>
      <c r="H234" t="str">
        <f>_xlfn.XLOOKUP($A234,Map!$A:$A,Map!D:D)</f>
        <v>Cost of sales</v>
      </c>
      <c r="I234" t="str">
        <f>_xlfn.XLOOKUP($A234,Map!$A:$A,Map!E:E)</f>
        <v>Overhead - Consumables &amp; SP</v>
      </c>
      <c r="J234" t="str">
        <f>_xlfn.XLOOKUP($A234,Map!$A:$A,Map!F:F)</f>
        <v>Consumables</v>
      </c>
    </row>
    <row r="235" spans="1:10" hidden="1" x14ac:dyDescent="0.25">
      <c r="A235" s="90">
        <v>600014</v>
      </c>
      <c r="D235" s="91">
        <v>889014.48899999994</v>
      </c>
      <c r="E235" s="91">
        <v>0</v>
      </c>
      <c r="F235" s="91">
        <f t="shared" si="0"/>
        <v>889014.48899999994</v>
      </c>
      <c r="G235" t="str">
        <f>_xlfn.XLOOKUP($A235,Map!$A:$A,Map!C:C)</f>
        <v>IS</v>
      </c>
      <c r="H235" t="str">
        <f>_xlfn.XLOOKUP($A235,Map!$A:$A,Map!D:D)</f>
        <v>Cost of sales</v>
      </c>
      <c r="I235" t="str">
        <f>_xlfn.XLOOKUP($A235,Map!$A:$A,Map!E:E)</f>
        <v>Overhead - Consumables &amp; SP</v>
      </c>
      <c r="J235" t="str">
        <f>_xlfn.XLOOKUP($A235,Map!$A:$A,Map!F:F)</f>
        <v>Consumables</v>
      </c>
    </row>
    <row r="236" spans="1:10" hidden="1" x14ac:dyDescent="0.25">
      <c r="A236" s="90">
        <v>600011</v>
      </c>
      <c r="D236" s="91">
        <v>6000</v>
      </c>
      <c r="E236" s="91">
        <v>0</v>
      </c>
      <c r="F236" s="91">
        <f t="shared" si="0"/>
        <v>6000</v>
      </c>
      <c r="G236" t="str">
        <f>_xlfn.XLOOKUP($A236,Map!$A:$A,Map!C:C)</f>
        <v>IS</v>
      </c>
      <c r="H236" t="str">
        <f>_xlfn.XLOOKUP($A236,Map!$A:$A,Map!D:D)</f>
        <v>Cost of sales</v>
      </c>
      <c r="I236" t="str">
        <f>_xlfn.XLOOKUP($A236,Map!$A:$A,Map!E:E)</f>
        <v>Overhead - Labor Cost</v>
      </c>
      <c r="J236" t="str">
        <f>_xlfn.XLOOKUP($A236,Map!$A:$A,Map!F:F)</f>
        <v>Air tickets</v>
      </c>
    </row>
    <row r="237" spans="1:10" hidden="1" x14ac:dyDescent="0.25">
      <c r="A237" s="90">
        <v>600009</v>
      </c>
      <c r="D237" s="91">
        <v>62460</v>
      </c>
      <c r="E237" s="91">
        <v>0</v>
      </c>
      <c r="F237" s="91">
        <f t="shared" si="0"/>
        <v>62460</v>
      </c>
      <c r="G237" t="str">
        <f>_xlfn.XLOOKUP($A237,Map!$A:$A,Map!C:C)</f>
        <v>IS</v>
      </c>
      <c r="H237" t="str">
        <f>_xlfn.XLOOKUP($A237,Map!$A:$A,Map!D:D)</f>
        <v>Cost of sales</v>
      </c>
      <c r="I237" t="str">
        <f>_xlfn.XLOOKUP($A237,Map!$A:$A,Map!E:E)</f>
        <v>Overhead - Labor Cost</v>
      </c>
      <c r="J237" t="str">
        <f>_xlfn.XLOOKUP($A237,Map!$A:$A,Map!F:F)</f>
        <v>Vacation pay</v>
      </c>
    </row>
    <row r="238" spans="1:10" hidden="1" x14ac:dyDescent="0.25">
      <c r="A238" s="90">
        <v>600008</v>
      </c>
      <c r="D238" s="91">
        <v>84171.3</v>
      </c>
      <c r="E238" s="91">
        <v>0</v>
      </c>
      <c r="F238" s="91">
        <f t="shared" si="0"/>
        <v>84171.3</v>
      </c>
      <c r="G238" t="str">
        <f>_xlfn.XLOOKUP($A238,Map!$A:$A,Map!C:C)</f>
        <v>IS</v>
      </c>
      <c r="H238" t="str">
        <f>_xlfn.XLOOKUP($A238,Map!$A:$A,Map!D:D)</f>
        <v>Cost of sales</v>
      </c>
      <c r="I238" t="str">
        <f>_xlfn.XLOOKUP($A238,Map!$A:$A,Map!E:E)</f>
        <v>Overhead - Labor Cost</v>
      </c>
      <c r="J238" t="str">
        <f>_xlfn.XLOOKUP($A238,Map!$A:$A,Map!F:F)</f>
        <v>Air tickets</v>
      </c>
    </row>
    <row r="239" spans="1:10" hidden="1" x14ac:dyDescent="0.25">
      <c r="A239" s="90">
        <v>600006</v>
      </c>
      <c r="D239" s="91">
        <v>176299.99799999999</v>
      </c>
      <c r="E239" s="91">
        <v>0</v>
      </c>
      <c r="F239" s="91">
        <f t="shared" si="0"/>
        <v>176299.99799999999</v>
      </c>
      <c r="G239" t="str">
        <f>_xlfn.XLOOKUP($A239,Map!$A:$A,Map!C:C)</f>
        <v>IS</v>
      </c>
      <c r="H239" t="str">
        <f>_xlfn.XLOOKUP($A239,Map!$A:$A,Map!D:D)</f>
        <v>Cost of sales</v>
      </c>
      <c r="I239" t="str">
        <f>_xlfn.XLOOKUP($A239,Map!$A:$A,Map!E:E)</f>
        <v>Overhead - Labor Cost</v>
      </c>
      <c r="J239" t="str">
        <f>_xlfn.XLOOKUP($A239,Map!$A:$A,Map!F:F)</f>
        <v xml:space="preserve">Food &amp; Housing </v>
      </c>
    </row>
    <row r="240" spans="1:10" hidden="1" x14ac:dyDescent="0.25">
      <c r="A240" s="90">
        <v>600005</v>
      </c>
      <c r="D240" s="91">
        <v>450568</v>
      </c>
      <c r="E240" s="91">
        <v>0</v>
      </c>
      <c r="F240" s="91">
        <f t="shared" si="0"/>
        <v>450568</v>
      </c>
      <c r="G240" t="str">
        <f>_xlfn.XLOOKUP($A240,Map!$A:$A,Map!C:C)</f>
        <v>IS</v>
      </c>
      <c r="H240" t="str">
        <f>_xlfn.XLOOKUP($A240,Map!$A:$A,Map!D:D)</f>
        <v>General and Admin</v>
      </c>
      <c r="I240" t="str">
        <f>_xlfn.XLOOKUP($A240,Map!$A:$A,Map!E:E)</f>
        <v>Govt license and fees (including modon)</v>
      </c>
      <c r="J240" t="str">
        <f>_xlfn.XLOOKUP($A240,Map!$A:$A,Map!F:F)</f>
        <v>Government fees</v>
      </c>
    </row>
    <row r="241" spans="1:10" hidden="1" x14ac:dyDescent="0.25">
      <c r="A241" s="90">
        <v>600004</v>
      </c>
      <c r="D241" s="91">
        <v>112574.704</v>
      </c>
      <c r="E241" s="91">
        <v>0</v>
      </c>
      <c r="F241" s="91">
        <f t="shared" si="0"/>
        <v>112574.704</v>
      </c>
      <c r="G241" t="str">
        <f>_xlfn.XLOOKUP($A241,Map!$A:$A,Map!C:C)</f>
        <v>IS</v>
      </c>
      <c r="H241" t="str">
        <f>_xlfn.XLOOKUP($A241,Map!$A:$A,Map!D:D)</f>
        <v>Cost of sales</v>
      </c>
      <c r="I241" t="str">
        <f>_xlfn.XLOOKUP($A241,Map!$A:$A,Map!E:E)</f>
        <v>Overhead - Labor Cost</v>
      </c>
      <c r="J241" t="str">
        <f>_xlfn.XLOOKUP($A241,Map!$A:$A,Map!F:F)</f>
        <v>Medical insurance</v>
      </c>
    </row>
    <row r="242" spans="1:10" hidden="1" x14ac:dyDescent="0.25">
      <c r="A242" s="90">
        <v>600003</v>
      </c>
      <c r="D242" s="91">
        <v>25887</v>
      </c>
      <c r="E242" s="91">
        <v>0</v>
      </c>
      <c r="F242" s="91">
        <f t="shared" si="0"/>
        <v>25887</v>
      </c>
      <c r="G242" t="str">
        <f>_xlfn.XLOOKUP($A242,Map!$A:$A,Map!C:C)</f>
        <v>IS</v>
      </c>
      <c r="H242" t="str">
        <f>_xlfn.XLOOKUP($A242,Map!$A:$A,Map!D:D)</f>
        <v>Cost of sales</v>
      </c>
      <c r="I242" t="str">
        <f>_xlfn.XLOOKUP($A242,Map!$A:$A,Map!E:E)</f>
        <v>Overhead - Labor Cost</v>
      </c>
      <c r="J242" t="str">
        <f>_xlfn.XLOOKUP($A242,Map!$A:$A,Map!F:F)</f>
        <v xml:space="preserve">Food &amp; Housing </v>
      </c>
    </row>
    <row r="243" spans="1:10" hidden="1" x14ac:dyDescent="0.25">
      <c r="A243" s="90">
        <v>600002</v>
      </c>
      <c r="D243" s="91">
        <v>98059</v>
      </c>
      <c r="E243" s="91">
        <v>0</v>
      </c>
      <c r="F243" s="91">
        <f t="shared" si="0"/>
        <v>98059</v>
      </c>
      <c r="G243" t="str">
        <f>_xlfn.XLOOKUP($A243,Map!$A:$A,Map!C:C)</f>
        <v>IS</v>
      </c>
      <c r="H243" t="str">
        <f>_xlfn.XLOOKUP($A243,Map!$A:$A,Map!D:D)</f>
        <v>Cost of sales</v>
      </c>
      <c r="I243" t="str">
        <f>_xlfn.XLOOKUP($A243,Map!$A:$A,Map!E:E)</f>
        <v>Overhead - Labor Cost</v>
      </c>
      <c r="J243" t="str">
        <f>_xlfn.XLOOKUP($A243,Map!$A:$A,Map!F:F)</f>
        <v>Overtime pay</v>
      </c>
    </row>
    <row r="244" spans="1:10" hidden="1" x14ac:dyDescent="0.25">
      <c r="A244" s="90">
        <v>600001</v>
      </c>
      <c r="D244" s="91">
        <v>529695.32999999996</v>
      </c>
      <c r="E244" s="91">
        <v>0</v>
      </c>
      <c r="F244" s="91">
        <f t="shared" si="0"/>
        <v>529695.32999999996</v>
      </c>
      <c r="G244" t="str">
        <f>_xlfn.XLOOKUP($A244,Map!$A:$A,Map!C:C)</f>
        <v>IS</v>
      </c>
      <c r="H244" t="str">
        <f>_xlfn.XLOOKUP($A244,Map!$A:$A,Map!D:D)</f>
        <v>Cost of sales</v>
      </c>
      <c r="I244" t="str">
        <f>_xlfn.XLOOKUP($A244,Map!$A:$A,Map!E:E)</f>
        <v>Overhead - Labor Cost</v>
      </c>
      <c r="J244" t="str">
        <f>_xlfn.XLOOKUP($A244,Map!$A:$A,Map!F:F)</f>
        <v>Salaries and wages</v>
      </c>
    </row>
    <row r="245" spans="1:10" hidden="1" x14ac:dyDescent="0.25">
      <c r="A245" s="90">
        <v>520042</v>
      </c>
      <c r="D245" s="91">
        <v>0</v>
      </c>
      <c r="E245" s="91">
        <v>1236741.0900000001</v>
      </c>
      <c r="F245" s="91">
        <f t="shared" si="0"/>
        <v>-1236741.0900000001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Raw materials</v>
      </c>
      <c r="J245" t="str">
        <f>_xlfn.XLOOKUP($A245,Map!$A:$A,Map!F:F)</f>
        <v>Inventory Adjustment</v>
      </c>
    </row>
    <row r="246" spans="1:10" hidden="1" x14ac:dyDescent="0.25">
      <c r="A246" s="90">
        <v>520041</v>
      </c>
      <c r="D246" s="91">
        <v>0</v>
      </c>
      <c r="E246" s="91">
        <v>5083378.7910000002</v>
      </c>
      <c r="F246" s="91">
        <f t="shared" si="0"/>
        <v>-5083378.7910000002</v>
      </c>
      <c r="G246" t="str">
        <f>_xlfn.XLOOKUP($A246,Map!$A:$A,Map!C:C)</f>
        <v>IS</v>
      </c>
      <c r="H246" t="str">
        <f>_xlfn.XLOOKUP($A246,Map!$A:$A,Map!D:D)</f>
        <v>Cost of sales</v>
      </c>
      <c r="I246" t="str">
        <f>_xlfn.XLOOKUP($A246,Map!$A:$A,Map!E:E)</f>
        <v>Raw materials</v>
      </c>
      <c r="J246" t="str">
        <f>_xlfn.XLOOKUP($A246,Map!$A:$A,Map!F:F)</f>
        <v>Other expenses</v>
      </c>
    </row>
    <row r="247" spans="1:10" hidden="1" x14ac:dyDescent="0.25">
      <c r="A247" s="90">
        <v>520037</v>
      </c>
      <c r="D247" s="91">
        <v>180331.288</v>
      </c>
      <c r="E247" s="91">
        <v>0</v>
      </c>
      <c r="F247" s="91">
        <f t="shared" si="0"/>
        <v>180331.288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Raw materials</v>
      </c>
      <c r="J247" t="str">
        <f>_xlfn.XLOOKUP($A247,Map!$A:$A,Map!F:F)</f>
        <v>Raw materials</v>
      </c>
    </row>
    <row r="248" spans="1:10" hidden="1" x14ac:dyDescent="0.25">
      <c r="A248" s="90">
        <v>520036</v>
      </c>
      <c r="D248" s="91">
        <v>0</v>
      </c>
      <c r="E248" s="91">
        <v>2.7E-2</v>
      </c>
      <c r="F248" s="91">
        <f t="shared" si="0"/>
        <v>-2.7E-2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Raw materials</v>
      </c>
      <c r="J248" t="str">
        <f>_xlfn.XLOOKUP($A248,Map!$A:$A,Map!F:F)</f>
        <v>Raw materials</v>
      </c>
    </row>
    <row r="249" spans="1:10" hidden="1" x14ac:dyDescent="0.25">
      <c r="A249" s="90">
        <v>520021</v>
      </c>
      <c r="D249" s="91">
        <v>11607.28</v>
      </c>
      <c r="E249" s="91">
        <v>0</v>
      </c>
      <c r="F249" s="91">
        <f t="shared" si="0"/>
        <v>11607.28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Direct Labor</v>
      </c>
      <c r="J249" t="str">
        <f>_xlfn.XLOOKUP($A249,Map!$A:$A,Map!F:F)</f>
        <v>Medical insurance</v>
      </c>
    </row>
    <row r="250" spans="1:10" hidden="1" x14ac:dyDescent="0.25">
      <c r="A250" s="90">
        <v>520011</v>
      </c>
      <c r="D250" s="91">
        <v>179098</v>
      </c>
      <c r="E250" s="91">
        <v>0</v>
      </c>
      <c r="F250" s="91">
        <f t="shared" si="0"/>
        <v>179098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Direct Labor</v>
      </c>
      <c r="J250" t="str">
        <f>_xlfn.XLOOKUP($A250,Map!$A:$A,Map!F:F)</f>
        <v>Overtime pay</v>
      </c>
    </row>
    <row r="251" spans="1:10" hidden="1" x14ac:dyDescent="0.25">
      <c r="A251" s="90">
        <v>520006</v>
      </c>
      <c r="D251" s="91">
        <v>111282</v>
      </c>
      <c r="E251" s="91">
        <v>0</v>
      </c>
      <c r="F251" s="91">
        <f t="shared" si="0"/>
        <v>111282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Direct Labor</v>
      </c>
      <c r="J251" t="str">
        <f>_xlfn.XLOOKUP($A251,Map!$A:$A,Map!F:F)</f>
        <v>Medical insurance</v>
      </c>
    </row>
    <row r="252" spans="1:10" hidden="1" x14ac:dyDescent="0.25">
      <c r="A252" s="90">
        <v>520004</v>
      </c>
      <c r="D252" s="91">
        <v>69880.5</v>
      </c>
      <c r="E252" s="91">
        <v>0</v>
      </c>
      <c r="F252" s="91">
        <f t="shared" si="0"/>
        <v>69880.5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Direct Labor</v>
      </c>
      <c r="J252" t="str">
        <f>_xlfn.XLOOKUP($A252,Map!$A:$A,Map!F:F)</f>
        <v>Food and housing</v>
      </c>
    </row>
    <row r="253" spans="1:10" hidden="1" x14ac:dyDescent="0.25">
      <c r="A253" s="90">
        <v>520003</v>
      </c>
      <c r="D253" s="91">
        <v>29792</v>
      </c>
      <c r="E253" s="91">
        <v>0</v>
      </c>
      <c r="F253" s="91">
        <f t="shared" si="0"/>
        <v>29792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Direct Labor</v>
      </c>
      <c r="J253" t="str">
        <f>_xlfn.XLOOKUP($A253,Map!$A:$A,Map!F:F)</f>
        <v>Transportation allowance</v>
      </c>
    </row>
    <row r="254" spans="1:10" hidden="1" x14ac:dyDescent="0.25">
      <c r="A254" s="90">
        <v>520002</v>
      </c>
      <c r="D254" s="91">
        <v>58352</v>
      </c>
      <c r="E254" s="91">
        <v>0</v>
      </c>
      <c r="F254" s="91">
        <f t="shared" si="0"/>
        <v>58352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Direct Labor</v>
      </c>
      <c r="J254" t="str">
        <f>_xlfn.XLOOKUP($A254,Map!$A:$A,Map!F:F)</f>
        <v>Overtime pay</v>
      </c>
    </row>
    <row r="255" spans="1:10" hidden="1" x14ac:dyDescent="0.25">
      <c r="A255" s="90">
        <v>520001</v>
      </c>
      <c r="D255" s="91">
        <v>1418257.17</v>
      </c>
      <c r="E255" s="91">
        <v>0</v>
      </c>
      <c r="F255" s="91">
        <f t="shared" si="0"/>
        <v>1418257.17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Direct Labor</v>
      </c>
      <c r="J255" t="str">
        <f>_xlfn.XLOOKUP($A255,Map!$A:$A,Map!F:F)</f>
        <v>Salaries and wages</v>
      </c>
    </row>
    <row r="256" spans="1:10" hidden="1" x14ac:dyDescent="0.25">
      <c r="A256" s="90">
        <v>510004</v>
      </c>
      <c r="D256" s="91">
        <v>48207.343999999997</v>
      </c>
      <c r="E256" s="91">
        <v>0</v>
      </c>
      <c r="F256" s="91">
        <f t="shared" si="0"/>
        <v>48207.343999999997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Raw materials</v>
      </c>
      <c r="J256" t="str">
        <f>_xlfn.XLOOKUP($A256,Map!$A:$A,Map!F:F)</f>
        <v>Other expenses</v>
      </c>
    </row>
    <row r="257" spans="1:10" hidden="1" x14ac:dyDescent="0.25">
      <c r="A257" s="90">
        <v>510003</v>
      </c>
      <c r="D257" s="91">
        <v>0</v>
      </c>
      <c r="E257" s="91">
        <v>636854.1</v>
      </c>
      <c r="F257" s="91">
        <f t="shared" si="0"/>
        <v>-636854.1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Raw materials</v>
      </c>
      <c r="J257" t="str">
        <f>_xlfn.XLOOKUP($A257,Map!$A:$A,Map!F:F)</f>
        <v>Raw materials</v>
      </c>
    </row>
    <row r="258" spans="1:10" hidden="1" x14ac:dyDescent="0.25">
      <c r="A258" s="90">
        <v>510002</v>
      </c>
      <c r="D258" s="91">
        <v>0</v>
      </c>
      <c r="E258" s="91">
        <v>1896437.531</v>
      </c>
      <c r="F258" s="91">
        <f t="shared" si="0"/>
        <v>-1896437.531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Direct Labor</v>
      </c>
      <c r="J258" t="str">
        <f>_xlfn.XLOOKUP($A258,Map!$A:$A,Map!F:F)</f>
        <v>Direct Labor</v>
      </c>
    </row>
    <row r="259" spans="1:10" x14ac:dyDescent="0.25">
      <c r="F259" s="91">
        <f t="shared" si="0"/>
        <v>0</v>
      </c>
      <c r="G259">
        <f>_xlfn.XLOOKUP($A259,Map!$A:$A,Map!C:C)</f>
        <v>0</v>
      </c>
      <c r="H259">
        <f>_xlfn.XLOOKUP($A259,Map!$A:$A,Map!D:D)</f>
        <v>0</v>
      </c>
      <c r="I259">
        <f>_xlfn.XLOOKUP($A259,Map!$A:$A,Map!E:E)</f>
        <v>0</v>
      </c>
      <c r="J259">
        <f>_xlfn.XLOOKUP($A259,Map!$A:$A,Map!F:F)</f>
        <v>0</v>
      </c>
    </row>
    <row r="260" spans="1:10" x14ac:dyDescent="0.25">
      <c r="F260" s="91">
        <f t="shared" si="0"/>
        <v>0</v>
      </c>
      <c r="G260">
        <f>_xlfn.XLOOKUP($A260,Map!$A:$A,Map!C:C)</f>
        <v>0</v>
      </c>
      <c r="H260">
        <f>_xlfn.XLOOKUP($A260,Map!$A:$A,Map!D:D)</f>
        <v>0</v>
      </c>
      <c r="I260">
        <f>_xlfn.XLOOKUP($A260,Map!$A:$A,Map!E:E)</f>
        <v>0</v>
      </c>
      <c r="J260">
        <f>_xlfn.XLOOKUP($A260,Map!$A:$A,Map!F:F)</f>
        <v>0</v>
      </c>
    </row>
    <row r="261" spans="1:10" s="1" customFormat="1" x14ac:dyDescent="0.25">
      <c r="A261" s="90">
        <v>170021</v>
      </c>
      <c r="B261" s="90" t="s">
        <v>535</v>
      </c>
      <c r="D261" s="161">
        <v>9600761.3000000007</v>
      </c>
      <c r="F261" s="3">
        <f t="shared" si="0"/>
        <v>9600761.3000000007</v>
      </c>
      <c r="G261" t="str">
        <f>_xlfn.XLOOKUP($A261,Map!$A:$A,Map!C:C)</f>
        <v>BS</v>
      </c>
      <c r="H261" t="str">
        <f>_xlfn.XLOOKUP($A261,Map!$A:$A,Map!D:D)</f>
        <v>Current Assets</v>
      </c>
      <c r="I261" t="str">
        <f>_xlfn.XLOOKUP($A261,Map!$A:$A,Map!E:E)</f>
        <v>Prepaid expenses</v>
      </c>
      <c r="J261" t="str">
        <f>_xlfn.XLOOKUP($A261,Map!$A:$A,Map!F:F)</f>
        <v>Prepaid expense</v>
      </c>
    </row>
    <row r="262" spans="1:10" s="1" customFormat="1" x14ac:dyDescent="0.25">
      <c r="A262" s="1">
        <v>210001</v>
      </c>
      <c r="B262" s="1" t="s">
        <v>78</v>
      </c>
      <c r="E262" s="161">
        <f>D261</f>
        <v>9600761.3000000007</v>
      </c>
      <c r="F262" s="3">
        <f t="shared" si="0"/>
        <v>-9600761.3000000007</v>
      </c>
      <c r="G262" t="str">
        <f>_xlfn.XLOOKUP($A262,Map!$A:$A,Map!C:C)</f>
        <v>BS</v>
      </c>
      <c r="H262" t="str">
        <f>_xlfn.XLOOKUP($A262,Map!$A:$A,Map!D:D)</f>
        <v>Current Liabilities</v>
      </c>
      <c r="I262" t="str">
        <f>_xlfn.XLOOKUP($A262,Map!$A:$A,Map!E:E)</f>
        <v>Tade payables and Accuals &amp; other credit balances</v>
      </c>
      <c r="J262" t="str">
        <f>_xlfn.XLOOKUP($A262,Map!$A:$A,Map!F:F)</f>
        <v>Trade payables - Foreign</v>
      </c>
    </row>
    <row r="265" spans="1:10" s="1" customFormat="1" x14ac:dyDescent="0.25">
      <c r="A265" s="1">
        <v>410001</v>
      </c>
      <c r="B265" s="163" t="s">
        <v>737</v>
      </c>
      <c r="D265" s="164">
        <v>8652853.861610001</v>
      </c>
      <c r="E265" s="164"/>
      <c r="F265" s="3">
        <f t="shared" ref="F265:F266" si="1">D265-E265</f>
        <v>8652853.861610001</v>
      </c>
      <c r="G265" t="str">
        <f>_xlfn.XLOOKUP($A265,Map!$A:$A,Map!C:C)</f>
        <v>IS</v>
      </c>
      <c r="H265" t="str">
        <f>_xlfn.XLOOKUP($A265,Map!$A:$A,Map!D:D)</f>
        <v>Sales</v>
      </c>
      <c r="I265" t="str">
        <f>_xlfn.XLOOKUP($A265,Map!$A:$A,Map!E:E)</f>
        <v>Sales</v>
      </c>
      <c r="J265" t="str">
        <f>_xlfn.XLOOKUP($A265,Map!$A:$A,Map!F:F)</f>
        <v>Trading revenue</v>
      </c>
    </row>
    <row r="266" spans="1:10" s="1" customFormat="1" x14ac:dyDescent="0.25">
      <c r="A266" s="1">
        <v>510001</v>
      </c>
      <c r="B266" s="163" t="s">
        <v>738</v>
      </c>
      <c r="D266" s="164"/>
      <c r="E266" s="164">
        <v>8167809.5330137536</v>
      </c>
      <c r="F266" s="3">
        <f t="shared" si="1"/>
        <v>-8167809.5330137536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Raw materials</v>
      </c>
      <c r="J266" t="str">
        <f>_xlfn.XLOOKUP($A266,Map!$A:$A,Map!F:F)</f>
        <v>Raw materials</v>
      </c>
    </row>
  </sheetData>
  <autoFilter ref="A4:K258" xr:uid="{63FFBBF9-4B1C-49FB-A6B5-6869CB087A71}">
    <filterColumn colId="8">
      <filters>
        <filter val="Tade payables and Accuals &amp; other credit balances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E067-23B0-480B-A3D2-88E7823A8A3D}">
  <sheetPr filterMode="1"/>
  <dimension ref="A1:J284"/>
  <sheetViews>
    <sheetView zoomScale="90" zoomScaleNormal="90" workbookViewId="0">
      <pane ySplit="4" topLeftCell="A83" activePane="bottomLeft" state="frozen"/>
      <selection activeCell="F121" sqref="F121:F127"/>
      <selection pane="bottomLeft" activeCell="A284" sqref="A284"/>
    </sheetView>
  </sheetViews>
  <sheetFormatPr defaultColWidth="8.85546875" defaultRowHeight="15" x14ac:dyDescent="0.25"/>
  <cols>
    <col min="1" max="1" width="13.42578125" style="90" bestFit="1" customWidth="1"/>
    <col min="2" max="2" width="52.28515625" style="90" bestFit="1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42.7109375" style="90" bestFit="1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587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90">
        <v>110001</v>
      </c>
      <c r="B5" s="90" t="s">
        <v>0</v>
      </c>
      <c r="C5" s="91">
        <v>0</v>
      </c>
      <c r="D5" s="91">
        <v>11043</v>
      </c>
      <c r="E5" s="91">
        <v>11043</v>
      </c>
      <c r="F5" s="91">
        <v>0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90">
        <v>110002</v>
      </c>
      <c r="B6" s="90" t="s">
        <v>1</v>
      </c>
      <c r="C6" s="91">
        <v>106504996.56999999</v>
      </c>
      <c r="D6" s="91">
        <v>0</v>
      </c>
      <c r="E6" s="91">
        <v>0</v>
      </c>
      <c r="F6" s="91">
        <v>106504996.56999999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90">
        <v>110003</v>
      </c>
      <c r="B7" s="90" t="s">
        <v>2</v>
      </c>
      <c r="C7" s="91">
        <v>1824603.75</v>
      </c>
      <c r="D7" s="91">
        <v>95598</v>
      </c>
      <c r="E7" s="91">
        <v>0</v>
      </c>
      <c r="F7" s="91">
        <v>1920201.75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90">
        <v>110004</v>
      </c>
      <c r="B8" s="90" t="s">
        <v>3</v>
      </c>
      <c r="C8" s="91">
        <v>62879992.733999997</v>
      </c>
      <c r="D8" s="91">
        <v>9206943.0779999997</v>
      </c>
      <c r="E8" s="91">
        <v>5711042.8059999999</v>
      </c>
      <c r="F8" s="91">
        <v>66375893.005999997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90">
        <v>110006</v>
      </c>
      <c r="B9" s="90" t="s">
        <v>4</v>
      </c>
      <c r="C9" s="91">
        <v>2495208.4550000001</v>
      </c>
      <c r="D9" s="91">
        <v>400173.60800000001</v>
      </c>
      <c r="E9" s="91">
        <v>104030</v>
      </c>
      <c r="F9" s="91">
        <v>2791352.0630000001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90">
        <v>110007</v>
      </c>
      <c r="B10" s="90" t="s">
        <v>5</v>
      </c>
      <c r="C10" s="91">
        <v>876515.95</v>
      </c>
      <c r="D10" s="91">
        <v>0</v>
      </c>
      <c r="E10" s="91">
        <v>0</v>
      </c>
      <c r="F10" s="91">
        <v>876515.95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90">
        <v>110008</v>
      </c>
      <c r="B11" s="90" t="s">
        <v>6</v>
      </c>
      <c r="C11" s="91">
        <v>533547.4</v>
      </c>
      <c r="D11" s="91">
        <v>108701.948</v>
      </c>
      <c r="E11" s="91">
        <v>25461</v>
      </c>
      <c r="F11" s="91">
        <v>616788.348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</v>
      </c>
    </row>
    <row r="12" spans="1:10" hidden="1" x14ac:dyDescent="0.25">
      <c r="A12" s="90">
        <v>111009</v>
      </c>
      <c r="B12" s="90" t="s">
        <v>7</v>
      </c>
      <c r="C12" s="91">
        <v>0</v>
      </c>
      <c r="D12" s="91">
        <v>2020135</v>
      </c>
      <c r="E12" s="91">
        <v>0</v>
      </c>
      <c r="F12" s="91">
        <v>2020135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Right of use</v>
      </c>
      <c r="J12" t="str">
        <f>_xlfn.XLOOKUP($A12,Map!$A:$A,Map!F:F)</f>
        <v>Leases - right of use assets</v>
      </c>
    </row>
    <row r="13" spans="1:10" hidden="1" x14ac:dyDescent="0.25">
      <c r="A13" s="90">
        <v>111013</v>
      </c>
      <c r="B13" s="90" t="s">
        <v>9</v>
      </c>
      <c r="C13" s="91">
        <v>5140198.9610000001</v>
      </c>
      <c r="D13" s="91">
        <v>11749106.335000001</v>
      </c>
      <c r="E13" s="91">
        <v>7912571.142</v>
      </c>
      <c r="F13" s="91">
        <v>8976734.1539999992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90">
        <v>111099</v>
      </c>
      <c r="B14" s="90" t="s">
        <v>10</v>
      </c>
      <c r="C14" s="91">
        <v>0</v>
      </c>
      <c r="D14" s="91">
        <v>54044</v>
      </c>
      <c r="E14" s="91">
        <v>54044</v>
      </c>
      <c r="F14" s="91">
        <v>0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90">
        <v>120001</v>
      </c>
      <c r="B15" s="90" t="s">
        <v>11</v>
      </c>
      <c r="C15" s="91">
        <v>-694867.68700000003</v>
      </c>
      <c r="D15" s="91">
        <v>590568.60499999998</v>
      </c>
      <c r="E15" s="91">
        <v>2082147.219</v>
      </c>
      <c r="F15" s="91">
        <v>-2186446.301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90">
        <v>120002</v>
      </c>
      <c r="B16" s="90" t="s">
        <v>12</v>
      </c>
      <c r="C16" s="91">
        <v>-1782181.44</v>
      </c>
      <c r="D16" s="91">
        <v>0</v>
      </c>
      <c r="E16" s="91">
        <v>14498.33</v>
      </c>
      <c r="F16" s="91">
        <v>-1796679.77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90">
        <v>120003</v>
      </c>
      <c r="B17" s="90" t="s">
        <v>13</v>
      </c>
      <c r="C17" s="91">
        <v>-34787312.380000003</v>
      </c>
      <c r="D17" s="91">
        <v>934527.35699999996</v>
      </c>
      <c r="E17" s="91">
        <v>4573730.7079999996</v>
      </c>
      <c r="F17" s="91">
        <v>-38426515.730999999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90">
        <v>120005</v>
      </c>
      <c r="B18" s="90" t="s">
        <v>14</v>
      </c>
      <c r="C18" s="91">
        <v>-1571590.63</v>
      </c>
      <c r="D18" s="91">
        <v>97195.425000000003</v>
      </c>
      <c r="E18" s="91">
        <v>293330.77</v>
      </c>
      <c r="F18" s="91">
        <v>-1767725.9750000001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hidden="1" x14ac:dyDescent="0.25">
      <c r="A19" s="90">
        <v>120006</v>
      </c>
      <c r="B19" s="90" t="s">
        <v>15</v>
      </c>
      <c r="C19" s="91">
        <v>-812734.49100000004</v>
      </c>
      <c r="D19" s="91">
        <v>0</v>
      </c>
      <c r="E19" s="91">
        <v>19498.400000000001</v>
      </c>
      <c r="F19" s="91">
        <v>-832232.89099999995</v>
      </c>
      <c r="G19" t="str">
        <f>_xlfn.XLOOKUP($A19,Map!$A:$A,Map!C:C)</f>
        <v>BS</v>
      </c>
      <c r="H19" t="str">
        <f>_xlfn.XLOOKUP($A19,Map!$A:$A,Map!D:D)</f>
        <v>Non-Current Assets</v>
      </c>
      <c r="I19" t="str">
        <f>_xlfn.XLOOKUP($A19,Map!$A:$A,Map!E:E)</f>
        <v>Property, plant and equipment</v>
      </c>
      <c r="J19" t="str">
        <f>_xlfn.XLOOKUP($A19,Map!$A:$A,Map!F:F)</f>
        <v>Property, plant and equipment - Accumulated depreciation</v>
      </c>
    </row>
    <row r="20" spans="1:10" hidden="1" x14ac:dyDescent="0.25">
      <c r="A20" s="90">
        <v>120007</v>
      </c>
      <c r="B20" s="90" t="s">
        <v>16</v>
      </c>
      <c r="C20" s="91">
        <v>-221019.97700000001</v>
      </c>
      <c r="D20" s="91">
        <v>1446.7819999999999</v>
      </c>
      <c r="E20" s="91">
        <v>44636.81</v>
      </c>
      <c r="F20" s="91">
        <v>-264210.005</v>
      </c>
      <c r="G20" t="str">
        <f>_xlfn.XLOOKUP($A20,Map!$A:$A,Map!C:C)</f>
        <v>BS</v>
      </c>
      <c r="H20" t="str">
        <f>_xlfn.XLOOKUP($A20,Map!$A:$A,Map!D:D)</f>
        <v>Non-Current Assets</v>
      </c>
      <c r="I20" t="str">
        <f>_xlfn.XLOOKUP($A20,Map!$A:$A,Map!E:E)</f>
        <v>Property, plant and equipment</v>
      </c>
      <c r="J20" t="str">
        <f>_xlfn.XLOOKUP($A20,Map!$A:$A,Map!F:F)</f>
        <v>Property, plant and equipment - Accumulated depreciation</v>
      </c>
    </row>
    <row r="21" spans="1:10" hidden="1" x14ac:dyDescent="0.25">
      <c r="A21" s="90">
        <v>120008</v>
      </c>
      <c r="B21" s="90" t="s">
        <v>17</v>
      </c>
      <c r="C21" s="91">
        <v>0</v>
      </c>
      <c r="D21" s="91">
        <v>0</v>
      </c>
      <c r="E21" s="91">
        <v>24787</v>
      </c>
      <c r="F21" s="91">
        <v>-24787</v>
      </c>
      <c r="G21" t="str">
        <f>_xlfn.XLOOKUP($A21,Map!$A:$A,Map!C:C)</f>
        <v>BS</v>
      </c>
      <c r="H21" t="str">
        <f>_xlfn.XLOOKUP($A21,Map!$A:$A,Map!D:D)</f>
        <v>Non-Current Assets</v>
      </c>
      <c r="I21" t="str">
        <f>_xlfn.XLOOKUP($A21,Map!$A:$A,Map!E:E)</f>
        <v>Right of use</v>
      </c>
      <c r="J21" t="str">
        <f>_xlfn.XLOOKUP($A21,Map!$A:$A,Map!F:F)</f>
        <v>Depreciation/amortization of rights of use assets</v>
      </c>
    </row>
    <row r="22" spans="1:10" hidden="1" x14ac:dyDescent="0.25">
      <c r="A22" s="90">
        <v>121001</v>
      </c>
      <c r="B22" s="90" t="s">
        <v>18</v>
      </c>
      <c r="C22" s="91">
        <v>13762616.130000001</v>
      </c>
      <c r="D22" s="91">
        <v>0</v>
      </c>
      <c r="E22" s="91">
        <v>0</v>
      </c>
      <c r="F22" s="91">
        <v>13762616.130000001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Prepaid expenses</v>
      </c>
      <c r="J22" t="str">
        <f>_xlfn.XLOOKUP($A22,Map!$A:$A,Map!F:F)</f>
        <v>Pre Operating Exps</v>
      </c>
    </row>
    <row r="23" spans="1:10" hidden="1" x14ac:dyDescent="0.25">
      <c r="A23" s="90">
        <v>121002</v>
      </c>
      <c r="B23" s="90" t="s">
        <v>19</v>
      </c>
      <c r="C23" s="91">
        <v>-13762616.130000001</v>
      </c>
      <c r="D23" s="91">
        <v>0</v>
      </c>
      <c r="E23" s="91">
        <v>0</v>
      </c>
      <c r="F23" s="91">
        <v>-13762616.130000001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Prepaid expenses</v>
      </c>
      <c r="J23" t="str">
        <f>_xlfn.XLOOKUP($A23,Map!$A:$A,Map!F:F)</f>
        <v>Amortization Of Pre Operating Exps</v>
      </c>
    </row>
    <row r="24" spans="1:10" hidden="1" x14ac:dyDescent="0.25">
      <c r="A24" s="90">
        <v>130001</v>
      </c>
      <c r="B24" s="90" t="s">
        <v>20</v>
      </c>
      <c r="C24" s="91">
        <v>2068549.69</v>
      </c>
      <c r="D24" s="91">
        <v>134178567.455</v>
      </c>
      <c r="E24" s="91">
        <v>134764656.92500001</v>
      </c>
      <c r="F24" s="91">
        <v>1482460.22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hidden="1" x14ac:dyDescent="0.25">
      <c r="A25" s="90">
        <v>130002</v>
      </c>
      <c r="B25" s="90" t="s">
        <v>21</v>
      </c>
      <c r="C25" s="91">
        <v>6349.32</v>
      </c>
      <c r="D25" s="91">
        <v>130125282.089</v>
      </c>
      <c r="E25" s="91">
        <v>129353708.15899999</v>
      </c>
      <c r="F25" s="91">
        <v>777923.25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90">
        <v>130003</v>
      </c>
      <c r="B26" s="90" t="s">
        <v>22</v>
      </c>
      <c r="C26" s="91">
        <v>0</v>
      </c>
      <c r="D26" s="91">
        <v>7007.35</v>
      </c>
      <c r="E26" s="91">
        <v>7007.35</v>
      </c>
      <c r="F26" s="91">
        <v>0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90">
        <v>130004</v>
      </c>
      <c r="B27" s="90" t="s">
        <v>23</v>
      </c>
      <c r="C27" s="91">
        <v>281961.51</v>
      </c>
      <c r="D27" s="91">
        <v>17303388.670000002</v>
      </c>
      <c r="E27" s="91">
        <v>17440411.329999998</v>
      </c>
      <c r="F27" s="91">
        <v>144938.85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90">
        <v>130005</v>
      </c>
      <c r="B28" s="90" t="s">
        <v>24</v>
      </c>
      <c r="C28" s="91">
        <v>0</v>
      </c>
      <c r="D28" s="91">
        <v>3202</v>
      </c>
      <c r="E28" s="91">
        <v>3202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hidden="1" x14ac:dyDescent="0.25">
      <c r="A29" s="90">
        <v>130006</v>
      </c>
      <c r="B29" s="90" t="s">
        <v>25</v>
      </c>
      <c r="C29" s="91">
        <v>26670.35</v>
      </c>
      <c r="D29" s="91">
        <v>2330334.66</v>
      </c>
      <c r="E29" s="91">
        <v>2241995.6</v>
      </c>
      <c r="F29" s="91">
        <v>115009.41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hidden="1" x14ac:dyDescent="0.25">
      <c r="A30" s="90">
        <v>130007</v>
      </c>
      <c r="B30" s="90" t="s">
        <v>26</v>
      </c>
      <c r="C30" s="91">
        <v>1634615.09</v>
      </c>
      <c r="D30" s="91">
        <v>34493213.343999997</v>
      </c>
      <c r="E30" s="91">
        <v>34995828.303999998</v>
      </c>
      <c r="F30" s="91">
        <v>1132000.1299999999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Bank balances</v>
      </c>
    </row>
    <row r="31" spans="1:10" hidden="1" x14ac:dyDescent="0.25">
      <c r="A31" s="90">
        <v>130008</v>
      </c>
      <c r="B31" s="90" t="s">
        <v>247</v>
      </c>
      <c r="C31" s="91">
        <v>4769151.58</v>
      </c>
      <c r="D31" s="91">
        <v>77706214.900000006</v>
      </c>
      <c r="E31" s="91">
        <v>80865809.329999998</v>
      </c>
      <c r="F31" s="91">
        <v>1609557.15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Cash and cash equivalents</v>
      </c>
      <c r="J31" t="str">
        <f>_xlfn.XLOOKUP($A31,Map!$A:$A,Map!F:F)</f>
        <v>Bank balances</v>
      </c>
    </row>
    <row r="32" spans="1:10" hidden="1" x14ac:dyDescent="0.25">
      <c r="A32" s="90">
        <v>130009</v>
      </c>
      <c r="B32" s="90" t="s">
        <v>27</v>
      </c>
      <c r="C32" s="91">
        <v>0</v>
      </c>
      <c r="D32" s="91">
        <v>31451000.68</v>
      </c>
      <c r="E32" s="91">
        <v>30567417.18</v>
      </c>
      <c r="F32" s="91">
        <v>883583.5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Bank balances</v>
      </c>
    </row>
    <row r="33" spans="1:10" hidden="1" x14ac:dyDescent="0.25">
      <c r="A33" s="90">
        <v>130010</v>
      </c>
      <c r="B33" s="90" t="s">
        <v>28</v>
      </c>
      <c r="C33" s="91">
        <v>0</v>
      </c>
      <c r="D33" s="91">
        <v>14205354.698999999</v>
      </c>
      <c r="E33" s="91">
        <v>13786227.188999999</v>
      </c>
      <c r="F33" s="91">
        <v>419127.51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Bank balances</v>
      </c>
    </row>
    <row r="34" spans="1:10" hidden="1" x14ac:dyDescent="0.25">
      <c r="A34" s="90">
        <v>130099</v>
      </c>
      <c r="B34" s="90" t="s">
        <v>34</v>
      </c>
      <c r="C34" s="91">
        <v>0</v>
      </c>
      <c r="D34" s="91">
        <v>218353437.62</v>
      </c>
      <c r="E34" s="91">
        <v>218353437.62</v>
      </c>
      <c r="F34" s="91">
        <v>0</v>
      </c>
      <c r="G34" t="str">
        <f>_xlfn.XLOOKUP($A34,Map!$A:$A,Map!C:C)</f>
        <v>BS</v>
      </c>
      <c r="H34" t="str">
        <f>_xlfn.XLOOKUP($A34,Map!$A:$A,Map!D:D)</f>
        <v>Current Assets</v>
      </c>
      <c r="I34" t="str">
        <f>_xlfn.XLOOKUP($A34,Map!$A:$A,Map!E:E)</f>
        <v>Cash and cash equivalents</v>
      </c>
      <c r="J34" t="str">
        <f>_xlfn.XLOOKUP($A34,Map!$A:$A,Map!F:F)</f>
        <v>Bank balances</v>
      </c>
    </row>
    <row r="35" spans="1:10" hidden="1" x14ac:dyDescent="0.25">
      <c r="A35" s="90">
        <v>140001</v>
      </c>
      <c r="B35" s="90" t="s">
        <v>35</v>
      </c>
      <c r="C35" s="91">
        <v>38308186.048</v>
      </c>
      <c r="D35" s="91">
        <v>364298251.70700002</v>
      </c>
      <c r="E35" s="91">
        <v>359163078.426</v>
      </c>
      <c r="F35" s="91">
        <v>43443359.329000004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Trade receivables</v>
      </c>
      <c r="J35" t="str">
        <f>_xlfn.XLOOKUP($A35,Map!$A:$A,Map!F:F)</f>
        <v>Trade receivables - current</v>
      </c>
    </row>
    <row r="36" spans="1:10" hidden="1" x14ac:dyDescent="0.25">
      <c r="A36" s="90">
        <v>140010</v>
      </c>
      <c r="B36" s="90" t="s">
        <v>36</v>
      </c>
      <c r="C36" s="91">
        <v>0</v>
      </c>
      <c r="D36" s="91">
        <v>0</v>
      </c>
      <c r="E36" s="91">
        <v>0</v>
      </c>
      <c r="F36" s="91">
        <v>0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Trade receivables</v>
      </c>
      <c r="J36" t="str">
        <f>_xlfn.XLOOKUP($A36,Map!$A:$A,Map!F:F)</f>
        <v>Trade receivables - current</v>
      </c>
    </row>
    <row r="37" spans="1:10" hidden="1" x14ac:dyDescent="0.25">
      <c r="A37" s="90">
        <v>150001</v>
      </c>
      <c r="B37" s="90" t="s">
        <v>37</v>
      </c>
      <c r="C37" s="91">
        <v>383368</v>
      </c>
      <c r="D37" s="91">
        <v>407992.74</v>
      </c>
      <c r="E37" s="91">
        <v>274915</v>
      </c>
      <c r="F37" s="91">
        <v>516445.74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Prepaid expenses</v>
      </c>
      <c r="J37" t="str">
        <f>_xlfn.XLOOKUP($A37,Map!$A:$A,Map!F:F)</f>
        <v>Advances - current</v>
      </c>
    </row>
    <row r="38" spans="1:10" hidden="1" x14ac:dyDescent="0.25">
      <c r="A38" s="90">
        <v>160001</v>
      </c>
      <c r="B38" s="90" t="s">
        <v>39</v>
      </c>
      <c r="C38" s="91">
        <v>30246.880000000001</v>
      </c>
      <c r="D38" s="91">
        <v>426547.51400000002</v>
      </c>
      <c r="E38" s="91">
        <v>431364.424</v>
      </c>
      <c r="F38" s="91">
        <v>25429.97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Cash and cash equivalents</v>
      </c>
      <c r="J38" t="str">
        <f>_xlfn.XLOOKUP($A38,Map!$A:$A,Map!F:F)</f>
        <v>Petty cash</v>
      </c>
    </row>
    <row r="39" spans="1:10" hidden="1" x14ac:dyDescent="0.25">
      <c r="A39" s="90">
        <v>170000</v>
      </c>
      <c r="B39" s="90" t="s">
        <v>40</v>
      </c>
      <c r="C39" s="91">
        <v>821440.45499999996</v>
      </c>
      <c r="D39" s="91">
        <v>648788.24</v>
      </c>
      <c r="E39" s="91">
        <v>1415340.179</v>
      </c>
      <c r="F39" s="91">
        <v>54888.516000000003</v>
      </c>
      <c r="G39" t="str">
        <f>_xlfn.XLOOKUP($A39,Map!$A:$A,Map!C:C)</f>
        <v>BS</v>
      </c>
      <c r="H39" t="str">
        <f>_xlfn.XLOOKUP($A39,Map!$A:$A,Map!D:D)</f>
        <v>Current Liabilities</v>
      </c>
      <c r="I39" t="str">
        <f>_xlfn.XLOOKUP($A39,Map!$A:$A,Map!E:E)</f>
        <v>Short-term Murabaha loans</v>
      </c>
      <c r="J39" t="str">
        <f>_xlfn.XLOOKUP($A39,Map!$A:$A,Map!F:F)</f>
        <v>Prepayments - current</v>
      </c>
    </row>
    <row r="40" spans="1:10" hidden="1" x14ac:dyDescent="0.25">
      <c r="A40" s="90">
        <v>170001</v>
      </c>
      <c r="B40" s="90" t="s">
        <v>41</v>
      </c>
      <c r="C40" s="91">
        <v>0</v>
      </c>
      <c r="D40" s="91">
        <v>1016549.67</v>
      </c>
      <c r="E40" s="91">
        <v>144828.46</v>
      </c>
      <c r="F40" s="91">
        <v>871721.21</v>
      </c>
      <c r="G40" t="str">
        <f>_xlfn.XLOOKUP($A40,Map!$A:$A,Map!C:C)</f>
        <v>BS</v>
      </c>
      <c r="H40" t="str">
        <f>_xlfn.XLOOKUP($A40,Map!$A:$A,Map!D:D)</f>
        <v>Current Liabilities</v>
      </c>
      <c r="I40" t="str">
        <f>_xlfn.XLOOKUP($A40,Map!$A:$A,Map!E:E)</f>
        <v>Short-term Murabaha loans</v>
      </c>
      <c r="J40" t="str">
        <f>_xlfn.XLOOKUP($A40,Map!$A:$A,Map!F:F)</f>
        <v>Prepayments - current</v>
      </c>
    </row>
    <row r="41" spans="1:10" hidden="1" x14ac:dyDescent="0.25">
      <c r="A41" s="90">
        <v>170002</v>
      </c>
      <c r="B41" s="90" t="s">
        <v>42</v>
      </c>
      <c r="C41" s="91">
        <v>899145</v>
      </c>
      <c r="D41" s="91">
        <v>1799838.34</v>
      </c>
      <c r="E41" s="91">
        <v>2477513.4700000002</v>
      </c>
      <c r="F41" s="91">
        <v>221469.87</v>
      </c>
      <c r="G41" t="str">
        <f>_xlfn.XLOOKUP($A41,Map!$A:$A,Map!C:C)</f>
        <v>BS</v>
      </c>
      <c r="H41" t="str">
        <f>_xlfn.XLOOKUP($A41,Map!$A:$A,Map!D:D)</f>
        <v>Current Liabilities</v>
      </c>
      <c r="I41" t="str">
        <f>_xlfn.XLOOKUP($A41,Map!$A:$A,Map!E:E)</f>
        <v>Short-term Murabaha loans</v>
      </c>
      <c r="J41" t="str">
        <f>_xlfn.XLOOKUP($A41,Map!$A:$A,Map!F:F)</f>
        <v>Prepayments - current</v>
      </c>
    </row>
    <row r="42" spans="1:10" hidden="1" x14ac:dyDescent="0.25">
      <c r="A42" s="90">
        <v>170003</v>
      </c>
      <c r="B42" s="90" t="s">
        <v>43</v>
      </c>
      <c r="C42" s="91">
        <v>0</v>
      </c>
      <c r="D42" s="91">
        <v>0</v>
      </c>
      <c r="E42" s="91">
        <v>0</v>
      </c>
      <c r="F42" s="91">
        <v>0</v>
      </c>
      <c r="G42" t="str">
        <f>_xlfn.XLOOKUP($A42,Map!$A:$A,Map!C:C)</f>
        <v>BS</v>
      </c>
      <c r="H42" t="str">
        <f>_xlfn.XLOOKUP($A42,Map!$A:$A,Map!D:D)</f>
        <v>Current Liabilities</v>
      </c>
      <c r="I42" t="str">
        <f>_xlfn.XLOOKUP($A42,Map!$A:$A,Map!E:E)</f>
        <v>Short-term Murabaha loans</v>
      </c>
      <c r="J42" t="str">
        <f>_xlfn.XLOOKUP($A42,Map!$A:$A,Map!F:F)</f>
        <v>Prepayments - current</v>
      </c>
    </row>
    <row r="43" spans="1:10" hidden="1" x14ac:dyDescent="0.25">
      <c r="A43" s="90">
        <v>170004</v>
      </c>
      <c r="B43" s="90" t="s">
        <v>244</v>
      </c>
      <c r="C43" s="91">
        <v>0</v>
      </c>
      <c r="D43" s="91">
        <v>0</v>
      </c>
      <c r="E43" s="91">
        <v>0</v>
      </c>
      <c r="F43" s="91">
        <v>0</v>
      </c>
      <c r="G43" t="str">
        <f>_xlfn.XLOOKUP($A43,Map!$A:$A,Map!C:C)</f>
        <v>BS</v>
      </c>
      <c r="H43" t="str">
        <f>_xlfn.XLOOKUP($A43,Map!$A:$A,Map!D:D)</f>
        <v>Current Liabilities</v>
      </c>
      <c r="I43" t="str">
        <f>_xlfn.XLOOKUP($A43,Map!$A:$A,Map!E:E)</f>
        <v>Short-term Murabaha loans</v>
      </c>
      <c r="J43" t="str">
        <f>_xlfn.XLOOKUP($A43,Map!$A:$A,Map!F:F)</f>
        <v>Prepayments - current</v>
      </c>
    </row>
    <row r="44" spans="1:10" hidden="1" x14ac:dyDescent="0.25">
      <c r="A44" s="90">
        <v>170005</v>
      </c>
      <c r="B44" s="90" t="s">
        <v>44</v>
      </c>
      <c r="C44" s="91">
        <v>0</v>
      </c>
      <c r="D44" s="91">
        <v>0</v>
      </c>
      <c r="E44" s="91">
        <v>0</v>
      </c>
      <c r="F44" s="91">
        <v>0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Prepaid expenses</v>
      </c>
      <c r="J44" t="str">
        <f>_xlfn.XLOOKUP($A44,Map!$A:$A,Map!F:F)</f>
        <v>Deposits - current</v>
      </c>
    </row>
    <row r="45" spans="1:10" hidden="1" x14ac:dyDescent="0.25">
      <c r="A45" s="90">
        <v>170006</v>
      </c>
      <c r="B45" s="90" t="s">
        <v>45</v>
      </c>
      <c r="C45" s="91">
        <v>0</v>
      </c>
      <c r="D45" s="91">
        <v>467963.5</v>
      </c>
      <c r="E45" s="91">
        <v>467963.5</v>
      </c>
      <c r="F45" s="91">
        <v>0</v>
      </c>
      <c r="G45" t="str">
        <f>_xlfn.XLOOKUP($A45,Map!$A:$A,Map!C:C)</f>
        <v>BS</v>
      </c>
      <c r="H45" t="str">
        <f>_xlfn.XLOOKUP($A45,Map!$A:$A,Map!D:D)</f>
        <v>Current Assets</v>
      </c>
      <c r="I45" t="str">
        <f>_xlfn.XLOOKUP($A45,Map!$A:$A,Map!E:E)</f>
        <v>Prepaid expenses</v>
      </c>
      <c r="J45" t="str">
        <f>_xlfn.XLOOKUP($A45,Map!$A:$A,Map!F:F)</f>
        <v>Deposits - current</v>
      </c>
    </row>
    <row r="46" spans="1:10" hidden="1" x14ac:dyDescent="0.25">
      <c r="A46" s="90">
        <v>170007</v>
      </c>
      <c r="B46" s="90" t="s">
        <v>46</v>
      </c>
      <c r="C46" s="91">
        <v>0</v>
      </c>
      <c r="D46" s="91">
        <v>0</v>
      </c>
      <c r="E46" s="91">
        <v>0</v>
      </c>
      <c r="F46" s="91">
        <v>0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Prepaid expenses</v>
      </c>
      <c r="J46" t="str">
        <f>_xlfn.XLOOKUP($A46,Map!$A:$A,Map!F:F)</f>
        <v>Deposits - current</v>
      </c>
    </row>
    <row r="47" spans="1:10" hidden="1" x14ac:dyDescent="0.25">
      <c r="A47" s="90">
        <v>170008</v>
      </c>
      <c r="B47" s="90" t="s">
        <v>47</v>
      </c>
      <c r="C47" s="91">
        <v>0</v>
      </c>
      <c r="D47" s="91">
        <v>450889.49599999998</v>
      </c>
      <c r="E47" s="91">
        <v>375621.75599999999</v>
      </c>
      <c r="F47" s="91">
        <v>75267.740000000005</v>
      </c>
      <c r="G47" t="str">
        <f>_xlfn.XLOOKUP($A47,Map!$A:$A,Map!C:C)</f>
        <v>BS</v>
      </c>
      <c r="H47" t="str">
        <f>_xlfn.XLOOKUP($A47,Map!$A:$A,Map!D:D)</f>
        <v>Current Assets</v>
      </c>
      <c r="I47" t="str">
        <f>_xlfn.XLOOKUP($A47,Map!$A:$A,Map!E:E)</f>
        <v>Prepaid expenses</v>
      </c>
      <c r="J47" t="str">
        <f>_xlfn.XLOOKUP($A47,Map!$A:$A,Map!F:F)</f>
        <v>Deposits - current</v>
      </c>
    </row>
    <row r="48" spans="1:10" hidden="1" x14ac:dyDescent="0.25">
      <c r="A48" s="90">
        <v>170009</v>
      </c>
      <c r="B48" s="90" t="s">
        <v>48</v>
      </c>
      <c r="C48" s="91">
        <v>75235</v>
      </c>
      <c r="D48" s="91">
        <v>1168626.18</v>
      </c>
      <c r="E48" s="91">
        <v>1158348.18</v>
      </c>
      <c r="F48" s="91">
        <v>85513</v>
      </c>
      <c r="G48" t="str">
        <f>_xlfn.XLOOKUP($A48,Map!$A:$A,Map!C:C)</f>
        <v>BS</v>
      </c>
      <c r="H48" t="str">
        <f>_xlfn.XLOOKUP($A48,Map!$A:$A,Map!D:D)</f>
        <v>Current Assets</v>
      </c>
      <c r="I48" t="str">
        <f>_xlfn.XLOOKUP($A48,Map!$A:$A,Map!E:E)</f>
        <v>Prepaid expenses</v>
      </c>
      <c r="J48" t="str">
        <f>_xlfn.XLOOKUP($A48,Map!$A:$A,Map!F:F)</f>
        <v>Rent</v>
      </c>
    </row>
    <row r="49" spans="1:10" hidden="1" x14ac:dyDescent="0.25">
      <c r="A49" s="90">
        <v>170010</v>
      </c>
      <c r="B49" s="90" t="s">
        <v>49</v>
      </c>
      <c r="C49" s="91">
        <v>0</v>
      </c>
      <c r="D49" s="91">
        <v>819364</v>
      </c>
      <c r="E49" s="91">
        <v>819364</v>
      </c>
      <c r="F49" s="91">
        <v>0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Prepaid expenses</v>
      </c>
      <c r="J49" t="str">
        <f>_xlfn.XLOOKUP($A49,Map!$A:$A,Map!F:F)</f>
        <v>Housing allowance</v>
      </c>
    </row>
    <row r="50" spans="1:10" hidden="1" x14ac:dyDescent="0.25">
      <c r="A50" s="90">
        <v>170011</v>
      </c>
      <c r="B50" s="90" t="s">
        <v>50</v>
      </c>
      <c r="C50" s="91">
        <v>175000</v>
      </c>
      <c r="D50" s="91">
        <v>2438753.19</v>
      </c>
      <c r="E50" s="91">
        <v>1159870.3899999999</v>
      </c>
      <c r="F50" s="91">
        <v>1453882.8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Prepaid expenses</v>
      </c>
      <c r="J50" t="str">
        <f>_xlfn.XLOOKUP($A50,Map!$A:$A,Map!F:F)</f>
        <v>Air tickets</v>
      </c>
    </row>
    <row r="51" spans="1:10" hidden="1" x14ac:dyDescent="0.25">
      <c r="A51" s="90">
        <v>170012</v>
      </c>
      <c r="B51" s="90" t="s">
        <v>51</v>
      </c>
      <c r="C51" s="91">
        <v>0</v>
      </c>
      <c r="D51" s="91">
        <v>214300</v>
      </c>
      <c r="E51" s="91">
        <v>0</v>
      </c>
      <c r="F51" s="91">
        <v>214300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Prepaid expenses</v>
      </c>
      <c r="J51" t="str">
        <f>_xlfn.XLOOKUP($A51,Map!$A:$A,Map!F:F)</f>
        <v>Furniture allowance</v>
      </c>
    </row>
    <row r="52" spans="1:10" hidden="1" x14ac:dyDescent="0.25">
      <c r="A52" s="90">
        <v>170013</v>
      </c>
      <c r="B52" s="90" t="s">
        <v>52</v>
      </c>
      <c r="C52" s="91">
        <v>64000</v>
      </c>
      <c r="D52" s="91">
        <v>503999.59899999999</v>
      </c>
      <c r="E52" s="91">
        <v>500000</v>
      </c>
      <c r="F52" s="91">
        <v>67999.599000000002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Prepaid expenses</v>
      </c>
      <c r="J52" t="str">
        <f>_xlfn.XLOOKUP($A52,Map!$A:$A,Map!F:F)</f>
        <v>Insurance</v>
      </c>
    </row>
    <row r="53" spans="1:10" hidden="1" x14ac:dyDescent="0.25">
      <c r="A53" s="90">
        <v>170014</v>
      </c>
      <c r="B53" s="90" t="s">
        <v>53</v>
      </c>
      <c r="C53" s="91">
        <v>321097</v>
      </c>
      <c r="D53" s="91">
        <v>605030.696</v>
      </c>
      <c r="E53" s="91">
        <v>590577.99600000004</v>
      </c>
      <c r="F53" s="91">
        <v>335549.7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Prepaid expenses</v>
      </c>
      <c r="J53" t="str">
        <f>_xlfn.XLOOKUP($A53,Map!$A:$A,Map!F:F)</f>
        <v>Insurance</v>
      </c>
    </row>
    <row r="54" spans="1:10" hidden="1" x14ac:dyDescent="0.25">
      <c r="A54" s="90">
        <v>170015</v>
      </c>
      <c r="B54" s="90" t="s">
        <v>54</v>
      </c>
      <c r="C54" s="91">
        <v>0</v>
      </c>
      <c r="D54" s="91">
        <v>23072.5</v>
      </c>
      <c r="E54" s="91">
        <v>23072.5</v>
      </c>
      <c r="F54" s="91">
        <v>0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Prepaid expenses</v>
      </c>
      <c r="J54" t="str">
        <f>_xlfn.XLOOKUP($A54,Map!$A:$A,Map!F:F)</f>
        <v>Salaries and wages</v>
      </c>
    </row>
    <row r="55" spans="1:10" hidden="1" x14ac:dyDescent="0.25">
      <c r="A55" s="90">
        <v>170016</v>
      </c>
      <c r="B55" s="90" t="s">
        <v>55</v>
      </c>
      <c r="C55" s="91">
        <v>323178</v>
      </c>
      <c r="D55" s="91">
        <v>0</v>
      </c>
      <c r="E55" s="91">
        <v>323178</v>
      </c>
      <c r="F55" s="91">
        <v>0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Prepaid expenses</v>
      </c>
      <c r="J55" t="str">
        <f>_xlfn.XLOOKUP($A55,Map!$A:$A,Map!F:F)</f>
        <v>Other receivables - current</v>
      </c>
    </row>
    <row r="56" spans="1:10" hidden="1" x14ac:dyDescent="0.25">
      <c r="A56" s="90">
        <v>180001</v>
      </c>
      <c r="B56" s="90" t="s">
        <v>60</v>
      </c>
      <c r="C56" s="91">
        <v>0</v>
      </c>
      <c r="D56" s="91">
        <v>1721796.615</v>
      </c>
      <c r="E56" s="91">
        <v>1721796.615</v>
      </c>
      <c r="F56" s="91">
        <v>0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Inventories</v>
      </c>
      <c r="J56" t="str">
        <f>_xlfn.XLOOKUP($A56,Map!$A:$A,Map!F:F)</f>
        <v>Raw materials - Inventory</v>
      </c>
    </row>
    <row r="57" spans="1:10" hidden="1" x14ac:dyDescent="0.25">
      <c r="A57" s="90">
        <v>180002</v>
      </c>
      <c r="B57" s="90" t="s">
        <v>61</v>
      </c>
      <c r="C57" s="91">
        <v>0</v>
      </c>
      <c r="D57" s="91">
        <v>0</v>
      </c>
      <c r="E57" s="91">
        <v>0</v>
      </c>
      <c r="F57" s="91">
        <v>0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Inventories</v>
      </c>
      <c r="J57" t="str">
        <f>_xlfn.XLOOKUP($A57,Map!$A:$A,Map!F:F)</f>
        <v>Raw materials - Inventory</v>
      </c>
    </row>
    <row r="58" spans="1:10" hidden="1" x14ac:dyDescent="0.25">
      <c r="A58" s="90">
        <v>180003</v>
      </c>
      <c r="B58" s="90" t="s">
        <v>62</v>
      </c>
      <c r="C58" s="91">
        <v>6617901.977</v>
      </c>
      <c r="D58" s="91">
        <v>7500450.9469999997</v>
      </c>
      <c r="E58" s="91">
        <v>4782913.676</v>
      </c>
      <c r="F58" s="91">
        <v>9335439.2479999997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Inventories</v>
      </c>
      <c r="J58" t="str">
        <f>_xlfn.XLOOKUP($A58,Map!$A:$A,Map!F:F)</f>
        <v>Spare parts - Inventory</v>
      </c>
    </row>
    <row r="59" spans="1:10" hidden="1" x14ac:dyDescent="0.25">
      <c r="A59" s="90">
        <v>180004</v>
      </c>
      <c r="B59" s="90" t="s">
        <v>63</v>
      </c>
      <c r="C59" s="91">
        <v>17461290.598000001</v>
      </c>
      <c r="D59" s="91">
        <v>32230473.192000002</v>
      </c>
      <c r="E59" s="91">
        <v>39338154.954000004</v>
      </c>
      <c r="F59" s="91">
        <v>10353608.835999999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Inventories</v>
      </c>
      <c r="J59" t="str">
        <f>_xlfn.XLOOKUP($A59,Map!$A:$A,Map!F:F)</f>
        <v>Raw materials - Inventory</v>
      </c>
    </row>
    <row r="60" spans="1:10" hidden="1" x14ac:dyDescent="0.25">
      <c r="A60" s="90">
        <v>180005</v>
      </c>
      <c r="B60" s="90" t="s">
        <v>64</v>
      </c>
      <c r="C60" s="91">
        <v>13671938.976</v>
      </c>
      <c r="D60" s="91">
        <v>36354681.316</v>
      </c>
      <c r="E60" s="91">
        <v>35102863.822999999</v>
      </c>
      <c r="F60" s="91">
        <v>14923756.469000001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Inventories</v>
      </c>
      <c r="J60" t="str">
        <f>_xlfn.XLOOKUP($A60,Map!$A:$A,Map!F:F)</f>
        <v>Raw materials - Inventory</v>
      </c>
    </row>
    <row r="61" spans="1:10" hidden="1" x14ac:dyDescent="0.25">
      <c r="A61" s="90">
        <v>180006</v>
      </c>
      <c r="B61" s="90" t="s">
        <v>65</v>
      </c>
      <c r="C61" s="91">
        <v>3405824.1009999998</v>
      </c>
      <c r="D61" s="91">
        <v>3116836.3450000002</v>
      </c>
      <c r="E61" s="91">
        <v>4852856.733</v>
      </c>
      <c r="F61" s="91">
        <v>1669803.713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Inventories</v>
      </c>
      <c r="J61" t="str">
        <f>_xlfn.XLOOKUP($A61,Map!$A:$A,Map!F:F)</f>
        <v>Raw materials - Inventory</v>
      </c>
    </row>
    <row r="62" spans="1:10" hidden="1" x14ac:dyDescent="0.25">
      <c r="A62" s="90">
        <v>180007</v>
      </c>
      <c r="B62" s="90" t="s">
        <v>66</v>
      </c>
      <c r="C62" s="91">
        <v>1973924.3</v>
      </c>
      <c r="D62" s="91">
        <v>17387180.508000001</v>
      </c>
      <c r="E62" s="91">
        <v>15141707.989</v>
      </c>
      <c r="F62" s="91">
        <v>4219396.8190000001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Inventories</v>
      </c>
      <c r="J62" t="str">
        <f>_xlfn.XLOOKUP($A62,Map!$A:$A,Map!F:F)</f>
        <v>Raw materials - Inventory</v>
      </c>
    </row>
    <row r="63" spans="1:10" hidden="1" x14ac:dyDescent="0.25">
      <c r="A63" s="90">
        <v>180008</v>
      </c>
      <c r="B63" s="90" t="s">
        <v>67</v>
      </c>
      <c r="C63" s="91">
        <v>1868994.2479999999</v>
      </c>
      <c r="D63" s="91">
        <v>700490.9</v>
      </c>
      <c r="E63" s="91">
        <v>969559.48400000005</v>
      </c>
      <c r="F63" s="91">
        <v>1599925.6640000001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Raw materials - Inventory</v>
      </c>
    </row>
    <row r="64" spans="1:10" hidden="1" x14ac:dyDescent="0.25">
      <c r="A64" s="90">
        <v>180009</v>
      </c>
      <c r="B64" s="90" t="s">
        <v>68</v>
      </c>
      <c r="C64" s="91">
        <v>-4.0000000000000001E-3</v>
      </c>
      <c r="D64" s="91">
        <v>88437805.482999995</v>
      </c>
      <c r="E64" s="91">
        <v>88437805.479000002</v>
      </c>
      <c r="F64" s="91">
        <v>0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Inventories</v>
      </c>
      <c r="J64" t="str">
        <f>_xlfn.XLOOKUP($A64,Map!$A:$A,Map!F:F)</f>
        <v>Raw materials - Inventory</v>
      </c>
    </row>
    <row r="65" spans="1:10" hidden="1" x14ac:dyDescent="0.25">
      <c r="A65" s="90">
        <v>180010</v>
      </c>
      <c r="B65" s="90" t="s">
        <v>69</v>
      </c>
      <c r="C65" s="91">
        <v>3284487.0350000001</v>
      </c>
      <c r="D65" s="91">
        <v>9338576.8110000007</v>
      </c>
      <c r="E65" s="91">
        <v>8379142.4720000001</v>
      </c>
      <c r="F65" s="91">
        <v>4243921.3739999998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Inventories</v>
      </c>
      <c r="J65" t="str">
        <f>_xlfn.XLOOKUP($A65,Map!$A:$A,Map!F:F)</f>
        <v>Packaging materials - Inventory</v>
      </c>
    </row>
    <row r="66" spans="1:10" hidden="1" x14ac:dyDescent="0.25">
      <c r="A66" s="90">
        <v>180011</v>
      </c>
      <c r="B66" s="90" t="s">
        <v>70</v>
      </c>
      <c r="C66" s="91">
        <v>5990529.9390000002</v>
      </c>
      <c r="D66" s="91">
        <v>36329061.310999997</v>
      </c>
      <c r="E66" s="91">
        <v>37402719.285999998</v>
      </c>
      <c r="F66" s="91">
        <v>4916871.9639999997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Inventories</v>
      </c>
      <c r="J66" t="str">
        <f>_xlfn.XLOOKUP($A66,Map!$A:$A,Map!F:F)</f>
        <v>Finished goods - Inventory</v>
      </c>
    </row>
    <row r="67" spans="1:10" hidden="1" x14ac:dyDescent="0.25">
      <c r="A67" s="90">
        <v>180012</v>
      </c>
      <c r="B67" s="90" t="s">
        <v>71</v>
      </c>
      <c r="C67" s="91">
        <v>4155373.4410000001</v>
      </c>
      <c r="D67" s="91">
        <v>45249662.266999997</v>
      </c>
      <c r="E67" s="91">
        <v>43081025.902999997</v>
      </c>
      <c r="F67" s="91">
        <v>6324009.8049999997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Inventories</v>
      </c>
      <c r="J67" t="str">
        <f>_xlfn.XLOOKUP($A67,Map!$A:$A,Map!F:F)</f>
        <v>Work in progress - Inventory</v>
      </c>
    </row>
    <row r="68" spans="1:10" hidden="1" x14ac:dyDescent="0.25">
      <c r="A68" s="90">
        <v>180013</v>
      </c>
      <c r="B68" s="90" t="s">
        <v>72</v>
      </c>
      <c r="C68" s="91">
        <v>8323970.4850000003</v>
      </c>
      <c r="D68" s="91">
        <v>12750894.013</v>
      </c>
      <c r="E68" s="91">
        <v>14475834.356000001</v>
      </c>
      <c r="F68" s="91">
        <v>6599030.142</v>
      </c>
      <c r="G68" t="str">
        <f>_xlfn.XLOOKUP($A68,Map!$A:$A,Map!C:C)</f>
        <v>BS</v>
      </c>
      <c r="H68" t="str">
        <f>_xlfn.XLOOKUP($A68,Map!$A:$A,Map!D:D)</f>
        <v>Current Assets</v>
      </c>
      <c r="I68" t="str">
        <f>_xlfn.XLOOKUP($A68,Map!$A:$A,Map!E:E)</f>
        <v>Inventories</v>
      </c>
      <c r="J68" t="str">
        <f>_xlfn.XLOOKUP($A68,Map!$A:$A,Map!F:F)</f>
        <v>Finished goods - Inventory</v>
      </c>
    </row>
    <row r="69" spans="1:10" hidden="1" x14ac:dyDescent="0.25">
      <c r="A69" s="90">
        <v>180014</v>
      </c>
      <c r="B69" s="90" t="s">
        <v>73</v>
      </c>
      <c r="C69" s="91">
        <v>0</v>
      </c>
      <c r="D69" s="91">
        <v>50971249.057999998</v>
      </c>
      <c r="E69" s="91">
        <v>50971249.057999998</v>
      </c>
      <c r="F69" s="91">
        <v>0</v>
      </c>
      <c r="G69" t="str">
        <f>_xlfn.XLOOKUP($A69,Map!$A:$A,Map!C:C)</f>
        <v>BS</v>
      </c>
      <c r="H69" t="str">
        <f>_xlfn.XLOOKUP($A69,Map!$A:$A,Map!D:D)</f>
        <v>Current Assets</v>
      </c>
      <c r="I69" t="str">
        <f>_xlfn.XLOOKUP($A69,Map!$A:$A,Map!E:E)</f>
        <v>Inventories</v>
      </c>
      <c r="J69" t="str">
        <f>_xlfn.XLOOKUP($A69,Map!$A:$A,Map!F:F)</f>
        <v>Work in progress - Inventory</v>
      </c>
    </row>
    <row r="70" spans="1:10" hidden="1" x14ac:dyDescent="0.25">
      <c r="A70" s="90">
        <v>180096</v>
      </c>
      <c r="B70" s="90" t="s">
        <v>74</v>
      </c>
      <c r="C70" s="91">
        <v>-2E-3</v>
      </c>
      <c r="D70" s="91">
        <v>42523083.641999997</v>
      </c>
      <c r="E70" s="91">
        <v>42523083.640000001</v>
      </c>
      <c r="F70" s="91">
        <v>0</v>
      </c>
      <c r="G70" t="str">
        <f>_xlfn.XLOOKUP($A70,Map!$A:$A,Map!C:C)</f>
        <v>BS</v>
      </c>
      <c r="H70" t="str">
        <f>_xlfn.XLOOKUP($A70,Map!$A:$A,Map!D:D)</f>
        <v>Current Assets</v>
      </c>
      <c r="I70" t="str">
        <f>_xlfn.XLOOKUP($A70,Map!$A:$A,Map!E:E)</f>
        <v>Inventories</v>
      </c>
      <c r="J70" t="str">
        <f>_xlfn.XLOOKUP($A70,Map!$A:$A,Map!F:F)</f>
        <v>Work in progress - Inventory</v>
      </c>
    </row>
    <row r="71" spans="1:10" hidden="1" x14ac:dyDescent="0.25">
      <c r="A71" s="90">
        <v>180097</v>
      </c>
      <c r="B71" s="90" t="s">
        <v>75</v>
      </c>
      <c r="C71" s="91">
        <v>0</v>
      </c>
      <c r="D71" s="91">
        <v>0</v>
      </c>
      <c r="E71" s="91">
        <v>0</v>
      </c>
      <c r="F71" s="91">
        <v>0</v>
      </c>
      <c r="G71" t="str">
        <f>_xlfn.XLOOKUP($A71,Map!$A:$A,Map!C:C)</f>
        <v>BS</v>
      </c>
      <c r="H71" t="str">
        <f>_xlfn.XLOOKUP($A71,Map!$A:$A,Map!D:D)</f>
        <v>Current Assets</v>
      </c>
      <c r="I71" t="str">
        <f>_xlfn.XLOOKUP($A71,Map!$A:$A,Map!E:E)</f>
        <v>Inventories</v>
      </c>
      <c r="J71" t="str">
        <f>_xlfn.XLOOKUP($A71,Map!$A:$A,Map!F:F)</f>
        <v>Work in progress - Inventory</v>
      </c>
    </row>
    <row r="72" spans="1:10" hidden="1" x14ac:dyDescent="0.25">
      <c r="A72" s="90">
        <v>180098</v>
      </c>
      <c r="B72" s="90" t="s">
        <v>76</v>
      </c>
      <c r="C72" s="91">
        <v>0</v>
      </c>
      <c r="D72" s="91">
        <v>23437.505000000001</v>
      </c>
      <c r="E72" s="91">
        <v>23437.51</v>
      </c>
      <c r="F72" s="91">
        <v>-5.0000000000000001E-3</v>
      </c>
      <c r="G72" t="str">
        <f>_xlfn.XLOOKUP($A72,Map!$A:$A,Map!C:C)</f>
        <v>BS</v>
      </c>
      <c r="H72" t="str">
        <f>_xlfn.XLOOKUP($A72,Map!$A:$A,Map!D:D)</f>
        <v>Current Assets</v>
      </c>
      <c r="I72" t="str">
        <f>_xlfn.XLOOKUP($A72,Map!$A:$A,Map!E:E)</f>
        <v>Inventories</v>
      </c>
      <c r="J72" t="str">
        <f>_xlfn.XLOOKUP($A72,Map!$A:$A,Map!F:F)</f>
        <v>Work in progress - Inventory</v>
      </c>
    </row>
    <row r="73" spans="1:10" hidden="1" x14ac:dyDescent="0.25">
      <c r="A73" s="90">
        <v>180099</v>
      </c>
      <c r="B73" s="90" t="s">
        <v>77</v>
      </c>
      <c r="C73" s="91">
        <v>0</v>
      </c>
      <c r="D73" s="91">
        <v>198980.37100000001</v>
      </c>
      <c r="E73" s="91">
        <v>198980.36600000001</v>
      </c>
      <c r="F73" s="91">
        <v>5.0000000000000001E-3</v>
      </c>
      <c r="G73" t="str">
        <f>_xlfn.XLOOKUP($A73,Map!$A:$A,Map!C:C)</f>
        <v>BS</v>
      </c>
      <c r="H73" t="str">
        <f>_xlfn.XLOOKUP($A73,Map!$A:$A,Map!D:D)</f>
        <v>Current Assets</v>
      </c>
      <c r="I73" t="str">
        <f>_xlfn.XLOOKUP($A73,Map!$A:$A,Map!E:E)</f>
        <v>Inventories</v>
      </c>
      <c r="J73" t="str">
        <f>_xlfn.XLOOKUP($A73,Map!$A:$A,Map!F:F)</f>
        <v>Goods in transit - Inventory</v>
      </c>
    </row>
    <row r="74" spans="1:10" x14ac:dyDescent="0.25">
      <c r="A74" s="90">
        <v>210001</v>
      </c>
      <c r="B74" s="90" t="s">
        <v>78</v>
      </c>
      <c r="C74" s="91">
        <v>1927200.7350000001</v>
      </c>
      <c r="D74" s="91">
        <v>147932145.26699999</v>
      </c>
      <c r="E74" s="91">
        <v>148169195.51800001</v>
      </c>
      <c r="F74" s="91">
        <v>1690150.4839999999</v>
      </c>
      <c r="G74" t="str">
        <f>_xlfn.XLOOKUP($A74,Map!$A:$A,Map!C:C)</f>
        <v>BS</v>
      </c>
      <c r="H74" t="str">
        <f>_xlfn.XLOOKUP($A74,Map!$A:$A,Map!D:D)</f>
        <v>Current Liabilities</v>
      </c>
      <c r="I74" t="str">
        <f>_xlfn.XLOOKUP($A74,Map!$A:$A,Map!E:E)</f>
        <v>Tade payables and Accuals &amp; other credit balances</v>
      </c>
      <c r="J74" t="str">
        <f>_xlfn.XLOOKUP($A74,Map!$A:$A,Map!F:F)</f>
        <v>Trade payables - Foreign</v>
      </c>
    </row>
    <row r="75" spans="1:10" x14ac:dyDescent="0.25">
      <c r="A75" s="90">
        <v>210002</v>
      </c>
      <c r="B75" s="90" t="s">
        <v>79</v>
      </c>
      <c r="C75" s="91">
        <v>-3502984.73</v>
      </c>
      <c r="D75" s="91">
        <v>70069207.607999995</v>
      </c>
      <c r="E75" s="91">
        <v>70702468.783999994</v>
      </c>
      <c r="F75" s="91">
        <v>-4136245.906</v>
      </c>
      <c r="G75" t="str">
        <f>_xlfn.XLOOKUP($A75,Map!$A:$A,Map!C:C)</f>
        <v>BS</v>
      </c>
      <c r="H75" t="str">
        <f>_xlfn.XLOOKUP($A75,Map!$A:$A,Map!D:D)</f>
        <v>Current Liabilities</v>
      </c>
      <c r="I75" t="str">
        <f>_xlfn.XLOOKUP($A75,Map!$A:$A,Map!E:E)</f>
        <v>Tade payables and Accuals &amp; other credit balances</v>
      </c>
      <c r="J75" t="str">
        <f>_xlfn.XLOOKUP($A75,Map!$A:$A,Map!F:F)</f>
        <v>Trade payables - Local</v>
      </c>
    </row>
    <row r="76" spans="1:10" hidden="1" x14ac:dyDescent="0.25">
      <c r="A76" s="90">
        <v>220001</v>
      </c>
      <c r="B76" s="90" t="s">
        <v>80</v>
      </c>
      <c r="C76" s="91">
        <v>0</v>
      </c>
      <c r="D76" s="91">
        <v>0</v>
      </c>
      <c r="E76" s="91">
        <v>0</v>
      </c>
      <c r="F76" s="91">
        <v>0</v>
      </c>
      <c r="G76" t="str">
        <f>_xlfn.XLOOKUP($A76,Map!$A:$A,Map!C:C)</f>
        <v>BS</v>
      </c>
      <c r="H76" t="str">
        <f>_xlfn.XLOOKUP($A76,Map!$A:$A,Map!D:D)</f>
        <v>Current Liabilities</v>
      </c>
      <c r="I76" t="str">
        <f>_xlfn.XLOOKUP($A76,Map!$A:$A,Map!E:E)</f>
        <v>Short-term Murabaha loans</v>
      </c>
      <c r="J76" t="str">
        <f>_xlfn.XLOOKUP($A76,Map!$A:$A,Map!F:F)</f>
        <v>Other loans - current</v>
      </c>
    </row>
    <row r="77" spans="1:10" hidden="1" x14ac:dyDescent="0.25">
      <c r="A77" s="90">
        <v>220002</v>
      </c>
      <c r="B77" s="90" t="s">
        <v>81</v>
      </c>
      <c r="C77" s="91">
        <v>0</v>
      </c>
      <c r="D77" s="91">
        <v>0</v>
      </c>
      <c r="E77" s="91">
        <v>0</v>
      </c>
      <c r="F77" s="91">
        <v>0</v>
      </c>
      <c r="G77" t="str">
        <f>_xlfn.XLOOKUP($A77,Map!$A:$A,Map!C:C)</f>
        <v>BS</v>
      </c>
      <c r="H77" t="str">
        <f>_xlfn.XLOOKUP($A77,Map!$A:$A,Map!D:D)</f>
        <v>Current Liabilities</v>
      </c>
      <c r="I77" t="str">
        <f>_xlfn.XLOOKUP($A77,Map!$A:$A,Map!E:E)</f>
        <v>Short-term Murabaha loans</v>
      </c>
      <c r="J77" t="str">
        <f>_xlfn.XLOOKUP($A77,Map!$A:$A,Map!F:F)</f>
        <v>Other loans - current</v>
      </c>
    </row>
    <row r="78" spans="1:10" hidden="1" x14ac:dyDescent="0.25">
      <c r="A78" s="90">
        <v>220003</v>
      </c>
      <c r="B78" s="90" t="s">
        <v>82</v>
      </c>
      <c r="C78" s="91">
        <v>0</v>
      </c>
      <c r="D78" s="91">
        <v>0</v>
      </c>
      <c r="E78" s="91">
        <v>0</v>
      </c>
      <c r="F78" s="91">
        <v>0</v>
      </c>
      <c r="G78" t="str">
        <f>_xlfn.XLOOKUP($A78,Map!$A:$A,Map!C:C)</f>
        <v>BS</v>
      </c>
      <c r="H78" t="str">
        <f>_xlfn.XLOOKUP($A78,Map!$A:$A,Map!D:D)</f>
        <v>Current Liabilities</v>
      </c>
      <c r="I78" t="str">
        <f>_xlfn.XLOOKUP($A78,Map!$A:$A,Map!E:E)</f>
        <v>Short-term Murabaha loans</v>
      </c>
      <c r="J78" t="str">
        <f>_xlfn.XLOOKUP($A78,Map!$A:$A,Map!F:F)</f>
        <v>Other loans - current</v>
      </c>
    </row>
    <row r="79" spans="1:10" hidden="1" x14ac:dyDescent="0.25">
      <c r="A79" s="90">
        <v>220004</v>
      </c>
      <c r="B79" s="90" t="s">
        <v>83</v>
      </c>
      <c r="C79" s="91">
        <v>-42806538.75</v>
      </c>
      <c r="D79" s="91">
        <v>57594716.778999999</v>
      </c>
      <c r="E79" s="91">
        <v>23111433.039000001</v>
      </c>
      <c r="F79" s="91">
        <v>-8323255.0099999998</v>
      </c>
      <c r="G79" t="str">
        <f>_xlfn.XLOOKUP($A79,Map!$A:$A,Map!C:C)</f>
        <v>BS</v>
      </c>
      <c r="H79" t="str">
        <f>_xlfn.XLOOKUP($A79,Map!$A:$A,Map!D:D)</f>
        <v>Current Liabilities</v>
      </c>
      <c r="I79" t="str">
        <f>_xlfn.XLOOKUP($A79,Map!$A:$A,Map!E:E)</f>
        <v>Short-term Murabaha loans</v>
      </c>
      <c r="J79" t="str">
        <f>_xlfn.XLOOKUP($A79,Map!$A:$A,Map!F:F)</f>
        <v>Other loans - current</v>
      </c>
    </row>
    <row r="80" spans="1:10" hidden="1" x14ac:dyDescent="0.25">
      <c r="A80" s="90">
        <v>220005</v>
      </c>
      <c r="B80" s="90" t="s">
        <v>84</v>
      </c>
      <c r="C80" s="91">
        <v>-19749145</v>
      </c>
      <c r="D80" s="91">
        <v>50478604.967</v>
      </c>
      <c r="E80" s="91">
        <v>54888799.387000002</v>
      </c>
      <c r="F80" s="91">
        <v>-24159339.420000002</v>
      </c>
      <c r="G80" t="str">
        <f>_xlfn.XLOOKUP($A80,Map!$A:$A,Map!C:C)</f>
        <v>BS</v>
      </c>
      <c r="H80" t="str">
        <f>_xlfn.XLOOKUP($A80,Map!$A:$A,Map!D:D)</f>
        <v>Current Liabilities</v>
      </c>
      <c r="I80" t="str">
        <f>_xlfn.XLOOKUP($A80,Map!$A:$A,Map!E:E)</f>
        <v>Short-term Murabaha loans</v>
      </c>
      <c r="J80" t="str">
        <f>_xlfn.XLOOKUP($A80,Map!$A:$A,Map!F:F)</f>
        <v>Other loans - current</v>
      </c>
    </row>
    <row r="81" spans="1:10" hidden="1" x14ac:dyDescent="0.25">
      <c r="A81" s="90">
        <v>220006</v>
      </c>
      <c r="B81" s="90" t="s">
        <v>85</v>
      </c>
      <c r="C81" s="91">
        <v>0</v>
      </c>
      <c r="D81" s="91">
        <v>0</v>
      </c>
      <c r="E81" s="91">
        <v>36223842.005999997</v>
      </c>
      <c r="F81" s="91">
        <v>-36223842.005999997</v>
      </c>
      <c r="G81" t="str">
        <f>_xlfn.XLOOKUP($A81,Map!$A:$A,Map!C:C)</f>
        <v>BS</v>
      </c>
      <c r="H81" t="str">
        <f>_xlfn.XLOOKUP($A81,Map!$A:$A,Map!D:D)</f>
        <v>Current Liabilities</v>
      </c>
      <c r="I81" t="str">
        <f>_xlfn.XLOOKUP($A81,Map!$A:$A,Map!E:E)</f>
        <v>Short-term Murabaha loans</v>
      </c>
      <c r="J81" t="str">
        <f>_xlfn.XLOOKUP($A81,Map!$A:$A,Map!F:F)</f>
        <v>Other loans - current</v>
      </c>
    </row>
    <row r="82" spans="1:10" x14ac:dyDescent="0.25">
      <c r="A82" s="90">
        <v>230001</v>
      </c>
      <c r="B82" s="90" t="s">
        <v>86</v>
      </c>
      <c r="C82" s="91">
        <v>0</v>
      </c>
      <c r="D82" s="91">
        <v>124257755</v>
      </c>
      <c r="E82" s="91">
        <v>124257755</v>
      </c>
      <c r="F82" s="91">
        <v>0</v>
      </c>
      <c r="G82" t="str">
        <f>_xlfn.XLOOKUP($A82,Map!$A:$A,Map!C:C)</f>
        <v>BS</v>
      </c>
      <c r="H82" t="str">
        <f>_xlfn.XLOOKUP($A82,Map!$A:$A,Map!D:D)</f>
        <v>Current Liabilities</v>
      </c>
      <c r="I82" t="str">
        <f>_xlfn.XLOOKUP($A82,Map!$A:$A,Map!E:E)</f>
        <v>Tade payables and Accuals &amp; other credit balances</v>
      </c>
      <c r="J82" t="str">
        <f>_xlfn.XLOOKUP($A82,Map!$A:$A,Map!F:F)</f>
        <v>Clearing account</v>
      </c>
    </row>
    <row r="83" spans="1:10" x14ac:dyDescent="0.25">
      <c r="A83" s="90">
        <v>240001</v>
      </c>
      <c r="B83" s="90" t="s">
        <v>87</v>
      </c>
      <c r="C83" s="91">
        <v>0</v>
      </c>
      <c r="D83" s="91">
        <v>4851837.1140000001</v>
      </c>
      <c r="E83" s="91">
        <v>4851837.1109999996</v>
      </c>
      <c r="F83" s="91">
        <v>3.0000000000000001E-3</v>
      </c>
      <c r="G83" t="str">
        <f>_xlfn.XLOOKUP($A83,Map!$A:$A,Map!C:C)</f>
        <v>BS</v>
      </c>
      <c r="H83" t="str">
        <f>_xlfn.XLOOKUP($A83,Map!$A:$A,Map!D:D)</f>
        <v>Current Liabilities</v>
      </c>
      <c r="I83" t="str">
        <f>_xlfn.XLOOKUP($A83,Map!$A:$A,Map!E:E)</f>
        <v>Tade payables and Accuals &amp; other credit balances</v>
      </c>
      <c r="J83" t="str">
        <f>_xlfn.XLOOKUP($A83,Map!$A:$A,Map!F:F)</f>
        <v>Overhead</v>
      </c>
    </row>
    <row r="84" spans="1:10" x14ac:dyDescent="0.25">
      <c r="A84" s="90">
        <v>240002</v>
      </c>
      <c r="B84" s="90" t="s">
        <v>88</v>
      </c>
      <c r="C84" s="91">
        <v>845508</v>
      </c>
      <c r="D84" s="91">
        <v>88778</v>
      </c>
      <c r="E84" s="91">
        <v>934286</v>
      </c>
      <c r="F84" s="91">
        <v>0</v>
      </c>
      <c r="G84" t="str">
        <f>_xlfn.XLOOKUP($A84,Map!$A:$A,Map!C:C)</f>
        <v>BS</v>
      </c>
      <c r="H84" t="str">
        <f>_xlfn.XLOOKUP($A84,Map!$A:$A,Map!D:D)</f>
        <v>Current Liabilities</v>
      </c>
      <c r="I84" t="str">
        <f>_xlfn.XLOOKUP($A84,Map!$A:$A,Map!E:E)</f>
        <v>Tade payables and Accuals &amp; other credit balances</v>
      </c>
      <c r="J84" t="str">
        <f>_xlfn.XLOOKUP($A84,Map!$A:$A,Map!F:F)</f>
        <v>Landed Cost - Customs</v>
      </c>
    </row>
    <row r="85" spans="1:10" hidden="1" x14ac:dyDescent="0.25">
      <c r="A85" s="90">
        <v>240003</v>
      </c>
      <c r="B85" s="90" t="s">
        <v>89</v>
      </c>
      <c r="C85" s="91">
        <v>0</v>
      </c>
      <c r="D85" s="91">
        <v>0</v>
      </c>
      <c r="E85" s="91">
        <v>1874374</v>
      </c>
      <c r="F85" s="91">
        <v>-1874374</v>
      </c>
      <c r="G85" t="str">
        <f>_xlfn.XLOOKUP($A85,Map!$A:$A,Map!C:C)</f>
        <v>BS</v>
      </c>
      <c r="H85" t="str">
        <f>_xlfn.XLOOKUP($A85,Map!$A:$A,Map!D:D)</f>
        <v>Non-Current Liabilities</v>
      </c>
      <c r="I85" t="str">
        <f>_xlfn.XLOOKUP($A85,Map!$A:$A,Map!E:E)</f>
        <v xml:space="preserve">Lease liabilities non-current </v>
      </c>
      <c r="J85" t="str">
        <f>_xlfn.XLOOKUP($A85,Map!$A:$A,Map!F:F)</f>
        <v xml:space="preserve"> Lease Obligation</v>
      </c>
    </row>
    <row r="86" spans="1:10" x14ac:dyDescent="0.25">
      <c r="A86" s="90">
        <v>250001</v>
      </c>
      <c r="B86" s="90" t="s">
        <v>90</v>
      </c>
      <c r="C86" s="91">
        <v>0</v>
      </c>
      <c r="D86" s="91">
        <v>11474335.67</v>
      </c>
      <c r="E86" s="91">
        <v>11474335.67</v>
      </c>
      <c r="F86" s="91">
        <v>0</v>
      </c>
      <c r="G86" t="str">
        <f>_xlfn.XLOOKUP($A86,Map!$A:$A,Map!C:C)</f>
        <v>BS</v>
      </c>
      <c r="H86" t="str">
        <f>_xlfn.XLOOKUP($A86,Map!$A:$A,Map!D:D)</f>
        <v>Current Liabilities</v>
      </c>
      <c r="I86" t="str">
        <f>_xlfn.XLOOKUP($A86,Map!$A:$A,Map!E:E)</f>
        <v>Tade payables and Accuals &amp; other credit balances</v>
      </c>
      <c r="J86" t="str">
        <f>_xlfn.XLOOKUP($A86,Map!$A:$A,Map!F:F)</f>
        <v>Accrued salaries and wages</v>
      </c>
    </row>
    <row r="87" spans="1:10" x14ac:dyDescent="0.25">
      <c r="A87" s="90">
        <v>250002</v>
      </c>
      <c r="B87" s="90" t="s">
        <v>91</v>
      </c>
      <c r="C87" s="91">
        <v>0</v>
      </c>
      <c r="D87" s="91">
        <v>153551.47</v>
      </c>
      <c r="E87" s="91">
        <v>153551.47</v>
      </c>
      <c r="F87" s="91">
        <v>0</v>
      </c>
      <c r="G87" t="str">
        <f>_xlfn.XLOOKUP($A87,Map!$A:$A,Map!C:C)</f>
        <v>BS</v>
      </c>
      <c r="H87" t="str">
        <f>_xlfn.XLOOKUP($A87,Map!$A:$A,Map!D:D)</f>
        <v>Current Liabilities</v>
      </c>
      <c r="I87" t="str">
        <f>_xlfn.XLOOKUP($A87,Map!$A:$A,Map!E:E)</f>
        <v>Tade payables and Accuals &amp; other credit balances</v>
      </c>
      <c r="J87" t="str">
        <f>_xlfn.XLOOKUP($A87,Map!$A:$A,Map!F:F)</f>
        <v>Accrued utilities</v>
      </c>
    </row>
    <row r="88" spans="1:10" hidden="1" x14ac:dyDescent="0.25">
      <c r="A88" s="90">
        <v>250003</v>
      </c>
      <c r="B88" s="90" t="s">
        <v>92</v>
      </c>
      <c r="C88" s="91">
        <v>-1150000.5</v>
      </c>
      <c r="D88" s="91">
        <v>1666943.5</v>
      </c>
      <c r="E88" s="91">
        <v>1500000</v>
      </c>
      <c r="F88" s="91">
        <v>-983057</v>
      </c>
      <c r="G88" t="str">
        <f>_xlfn.XLOOKUP($A88,Map!$A:$A,Map!C:C)</f>
        <v>BS</v>
      </c>
      <c r="H88" t="str">
        <f>_xlfn.XLOOKUP($A88,Map!$A:$A,Map!D:D)</f>
        <v>Current Liabilities</v>
      </c>
      <c r="I88" t="str">
        <f>_xlfn.XLOOKUP($A88,Map!$A:$A,Map!E:E)</f>
        <v>Zakat provision</v>
      </c>
      <c r="J88" t="str">
        <f>_xlfn.XLOOKUP($A88,Map!$A:$A,Map!F:F)</f>
        <v>Zakat provision</v>
      </c>
    </row>
    <row r="89" spans="1:10" x14ac:dyDescent="0.25">
      <c r="A89" s="90">
        <v>250004</v>
      </c>
      <c r="B89" s="90" t="s">
        <v>93</v>
      </c>
      <c r="C89" s="91">
        <v>0</v>
      </c>
      <c r="D89" s="91">
        <v>139079</v>
      </c>
      <c r="E89" s="91">
        <v>139079</v>
      </c>
      <c r="F89" s="91">
        <v>0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Tade payables and Accuals &amp; other credit balances</v>
      </c>
      <c r="J89" t="str">
        <f>_xlfn.XLOOKUP($A89,Map!$A:$A,Map!F:F)</f>
        <v>Accrued bonus</v>
      </c>
    </row>
    <row r="90" spans="1:10" x14ac:dyDescent="0.25">
      <c r="A90" s="90">
        <v>250005</v>
      </c>
      <c r="B90" s="90" t="s">
        <v>94</v>
      </c>
      <c r="C90" s="91">
        <v>-118000</v>
      </c>
      <c r="D90" s="91">
        <v>184150</v>
      </c>
      <c r="E90" s="91">
        <v>132300</v>
      </c>
      <c r="F90" s="91">
        <v>-66150</v>
      </c>
      <c r="G90" t="str">
        <f>_xlfn.XLOOKUP($A90,Map!$A:$A,Map!C:C)</f>
        <v>BS</v>
      </c>
      <c r="H90" t="str">
        <f>_xlfn.XLOOKUP($A90,Map!$A:$A,Map!D:D)</f>
        <v>Current Liabilities</v>
      </c>
      <c r="I90" t="str">
        <f>_xlfn.XLOOKUP($A90,Map!$A:$A,Map!E:E)</f>
        <v>Tade payables and Accuals &amp; other credit balances</v>
      </c>
      <c r="J90" t="str">
        <f>_xlfn.XLOOKUP($A90,Map!$A:$A,Map!F:F)</f>
        <v>Accrued expenses</v>
      </c>
    </row>
    <row r="91" spans="1:10" hidden="1" x14ac:dyDescent="0.25">
      <c r="A91" s="90">
        <v>260001</v>
      </c>
      <c r="B91" s="90" t="s">
        <v>96</v>
      </c>
      <c r="C91" s="91">
        <v>-6053397</v>
      </c>
      <c r="D91" s="91">
        <v>690280.58</v>
      </c>
      <c r="E91" s="91">
        <v>1321411.58</v>
      </c>
      <c r="F91" s="91">
        <v>-6684528</v>
      </c>
      <c r="G91" t="str">
        <f>_xlfn.XLOOKUP($A91,Map!$A:$A,Map!C:C)</f>
        <v>BS</v>
      </c>
      <c r="H91" t="str">
        <f>_xlfn.XLOOKUP($A91,Map!$A:$A,Map!D:D)</f>
        <v>Stockholder's equity</v>
      </c>
      <c r="I91" t="str">
        <f>_xlfn.XLOOKUP($A91,Map!$A:$A,Map!E:E)</f>
        <v>Statutory reserve</v>
      </c>
      <c r="J91" t="str">
        <f>_xlfn.XLOOKUP($A91,Map!$A:$A,Map!F:F)</f>
        <v>Statutory reserve</v>
      </c>
    </row>
    <row r="92" spans="1:10" hidden="1" x14ac:dyDescent="0.25">
      <c r="A92" s="90">
        <v>260002</v>
      </c>
      <c r="B92" s="90" t="s">
        <v>97</v>
      </c>
      <c r="C92" s="91">
        <v>-4633898</v>
      </c>
      <c r="D92" s="91">
        <v>1086028</v>
      </c>
      <c r="E92" s="91">
        <v>746771</v>
      </c>
      <c r="F92" s="91">
        <v>-4294641</v>
      </c>
      <c r="G92" t="str">
        <f>_xlfn.XLOOKUP($A92,Map!$A:$A,Map!C:C)</f>
        <v>BS</v>
      </c>
      <c r="H92" t="str">
        <f>_xlfn.XLOOKUP($A92,Map!$A:$A,Map!D:D)</f>
        <v>Non-Current Liabilities</v>
      </c>
      <c r="I92" t="str">
        <f>_xlfn.XLOOKUP($A92,Map!$A:$A,Map!E:E)</f>
        <v xml:space="preserve">End-of-service indemnities </v>
      </c>
      <c r="J92" t="str">
        <f>_xlfn.XLOOKUP($A92,Map!$A:$A,Map!F:F)</f>
        <v xml:space="preserve">End-of-service indemnities </v>
      </c>
    </row>
    <row r="93" spans="1:10" hidden="1" x14ac:dyDescent="0.25">
      <c r="A93" s="90">
        <v>260003</v>
      </c>
      <c r="B93" s="90" t="s">
        <v>98</v>
      </c>
      <c r="C93" s="91">
        <v>-3407320.1</v>
      </c>
      <c r="D93" s="91">
        <v>751979</v>
      </c>
      <c r="E93" s="91">
        <v>501386</v>
      </c>
      <c r="F93" s="91">
        <v>-3156727.1</v>
      </c>
      <c r="G93" t="str">
        <f>_xlfn.XLOOKUP($A93,Map!$A:$A,Map!C:C)</f>
        <v>BS</v>
      </c>
      <c r="H93" t="str">
        <f>_xlfn.XLOOKUP($A93,Map!$A:$A,Map!D:D)</f>
        <v>Current Assets</v>
      </c>
      <c r="I93" t="str">
        <f>_xlfn.XLOOKUP($A93,Map!$A:$A,Map!E:E)</f>
        <v>Trade receivables</v>
      </c>
      <c r="J93" t="str">
        <f>_xlfn.XLOOKUP($A93,Map!$A:$A,Map!F:F)</f>
        <v>Provisions</v>
      </c>
    </row>
    <row r="94" spans="1:10" hidden="1" x14ac:dyDescent="0.25">
      <c r="A94" s="90">
        <v>260004</v>
      </c>
      <c r="B94" s="90" t="s">
        <v>99</v>
      </c>
      <c r="C94" s="91">
        <v>-1121501.433</v>
      </c>
      <c r="D94" s="91">
        <v>816615</v>
      </c>
      <c r="E94" s="91">
        <v>544410</v>
      </c>
      <c r="F94" s="91">
        <v>-849296.43299999996</v>
      </c>
      <c r="G94" t="str">
        <f>_xlfn.XLOOKUP($A94,Map!$A:$A,Map!C:C)</f>
        <v>BS</v>
      </c>
      <c r="H94" t="str">
        <f>_xlfn.XLOOKUP($A94,Map!$A:$A,Map!D:D)</f>
        <v>Current Assets</v>
      </c>
      <c r="I94" t="str">
        <f>_xlfn.XLOOKUP($A94,Map!$A:$A,Map!E:E)</f>
        <v>Inventories</v>
      </c>
      <c r="J94" t="str">
        <f>_xlfn.XLOOKUP($A94,Map!$A:$A,Map!F:F)</f>
        <v>Allowance for slow moving/obsolete inventories - Inventory</v>
      </c>
    </row>
    <row r="95" spans="1:10" hidden="1" x14ac:dyDescent="0.25">
      <c r="A95" s="90">
        <v>260005</v>
      </c>
      <c r="B95" s="90" t="s">
        <v>100</v>
      </c>
      <c r="C95" s="91">
        <v>-4000000</v>
      </c>
      <c r="D95" s="91">
        <v>0</v>
      </c>
      <c r="E95" s="91">
        <v>120000</v>
      </c>
      <c r="F95" s="91">
        <v>-4120000</v>
      </c>
      <c r="G95" t="str">
        <f>_xlfn.XLOOKUP($A95,Map!$A:$A,Map!C:C)</f>
        <v>BS</v>
      </c>
      <c r="H95" t="str">
        <f>_xlfn.XLOOKUP($A95,Map!$A:$A,Map!D:D)</f>
        <v>Non-Current Liabilities</v>
      </c>
      <c r="I95" t="str">
        <f>_xlfn.XLOOKUP($A95,Map!$A:$A,Map!E:E)</f>
        <v>Provision for evacuation</v>
      </c>
      <c r="J95" t="str">
        <f>_xlfn.XLOOKUP($A95,Map!$A:$A,Map!F:F)</f>
        <v>Provision for evacuation</v>
      </c>
    </row>
    <row r="96" spans="1:10" hidden="1" x14ac:dyDescent="0.25">
      <c r="A96" s="90">
        <v>270001</v>
      </c>
      <c r="B96" s="90" t="s">
        <v>101</v>
      </c>
      <c r="C96" s="91">
        <v>-7696296.1699999999</v>
      </c>
      <c r="D96" s="91">
        <v>7501400</v>
      </c>
      <c r="E96" s="91">
        <v>307392.88</v>
      </c>
      <c r="F96" s="91">
        <v>-502289.05</v>
      </c>
      <c r="G96" t="str">
        <f>_xlfn.XLOOKUP($A96,Map!$A:$A,Map!C:C)</f>
        <v>BS</v>
      </c>
      <c r="H96" t="str">
        <f>_xlfn.XLOOKUP($A96,Map!$A:$A,Map!D:D)</f>
        <v>Non-Current Liabilities</v>
      </c>
      <c r="I96" t="str">
        <f>_xlfn.XLOOKUP($A96,Map!$A:$A,Map!E:E)</f>
        <v xml:space="preserve">Due to related parties </v>
      </c>
      <c r="J96" t="str">
        <f>_xlfn.XLOOKUP($A96,Map!$A:$A,Map!F:F)</f>
        <v>Aims Holding  Current Acc</v>
      </c>
    </row>
    <row r="97" spans="1:10" x14ac:dyDescent="0.25">
      <c r="A97" s="90">
        <v>270002</v>
      </c>
      <c r="B97" s="90" t="s">
        <v>102</v>
      </c>
      <c r="C97" s="91">
        <v>0</v>
      </c>
      <c r="D97" s="91">
        <v>10352108.399</v>
      </c>
      <c r="E97" s="91">
        <v>10352108.399</v>
      </c>
      <c r="F97" s="91">
        <v>0</v>
      </c>
      <c r="G97" t="str">
        <f>_xlfn.XLOOKUP($A97,Map!$A:$A,Map!C:C)</f>
        <v>BS</v>
      </c>
      <c r="H97" t="str">
        <f>_xlfn.XLOOKUP($A97,Map!$A:$A,Map!D:D)</f>
        <v>Current Liabilities</v>
      </c>
      <c r="I97" t="str">
        <f>_xlfn.XLOOKUP($A97,Map!$A:$A,Map!E:E)</f>
        <v>Tade payables and Accuals &amp; other credit balances</v>
      </c>
      <c r="J97" t="str">
        <f>_xlfn.XLOOKUP($A97,Map!$A:$A,Map!F:F)</f>
        <v>VAT payables</v>
      </c>
    </row>
    <row r="98" spans="1:10" x14ac:dyDescent="0.25">
      <c r="A98" s="90">
        <v>270003</v>
      </c>
      <c r="B98" s="90" t="s">
        <v>103</v>
      </c>
      <c r="C98" s="91">
        <v>0</v>
      </c>
      <c r="D98" s="91">
        <v>7218464.2489999998</v>
      </c>
      <c r="E98" s="91">
        <v>6398125.4869999997</v>
      </c>
      <c r="F98" s="91">
        <v>820338.76199999999</v>
      </c>
      <c r="G98" t="str">
        <f>_xlfn.XLOOKUP($A98,Map!$A:$A,Map!C:C)</f>
        <v>BS</v>
      </c>
      <c r="H98" t="str">
        <f>_xlfn.XLOOKUP($A98,Map!$A:$A,Map!D:D)</f>
        <v>Current Liabilities</v>
      </c>
      <c r="I98" t="str">
        <f>_xlfn.XLOOKUP($A98,Map!$A:$A,Map!E:E)</f>
        <v>Tade payables and Accuals &amp; other credit balances</v>
      </c>
      <c r="J98" t="str">
        <f>_xlfn.XLOOKUP($A98,Map!$A:$A,Map!F:F)</f>
        <v>VAT payables</v>
      </c>
    </row>
    <row r="99" spans="1:10" x14ac:dyDescent="0.25">
      <c r="A99" s="90">
        <v>270004</v>
      </c>
      <c r="B99" s="90" t="s">
        <v>104</v>
      </c>
      <c r="C99" s="91">
        <v>2109330.298</v>
      </c>
      <c r="D99" s="91">
        <v>931825.53</v>
      </c>
      <c r="E99" s="91">
        <v>3041155.8280000002</v>
      </c>
      <c r="F99" s="91">
        <v>0</v>
      </c>
      <c r="G99" t="str">
        <f>_xlfn.XLOOKUP($A99,Map!$A:$A,Map!C:C)</f>
        <v>BS</v>
      </c>
      <c r="H99" t="str">
        <f>_xlfn.XLOOKUP($A99,Map!$A:$A,Map!D:D)</f>
        <v>Current Liabilities</v>
      </c>
      <c r="I99" t="str">
        <f>_xlfn.XLOOKUP($A99,Map!$A:$A,Map!E:E)</f>
        <v>Tade payables and Accuals &amp; other credit balances</v>
      </c>
      <c r="J99" t="str">
        <f>_xlfn.XLOOKUP($A99,Map!$A:$A,Map!F:F)</f>
        <v>VAT payables</v>
      </c>
    </row>
    <row r="100" spans="1:10" hidden="1" x14ac:dyDescent="0.25">
      <c r="A100" s="90">
        <v>310001</v>
      </c>
      <c r="B100" s="90" t="s">
        <v>106</v>
      </c>
      <c r="C100" s="91">
        <v>-30380428.572000001</v>
      </c>
      <c r="D100" s="91">
        <v>5543817.5800000001</v>
      </c>
      <c r="E100" s="91">
        <v>690280.58</v>
      </c>
      <c r="F100" s="91">
        <v>-25526891.572000001</v>
      </c>
      <c r="G100" t="str">
        <f>_xlfn.XLOOKUP($A100,Map!$A:$A,Map!C:C)</f>
        <v>BS</v>
      </c>
      <c r="H100" t="str">
        <f>_xlfn.XLOOKUP($A100,Map!$A:$A,Map!D:D)</f>
        <v>Stockholder's equity</v>
      </c>
      <c r="I100" t="str">
        <f>_xlfn.XLOOKUP($A100,Map!$A:$A,Map!E:E)</f>
        <v>Retained earnings</v>
      </c>
      <c r="J100" t="str">
        <f>_xlfn.XLOOKUP($A100,Map!$A:$A,Map!F:F)</f>
        <v>Retained earnings</v>
      </c>
    </row>
    <row r="101" spans="1:10" hidden="1" x14ac:dyDescent="0.25">
      <c r="A101" s="90">
        <v>330001</v>
      </c>
      <c r="B101" s="90" t="s">
        <v>107</v>
      </c>
      <c r="C101" s="91">
        <v>-1766750</v>
      </c>
      <c r="D101" s="91">
        <v>0</v>
      </c>
      <c r="E101" s="91">
        <v>0</v>
      </c>
      <c r="F101" s="91">
        <v>-1766750</v>
      </c>
      <c r="G101" t="str">
        <f>_xlfn.XLOOKUP($A101,Map!$A:$A,Map!C:C)</f>
        <v>BS</v>
      </c>
      <c r="H101" t="str">
        <f>_xlfn.XLOOKUP($A101,Map!$A:$A,Map!D:D)</f>
        <v>Stockholder's equity</v>
      </c>
      <c r="I101" t="str">
        <f>_xlfn.XLOOKUP($A101,Map!$A:$A,Map!E:E)</f>
        <v>Retained earnings</v>
      </c>
      <c r="J101" t="str">
        <f>_xlfn.XLOOKUP($A101,Map!$A:$A,Map!F:F)</f>
        <v>Retained earnings</v>
      </c>
    </row>
    <row r="102" spans="1:10" hidden="1" x14ac:dyDescent="0.25">
      <c r="A102" s="90">
        <v>330002</v>
      </c>
      <c r="B102" s="90" t="s">
        <v>108</v>
      </c>
      <c r="C102" s="91">
        <v>-33568250</v>
      </c>
      <c r="D102" s="91">
        <v>0</v>
      </c>
      <c r="E102" s="91">
        <v>0</v>
      </c>
      <c r="F102" s="91">
        <v>-33568250</v>
      </c>
      <c r="G102" t="str">
        <f>_xlfn.XLOOKUP($A102,Map!$A:$A,Map!C:C)</f>
        <v>BS</v>
      </c>
      <c r="H102" t="str">
        <f>_xlfn.XLOOKUP($A102,Map!$A:$A,Map!D:D)</f>
        <v>Stockholder's equity</v>
      </c>
      <c r="I102" t="str">
        <f>_xlfn.XLOOKUP($A102,Map!$A:$A,Map!E:E)</f>
        <v>Share capital</v>
      </c>
      <c r="J102" t="str">
        <f>_xlfn.XLOOKUP($A102,Map!$A:$A,Map!F:F)</f>
        <v>Share capital</v>
      </c>
    </row>
    <row r="103" spans="1:10" hidden="1" x14ac:dyDescent="0.25">
      <c r="A103" s="90">
        <v>330003</v>
      </c>
      <c r="B103" s="90" t="s">
        <v>109</v>
      </c>
      <c r="C103" s="91">
        <v>-102255315.01000001</v>
      </c>
      <c r="D103" s="91">
        <v>0</v>
      </c>
      <c r="E103" s="91">
        <v>0</v>
      </c>
      <c r="F103" s="91">
        <v>-102255315.01000001</v>
      </c>
      <c r="G103" t="str">
        <f>_xlfn.XLOOKUP($A103,Map!$A:$A,Map!C:C)</f>
        <v>BS</v>
      </c>
      <c r="H103" t="str">
        <f>_xlfn.XLOOKUP($A103,Map!$A:$A,Map!D:D)</f>
        <v>Stockholder's equity</v>
      </c>
      <c r="I103" t="str">
        <f>_xlfn.XLOOKUP($A103,Map!$A:$A,Map!E:E)</f>
        <v>Additional contribution from shareholders</v>
      </c>
      <c r="J103" t="str">
        <f>_xlfn.XLOOKUP($A103,Map!$A:$A,Map!F:F)</f>
        <v>Additional contribution from shareholders</v>
      </c>
    </row>
    <row r="104" spans="1:10" hidden="1" x14ac:dyDescent="0.25">
      <c r="A104" s="90">
        <v>410001</v>
      </c>
      <c r="B104" s="90" t="s">
        <v>110</v>
      </c>
      <c r="C104" s="91">
        <v>0</v>
      </c>
      <c r="D104" s="91">
        <v>87122453.064999998</v>
      </c>
      <c r="E104" s="91">
        <v>249908135.10499999</v>
      </c>
      <c r="F104" s="91">
        <v>-162785682.03999999</v>
      </c>
      <c r="G104" t="str">
        <f>_xlfn.XLOOKUP($A104,Map!$A:$A,Map!C:C)</f>
        <v>IS</v>
      </c>
      <c r="H104" t="str">
        <f>_xlfn.XLOOKUP($A104,Map!$A:$A,Map!D:D)</f>
        <v>Sales</v>
      </c>
      <c r="I104" t="str">
        <f>_xlfn.XLOOKUP($A104,Map!$A:$A,Map!E:E)</f>
        <v>Sales</v>
      </c>
      <c r="J104" t="str">
        <f>_xlfn.XLOOKUP($A104,Map!$A:$A,Map!F:F)</f>
        <v>Trading revenue</v>
      </c>
    </row>
    <row r="105" spans="1:10" hidden="1" x14ac:dyDescent="0.25">
      <c r="A105" s="90">
        <v>410002</v>
      </c>
      <c r="B105" s="90" t="s">
        <v>111</v>
      </c>
      <c r="C105" s="91">
        <v>0</v>
      </c>
      <c r="D105" s="91">
        <v>1190555.308</v>
      </c>
      <c r="E105" s="91">
        <v>384238.51699999999</v>
      </c>
      <c r="F105" s="91">
        <v>806316.79099999997</v>
      </c>
      <c r="G105" t="str">
        <f>_xlfn.XLOOKUP($A105,Map!$A:$A,Map!C:C)</f>
        <v>IS</v>
      </c>
      <c r="H105" t="str">
        <f>_xlfn.XLOOKUP($A105,Map!$A:$A,Map!D:D)</f>
        <v>Sales</v>
      </c>
      <c r="I105" t="str">
        <f>_xlfn.XLOOKUP($A105,Map!$A:$A,Map!E:E)</f>
        <v>Sales</v>
      </c>
      <c r="J105" t="str">
        <f>_xlfn.XLOOKUP($A105,Map!$A:$A,Map!F:F)</f>
        <v>Trading revenue</v>
      </c>
    </row>
    <row r="106" spans="1:10" hidden="1" x14ac:dyDescent="0.25">
      <c r="A106" s="90">
        <v>410003</v>
      </c>
      <c r="B106" s="90" t="s">
        <v>112</v>
      </c>
      <c r="C106" s="91">
        <v>0</v>
      </c>
      <c r="D106" s="91">
        <v>63590.392999999996</v>
      </c>
      <c r="E106" s="91">
        <v>0.03</v>
      </c>
      <c r="F106" s="91">
        <v>63590.362999999998</v>
      </c>
      <c r="G106" t="str">
        <f>_xlfn.XLOOKUP($A106,Map!$A:$A,Map!C:C)</f>
        <v>IS</v>
      </c>
      <c r="H106" t="str">
        <f>_xlfn.XLOOKUP($A106,Map!$A:$A,Map!D:D)</f>
        <v>Sales</v>
      </c>
      <c r="I106" t="str">
        <f>_xlfn.XLOOKUP($A106,Map!$A:$A,Map!E:E)</f>
        <v>Sales</v>
      </c>
      <c r="J106" t="str">
        <f>_xlfn.XLOOKUP($A106,Map!$A:$A,Map!F:F)</f>
        <v>Trading revenue</v>
      </c>
    </row>
    <row r="107" spans="1:10" hidden="1" x14ac:dyDescent="0.25">
      <c r="A107" s="90">
        <v>410004</v>
      </c>
      <c r="B107" s="90" t="s">
        <v>113</v>
      </c>
      <c r="C107" s="91">
        <v>0</v>
      </c>
      <c r="D107" s="91">
        <v>0</v>
      </c>
      <c r="E107" s="91">
        <v>0</v>
      </c>
      <c r="F107" s="91">
        <v>0</v>
      </c>
      <c r="G107" t="str">
        <f>_xlfn.XLOOKUP($A107,Map!$A:$A,Map!C:C)</f>
        <v>IS</v>
      </c>
      <c r="H107" t="str">
        <f>_xlfn.XLOOKUP($A107,Map!$A:$A,Map!D:D)</f>
        <v>Sales</v>
      </c>
      <c r="I107" t="str">
        <f>_xlfn.XLOOKUP($A107,Map!$A:$A,Map!E:E)</f>
        <v>Sales</v>
      </c>
      <c r="J107" t="str">
        <f>_xlfn.XLOOKUP($A107,Map!$A:$A,Map!F:F)</f>
        <v>Scrap sales</v>
      </c>
    </row>
    <row r="108" spans="1:10" hidden="1" x14ac:dyDescent="0.25">
      <c r="A108" s="90">
        <v>420003</v>
      </c>
      <c r="B108" s="90" t="s">
        <v>115</v>
      </c>
      <c r="C108" s="91">
        <v>0</v>
      </c>
      <c r="D108" s="91">
        <v>8.4000000000000005E-2</v>
      </c>
      <c r="E108" s="91">
        <v>8.4000000000000005E-2</v>
      </c>
      <c r="F108" s="91">
        <v>0</v>
      </c>
      <c r="G108" t="str">
        <f>_xlfn.XLOOKUP($A108,Map!$A:$A,Map!C:C)</f>
        <v>IS</v>
      </c>
      <c r="H108" t="str">
        <f>_xlfn.XLOOKUP($A108,Map!$A:$A,Map!D:D)</f>
        <v>Sales</v>
      </c>
      <c r="I108" t="str">
        <f>_xlfn.XLOOKUP($A108,Map!$A:$A,Map!E:E)</f>
        <v>Sales</v>
      </c>
      <c r="J108" t="str">
        <f>_xlfn.XLOOKUP($A108,Map!$A:$A,Map!F:F)</f>
        <v>Scrap sales</v>
      </c>
    </row>
    <row r="109" spans="1:10" hidden="1" x14ac:dyDescent="0.25">
      <c r="A109" s="90">
        <v>510001</v>
      </c>
      <c r="B109" s="90" t="s">
        <v>116</v>
      </c>
      <c r="C109" s="91">
        <v>0</v>
      </c>
      <c r="D109" s="91">
        <v>124980432.021</v>
      </c>
      <c r="E109" s="91">
        <v>10445149.119000001</v>
      </c>
      <c r="F109" s="91">
        <v>114535282.902</v>
      </c>
      <c r="G109" t="str">
        <f>_xlfn.XLOOKUP($A109,Map!$A:$A,Map!C:C)</f>
        <v>IS</v>
      </c>
      <c r="H109" t="str">
        <f>_xlfn.XLOOKUP($A109,Map!$A:$A,Map!D:D)</f>
        <v>Cost of sales</v>
      </c>
      <c r="I109" t="str">
        <f>_xlfn.XLOOKUP($A109,Map!$A:$A,Map!E:E)</f>
        <v>Raw materials</v>
      </c>
      <c r="J109" t="str">
        <f>_xlfn.XLOOKUP($A109,Map!$A:$A,Map!F:F)</f>
        <v>Raw materials</v>
      </c>
    </row>
    <row r="110" spans="1:10" hidden="1" x14ac:dyDescent="0.25">
      <c r="A110" s="90">
        <v>510002</v>
      </c>
      <c r="B110" s="90" t="s">
        <v>117</v>
      </c>
      <c r="C110" s="91">
        <v>0</v>
      </c>
      <c r="D110" s="91">
        <v>6750188.551</v>
      </c>
      <c r="E110" s="91">
        <v>36138.402999999998</v>
      </c>
      <c r="F110" s="91">
        <v>6714050.148</v>
      </c>
      <c r="G110" t="str">
        <f>_xlfn.XLOOKUP($A110,Map!$A:$A,Map!C:C)</f>
        <v>IS</v>
      </c>
      <c r="H110" t="str">
        <f>_xlfn.XLOOKUP($A110,Map!$A:$A,Map!D:D)</f>
        <v>Cost of sales</v>
      </c>
      <c r="I110" t="str">
        <f>_xlfn.XLOOKUP($A110,Map!$A:$A,Map!E:E)</f>
        <v>Direct Labor</v>
      </c>
      <c r="J110" t="str">
        <f>_xlfn.XLOOKUP($A110,Map!$A:$A,Map!F:F)</f>
        <v>Direct Labor</v>
      </c>
    </row>
    <row r="111" spans="1:10" hidden="1" x14ac:dyDescent="0.25">
      <c r="A111" s="90">
        <v>510003</v>
      </c>
      <c r="B111" s="90" t="s">
        <v>118</v>
      </c>
      <c r="C111" s="91">
        <v>0</v>
      </c>
      <c r="D111" s="91">
        <v>3793525.9339999999</v>
      </c>
      <c r="E111" s="91">
        <v>40754.000999999997</v>
      </c>
      <c r="F111" s="91">
        <v>3752771.9330000002</v>
      </c>
      <c r="G111" t="str">
        <f>_xlfn.XLOOKUP($A111,Map!$A:$A,Map!C:C)</f>
        <v>IS</v>
      </c>
      <c r="H111" t="str">
        <f>_xlfn.XLOOKUP($A111,Map!$A:$A,Map!D:D)</f>
        <v>Cost of sales</v>
      </c>
      <c r="I111" t="str">
        <f>_xlfn.XLOOKUP($A111,Map!$A:$A,Map!E:E)</f>
        <v>Raw materials</v>
      </c>
      <c r="J111" t="str">
        <f>_xlfn.XLOOKUP($A111,Map!$A:$A,Map!F:F)</f>
        <v>Raw materials</v>
      </c>
    </row>
    <row r="112" spans="1:10" hidden="1" x14ac:dyDescent="0.25">
      <c r="A112" s="90">
        <v>510004</v>
      </c>
      <c r="B112" s="90" t="s">
        <v>119</v>
      </c>
      <c r="C112" s="91">
        <v>0</v>
      </c>
      <c r="D112" s="91">
        <v>14286991.217</v>
      </c>
      <c r="E112" s="91">
        <v>2307184.571</v>
      </c>
      <c r="F112" s="91">
        <v>11979806.646</v>
      </c>
      <c r="G112" t="str">
        <f>_xlfn.XLOOKUP($A112,Map!$A:$A,Map!C:C)</f>
        <v>IS</v>
      </c>
      <c r="H112" t="str">
        <f>_xlfn.XLOOKUP($A112,Map!$A:$A,Map!D:D)</f>
        <v>Cost of sales</v>
      </c>
      <c r="I112" t="str">
        <f>_xlfn.XLOOKUP($A112,Map!$A:$A,Map!E:E)</f>
        <v>Raw materials</v>
      </c>
      <c r="J112" t="str">
        <f>_xlfn.XLOOKUP($A112,Map!$A:$A,Map!F:F)</f>
        <v>Other expenses</v>
      </c>
    </row>
    <row r="113" spans="1:10" hidden="1" x14ac:dyDescent="0.25">
      <c r="A113" s="90">
        <v>510005</v>
      </c>
      <c r="B113" s="90" t="s">
        <v>120</v>
      </c>
      <c r="C113" s="91">
        <v>0</v>
      </c>
      <c r="D113" s="91">
        <v>6524.7640000000001</v>
      </c>
      <c r="E113" s="91">
        <v>6524.7640000000001</v>
      </c>
      <c r="F113" s="91">
        <v>0</v>
      </c>
      <c r="G113" t="str">
        <f>_xlfn.XLOOKUP($A113,Map!$A:$A,Map!C:C)</f>
        <v>IS</v>
      </c>
      <c r="H113" t="str">
        <f>_xlfn.XLOOKUP($A113,Map!$A:$A,Map!D:D)</f>
        <v>Cost of sales</v>
      </c>
      <c r="I113" t="str">
        <f>_xlfn.XLOOKUP($A113,Map!$A:$A,Map!E:E)</f>
        <v>Raw materials</v>
      </c>
      <c r="J113" t="str">
        <f>_xlfn.XLOOKUP($A113,Map!$A:$A,Map!F:F)</f>
        <v>Other expenses</v>
      </c>
    </row>
    <row r="114" spans="1:10" hidden="1" x14ac:dyDescent="0.25">
      <c r="A114" s="90">
        <v>520001</v>
      </c>
      <c r="B114" s="90" t="s">
        <v>121</v>
      </c>
      <c r="C114" s="91">
        <v>0</v>
      </c>
      <c r="D114" s="91">
        <v>3792518</v>
      </c>
      <c r="E114" s="91">
        <v>3792518</v>
      </c>
      <c r="F114" s="91">
        <v>0</v>
      </c>
      <c r="G114" t="str">
        <f>_xlfn.XLOOKUP($A114,Map!$A:$A,Map!C:C)</f>
        <v>IS</v>
      </c>
      <c r="H114" t="str">
        <f>_xlfn.XLOOKUP($A114,Map!$A:$A,Map!D:D)</f>
        <v>Cost of sales</v>
      </c>
      <c r="I114" t="str">
        <f>_xlfn.XLOOKUP($A114,Map!$A:$A,Map!E:E)</f>
        <v>Direct Labor</v>
      </c>
      <c r="J114" t="str">
        <f>_xlfn.XLOOKUP($A114,Map!$A:$A,Map!F:F)</f>
        <v>Salaries and wages</v>
      </c>
    </row>
    <row r="115" spans="1:10" hidden="1" x14ac:dyDescent="0.25">
      <c r="A115" s="90">
        <v>520002</v>
      </c>
      <c r="B115" s="90" t="s">
        <v>122</v>
      </c>
      <c r="C115" s="91">
        <v>0</v>
      </c>
      <c r="D115" s="91">
        <v>0</v>
      </c>
      <c r="E115" s="91">
        <v>0</v>
      </c>
      <c r="F115" s="91">
        <v>0</v>
      </c>
      <c r="G115" t="str">
        <f>_xlfn.XLOOKUP($A115,Map!$A:$A,Map!C:C)</f>
        <v>IS</v>
      </c>
      <c r="H115" t="str">
        <f>_xlfn.XLOOKUP($A115,Map!$A:$A,Map!D:D)</f>
        <v>Cost of sales</v>
      </c>
      <c r="I115" t="str">
        <f>_xlfn.XLOOKUP($A115,Map!$A:$A,Map!E:E)</f>
        <v>Direct Labor</v>
      </c>
      <c r="J115" t="str">
        <f>_xlfn.XLOOKUP($A115,Map!$A:$A,Map!F:F)</f>
        <v>Overtime pay</v>
      </c>
    </row>
    <row r="116" spans="1:10" hidden="1" x14ac:dyDescent="0.25">
      <c r="A116" s="90">
        <v>520003</v>
      </c>
      <c r="B116" s="90" t="s">
        <v>123</v>
      </c>
      <c r="C116" s="91">
        <v>0</v>
      </c>
      <c r="D116" s="91">
        <v>220936</v>
      </c>
      <c r="E116" s="91">
        <v>220936</v>
      </c>
      <c r="F116" s="91">
        <v>0</v>
      </c>
      <c r="G116" t="str">
        <f>_xlfn.XLOOKUP($A116,Map!$A:$A,Map!C:C)</f>
        <v>IS</v>
      </c>
      <c r="H116" t="str">
        <f>_xlfn.XLOOKUP($A116,Map!$A:$A,Map!D:D)</f>
        <v>Cost of sales</v>
      </c>
      <c r="I116" t="str">
        <f>_xlfn.XLOOKUP($A116,Map!$A:$A,Map!E:E)</f>
        <v>Direct Labor</v>
      </c>
      <c r="J116" t="str">
        <f>_xlfn.XLOOKUP($A116,Map!$A:$A,Map!F:F)</f>
        <v>Transportation allowance</v>
      </c>
    </row>
    <row r="117" spans="1:10" hidden="1" x14ac:dyDescent="0.25">
      <c r="A117" s="90">
        <v>520004</v>
      </c>
      <c r="B117" s="90" t="s">
        <v>124</v>
      </c>
      <c r="C117" s="91">
        <v>0</v>
      </c>
      <c r="D117" s="91">
        <v>42810</v>
      </c>
      <c r="E117" s="91">
        <v>42810</v>
      </c>
      <c r="F117" s="91">
        <v>0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Direct Labor</v>
      </c>
      <c r="J117" t="str">
        <f>_xlfn.XLOOKUP($A117,Map!$A:$A,Map!F:F)</f>
        <v>Food and housing</v>
      </c>
    </row>
    <row r="118" spans="1:10" hidden="1" x14ac:dyDescent="0.25">
      <c r="A118" s="90">
        <v>520005</v>
      </c>
      <c r="B118" s="90" t="s">
        <v>125</v>
      </c>
      <c r="C118" s="91">
        <v>0</v>
      </c>
      <c r="D118" s="91">
        <v>0</v>
      </c>
      <c r="E118" s="91">
        <v>0</v>
      </c>
      <c r="F118" s="91">
        <v>0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Direct Labor</v>
      </c>
      <c r="J118" t="str">
        <f>_xlfn.XLOOKUP($A118,Map!$A:$A,Map!F:F)</f>
        <v>Leave pay</v>
      </c>
    </row>
    <row r="119" spans="1:10" hidden="1" x14ac:dyDescent="0.25">
      <c r="A119" s="90">
        <v>520006</v>
      </c>
      <c r="B119" s="90" t="s">
        <v>126</v>
      </c>
      <c r="C119" s="91">
        <v>0</v>
      </c>
      <c r="D119" s="91">
        <v>222564</v>
      </c>
      <c r="E119" s="91">
        <v>222564</v>
      </c>
      <c r="F119" s="91">
        <v>0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Direct Labor</v>
      </c>
      <c r="J119" t="str">
        <f>_xlfn.XLOOKUP($A119,Map!$A:$A,Map!F:F)</f>
        <v>Medical insurance</v>
      </c>
    </row>
    <row r="120" spans="1:10" hidden="1" x14ac:dyDescent="0.25">
      <c r="A120" s="90">
        <v>520010</v>
      </c>
      <c r="B120" s="90" t="s">
        <v>127</v>
      </c>
      <c r="C120" s="91">
        <v>0</v>
      </c>
      <c r="D120" s="91">
        <v>0</v>
      </c>
      <c r="E120" s="91">
        <v>0</v>
      </c>
      <c r="F120" s="91">
        <v>0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Direct Labor</v>
      </c>
      <c r="J120" t="str">
        <f>_xlfn.XLOOKUP($A120,Map!$A:$A,Map!F:F)</f>
        <v>Salaries and wages</v>
      </c>
    </row>
    <row r="121" spans="1:10" hidden="1" x14ac:dyDescent="0.25">
      <c r="A121" s="90">
        <v>520011</v>
      </c>
      <c r="B121" s="90" t="s">
        <v>122</v>
      </c>
      <c r="C121" s="91">
        <v>0</v>
      </c>
      <c r="D121" s="91">
        <v>424845</v>
      </c>
      <c r="E121" s="91">
        <v>424845</v>
      </c>
      <c r="F121" s="91">
        <v>0</v>
      </c>
      <c r="G121" t="str">
        <f>_xlfn.XLOOKUP($A121,Map!$A:$A,Map!C:C)</f>
        <v>IS</v>
      </c>
      <c r="H121" t="str">
        <f>_xlfn.XLOOKUP($A121,Map!$A:$A,Map!D:D)</f>
        <v>Cost of sales</v>
      </c>
      <c r="I121" t="str">
        <f>_xlfn.XLOOKUP($A121,Map!$A:$A,Map!E:E)</f>
        <v>Direct Labor</v>
      </c>
      <c r="J121" t="str">
        <f>_xlfn.XLOOKUP($A121,Map!$A:$A,Map!F:F)</f>
        <v>Overtime pay</v>
      </c>
    </row>
    <row r="122" spans="1:10" hidden="1" x14ac:dyDescent="0.25">
      <c r="A122" s="90">
        <v>520013</v>
      </c>
      <c r="B122" s="90" t="s">
        <v>124</v>
      </c>
      <c r="C122" s="91">
        <v>0</v>
      </c>
      <c r="D122" s="91">
        <v>0</v>
      </c>
      <c r="E122" s="91">
        <v>0</v>
      </c>
      <c r="F122" s="91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Direct Labor</v>
      </c>
      <c r="J122" t="str">
        <f>_xlfn.XLOOKUP($A122,Map!$A:$A,Map!F:F)</f>
        <v>Food and housing</v>
      </c>
    </row>
    <row r="123" spans="1:10" hidden="1" x14ac:dyDescent="0.25">
      <c r="A123" s="90">
        <v>520014</v>
      </c>
      <c r="B123" s="90" t="s">
        <v>125</v>
      </c>
      <c r="C123" s="91">
        <v>0</v>
      </c>
      <c r="D123" s="91">
        <v>0</v>
      </c>
      <c r="E123" s="91">
        <v>0</v>
      </c>
      <c r="F123" s="91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Direct Labor</v>
      </c>
      <c r="J123" t="str">
        <f>_xlfn.XLOOKUP($A123,Map!$A:$A,Map!F:F)</f>
        <v>Leave pay</v>
      </c>
    </row>
    <row r="124" spans="1:10" hidden="1" x14ac:dyDescent="0.25">
      <c r="A124" s="90">
        <v>520021</v>
      </c>
      <c r="B124" s="90" t="s">
        <v>129</v>
      </c>
      <c r="C124" s="91">
        <v>0</v>
      </c>
      <c r="D124" s="91">
        <v>66876</v>
      </c>
      <c r="E124" s="91">
        <v>66876</v>
      </c>
      <c r="F124" s="91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Direct Labor</v>
      </c>
      <c r="J124" t="str">
        <f>_xlfn.XLOOKUP($A124,Map!$A:$A,Map!F:F)</f>
        <v>Medical insurance</v>
      </c>
    </row>
    <row r="125" spans="1:10" hidden="1" x14ac:dyDescent="0.25">
      <c r="A125" s="90">
        <v>520022</v>
      </c>
      <c r="B125" s="90" t="s">
        <v>130</v>
      </c>
      <c r="C125" s="91">
        <v>0</v>
      </c>
      <c r="D125" s="91">
        <v>0</v>
      </c>
      <c r="E125" s="91">
        <v>0</v>
      </c>
      <c r="F125" s="91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Direct Labor</v>
      </c>
      <c r="J125" t="str">
        <f>_xlfn.XLOOKUP($A125,Map!$A:$A,Map!F:F)</f>
        <v>Iqama renewal</v>
      </c>
    </row>
    <row r="126" spans="1:10" hidden="1" x14ac:dyDescent="0.25">
      <c r="A126" s="90">
        <v>520023</v>
      </c>
      <c r="B126" s="90" t="s">
        <v>255</v>
      </c>
      <c r="C126" s="91">
        <v>0</v>
      </c>
      <c r="D126" s="91">
        <v>52811.705000000002</v>
      </c>
      <c r="E126" s="91">
        <v>52811.705000000002</v>
      </c>
      <c r="F126" s="91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Direct Labor</v>
      </c>
      <c r="J126" t="str">
        <f>_xlfn.XLOOKUP($A126,Map!$A:$A,Map!F:F)</f>
        <v>Medical insurance</v>
      </c>
    </row>
    <row r="127" spans="1:10" hidden="1" x14ac:dyDescent="0.25">
      <c r="A127" s="90">
        <v>520032</v>
      </c>
      <c r="B127" s="90" t="s">
        <v>131</v>
      </c>
      <c r="C127" s="91">
        <v>0</v>
      </c>
      <c r="D127" s="91">
        <v>0</v>
      </c>
      <c r="E127" s="91">
        <v>0</v>
      </c>
      <c r="F127" s="91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Raw materials</v>
      </c>
      <c r="J127" t="str">
        <f>_xlfn.XLOOKUP($A127,Map!$A:$A,Map!F:F)</f>
        <v>Consumables</v>
      </c>
    </row>
    <row r="128" spans="1:10" hidden="1" x14ac:dyDescent="0.25">
      <c r="A128" s="90">
        <v>520036</v>
      </c>
      <c r="B128" s="90" t="s">
        <v>132</v>
      </c>
      <c r="C128" s="91">
        <v>0</v>
      </c>
      <c r="D128" s="91">
        <v>0.16900000000000001</v>
      </c>
      <c r="E128" s="91">
        <v>0.16900000000000001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Raw materials</v>
      </c>
      <c r="J128" t="str">
        <f>_xlfn.XLOOKUP($A128,Map!$A:$A,Map!F:F)</f>
        <v>Raw materials</v>
      </c>
    </row>
    <row r="129" spans="1:10" hidden="1" x14ac:dyDescent="0.25">
      <c r="A129" s="90">
        <v>520037</v>
      </c>
      <c r="B129" s="90" t="s">
        <v>133</v>
      </c>
      <c r="C129" s="91">
        <v>0</v>
      </c>
      <c r="D129" s="91">
        <v>1038394.732</v>
      </c>
      <c r="E129" s="91">
        <v>1038394.732</v>
      </c>
      <c r="F129" s="91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Raw materials</v>
      </c>
      <c r="J129" t="str">
        <f>_xlfn.XLOOKUP($A129,Map!$A:$A,Map!F:F)</f>
        <v>Raw materials</v>
      </c>
    </row>
    <row r="130" spans="1:10" hidden="1" x14ac:dyDescent="0.25">
      <c r="A130" s="90">
        <v>520040</v>
      </c>
      <c r="B130" s="90" t="s">
        <v>134</v>
      </c>
      <c r="C130" s="91">
        <v>0</v>
      </c>
      <c r="D130" s="91">
        <v>0</v>
      </c>
      <c r="E130" s="91">
        <v>0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Raw materials</v>
      </c>
      <c r="J130" t="str">
        <f>_xlfn.XLOOKUP($A130,Map!$A:$A,Map!F:F)</f>
        <v>Other expenses</v>
      </c>
    </row>
    <row r="131" spans="1:10" hidden="1" x14ac:dyDescent="0.25">
      <c r="A131" s="90">
        <v>520041</v>
      </c>
      <c r="B131" s="90" t="s">
        <v>135</v>
      </c>
      <c r="C131" s="91">
        <v>0</v>
      </c>
      <c r="D131" s="91">
        <v>16687754.013</v>
      </c>
      <c r="E131" s="91">
        <v>16687754.013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Raw materials</v>
      </c>
      <c r="J131" t="str">
        <f>_xlfn.XLOOKUP($A131,Map!$A:$A,Map!F:F)</f>
        <v>Other expenses</v>
      </c>
    </row>
    <row r="132" spans="1:10" hidden="1" x14ac:dyDescent="0.25">
      <c r="A132" s="90">
        <v>520042</v>
      </c>
      <c r="B132" s="90" t="s">
        <v>136</v>
      </c>
      <c r="C132" s="91">
        <v>0</v>
      </c>
      <c r="D132" s="91">
        <v>10803957.657</v>
      </c>
      <c r="E132" s="91">
        <v>10803957.657</v>
      </c>
      <c r="F132" s="91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Raw materials</v>
      </c>
      <c r="J132" t="str">
        <f>_xlfn.XLOOKUP($A132,Map!$A:$A,Map!F:F)</f>
        <v>Inventory Adjustment</v>
      </c>
    </row>
    <row r="133" spans="1:10" hidden="1" x14ac:dyDescent="0.25">
      <c r="A133" s="90">
        <v>600001</v>
      </c>
      <c r="B133" s="90" t="s">
        <v>137</v>
      </c>
      <c r="C133" s="91">
        <v>0</v>
      </c>
      <c r="D133" s="91">
        <v>2326195.5</v>
      </c>
      <c r="E133" s="91">
        <v>2326195.5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Overhead - Labor Cost</v>
      </c>
      <c r="J133" t="str">
        <f>_xlfn.XLOOKUP($A133,Map!$A:$A,Map!F:F)</f>
        <v>Salaries and wages</v>
      </c>
    </row>
    <row r="134" spans="1:10" hidden="1" x14ac:dyDescent="0.25">
      <c r="A134" s="90">
        <v>600002</v>
      </c>
      <c r="B134" s="90" t="s">
        <v>138</v>
      </c>
      <c r="C134" s="91">
        <v>0</v>
      </c>
      <c r="D134" s="91">
        <v>408675</v>
      </c>
      <c r="E134" s="91">
        <v>408675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Overhead - Labor Cost</v>
      </c>
      <c r="J134" t="str">
        <f>_xlfn.XLOOKUP($A134,Map!$A:$A,Map!F:F)</f>
        <v>Overtime pay</v>
      </c>
    </row>
    <row r="135" spans="1:10" hidden="1" x14ac:dyDescent="0.25">
      <c r="A135" s="90">
        <v>600003</v>
      </c>
      <c r="B135" s="90" t="s">
        <v>139</v>
      </c>
      <c r="C135" s="91">
        <v>0</v>
      </c>
      <c r="D135" s="91">
        <v>406582.76</v>
      </c>
      <c r="E135" s="91">
        <v>406582.76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Overhead - Labor Cost</v>
      </c>
      <c r="J135" t="str">
        <f>_xlfn.XLOOKUP($A135,Map!$A:$A,Map!F:F)</f>
        <v xml:space="preserve">Food &amp; Housing </v>
      </c>
    </row>
    <row r="136" spans="1:10" hidden="1" x14ac:dyDescent="0.25">
      <c r="A136" s="90">
        <v>600004</v>
      </c>
      <c r="B136" s="90" t="s">
        <v>140</v>
      </c>
      <c r="C136" s="91">
        <v>0</v>
      </c>
      <c r="D136" s="91">
        <v>137202</v>
      </c>
      <c r="E136" s="91">
        <v>137202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Overhead - Labor Cost</v>
      </c>
      <c r="J136" t="str">
        <f>_xlfn.XLOOKUP($A136,Map!$A:$A,Map!F:F)</f>
        <v>Medical insurance</v>
      </c>
    </row>
    <row r="137" spans="1:10" hidden="1" x14ac:dyDescent="0.25">
      <c r="A137" s="90">
        <v>600005</v>
      </c>
      <c r="B137" s="90" t="s">
        <v>141</v>
      </c>
      <c r="C137" s="91">
        <v>0</v>
      </c>
      <c r="D137" s="91">
        <v>1216863.5490000001</v>
      </c>
      <c r="E137" s="91">
        <v>1216863.5490000001</v>
      </c>
      <c r="F137" s="91">
        <v>0</v>
      </c>
      <c r="G137" t="str">
        <f>_xlfn.XLOOKUP($A137,Map!$A:$A,Map!C:C)</f>
        <v>IS</v>
      </c>
      <c r="H137" t="str">
        <f>_xlfn.XLOOKUP($A137,Map!$A:$A,Map!D:D)</f>
        <v>General and Admin</v>
      </c>
      <c r="I137" t="str">
        <f>_xlfn.XLOOKUP($A137,Map!$A:$A,Map!E:E)</f>
        <v>Govt license and fees (including modon)</v>
      </c>
      <c r="J137" t="str">
        <f>_xlfn.XLOOKUP($A137,Map!$A:$A,Map!F:F)</f>
        <v>Government fees</v>
      </c>
    </row>
    <row r="138" spans="1:10" hidden="1" x14ac:dyDescent="0.25">
      <c r="A138" s="90">
        <v>600006</v>
      </c>
      <c r="B138" s="90" t="s">
        <v>142</v>
      </c>
      <c r="C138" s="91">
        <v>0</v>
      </c>
      <c r="D138" s="91">
        <v>663421.11</v>
      </c>
      <c r="E138" s="91">
        <v>663421.11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Overhead - Labor Cost</v>
      </c>
      <c r="J138" t="str">
        <f>_xlfn.XLOOKUP($A138,Map!$A:$A,Map!F:F)</f>
        <v xml:space="preserve">Food &amp; Housing </v>
      </c>
    </row>
    <row r="139" spans="1:10" hidden="1" x14ac:dyDescent="0.25">
      <c r="A139" s="90">
        <v>600007</v>
      </c>
      <c r="B139" s="90" t="s">
        <v>143</v>
      </c>
      <c r="C139" s="91">
        <v>0</v>
      </c>
      <c r="D139" s="91">
        <v>160242</v>
      </c>
      <c r="E139" s="91">
        <v>160242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Overhead - Labor Cost</v>
      </c>
      <c r="J139" t="str">
        <f>_xlfn.XLOOKUP($A139,Map!$A:$A,Map!F:F)</f>
        <v>Transportation allowance</v>
      </c>
    </row>
    <row r="140" spans="1:10" hidden="1" x14ac:dyDescent="0.25">
      <c r="A140" s="90">
        <v>600008</v>
      </c>
      <c r="B140" s="90" t="s">
        <v>144</v>
      </c>
      <c r="C140" s="91">
        <v>0</v>
      </c>
      <c r="D140" s="91">
        <v>421563.03</v>
      </c>
      <c r="E140" s="91">
        <v>421563.03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Overhead - Labor Cost</v>
      </c>
      <c r="J140" t="str">
        <f>_xlfn.XLOOKUP($A140,Map!$A:$A,Map!F:F)</f>
        <v>Air tickets</v>
      </c>
    </row>
    <row r="141" spans="1:10" hidden="1" x14ac:dyDescent="0.25">
      <c r="A141" s="90">
        <v>600009</v>
      </c>
      <c r="B141" s="90" t="s">
        <v>145</v>
      </c>
      <c r="C141" s="91">
        <v>0</v>
      </c>
      <c r="D141" s="91">
        <v>193286</v>
      </c>
      <c r="E141" s="91">
        <v>193286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Overhead - Labor Cost</v>
      </c>
      <c r="J141" t="str">
        <f>_xlfn.XLOOKUP($A141,Map!$A:$A,Map!F:F)</f>
        <v>Vacation pay</v>
      </c>
    </row>
    <row r="142" spans="1:10" hidden="1" x14ac:dyDescent="0.25">
      <c r="A142" s="90">
        <v>600010</v>
      </c>
      <c r="B142" s="90" t="s">
        <v>146</v>
      </c>
      <c r="C142" s="91">
        <v>0</v>
      </c>
      <c r="D142" s="91">
        <v>0</v>
      </c>
      <c r="E142" s="91">
        <v>0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Overhead - Labor Cost</v>
      </c>
      <c r="J142" t="str">
        <f>_xlfn.XLOOKUP($A142,Map!$A:$A,Map!F:F)</f>
        <v>EOS expenses</v>
      </c>
    </row>
    <row r="143" spans="1:10" hidden="1" x14ac:dyDescent="0.25">
      <c r="A143" s="90">
        <v>600011</v>
      </c>
      <c r="B143" s="90" t="s">
        <v>147</v>
      </c>
      <c r="C143" s="91">
        <v>0</v>
      </c>
      <c r="D143" s="91">
        <v>14500</v>
      </c>
      <c r="E143" s="91">
        <v>14500</v>
      </c>
      <c r="F143" s="91">
        <v>0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Overhead - Labor Cost</v>
      </c>
      <c r="J143" t="str">
        <f>_xlfn.XLOOKUP($A143,Map!$A:$A,Map!F:F)</f>
        <v>Air tickets</v>
      </c>
    </row>
    <row r="144" spans="1:10" hidden="1" x14ac:dyDescent="0.25">
      <c r="A144" s="90">
        <v>600012</v>
      </c>
      <c r="B144" s="90" t="s">
        <v>148</v>
      </c>
      <c r="C144" s="91">
        <v>0</v>
      </c>
      <c r="D144" s="91">
        <v>1535</v>
      </c>
      <c r="E144" s="91">
        <v>1535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Overhead - Labor Cost</v>
      </c>
      <c r="J144" t="str">
        <f>_xlfn.XLOOKUP($A144,Map!$A:$A,Map!F:F)</f>
        <v xml:space="preserve">Education &amp; Furniture Allowances </v>
      </c>
    </row>
    <row r="145" spans="1:10" hidden="1" x14ac:dyDescent="0.25">
      <c r="A145" s="90">
        <v>600013</v>
      </c>
      <c r="B145" s="90" t="s">
        <v>149</v>
      </c>
      <c r="C145" s="91">
        <v>0</v>
      </c>
      <c r="D145" s="91">
        <v>0</v>
      </c>
      <c r="E145" s="91">
        <v>0</v>
      </c>
      <c r="F145" s="91">
        <v>0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Overhead - Labor Cost</v>
      </c>
      <c r="J145" t="str">
        <f>_xlfn.XLOOKUP($A145,Map!$A:$A,Map!F:F)</f>
        <v>Telephone allowance</v>
      </c>
    </row>
    <row r="146" spans="1:10" hidden="1" x14ac:dyDescent="0.25">
      <c r="A146" s="90">
        <v>600014</v>
      </c>
      <c r="B146" s="90" t="s">
        <v>60</v>
      </c>
      <c r="C146" s="91">
        <v>0</v>
      </c>
      <c r="D146" s="91">
        <v>1654321.1340000001</v>
      </c>
      <c r="E146" s="91">
        <v>1654321.1340000001</v>
      </c>
      <c r="F146" s="91">
        <v>0</v>
      </c>
      <c r="G146" t="str">
        <f>_xlfn.XLOOKUP($A146,Map!$A:$A,Map!C:C)</f>
        <v>IS</v>
      </c>
      <c r="H146" t="str">
        <f>_xlfn.XLOOKUP($A146,Map!$A:$A,Map!D:D)</f>
        <v>Cost of sales</v>
      </c>
      <c r="I146" t="str">
        <f>_xlfn.XLOOKUP($A146,Map!$A:$A,Map!E:E)</f>
        <v>Overhead - Consumables &amp; SP</v>
      </c>
      <c r="J146" t="str">
        <f>_xlfn.XLOOKUP($A146,Map!$A:$A,Map!F:F)</f>
        <v>Consumables</v>
      </c>
    </row>
    <row r="147" spans="1:10" hidden="1" x14ac:dyDescent="0.25">
      <c r="A147" s="90">
        <v>600015</v>
      </c>
      <c r="B147" s="90" t="s">
        <v>150</v>
      </c>
      <c r="C147" s="91">
        <v>0</v>
      </c>
      <c r="D147" s="91">
        <v>0</v>
      </c>
      <c r="E147" s="91">
        <v>0</v>
      </c>
      <c r="F147" s="91">
        <v>0</v>
      </c>
      <c r="G147" t="str">
        <f>_xlfn.XLOOKUP($A147,Map!$A:$A,Map!C:C)</f>
        <v>IS</v>
      </c>
      <c r="H147" t="str">
        <f>_xlfn.XLOOKUP($A147,Map!$A:$A,Map!D:D)</f>
        <v>Cost of sales</v>
      </c>
      <c r="I147" t="str">
        <f>_xlfn.XLOOKUP($A147,Map!$A:$A,Map!E:E)</f>
        <v>Overhead - Consumables &amp; SP</v>
      </c>
      <c r="J147" t="str">
        <f>_xlfn.XLOOKUP($A147,Map!$A:$A,Map!F:F)</f>
        <v>Consumables</v>
      </c>
    </row>
    <row r="148" spans="1:10" hidden="1" x14ac:dyDescent="0.25">
      <c r="A148" s="90">
        <v>600016</v>
      </c>
      <c r="B148" s="90" t="s">
        <v>151</v>
      </c>
      <c r="C148" s="91">
        <v>0</v>
      </c>
      <c r="D148" s="91">
        <v>1872605.669</v>
      </c>
      <c r="E148" s="91">
        <v>1872605.669</v>
      </c>
      <c r="F148" s="91">
        <v>0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Overhead - Consumables &amp; SP</v>
      </c>
      <c r="J148" t="str">
        <f>_xlfn.XLOOKUP($A148,Map!$A:$A,Map!F:F)</f>
        <v>Tools</v>
      </c>
    </row>
    <row r="149" spans="1:10" hidden="1" x14ac:dyDescent="0.25">
      <c r="A149" s="90">
        <v>600017</v>
      </c>
      <c r="B149" s="90" t="s">
        <v>152</v>
      </c>
      <c r="C149" s="91">
        <v>0</v>
      </c>
      <c r="D149" s="91">
        <v>2268897.7000000002</v>
      </c>
      <c r="E149" s="91">
        <v>2268897.7000000002</v>
      </c>
      <c r="F149" s="91">
        <v>0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Overhead - Utility</v>
      </c>
      <c r="J149" t="str">
        <f>_xlfn.XLOOKUP($A149,Map!$A:$A,Map!F:F)</f>
        <v>Electricity expenses</v>
      </c>
    </row>
    <row r="150" spans="1:10" hidden="1" x14ac:dyDescent="0.25">
      <c r="A150" s="90">
        <v>600018</v>
      </c>
      <c r="B150" s="90" t="s">
        <v>153</v>
      </c>
      <c r="C150" s="91">
        <v>0</v>
      </c>
      <c r="D150" s="91">
        <v>216247</v>
      </c>
      <c r="E150" s="91">
        <v>216247</v>
      </c>
      <c r="F150" s="91">
        <v>0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Overhead - Utility</v>
      </c>
      <c r="J150" t="str">
        <f>_xlfn.XLOOKUP($A150,Map!$A:$A,Map!F:F)</f>
        <v>Water expenses</v>
      </c>
    </row>
    <row r="151" spans="1:10" hidden="1" x14ac:dyDescent="0.25">
      <c r="A151" s="90">
        <v>600019</v>
      </c>
      <c r="B151" s="90" t="s">
        <v>154</v>
      </c>
      <c r="C151" s="91">
        <v>0</v>
      </c>
      <c r="D151" s="91">
        <v>118151.98299999999</v>
      </c>
      <c r="E151" s="91">
        <v>118151.98299999999</v>
      </c>
      <c r="F151" s="91">
        <v>0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Overhead - Utility</v>
      </c>
      <c r="J151" t="str">
        <f>_xlfn.XLOOKUP($A151,Map!$A:$A,Map!F:F)</f>
        <v>Fuel and oil</v>
      </c>
    </row>
    <row r="152" spans="1:10" hidden="1" x14ac:dyDescent="0.25">
      <c r="A152" s="90">
        <v>600020</v>
      </c>
      <c r="B152" s="90" t="s">
        <v>155</v>
      </c>
      <c r="C152" s="91">
        <v>0</v>
      </c>
      <c r="D152" s="91">
        <v>212023.36499999999</v>
      </c>
      <c r="E152" s="91">
        <v>212023.36499999999</v>
      </c>
      <c r="F152" s="91">
        <v>0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Overhead - R&amp;M</v>
      </c>
      <c r="J152" t="str">
        <f>_xlfn.XLOOKUP($A152,Map!$A:$A,Map!F:F)</f>
        <v>Machine and equipment</v>
      </c>
    </row>
    <row r="153" spans="1:10" hidden="1" x14ac:dyDescent="0.25">
      <c r="A153" s="90">
        <v>600021</v>
      </c>
      <c r="B153" s="90" t="s">
        <v>156</v>
      </c>
      <c r="C153" s="91">
        <v>0</v>
      </c>
      <c r="D153" s="91">
        <v>50408.18</v>
      </c>
      <c r="E153" s="91">
        <v>50408.18</v>
      </c>
      <c r="F153" s="91">
        <v>0</v>
      </c>
      <c r="G153" t="str">
        <f>_xlfn.XLOOKUP($A153,Map!$A:$A,Map!C:C)</f>
        <v>IS</v>
      </c>
      <c r="H153" t="str">
        <f>_xlfn.XLOOKUP($A153,Map!$A:$A,Map!D:D)</f>
        <v>Cost of sales</v>
      </c>
      <c r="I153" t="str">
        <f>_xlfn.XLOOKUP($A153,Map!$A:$A,Map!E:E)</f>
        <v>Overhead - R&amp;M</v>
      </c>
      <c r="J153" t="str">
        <f>_xlfn.XLOOKUP($A153,Map!$A:$A,Map!F:F)</f>
        <v>Vehicle maintenance</v>
      </c>
    </row>
    <row r="154" spans="1:10" hidden="1" x14ac:dyDescent="0.25">
      <c r="A154" s="90">
        <v>600022</v>
      </c>
      <c r="B154" s="90" t="s">
        <v>157</v>
      </c>
      <c r="C154" s="91">
        <v>0</v>
      </c>
      <c r="D154" s="91">
        <v>40689.25</v>
      </c>
      <c r="E154" s="91">
        <v>40689.25</v>
      </c>
      <c r="F154" s="91">
        <v>0</v>
      </c>
      <c r="G154" t="str">
        <f>_xlfn.XLOOKUP($A154,Map!$A:$A,Map!C:C)</f>
        <v>IS</v>
      </c>
      <c r="H154" t="str">
        <f>_xlfn.XLOOKUP($A154,Map!$A:$A,Map!D:D)</f>
        <v>Cost of sales</v>
      </c>
      <c r="I154" t="str">
        <f>_xlfn.XLOOKUP($A154,Map!$A:$A,Map!E:E)</f>
        <v>Overhead - R&amp;M</v>
      </c>
      <c r="J154" t="str">
        <f>_xlfn.XLOOKUP($A154,Map!$A:$A,Map!F:F)</f>
        <v>Building maintenance</v>
      </c>
    </row>
    <row r="155" spans="1:10" hidden="1" x14ac:dyDescent="0.25">
      <c r="A155" s="90">
        <v>600023</v>
      </c>
      <c r="B155" s="90" t="s">
        <v>158</v>
      </c>
      <c r="C155" s="91">
        <v>0</v>
      </c>
      <c r="D155" s="91">
        <v>4014</v>
      </c>
      <c r="E155" s="91">
        <v>4014</v>
      </c>
      <c r="F155" s="91">
        <v>0</v>
      </c>
      <c r="G155" t="str">
        <f>_xlfn.XLOOKUP($A155,Map!$A:$A,Map!C:C)</f>
        <v>IS</v>
      </c>
      <c r="H155" t="str">
        <f>_xlfn.XLOOKUP($A155,Map!$A:$A,Map!D:D)</f>
        <v>Cost of sales</v>
      </c>
      <c r="I155" t="str">
        <f>_xlfn.XLOOKUP($A155,Map!$A:$A,Map!E:E)</f>
        <v>Overhead - R&amp;M</v>
      </c>
      <c r="J155" t="str">
        <f>_xlfn.XLOOKUP($A155,Map!$A:$A,Map!F:F)</f>
        <v>Office equipment maintenance</v>
      </c>
    </row>
    <row r="156" spans="1:10" hidden="1" x14ac:dyDescent="0.25">
      <c r="A156" s="90">
        <v>600024</v>
      </c>
      <c r="B156" s="90" t="s">
        <v>159</v>
      </c>
      <c r="C156" s="91">
        <v>0</v>
      </c>
      <c r="D156" s="91">
        <v>7663.95</v>
      </c>
      <c r="E156" s="91">
        <v>7663.95</v>
      </c>
      <c r="F156" s="91">
        <v>0</v>
      </c>
      <c r="G156" t="str">
        <f>_xlfn.XLOOKUP($A156,Map!$A:$A,Map!C:C)</f>
        <v>IS</v>
      </c>
      <c r="H156" t="str">
        <f>_xlfn.XLOOKUP($A156,Map!$A:$A,Map!D:D)</f>
        <v>Cost of sales</v>
      </c>
      <c r="I156" t="str">
        <f>_xlfn.XLOOKUP($A156,Map!$A:$A,Map!E:E)</f>
        <v>Overhead - Rent</v>
      </c>
      <c r="J156" t="str">
        <f>_xlfn.XLOOKUP($A156,Map!$A:$A,Map!F:F)</f>
        <v>Pump rental expenses</v>
      </c>
    </row>
    <row r="157" spans="1:10" hidden="1" x14ac:dyDescent="0.25">
      <c r="A157" s="90">
        <v>600025</v>
      </c>
      <c r="B157" s="90" t="s">
        <v>160</v>
      </c>
      <c r="C157" s="91">
        <v>0</v>
      </c>
      <c r="D157" s="91">
        <v>320</v>
      </c>
      <c r="E157" s="91">
        <v>320</v>
      </c>
      <c r="F157" s="91">
        <v>0</v>
      </c>
      <c r="G157" t="str">
        <f>_xlfn.XLOOKUP($A157,Map!$A:$A,Map!C:C)</f>
        <v>IS</v>
      </c>
      <c r="H157" t="str">
        <f>_xlfn.XLOOKUP($A157,Map!$A:$A,Map!D:D)</f>
        <v>Cost of sales</v>
      </c>
      <c r="I157" t="str">
        <f>_xlfn.XLOOKUP($A157,Map!$A:$A,Map!E:E)</f>
        <v>Overhead - Insurance</v>
      </c>
      <c r="J157" t="str">
        <f>_xlfn.XLOOKUP($A157,Map!$A:$A,Map!F:F)</f>
        <v>Building insurance</v>
      </c>
    </row>
    <row r="158" spans="1:10" hidden="1" x14ac:dyDescent="0.25">
      <c r="A158" s="90">
        <v>600026</v>
      </c>
      <c r="B158" s="90" t="s">
        <v>161</v>
      </c>
      <c r="C158" s="91">
        <v>0</v>
      </c>
      <c r="D158" s="91">
        <v>0</v>
      </c>
      <c r="E158" s="91">
        <v>0</v>
      </c>
      <c r="F158" s="91">
        <v>0</v>
      </c>
      <c r="G158" t="str">
        <f>_xlfn.XLOOKUP($A158,Map!$A:$A,Map!C:C)</f>
        <v>IS</v>
      </c>
      <c r="H158" t="str">
        <f>_xlfn.XLOOKUP($A158,Map!$A:$A,Map!D:D)</f>
        <v>Cost of sales</v>
      </c>
      <c r="I158" t="str">
        <f>_xlfn.XLOOKUP($A158,Map!$A:$A,Map!E:E)</f>
        <v>Overhead - Insurance</v>
      </c>
      <c r="J158" t="str">
        <f>_xlfn.XLOOKUP($A158,Map!$A:$A,Map!F:F)</f>
        <v>Machine and equipment insurance</v>
      </c>
    </row>
    <row r="159" spans="1:10" hidden="1" x14ac:dyDescent="0.25">
      <c r="A159" s="90">
        <v>600027</v>
      </c>
      <c r="B159" s="90" t="s">
        <v>162</v>
      </c>
      <c r="C159" s="91">
        <v>0</v>
      </c>
      <c r="D159" s="91">
        <v>203399</v>
      </c>
      <c r="E159" s="91">
        <v>203399</v>
      </c>
      <c r="F159" s="91">
        <v>0</v>
      </c>
      <c r="G159" t="str">
        <f>_xlfn.XLOOKUP($A159,Map!$A:$A,Map!C:C)</f>
        <v>IS</v>
      </c>
      <c r="H159" t="str">
        <f>_xlfn.XLOOKUP($A159,Map!$A:$A,Map!D:D)</f>
        <v>Cost of sales</v>
      </c>
      <c r="I159" t="str">
        <f>_xlfn.XLOOKUP($A159,Map!$A:$A,Map!E:E)</f>
        <v>Overhead - Rent</v>
      </c>
      <c r="J159" t="str">
        <f>_xlfn.XLOOKUP($A159,Map!$A:$A,Map!F:F)</f>
        <v>Production hall rental</v>
      </c>
    </row>
    <row r="160" spans="1:10" hidden="1" x14ac:dyDescent="0.25">
      <c r="A160" s="90">
        <v>600028</v>
      </c>
      <c r="B160" s="90" t="s">
        <v>163</v>
      </c>
      <c r="C160" s="91">
        <v>0</v>
      </c>
      <c r="D160" s="91">
        <v>118089.66</v>
      </c>
      <c r="E160" s="91">
        <v>118089.66</v>
      </c>
      <c r="F160" s="91">
        <v>0</v>
      </c>
      <c r="G160" t="str">
        <f>_xlfn.XLOOKUP($A160,Map!$A:$A,Map!C:C)</f>
        <v>IS</v>
      </c>
      <c r="H160" t="str">
        <f>_xlfn.XLOOKUP($A160,Map!$A:$A,Map!D:D)</f>
        <v>Cost of sales</v>
      </c>
      <c r="I160" t="str">
        <f>_xlfn.XLOOKUP($A160,Map!$A:$A,Map!E:E)</f>
        <v>Overhead - Consumables &amp; SP</v>
      </c>
      <c r="J160" t="str">
        <f>_xlfn.XLOOKUP($A160,Map!$A:$A,Map!F:F)</f>
        <v xml:space="preserve">Education &amp; Furniture Allowances </v>
      </c>
    </row>
    <row r="161" spans="1:10" hidden="1" x14ac:dyDescent="0.25">
      <c r="A161" s="90">
        <v>600029</v>
      </c>
      <c r="B161" s="90" t="s">
        <v>164</v>
      </c>
      <c r="C161" s="91">
        <v>0</v>
      </c>
      <c r="D161" s="91">
        <v>4715632.3930000002</v>
      </c>
      <c r="E161" s="91">
        <v>4715632.3930000002</v>
      </c>
      <c r="F161" s="91">
        <v>0</v>
      </c>
      <c r="G161" t="str">
        <f>_xlfn.XLOOKUP($A161,Map!$A:$A,Map!C:C)</f>
        <v>IS</v>
      </c>
      <c r="H161" t="str">
        <f>_xlfn.XLOOKUP($A161,Map!$A:$A,Map!D:D)</f>
        <v>Cost of sales</v>
      </c>
      <c r="I161" t="str">
        <f>_xlfn.XLOOKUP($A161,Map!$A:$A,Map!E:E)</f>
        <v>Depreciation - Machines</v>
      </c>
      <c r="J161" t="str">
        <f>_xlfn.XLOOKUP($A161,Map!$A:$A,Map!F:F)</f>
        <v>Depreciation of property, plant and equipment</v>
      </c>
    </row>
    <row r="162" spans="1:10" hidden="1" x14ac:dyDescent="0.25">
      <c r="A162" s="90">
        <v>600030</v>
      </c>
      <c r="B162" s="90" t="s">
        <v>165</v>
      </c>
      <c r="C162" s="91">
        <v>0</v>
      </c>
      <c r="D162" s="91">
        <v>44636.800000000003</v>
      </c>
      <c r="E162" s="91">
        <v>44636.800000000003</v>
      </c>
      <c r="F162" s="91">
        <v>0</v>
      </c>
      <c r="G162" t="str">
        <f>_xlfn.XLOOKUP($A162,Map!$A:$A,Map!C:C)</f>
        <v>IS</v>
      </c>
      <c r="H162" t="str">
        <f>_xlfn.XLOOKUP($A162,Map!$A:$A,Map!D:D)</f>
        <v>Depreciation expenses</v>
      </c>
      <c r="I162" t="str">
        <f>_xlfn.XLOOKUP($A162,Map!$A:$A,Map!E:E)</f>
        <v>Depreciation expenses</v>
      </c>
      <c r="J162" t="str">
        <f>_xlfn.XLOOKUP($A162,Map!$A:$A,Map!F:F)</f>
        <v>Depreciation of property, plant and equipment</v>
      </c>
    </row>
    <row r="163" spans="1:10" hidden="1" x14ac:dyDescent="0.25">
      <c r="A163" s="90">
        <v>600031</v>
      </c>
      <c r="B163" s="90" t="s">
        <v>166</v>
      </c>
      <c r="C163" s="91">
        <v>0</v>
      </c>
      <c r="D163" s="91">
        <v>14498.33</v>
      </c>
      <c r="E163" s="91">
        <v>14498.33</v>
      </c>
      <c r="F163" s="91">
        <v>0</v>
      </c>
      <c r="G163" t="str">
        <f>_xlfn.XLOOKUP($A163,Map!$A:$A,Map!C:C)</f>
        <v>IS</v>
      </c>
      <c r="H163" t="str">
        <f>_xlfn.XLOOKUP($A163,Map!$A:$A,Map!D:D)</f>
        <v>Depreciation expenses</v>
      </c>
      <c r="I163" t="str">
        <f>_xlfn.XLOOKUP($A163,Map!$A:$A,Map!E:E)</f>
        <v>Depreciation expenses</v>
      </c>
      <c r="J163" t="str">
        <f>_xlfn.XLOOKUP($A163,Map!$A:$A,Map!F:F)</f>
        <v>Depreciation of property, plant and equipment</v>
      </c>
    </row>
    <row r="164" spans="1:10" hidden="1" x14ac:dyDescent="0.25">
      <c r="A164" s="90">
        <v>600032</v>
      </c>
      <c r="B164" s="90" t="s">
        <v>167</v>
      </c>
      <c r="C164" s="91">
        <v>0</v>
      </c>
      <c r="D164" s="91">
        <v>445185.70500000002</v>
      </c>
      <c r="E164" s="91">
        <v>445185.70500000002</v>
      </c>
      <c r="F164" s="91">
        <v>0</v>
      </c>
      <c r="G164" t="str">
        <f>_xlfn.XLOOKUP($A164,Map!$A:$A,Map!C:C)</f>
        <v>IS</v>
      </c>
      <c r="H164" t="str">
        <f>_xlfn.XLOOKUP($A164,Map!$A:$A,Map!D:D)</f>
        <v>Depreciation expenses</v>
      </c>
      <c r="I164" t="str">
        <f>_xlfn.XLOOKUP($A164,Map!$A:$A,Map!E:E)</f>
        <v>Depreciation expenses</v>
      </c>
      <c r="J164" t="str">
        <f>_xlfn.XLOOKUP($A164,Map!$A:$A,Map!F:F)</f>
        <v>Depreciation of property, plant and equipment</v>
      </c>
    </row>
    <row r="165" spans="1:10" hidden="1" x14ac:dyDescent="0.25">
      <c r="A165" s="90">
        <v>600033</v>
      </c>
      <c r="B165" s="90" t="s">
        <v>168</v>
      </c>
      <c r="C165" s="91">
        <v>0</v>
      </c>
      <c r="D165" s="91">
        <v>24787</v>
      </c>
      <c r="E165" s="91">
        <v>24787</v>
      </c>
      <c r="F165" s="91">
        <v>0</v>
      </c>
      <c r="G165" t="str">
        <f>_xlfn.XLOOKUP($A165,Map!$A:$A,Map!C:C)</f>
        <v>IS</v>
      </c>
      <c r="H165" t="str">
        <f>_xlfn.XLOOKUP($A165,Map!$A:$A,Map!D:D)</f>
        <v>Depreciation expenses</v>
      </c>
      <c r="I165" t="str">
        <f>_xlfn.XLOOKUP($A165,Map!$A:$A,Map!E:E)</f>
        <v>Depreciation expenses</v>
      </c>
      <c r="J165" t="str">
        <f>_xlfn.XLOOKUP($A165,Map!$A:$A,Map!F:F)</f>
        <v>Depreciation of property, plant and equipment</v>
      </c>
    </row>
    <row r="166" spans="1:10" hidden="1" x14ac:dyDescent="0.25">
      <c r="A166" s="90">
        <v>700001</v>
      </c>
      <c r="B166" s="90" t="s">
        <v>171</v>
      </c>
      <c r="C166" s="91">
        <v>0</v>
      </c>
      <c r="D166" s="91">
        <v>4662999.53</v>
      </c>
      <c r="E166" s="91">
        <v>644907</v>
      </c>
      <c r="F166" s="91">
        <v>4018092.53</v>
      </c>
      <c r="G166" t="str">
        <f>_xlfn.XLOOKUP($A166,Map!$A:$A,Map!C:C)</f>
        <v>IS</v>
      </c>
      <c r="H166" t="str">
        <f>_xlfn.XLOOKUP($A166,Map!$A:$A,Map!D:D)</f>
        <v>General and Admin</v>
      </c>
      <c r="I166" t="str">
        <f>_xlfn.XLOOKUP($A166,Map!$A:$A,Map!E:E)</f>
        <v>Salaries and wages</v>
      </c>
      <c r="J166" t="str">
        <f>_xlfn.XLOOKUP($A166,Map!$A:$A,Map!F:F)</f>
        <v>Salaries and wages</v>
      </c>
    </row>
    <row r="167" spans="1:10" hidden="1" x14ac:dyDescent="0.25">
      <c r="A167" s="90">
        <v>700002</v>
      </c>
      <c r="B167" s="90" t="s">
        <v>172</v>
      </c>
      <c r="C167" s="91">
        <v>0</v>
      </c>
      <c r="D167" s="91">
        <v>131634</v>
      </c>
      <c r="E167" s="91">
        <v>127.875</v>
      </c>
      <c r="F167" s="91">
        <v>131506.125</v>
      </c>
      <c r="G167" t="str">
        <f>_xlfn.XLOOKUP($A167,Map!$A:$A,Map!C:C)</f>
        <v>IS</v>
      </c>
      <c r="H167" t="str">
        <f>_xlfn.XLOOKUP($A167,Map!$A:$A,Map!D:D)</f>
        <v>General and Admin</v>
      </c>
      <c r="I167" t="str">
        <f>_xlfn.XLOOKUP($A167,Map!$A:$A,Map!E:E)</f>
        <v>Salaries and wages</v>
      </c>
      <c r="J167" t="str">
        <f>_xlfn.XLOOKUP($A167,Map!$A:$A,Map!F:F)</f>
        <v>Overtime pay</v>
      </c>
    </row>
    <row r="168" spans="1:10" hidden="1" x14ac:dyDescent="0.25">
      <c r="A168" s="90">
        <v>700003</v>
      </c>
      <c r="B168" s="90" t="s">
        <v>173</v>
      </c>
      <c r="C168" s="91">
        <v>0</v>
      </c>
      <c r="D168" s="91">
        <v>15574</v>
      </c>
      <c r="E168" s="91">
        <v>800</v>
      </c>
      <c r="F168" s="91">
        <v>14774</v>
      </c>
      <c r="G168" t="str">
        <f>_xlfn.XLOOKUP($A168,Map!$A:$A,Map!C:C)</f>
        <v>IS</v>
      </c>
      <c r="H168" t="str">
        <f>_xlfn.XLOOKUP($A168,Map!$A:$A,Map!D:D)</f>
        <v>General and Admin</v>
      </c>
      <c r="I168" t="str">
        <f>_xlfn.XLOOKUP($A168,Map!$A:$A,Map!E:E)</f>
        <v>Salaries and wages</v>
      </c>
      <c r="J168" t="str">
        <f>_xlfn.XLOOKUP($A168,Map!$A:$A,Map!F:F)</f>
        <v xml:space="preserve">Food &amp; Housing </v>
      </c>
    </row>
    <row r="169" spans="1:10" hidden="1" x14ac:dyDescent="0.25">
      <c r="A169" s="90">
        <v>700004</v>
      </c>
      <c r="B169" s="90" t="s">
        <v>174</v>
      </c>
      <c r="C169" s="91">
        <v>0</v>
      </c>
      <c r="D169" s="91">
        <v>218640</v>
      </c>
      <c r="E169" s="91">
        <v>0</v>
      </c>
      <c r="F169" s="91">
        <v>218640</v>
      </c>
      <c r="G169" t="str">
        <f>_xlfn.XLOOKUP($A169,Map!$A:$A,Map!C:C)</f>
        <v>IS</v>
      </c>
      <c r="H169" t="str">
        <f>_xlfn.XLOOKUP($A169,Map!$A:$A,Map!D:D)</f>
        <v>General and Admin</v>
      </c>
      <c r="I169" t="str">
        <f>_xlfn.XLOOKUP($A169,Map!$A:$A,Map!E:E)</f>
        <v>Salaries and wages</v>
      </c>
      <c r="J169" t="str">
        <f>_xlfn.XLOOKUP($A169,Map!$A:$A,Map!F:F)</f>
        <v>Medical insurance</v>
      </c>
    </row>
    <row r="170" spans="1:10" hidden="1" x14ac:dyDescent="0.25">
      <c r="A170" s="90">
        <v>700005</v>
      </c>
      <c r="B170" s="90" t="s">
        <v>175</v>
      </c>
      <c r="C170" s="91">
        <v>0</v>
      </c>
      <c r="D170" s="91">
        <v>319341.755</v>
      </c>
      <c r="E170" s="91">
        <v>164891.489</v>
      </c>
      <c r="F170" s="91">
        <v>154450.266</v>
      </c>
      <c r="G170" t="str">
        <f>_xlfn.XLOOKUP($A170,Map!$A:$A,Map!C:C)</f>
        <v>IS</v>
      </c>
      <c r="H170" t="str">
        <f>_xlfn.XLOOKUP($A170,Map!$A:$A,Map!D:D)</f>
        <v>General and Admin</v>
      </c>
      <c r="I170" t="str">
        <f>_xlfn.XLOOKUP($A170,Map!$A:$A,Map!E:E)</f>
        <v>Govt license and fees (including modon)</v>
      </c>
      <c r="J170" t="str">
        <f>_xlfn.XLOOKUP($A170,Map!$A:$A,Map!F:F)</f>
        <v>Government fees</v>
      </c>
    </row>
    <row r="171" spans="1:10" hidden="1" x14ac:dyDescent="0.25">
      <c r="A171" s="90">
        <v>700006</v>
      </c>
      <c r="B171" s="90" t="s">
        <v>176</v>
      </c>
      <c r="C171" s="91">
        <v>0</v>
      </c>
      <c r="D171" s="91">
        <v>834708.48600000003</v>
      </c>
      <c r="E171" s="91">
        <v>0</v>
      </c>
      <c r="F171" s="91">
        <v>834708.48600000003</v>
      </c>
      <c r="G171" t="str">
        <f>_xlfn.XLOOKUP($A171,Map!$A:$A,Map!C:C)</f>
        <v>IS</v>
      </c>
      <c r="H171" t="str">
        <f>_xlfn.XLOOKUP($A171,Map!$A:$A,Map!D:D)</f>
        <v>General and Admin</v>
      </c>
      <c r="I171" t="str">
        <f>_xlfn.XLOOKUP($A171,Map!$A:$A,Map!E:E)</f>
        <v>Salaries and wages</v>
      </c>
      <c r="J171" t="str">
        <f>_xlfn.XLOOKUP($A171,Map!$A:$A,Map!F:F)</f>
        <v xml:space="preserve">Food &amp; Housing </v>
      </c>
    </row>
    <row r="172" spans="1:10" hidden="1" x14ac:dyDescent="0.25">
      <c r="A172" s="90">
        <v>700007</v>
      </c>
      <c r="B172" s="90" t="s">
        <v>177</v>
      </c>
      <c r="C172" s="91">
        <v>0</v>
      </c>
      <c r="D172" s="91">
        <v>459183</v>
      </c>
      <c r="E172" s="91">
        <v>0</v>
      </c>
      <c r="F172" s="91">
        <v>459183</v>
      </c>
      <c r="G172" t="str">
        <f>_xlfn.XLOOKUP($A172,Map!$A:$A,Map!C:C)</f>
        <v>IS</v>
      </c>
      <c r="H172" t="str">
        <f>_xlfn.XLOOKUP($A172,Map!$A:$A,Map!D:D)</f>
        <v>General and Admin</v>
      </c>
      <c r="I172" t="str">
        <f>_xlfn.XLOOKUP($A172,Map!$A:$A,Map!E:E)</f>
        <v>Salaries and wages</v>
      </c>
      <c r="J172" t="str">
        <f>_xlfn.XLOOKUP($A172,Map!$A:$A,Map!F:F)</f>
        <v>Transportation allowance</v>
      </c>
    </row>
    <row r="173" spans="1:10" hidden="1" x14ac:dyDescent="0.25">
      <c r="A173" s="90">
        <v>700008</v>
      </c>
      <c r="B173" s="90" t="s">
        <v>178</v>
      </c>
      <c r="C173" s="91">
        <v>0</v>
      </c>
      <c r="D173" s="91">
        <v>87301.263000000006</v>
      </c>
      <c r="E173" s="91">
        <v>0</v>
      </c>
      <c r="F173" s="91">
        <v>87301.263000000006</v>
      </c>
      <c r="G173" t="str">
        <f>_xlfn.XLOOKUP($A173,Map!$A:$A,Map!C:C)</f>
        <v>IS</v>
      </c>
      <c r="H173" t="str">
        <f>_xlfn.XLOOKUP($A173,Map!$A:$A,Map!D:D)</f>
        <v>General and Admin</v>
      </c>
      <c r="I173" t="str">
        <f>_xlfn.XLOOKUP($A173,Map!$A:$A,Map!E:E)</f>
        <v>Salaries and wages</v>
      </c>
      <c r="J173" t="str">
        <f>_xlfn.XLOOKUP($A173,Map!$A:$A,Map!F:F)</f>
        <v>Air tickets</v>
      </c>
    </row>
    <row r="174" spans="1:10" hidden="1" x14ac:dyDescent="0.25">
      <c r="A174" s="90">
        <v>700009</v>
      </c>
      <c r="B174" s="90" t="s">
        <v>179</v>
      </c>
      <c r="C174" s="91">
        <v>0</v>
      </c>
      <c r="D174" s="91">
        <v>319535.33</v>
      </c>
      <c r="E174" s="91">
        <v>0</v>
      </c>
      <c r="F174" s="91">
        <v>319535.33</v>
      </c>
      <c r="G174" t="str">
        <f>_xlfn.XLOOKUP($A174,Map!$A:$A,Map!C:C)</f>
        <v>IS</v>
      </c>
      <c r="H174" t="str">
        <f>_xlfn.XLOOKUP($A174,Map!$A:$A,Map!D:D)</f>
        <v>General and Admin</v>
      </c>
      <c r="I174" t="str">
        <f>_xlfn.XLOOKUP($A174,Map!$A:$A,Map!E:E)</f>
        <v>Salaries and wages</v>
      </c>
      <c r="J174" t="str">
        <f>_xlfn.XLOOKUP($A174,Map!$A:$A,Map!F:F)</f>
        <v>Leave pay</v>
      </c>
    </row>
    <row r="175" spans="1:10" hidden="1" x14ac:dyDescent="0.25">
      <c r="A175" s="90">
        <v>700010</v>
      </c>
      <c r="B175" s="90" t="s">
        <v>180</v>
      </c>
      <c r="C175" s="91">
        <v>0</v>
      </c>
      <c r="D175" s="91">
        <v>1791347</v>
      </c>
      <c r="E175" s="91">
        <v>1251058.52</v>
      </c>
      <c r="F175" s="91">
        <v>540288.48</v>
      </c>
      <c r="G175" t="str">
        <f>_xlfn.XLOOKUP($A175,Map!$A:$A,Map!C:C)</f>
        <v>IS</v>
      </c>
      <c r="H175" t="str">
        <f>_xlfn.XLOOKUP($A175,Map!$A:$A,Map!D:D)</f>
        <v>General and Admin</v>
      </c>
      <c r="I175" t="str">
        <f>_xlfn.XLOOKUP($A175,Map!$A:$A,Map!E:E)</f>
        <v>Salaries and wages</v>
      </c>
      <c r="J175" t="str">
        <f>_xlfn.XLOOKUP($A175,Map!$A:$A,Map!F:F)</f>
        <v>Indemnities</v>
      </c>
    </row>
    <row r="176" spans="1:10" hidden="1" x14ac:dyDescent="0.25">
      <c r="A176" s="90">
        <v>700011</v>
      </c>
      <c r="B176" s="90" t="s">
        <v>181</v>
      </c>
      <c r="C176" s="91">
        <v>0</v>
      </c>
      <c r="D176" s="91">
        <v>103177.996</v>
      </c>
      <c r="E176" s="91">
        <v>0</v>
      </c>
      <c r="F176" s="91">
        <v>103177.996</v>
      </c>
      <c r="G176" t="str">
        <f>_xlfn.XLOOKUP($A176,Map!$A:$A,Map!C:C)</f>
        <v>IS</v>
      </c>
      <c r="H176" t="str">
        <f>_xlfn.XLOOKUP($A176,Map!$A:$A,Map!D:D)</f>
        <v>General and Admin</v>
      </c>
      <c r="I176" t="str">
        <f>_xlfn.XLOOKUP($A176,Map!$A:$A,Map!E:E)</f>
        <v>Salaries and wages</v>
      </c>
      <c r="J176" t="str">
        <f>_xlfn.XLOOKUP($A176,Map!$A:$A,Map!F:F)</f>
        <v>Air tickets</v>
      </c>
    </row>
    <row r="177" spans="1:10" hidden="1" x14ac:dyDescent="0.25">
      <c r="A177" s="90">
        <v>700012</v>
      </c>
      <c r="B177" s="90" t="s">
        <v>182</v>
      </c>
      <c r="C177" s="91">
        <v>0</v>
      </c>
      <c r="D177" s="91">
        <v>243205</v>
      </c>
      <c r="E177" s="91">
        <v>0</v>
      </c>
      <c r="F177" s="91">
        <v>243205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Salaries and wages</v>
      </c>
      <c r="J177" t="str">
        <f>_xlfn.XLOOKUP($A177,Map!$A:$A,Map!F:F)</f>
        <v xml:space="preserve">Education &amp; Furniture Allowances </v>
      </c>
    </row>
    <row r="178" spans="1:10" hidden="1" x14ac:dyDescent="0.25">
      <c r="A178" s="90">
        <v>700013</v>
      </c>
      <c r="B178" s="90" t="s">
        <v>183</v>
      </c>
      <c r="C178" s="91">
        <v>0</v>
      </c>
      <c r="D178" s="91">
        <v>121645</v>
      </c>
      <c r="E178" s="91">
        <v>12791</v>
      </c>
      <c r="F178" s="91">
        <v>108854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>Utilities</v>
      </c>
      <c r="J178" t="str">
        <f>_xlfn.XLOOKUP($A178,Map!$A:$A,Map!F:F)</f>
        <v>Other general and administrative expenses</v>
      </c>
    </row>
    <row r="179" spans="1:10" hidden="1" x14ac:dyDescent="0.25">
      <c r="A179" s="90">
        <v>700014</v>
      </c>
      <c r="B179" s="90" t="s">
        <v>184</v>
      </c>
      <c r="C179" s="91">
        <v>0</v>
      </c>
      <c r="D179" s="91">
        <v>8000</v>
      </c>
      <c r="E179" s="91">
        <v>0</v>
      </c>
      <c r="F179" s="91">
        <v>8000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Salaries and wages</v>
      </c>
      <c r="J179" t="str">
        <f>_xlfn.XLOOKUP($A179,Map!$A:$A,Map!F:F)</f>
        <v xml:space="preserve">Education &amp; Furniture Allowances </v>
      </c>
    </row>
    <row r="180" spans="1:10" hidden="1" x14ac:dyDescent="0.25">
      <c r="A180" s="90">
        <v>700015</v>
      </c>
      <c r="B180" s="90" t="s">
        <v>185</v>
      </c>
      <c r="C180" s="91">
        <v>0</v>
      </c>
      <c r="D180" s="91">
        <v>90044.5</v>
      </c>
      <c r="E180" s="91">
        <v>0</v>
      </c>
      <c r="F180" s="91">
        <v>90044.5</v>
      </c>
      <c r="G180" t="str">
        <f>_xlfn.XLOOKUP($A180,Map!$A:$A,Map!C:C)</f>
        <v>IS</v>
      </c>
      <c r="H180" t="str">
        <f>_xlfn.XLOOKUP($A180,Map!$A:$A,Map!D:D)</f>
        <v>General and Admin</v>
      </c>
      <c r="I180" t="str">
        <f>_xlfn.XLOOKUP($A180,Map!$A:$A,Map!E:E)</f>
        <v>Business travel</v>
      </c>
      <c r="J180" t="str">
        <f>_xlfn.XLOOKUP($A180,Map!$A:$A,Map!F:F)</f>
        <v>Transportation expenses</v>
      </c>
    </row>
    <row r="181" spans="1:10" hidden="1" x14ac:dyDescent="0.25">
      <c r="A181" s="90">
        <v>700016</v>
      </c>
      <c r="B181" s="90" t="s">
        <v>186</v>
      </c>
      <c r="C181" s="91">
        <v>0</v>
      </c>
      <c r="D181" s="91">
        <v>8847.7800000000007</v>
      </c>
      <c r="E181" s="91">
        <v>0</v>
      </c>
      <c r="F181" s="91">
        <v>8847.7800000000007</v>
      </c>
      <c r="G181" t="str">
        <f>_xlfn.XLOOKUP($A181,Map!$A:$A,Map!C:C)</f>
        <v>IS</v>
      </c>
      <c r="H181" t="str">
        <f>_xlfn.XLOOKUP($A181,Map!$A:$A,Map!D:D)</f>
        <v>Selling and Marketing</v>
      </c>
      <c r="I181" t="str">
        <f>_xlfn.XLOOKUP($A181,Map!$A:$A,Map!E:E)</f>
        <v>Buffet expenses</v>
      </c>
      <c r="J181" t="str">
        <f>_xlfn.XLOOKUP($A181,Map!$A:$A,Map!F:F)</f>
        <v>Food expenses</v>
      </c>
    </row>
    <row r="182" spans="1:10" hidden="1" x14ac:dyDescent="0.25">
      <c r="A182" s="90">
        <v>700017</v>
      </c>
      <c r="B182" s="90" t="s">
        <v>187</v>
      </c>
      <c r="C182" s="91">
        <v>0</v>
      </c>
      <c r="D182" s="91">
        <v>1420</v>
      </c>
      <c r="E182" s="91">
        <v>0</v>
      </c>
      <c r="F182" s="91">
        <v>1420</v>
      </c>
      <c r="G182" t="str">
        <f>_xlfn.XLOOKUP($A182,Map!$A:$A,Map!C:C)</f>
        <v>IS</v>
      </c>
      <c r="H182" t="str">
        <f>_xlfn.XLOOKUP($A182,Map!$A:$A,Map!D:D)</f>
        <v>General and Admin</v>
      </c>
      <c r="I182" t="str">
        <f>_xlfn.XLOOKUP($A182,Map!$A:$A,Map!E:E)</f>
        <v>Salaries and wages</v>
      </c>
      <c r="J182" t="str">
        <f>_xlfn.XLOOKUP($A182,Map!$A:$A,Map!F:F)</f>
        <v>Accommodation expenses</v>
      </c>
    </row>
    <row r="183" spans="1:10" hidden="1" x14ac:dyDescent="0.25">
      <c r="A183" s="90">
        <v>700018</v>
      </c>
      <c r="B183" s="90" t="s">
        <v>188</v>
      </c>
      <c r="C183" s="91">
        <v>0</v>
      </c>
      <c r="D183" s="91">
        <v>65539.53</v>
      </c>
      <c r="E183" s="91">
        <v>123</v>
      </c>
      <c r="F183" s="91">
        <v>65416.53</v>
      </c>
      <c r="G183" t="str">
        <f>_xlfn.XLOOKUP($A183,Map!$A:$A,Map!C:C)</f>
        <v>IS</v>
      </c>
      <c r="H183" t="str">
        <f>_xlfn.XLOOKUP($A183,Map!$A:$A,Map!D:D)</f>
        <v>General and Admin</v>
      </c>
      <c r="I183" t="str">
        <f>_xlfn.XLOOKUP($A183,Map!$A:$A,Map!E:E)</f>
        <v>Salaries and wages</v>
      </c>
      <c r="J183" t="str">
        <f>_xlfn.XLOOKUP($A183,Map!$A:$A,Map!F:F)</f>
        <v xml:space="preserve">Employee Medical Emergency Expenses </v>
      </c>
    </row>
    <row r="184" spans="1:10" hidden="1" x14ac:dyDescent="0.25">
      <c r="A184" s="90">
        <v>700019</v>
      </c>
      <c r="B184" s="90" t="s">
        <v>189</v>
      </c>
      <c r="C184" s="91">
        <v>0</v>
      </c>
      <c r="D184" s="91">
        <v>139079</v>
      </c>
      <c r="E184" s="91">
        <v>0</v>
      </c>
      <c r="F184" s="91">
        <v>139079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Salaries and wages</v>
      </c>
      <c r="J184" t="str">
        <f>_xlfn.XLOOKUP($A184,Map!$A:$A,Map!F:F)</f>
        <v xml:space="preserve">Incentives </v>
      </c>
    </row>
    <row r="185" spans="1:10" hidden="1" x14ac:dyDescent="0.25">
      <c r="A185" s="90">
        <v>700020</v>
      </c>
      <c r="B185" s="90" t="s">
        <v>190</v>
      </c>
      <c r="C185" s="91">
        <v>0</v>
      </c>
      <c r="D185" s="91">
        <v>95406.95</v>
      </c>
      <c r="E185" s="91">
        <v>0</v>
      </c>
      <c r="F185" s="91">
        <v>95406.95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Utilities</v>
      </c>
      <c r="J185" t="str">
        <f>_xlfn.XLOOKUP($A185,Map!$A:$A,Map!F:F)</f>
        <v>Electricity expenses</v>
      </c>
    </row>
    <row r="186" spans="1:10" hidden="1" x14ac:dyDescent="0.25">
      <c r="A186" s="90">
        <v>700021</v>
      </c>
      <c r="B186" s="90" t="s">
        <v>191</v>
      </c>
      <c r="C186" s="91">
        <v>0</v>
      </c>
      <c r="D186" s="91">
        <v>24785</v>
      </c>
      <c r="E186" s="91">
        <v>0</v>
      </c>
      <c r="F186" s="91">
        <v>24785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Utilities</v>
      </c>
      <c r="J186" t="str">
        <f>_xlfn.XLOOKUP($A186,Map!$A:$A,Map!F:F)</f>
        <v>Other general and administrative expenses</v>
      </c>
    </row>
    <row r="187" spans="1:10" hidden="1" x14ac:dyDescent="0.25">
      <c r="A187" s="90">
        <v>700022</v>
      </c>
      <c r="B187" s="90" t="s">
        <v>192</v>
      </c>
      <c r="C187" s="91">
        <v>0</v>
      </c>
      <c r="D187" s="91">
        <v>59905.19</v>
      </c>
      <c r="E187" s="91">
        <v>0</v>
      </c>
      <c r="F187" s="91">
        <v>59905.19</v>
      </c>
      <c r="G187" t="str">
        <f>_xlfn.XLOOKUP($A187,Map!$A:$A,Map!C:C)</f>
        <v>IS</v>
      </c>
      <c r="H187" t="str">
        <f>_xlfn.XLOOKUP($A187,Map!$A:$A,Map!D:D)</f>
        <v>General and Admin</v>
      </c>
      <c r="I187" t="str">
        <f>_xlfn.XLOOKUP($A187,Map!$A:$A,Map!E:E)</f>
        <v>Utilities</v>
      </c>
      <c r="J187" t="str">
        <f>_xlfn.XLOOKUP($A187,Map!$A:$A,Map!F:F)</f>
        <v>Other general and administrative expenses</v>
      </c>
    </row>
    <row r="188" spans="1:10" hidden="1" x14ac:dyDescent="0.25">
      <c r="A188" s="90">
        <v>700023</v>
      </c>
      <c r="B188" s="90" t="s">
        <v>193</v>
      </c>
      <c r="C188" s="91">
        <v>0</v>
      </c>
      <c r="D188" s="91">
        <v>53720.82</v>
      </c>
      <c r="E188" s="91">
        <v>3135</v>
      </c>
      <c r="F188" s="91">
        <v>50585.82</v>
      </c>
      <c r="G188" t="str">
        <f>_xlfn.XLOOKUP($A188,Map!$A:$A,Map!C:C)</f>
        <v>IS</v>
      </c>
      <c r="H188" t="str">
        <f>_xlfn.XLOOKUP($A188,Map!$A:$A,Map!D:D)</f>
        <v>General and Admin</v>
      </c>
      <c r="I188" t="str">
        <f>_xlfn.XLOOKUP($A188,Map!$A:$A,Map!E:E)</f>
        <v>Utilities</v>
      </c>
      <c r="J188" t="str">
        <f>_xlfn.XLOOKUP($A188,Map!$A:$A,Map!F:F)</f>
        <v xml:space="preserve">Postage &amp; Printing </v>
      </c>
    </row>
    <row r="189" spans="1:10" hidden="1" x14ac:dyDescent="0.25">
      <c r="A189" s="90">
        <v>700024</v>
      </c>
      <c r="B189" s="90" t="s">
        <v>194</v>
      </c>
      <c r="C189" s="91">
        <v>0</v>
      </c>
      <c r="D189" s="91">
        <v>535107.55500000005</v>
      </c>
      <c r="E189" s="91">
        <v>362090</v>
      </c>
      <c r="F189" s="91">
        <v>173017.55499999999</v>
      </c>
      <c r="G189" t="str">
        <f>_xlfn.XLOOKUP($A189,Map!$A:$A,Map!C:C)</f>
        <v>IS</v>
      </c>
      <c r="H189" t="str">
        <f>_xlfn.XLOOKUP($A189,Map!$A:$A,Map!D:D)</f>
        <v>General and Admin</v>
      </c>
      <c r="I189" t="str">
        <f>_xlfn.XLOOKUP($A189,Map!$A:$A,Map!E:E)</f>
        <v>IT expenses</v>
      </c>
      <c r="J189" t="str">
        <f>_xlfn.XLOOKUP($A189,Map!$A:$A,Map!F:F)</f>
        <v>Other general and administrative expenses</v>
      </c>
    </row>
    <row r="190" spans="1:10" hidden="1" x14ac:dyDescent="0.25">
      <c r="A190" s="90">
        <v>700025</v>
      </c>
      <c r="B190" s="90" t="s">
        <v>195</v>
      </c>
      <c r="C190" s="91">
        <v>0</v>
      </c>
      <c r="D190" s="91">
        <v>359955.73100000003</v>
      </c>
      <c r="E190" s="91">
        <v>199426.35</v>
      </c>
      <c r="F190" s="91">
        <v>160529.38099999999</v>
      </c>
      <c r="G190" t="str">
        <f>_xlfn.XLOOKUP($A190,Map!$A:$A,Map!C:C)</f>
        <v>IS</v>
      </c>
      <c r="H190" t="str">
        <f>_xlfn.XLOOKUP($A190,Map!$A:$A,Map!D:D)</f>
        <v>General and Admin</v>
      </c>
      <c r="I190" t="str">
        <f>_xlfn.XLOOKUP($A190,Map!$A:$A,Map!E:E)</f>
        <v>Salaries and wages</v>
      </c>
      <c r="J190" t="str">
        <f>_xlfn.XLOOKUP($A190,Map!$A:$A,Map!F:F)</f>
        <v>Salaries and wages</v>
      </c>
    </row>
    <row r="191" spans="1:10" hidden="1" x14ac:dyDescent="0.25">
      <c r="A191" s="90">
        <v>700026</v>
      </c>
      <c r="B191" s="90" t="s">
        <v>196</v>
      </c>
      <c r="C191" s="91">
        <v>0</v>
      </c>
      <c r="D191" s="91">
        <v>0</v>
      </c>
      <c r="E191" s="91">
        <v>0</v>
      </c>
      <c r="F191" s="91">
        <v>0</v>
      </c>
      <c r="G191" t="str">
        <f>_xlfn.XLOOKUP($A191,Map!$A:$A,Map!C:C)</f>
        <v>IS</v>
      </c>
      <c r="H191" t="str">
        <f>_xlfn.XLOOKUP($A191,Map!$A:$A,Map!D:D)</f>
        <v>General and Admin</v>
      </c>
      <c r="I191" t="str">
        <f>_xlfn.XLOOKUP($A191,Map!$A:$A,Map!E:E)</f>
        <v>Utilities</v>
      </c>
      <c r="J191" t="str">
        <f>_xlfn.XLOOKUP($A191,Map!$A:$A,Map!F:F)</f>
        <v>Magazines &amp; News Papers Exp.</v>
      </c>
    </row>
    <row r="192" spans="1:10" hidden="1" x14ac:dyDescent="0.25">
      <c r="A192" s="90">
        <v>700027</v>
      </c>
      <c r="B192" s="90" t="s">
        <v>197</v>
      </c>
      <c r="C192" s="91">
        <v>0</v>
      </c>
      <c r="D192" s="91">
        <v>38300</v>
      </c>
      <c r="E192" s="91">
        <v>0</v>
      </c>
      <c r="F192" s="91">
        <v>38300</v>
      </c>
      <c r="G192" t="str">
        <f>_xlfn.XLOOKUP($A192,Map!$A:$A,Map!C:C)</f>
        <v>IS</v>
      </c>
      <c r="H192" t="str">
        <f>_xlfn.XLOOKUP($A192,Map!$A:$A,Map!D:D)</f>
        <v>General and Admin</v>
      </c>
      <c r="I192" t="str">
        <f>_xlfn.XLOOKUP($A192,Map!$A:$A,Map!E:E)</f>
        <v>Training</v>
      </c>
      <c r="J192" t="str">
        <f>_xlfn.XLOOKUP($A192,Map!$A:$A,Map!F:F)</f>
        <v>Training</v>
      </c>
    </row>
    <row r="193" spans="1:10" hidden="1" x14ac:dyDescent="0.25">
      <c r="A193" s="90">
        <v>700028</v>
      </c>
      <c r="B193" s="90" t="s">
        <v>198</v>
      </c>
      <c r="C193" s="91">
        <v>0</v>
      </c>
      <c r="D193" s="91">
        <v>8892.16</v>
      </c>
      <c r="E193" s="91">
        <v>0</v>
      </c>
      <c r="F193" s="91">
        <v>8892.16</v>
      </c>
      <c r="G193" t="str">
        <f>_xlfn.XLOOKUP($A193,Map!$A:$A,Map!C:C)</f>
        <v>IS</v>
      </c>
      <c r="H193" t="str">
        <f>_xlfn.XLOOKUP($A193,Map!$A:$A,Map!D:D)</f>
        <v>General and Admin</v>
      </c>
      <c r="I193" t="str">
        <f>_xlfn.XLOOKUP($A193,Map!$A:$A,Map!E:E)</f>
        <v xml:space="preserve">Back office Support </v>
      </c>
      <c r="J193" t="str">
        <f>_xlfn.XLOOKUP($A193,Map!$A:$A,Map!F:F)</f>
        <v>Stationery expenses</v>
      </c>
    </row>
    <row r="194" spans="1:10" hidden="1" x14ac:dyDescent="0.25">
      <c r="A194" s="90">
        <v>700029</v>
      </c>
      <c r="B194" s="90" t="s">
        <v>199</v>
      </c>
      <c r="C194" s="91">
        <v>0</v>
      </c>
      <c r="D194" s="91">
        <v>9137.875</v>
      </c>
      <c r="E194" s="91">
        <v>0</v>
      </c>
      <c r="F194" s="91">
        <v>9137.875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Utilities</v>
      </c>
      <c r="J194" t="str">
        <f>_xlfn.XLOOKUP($A194,Map!$A:$A,Map!F:F)</f>
        <v xml:space="preserve">Postage &amp; Printing </v>
      </c>
    </row>
    <row r="195" spans="1:10" hidden="1" x14ac:dyDescent="0.25">
      <c r="A195" s="90">
        <v>700030</v>
      </c>
      <c r="B195" s="90" t="s">
        <v>200</v>
      </c>
      <c r="C195" s="91">
        <v>0</v>
      </c>
      <c r="D195" s="91">
        <v>18503.849999999999</v>
      </c>
      <c r="E195" s="91">
        <v>0</v>
      </c>
      <c r="F195" s="91">
        <v>18503.849999999999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Utilities</v>
      </c>
      <c r="J195" t="str">
        <f>_xlfn.XLOOKUP($A195,Map!$A:$A,Map!F:F)</f>
        <v>Building maintenance</v>
      </c>
    </row>
    <row r="196" spans="1:10" hidden="1" x14ac:dyDescent="0.25">
      <c r="A196" s="90">
        <v>700031</v>
      </c>
      <c r="B196" s="90" t="s">
        <v>201</v>
      </c>
      <c r="C196" s="91">
        <v>0</v>
      </c>
      <c r="D196" s="91">
        <v>12017.14</v>
      </c>
      <c r="E196" s="91">
        <v>0</v>
      </c>
      <c r="F196" s="91">
        <v>12017.14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>Utilities</v>
      </c>
      <c r="J196" t="str">
        <f>_xlfn.XLOOKUP($A196,Map!$A:$A,Map!F:F)</f>
        <v>Office equipment maintenance</v>
      </c>
    </row>
    <row r="197" spans="1:10" hidden="1" x14ac:dyDescent="0.25">
      <c r="A197" s="90">
        <v>700032</v>
      </c>
      <c r="B197" s="90" t="s">
        <v>202</v>
      </c>
      <c r="C197" s="91">
        <v>0</v>
      </c>
      <c r="D197" s="91">
        <v>127218.21</v>
      </c>
      <c r="E197" s="91">
        <v>4194</v>
      </c>
      <c r="F197" s="91">
        <v>123024.21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Utilities</v>
      </c>
      <c r="J197" t="str">
        <f>_xlfn.XLOOKUP($A197,Map!$A:$A,Map!F:F)</f>
        <v>Vehicle maintenance</v>
      </c>
    </row>
    <row r="198" spans="1:10" hidden="1" x14ac:dyDescent="0.25">
      <c r="A198" s="90">
        <v>700033</v>
      </c>
      <c r="B198" s="90" t="s">
        <v>203</v>
      </c>
      <c r="C198" s="91">
        <v>0</v>
      </c>
      <c r="D198" s="91">
        <v>46751.245000000003</v>
      </c>
      <c r="E198" s="91">
        <v>903.62800000000004</v>
      </c>
      <c r="F198" s="91">
        <v>45847.616999999998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Utilities</v>
      </c>
      <c r="J198" t="str">
        <f>_xlfn.XLOOKUP($A198,Map!$A:$A,Map!F:F)</f>
        <v>Fuel and oil</v>
      </c>
    </row>
    <row r="199" spans="1:10" hidden="1" x14ac:dyDescent="0.25">
      <c r="A199" s="90">
        <v>700034</v>
      </c>
      <c r="B199" s="90" t="s">
        <v>204</v>
      </c>
      <c r="C199" s="91">
        <v>0</v>
      </c>
      <c r="D199" s="91">
        <v>25959.58</v>
      </c>
      <c r="E199" s="91">
        <v>0</v>
      </c>
      <c r="F199" s="91">
        <v>25959.58</v>
      </c>
      <c r="G199" t="str">
        <f>_xlfn.XLOOKUP($A199,Map!$A:$A,Map!C:C)</f>
        <v>IS</v>
      </c>
      <c r="H199" t="str">
        <f>_xlfn.XLOOKUP($A199,Map!$A:$A,Map!D:D)</f>
        <v>General and Admin</v>
      </c>
      <c r="I199" t="str">
        <f>_xlfn.XLOOKUP($A199,Map!$A:$A,Map!E:E)</f>
        <v xml:space="preserve">Back office Support </v>
      </c>
      <c r="J199" t="str">
        <f>_xlfn.XLOOKUP($A199,Map!$A:$A,Map!F:F)</f>
        <v>Consumables</v>
      </c>
    </row>
    <row r="200" spans="1:10" hidden="1" x14ac:dyDescent="0.25">
      <c r="A200" s="90">
        <v>700035</v>
      </c>
      <c r="B200" s="90" t="s">
        <v>205</v>
      </c>
      <c r="C200" s="91">
        <v>0</v>
      </c>
      <c r="D200" s="91">
        <v>7.35</v>
      </c>
      <c r="E200" s="91">
        <v>608448.35</v>
      </c>
      <c r="F200" s="91">
        <v>-608441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Actuarial gains and losses</v>
      </c>
      <c r="J200" t="str">
        <f>_xlfn.XLOOKUP($A200,Map!$A:$A,Map!F:F)</f>
        <v>Other general and administrative expenses</v>
      </c>
    </row>
    <row r="201" spans="1:10" hidden="1" x14ac:dyDescent="0.25">
      <c r="A201" s="90">
        <v>700036</v>
      </c>
      <c r="B201" s="90" t="s">
        <v>206</v>
      </c>
      <c r="C201" s="91">
        <v>0</v>
      </c>
      <c r="D201" s="91">
        <v>55653.146000000001</v>
      </c>
      <c r="E201" s="91">
        <v>0</v>
      </c>
      <c r="F201" s="91">
        <v>55653.146000000001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Utilities</v>
      </c>
      <c r="J201" t="str">
        <f>_xlfn.XLOOKUP($A201,Map!$A:$A,Map!F:F)</f>
        <v>Vehicle insurance</v>
      </c>
    </row>
    <row r="202" spans="1:10" hidden="1" x14ac:dyDescent="0.25">
      <c r="A202" s="90">
        <v>700037</v>
      </c>
      <c r="B202" s="90" t="s">
        <v>207</v>
      </c>
      <c r="C202" s="91">
        <v>0</v>
      </c>
      <c r="D202" s="91">
        <v>9639</v>
      </c>
      <c r="E202" s="91">
        <v>0</v>
      </c>
      <c r="F202" s="91">
        <v>9639</v>
      </c>
      <c r="G202" t="str">
        <f>_xlfn.XLOOKUP($A202,Map!$A:$A,Map!C:C)</f>
        <v>IS</v>
      </c>
      <c r="H202" t="str">
        <f>_xlfn.XLOOKUP($A202,Map!$A:$A,Map!D:D)</f>
        <v>Finance cost</v>
      </c>
      <c r="I202" t="str">
        <f>_xlfn.XLOOKUP($A202,Map!$A:$A,Map!E:E)</f>
        <v>Finance cost</v>
      </c>
      <c r="J202" t="str">
        <f>_xlfn.XLOOKUP($A202,Map!$A:$A,Map!F:F)</f>
        <v>Lease interest</v>
      </c>
    </row>
    <row r="203" spans="1:10" hidden="1" x14ac:dyDescent="0.25">
      <c r="A203" s="90">
        <v>700038</v>
      </c>
      <c r="B203" s="90" t="s">
        <v>208</v>
      </c>
      <c r="C203" s="91">
        <v>0</v>
      </c>
      <c r="D203" s="91">
        <v>406541.02</v>
      </c>
      <c r="E203" s="91">
        <v>153710.84</v>
      </c>
      <c r="F203" s="91">
        <v>252830.18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>Business travel</v>
      </c>
      <c r="J203" t="str">
        <f>_xlfn.XLOOKUP($A203,Map!$A:$A,Map!F:F)</f>
        <v>Bussiness trip expenses</v>
      </c>
    </row>
    <row r="204" spans="1:10" hidden="1" x14ac:dyDescent="0.25">
      <c r="A204" s="90">
        <v>700039</v>
      </c>
      <c r="B204" s="90" t="s">
        <v>209</v>
      </c>
      <c r="C204" s="91">
        <v>0</v>
      </c>
      <c r="D204" s="91">
        <v>21843.77</v>
      </c>
      <c r="E204" s="91">
        <v>0</v>
      </c>
      <c r="F204" s="91">
        <v>21843.77</v>
      </c>
      <c r="G204" t="str">
        <f>_xlfn.XLOOKUP($A204,Map!$A:$A,Map!C:C)</f>
        <v>IS</v>
      </c>
      <c r="H204" t="str">
        <f>_xlfn.XLOOKUP($A204,Map!$A:$A,Map!D:D)</f>
        <v>Selling and Marketing</v>
      </c>
      <c r="I204" t="str">
        <f>_xlfn.XLOOKUP($A204,Map!$A:$A,Map!E:E)</f>
        <v>Buffet expenses</v>
      </c>
      <c r="J204" t="str">
        <f>_xlfn.XLOOKUP($A204,Map!$A:$A,Map!F:F)</f>
        <v>Buffet expenses</v>
      </c>
    </row>
    <row r="205" spans="1:10" hidden="1" x14ac:dyDescent="0.25">
      <c r="A205" s="90">
        <v>700040</v>
      </c>
      <c r="B205" s="90" t="s">
        <v>210</v>
      </c>
      <c r="C205" s="91">
        <v>0</v>
      </c>
      <c r="D205" s="91">
        <v>463312.95</v>
      </c>
      <c r="E205" s="91">
        <v>0</v>
      </c>
      <c r="F205" s="91">
        <v>463312.95</v>
      </c>
      <c r="G205" t="str">
        <f>_xlfn.XLOOKUP($A205,Map!$A:$A,Map!C:C)</f>
        <v>IS</v>
      </c>
      <c r="H205" t="str">
        <f>_xlfn.XLOOKUP($A205,Map!$A:$A,Map!D:D)</f>
        <v>General and Admin</v>
      </c>
      <c r="I205" t="str">
        <f>_xlfn.XLOOKUP($A205,Map!$A:$A,Map!E:E)</f>
        <v>Utilities</v>
      </c>
      <c r="J205" t="str">
        <f>_xlfn.XLOOKUP($A205,Map!$A:$A,Map!F:F)</f>
        <v xml:space="preserve">Cleaning Expenses </v>
      </c>
    </row>
    <row r="206" spans="1:10" hidden="1" x14ac:dyDescent="0.25">
      <c r="A206" s="90">
        <v>700041</v>
      </c>
      <c r="B206" s="90" t="s">
        <v>211</v>
      </c>
      <c r="C206" s="91">
        <v>0</v>
      </c>
      <c r="D206" s="91">
        <v>537243.375</v>
      </c>
      <c r="E206" s="91">
        <v>159249.99600000001</v>
      </c>
      <c r="F206" s="91">
        <v>377993.37900000002</v>
      </c>
      <c r="G206" t="str">
        <f>_xlfn.XLOOKUP($A206,Map!$A:$A,Map!C:C)</f>
        <v>IS</v>
      </c>
      <c r="H206" t="str">
        <f>_xlfn.XLOOKUP($A206,Map!$A:$A,Map!D:D)</f>
        <v>General and Admin</v>
      </c>
      <c r="I206" t="str">
        <f>_xlfn.XLOOKUP($A206,Map!$A:$A,Map!E:E)</f>
        <v>Salaries and wages</v>
      </c>
      <c r="J206" t="str">
        <f>_xlfn.XLOOKUP($A206,Map!$A:$A,Map!F:F)</f>
        <v>Recruitment</v>
      </c>
    </row>
    <row r="207" spans="1:10" hidden="1" x14ac:dyDescent="0.25">
      <c r="A207" s="90">
        <v>700042</v>
      </c>
      <c r="B207" s="90" t="s">
        <v>212</v>
      </c>
      <c r="C207" s="91">
        <v>0</v>
      </c>
      <c r="D207" s="91">
        <v>0</v>
      </c>
      <c r="E207" s="91">
        <v>522898</v>
      </c>
      <c r="F207" s="91">
        <v>-522898</v>
      </c>
      <c r="G207" t="str">
        <f>_xlfn.XLOOKUP($A207,Map!$A:$A,Map!C:C)</f>
        <v>IS</v>
      </c>
      <c r="H207" t="str">
        <f>_xlfn.XLOOKUP($A207,Map!$A:$A,Map!D:D)</f>
        <v>General and Admin</v>
      </c>
      <c r="I207" t="str">
        <f>_xlfn.XLOOKUP($A207,Map!$A:$A,Map!E:E)</f>
        <v xml:space="preserve">Back office Support </v>
      </c>
      <c r="J207" t="str">
        <f>_xlfn.XLOOKUP($A207,Map!$A:$A,Map!F:F)</f>
        <v>Other expenses</v>
      </c>
    </row>
    <row r="208" spans="1:10" hidden="1" x14ac:dyDescent="0.25">
      <c r="A208" s="90">
        <v>700043</v>
      </c>
      <c r="B208" s="90" t="s">
        <v>213</v>
      </c>
      <c r="C208" s="91">
        <v>0</v>
      </c>
      <c r="D208" s="91">
        <v>108824</v>
      </c>
      <c r="E208" s="91">
        <v>0</v>
      </c>
      <c r="F208" s="91">
        <v>108824</v>
      </c>
      <c r="G208" t="str">
        <f>_xlfn.XLOOKUP($A208,Map!$A:$A,Map!C:C)</f>
        <v>IS</v>
      </c>
      <c r="H208" t="str">
        <f>_xlfn.XLOOKUP($A208,Map!$A:$A,Map!D:D)</f>
        <v>General and Admin</v>
      </c>
      <c r="I208" t="str">
        <f>_xlfn.XLOOKUP($A208,Map!$A:$A,Map!E:E)</f>
        <v>Govt license and fees (including modon)</v>
      </c>
      <c r="J208" t="str">
        <f>_xlfn.XLOOKUP($A208,Map!$A:$A,Map!F:F)</f>
        <v>Licenses and fees</v>
      </c>
    </row>
    <row r="209" spans="1:10" hidden="1" x14ac:dyDescent="0.25">
      <c r="A209" s="90">
        <v>700044</v>
      </c>
      <c r="B209" s="90" t="s">
        <v>214</v>
      </c>
      <c r="C209" s="91">
        <v>0</v>
      </c>
      <c r="D209" s="91">
        <v>39739.51</v>
      </c>
      <c r="E209" s="91">
        <v>0</v>
      </c>
      <c r="F209" s="91">
        <v>39739.51</v>
      </c>
      <c r="G209" t="str">
        <f>_xlfn.XLOOKUP($A209,Map!$A:$A,Map!C:C)</f>
        <v>IS</v>
      </c>
      <c r="H209" t="str">
        <f>_xlfn.XLOOKUP($A209,Map!$A:$A,Map!D:D)</f>
        <v>General and Admin</v>
      </c>
      <c r="I209" t="str">
        <f>_xlfn.XLOOKUP($A209,Map!$A:$A,Map!E:E)</f>
        <v>Govt license and fees (including modon)</v>
      </c>
      <c r="J209" t="str">
        <f>_xlfn.XLOOKUP($A209,Map!$A:$A,Map!F:F)</f>
        <v>Government fees</v>
      </c>
    </row>
    <row r="210" spans="1:10" hidden="1" x14ac:dyDescent="0.25">
      <c r="A210" s="90">
        <v>700045</v>
      </c>
      <c r="B210" s="90" t="s">
        <v>215</v>
      </c>
      <c r="C210" s="91">
        <v>0</v>
      </c>
      <c r="D210" s="91">
        <v>3552075.8360000001</v>
      </c>
      <c r="E210" s="91">
        <v>192462.80600000001</v>
      </c>
      <c r="F210" s="91">
        <v>3359613.03</v>
      </c>
      <c r="G210" t="str">
        <f>_xlfn.XLOOKUP($A210,Map!$A:$A,Map!C:C)</f>
        <v>IS</v>
      </c>
      <c r="H210" t="str">
        <f>_xlfn.XLOOKUP($A210,Map!$A:$A,Map!D:D)</f>
        <v>Finance cost</v>
      </c>
      <c r="I210" t="str">
        <f>_xlfn.XLOOKUP($A210,Map!$A:$A,Map!E:E)</f>
        <v>Finance cost</v>
      </c>
      <c r="J210" t="str">
        <f>_xlfn.XLOOKUP($A210,Map!$A:$A,Map!F:F)</f>
        <v>Bank charges</v>
      </c>
    </row>
    <row r="211" spans="1:10" hidden="1" x14ac:dyDescent="0.25">
      <c r="A211" s="90">
        <v>700048</v>
      </c>
      <c r="B211" s="90" t="s">
        <v>216</v>
      </c>
      <c r="C211" s="91">
        <v>0</v>
      </c>
      <c r="D211" s="91">
        <v>1100001</v>
      </c>
      <c r="E211" s="91">
        <v>145576.47</v>
      </c>
      <c r="F211" s="91">
        <v>954424.53</v>
      </c>
      <c r="G211" t="str">
        <f>_xlfn.XLOOKUP($A211,Map!$A:$A,Map!C:C)</f>
        <v>IS</v>
      </c>
      <c r="H211" t="str">
        <f>_xlfn.XLOOKUP($A211,Map!$A:$A,Map!D:D)</f>
        <v>Zakat</v>
      </c>
      <c r="I211" t="str">
        <f>_xlfn.XLOOKUP($A211,Map!$A:$A,Map!E:E)</f>
        <v>Zakat expenses</v>
      </c>
      <c r="J211" t="str">
        <f>_xlfn.XLOOKUP($A211,Map!$A:$A,Map!F:F)</f>
        <v>Zakat expenses</v>
      </c>
    </row>
    <row r="212" spans="1:10" hidden="1" x14ac:dyDescent="0.25">
      <c r="A212" s="90">
        <v>700049</v>
      </c>
      <c r="B212" s="90" t="s">
        <v>217</v>
      </c>
      <c r="C212" s="91">
        <v>0</v>
      </c>
      <c r="D212" s="91">
        <v>0</v>
      </c>
      <c r="E212" s="91">
        <v>0</v>
      </c>
      <c r="F212" s="91">
        <v>0</v>
      </c>
      <c r="G212" t="str">
        <f>_xlfn.XLOOKUP($A212,Map!$A:$A,Map!C:C)</f>
        <v>IS</v>
      </c>
      <c r="H212" t="str">
        <f>_xlfn.XLOOKUP($A212,Map!$A:$A,Map!D:D)</f>
        <v>General and Admin</v>
      </c>
      <c r="I212" t="str">
        <f>_xlfn.XLOOKUP($A212,Map!$A:$A,Map!E:E)</f>
        <v>Salaries and wages</v>
      </c>
      <c r="J212" t="str">
        <f>_xlfn.XLOOKUP($A212,Map!$A:$A,Map!F:F)</f>
        <v>Sadagat expense</v>
      </c>
    </row>
    <row r="213" spans="1:10" hidden="1" x14ac:dyDescent="0.25">
      <c r="A213" s="90">
        <v>700050</v>
      </c>
      <c r="B213" s="90" t="s">
        <v>218</v>
      </c>
      <c r="C213" s="91">
        <v>0</v>
      </c>
      <c r="D213" s="91">
        <v>597210.005</v>
      </c>
      <c r="E213" s="91">
        <v>597209.995</v>
      </c>
      <c r="F213" s="91">
        <v>0.01</v>
      </c>
      <c r="G213" t="str">
        <f>_xlfn.XLOOKUP($A213,Map!$A:$A,Map!C:C)</f>
        <v>IS</v>
      </c>
      <c r="H213" t="str">
        <f>_xlfn.XLOOKUP($A213,Map!$A:$A,Map!D:D)</f>
        <v>Depreciation expenses</v>
      </c>
      <c r="I213" t="str">
        <f>_xlfn.XLOOKUP($A213,Map!$A:$A,Map!E:E)</f>
        <v>Depreciation expenses</v>
      </c>
      <c r="J213" t="str">
        <f>_xlfn.XLOOKUP($A213,Map!$A:$A,Map!F:F)</f>
        <v>Depreciation of property, plant and equipment</v>
      </c>
    </row>
    <row r="214" spans="1:10" hidden="1" x14ac:dyDescent="0.25">
      <c r="A214" s="90">
        <v>700052</v>
      </c>
      <c r="B214" s="90" t="s">
        <v>219</v>
      </c>
      <c r="C214" s="91">
        <v>0</v>
      </c>
      <c r="D214" s="91">
        <v>0</v>
      </c>
      <c r="E214" s="91">
        <v>0</v>
      </c>
      <c r="F214" s="91">
        <v>0</v>
      </c>
      <c r="G214" t="str">
        <f>_xlfn.XLOOKUP($A214,Map!$A:$A,Map!C:C)</f>
        <v>IS</v>
      </c>
      <c r="H214" t="str">
        <f>_xlfn.XLOOKUP($A214,Map!$A:$A,Map!D:D)</f>
        <v>Depreciation expenses</v>
      </c>
      <c r="I214" t="str">
        <f>_xlfn.XLOOKUP($A214,Map!$A:$A,Map!E:E)</f>
        <v>Depreciation expenses</v>
      </c>
      <c r="J214" t="str">
        <f>_xlfn.XLOOKUP($A214,Map!$A:$A,Map!F:F)</f>
        <v>Depreciation of property, plant and equipment</v>
      </c>
    </row>
    <row r="215" spans="1:10" hidden="1" x14ac:dyDescent="0.25">
      <c r="A215" s="90">
        <v>700053</v>
      </c>
      <c r="B215" s="90" t="s">
        <v>220</v>
      </c>
      <c r="C215" s="91">
        <v>0</v>
      </c>
      <c r="D215" s="91">
        <v>0</v>
      </c>
      <c r="E215" s="91">
        <v>0</v>
      </c>
      <c r="F215" s="91">
        <v>0</v>
      </c>
      <c r="G215" t="str">
        <f>_xlfn.XLOOKUP($A215,Map!$A:$A,Map!C:C)</f>
        <v>IS</v>
      </c>
      <c r="H215" t="str">
        <f>_xlfn.XLOOKUP($A215,Map!$A:$A,Map!D:D)</f>
        <v>Depreciation expenses</v>
      </c>
      <c r="I215" t="str">
        <f>_xlfn.XLOOKUP($A215,Map!$A:$A,Map!E:E)</f>
        <v>Depreciation expenses</v>
      </c>
      <c r="J215" t="str">
        <f>_xlfn.XLOOKUP($A215,Map!$A:$A,Map!F:F)</f>
        <v>Depreciation of property, plant and equipment</v>
      </c>
    </row>
    <row r="216" spans="1:10" hidden="1" x14ac:dyDescent="0.25">
      <c r="A216" s="90">
        <v>700054</v>
      </c>
      <c r="B216" s="90" t="s">
        <v>221</v>
      </c>
      <c r="C216" s="91">
        <v>0</v>
      </c>
      <c r="D216" s="91">
        <v>293410.77</v>
      </c>
      <c r="E216" s="91">
        <v>97275.425000000003</v>
      </c>
      <c r="F216" s="91">
        <v>196135.345</v>
      </c>
      <c r="G216" t="str">
        <f>_xlfn.XLOOKUP($A216,Map!$A:$A,Map!C:C)</f>
        <v>IS</v>
      </c>
      <c r="H216" t="str">
        <f>_xlfn.XLOOKUP($A216,Map!$A:$A,Map!D:D)</f>
        <v>Depreciation expenses</v>
      </c>
      <c r="I216" t="str">
        <f>_xlfn.XLOOKUP($A216,Map!$A:$A,Map!E:E)</f>
        <v>Depreciation expenses</v>
      </c>
      <c r="J216" t="str">
        <f>_xlfn.XLOOKUP($A216,Map!$A:$A,Map!F:F)</f>
        <v>Depreciation of property, plant and equipment</v>
      </c>
    </row>
    <row r="217" spans="1:10" hidden="1" x14ac:dyDescent="0.25">
      <c r="A217" s="90">
        <v>700055</v>
      </c>
      <c r="B217" s="90" t="s">
        <v>222</v>
      </c>
      <c r="C217" s="91">
        <v>0</v>
      </c>
      <c r="D217" s="91">
        <v>19498.400000000001</v>
      </c>
      <c r="E217" s="91">
        <v>0</v>
      </c>
      <c r="F217" s="91">
        <v>19498.400000000001</v>
      </c>
      <c r="G217" t="str">
        <f>_xlfn.XLOOKUP($A217,Map!$A:$A,Map!C:C)</f>
        <v>IS</v>
      </c>
      <c r="H217" t="str">
        <f>_xlfn.XLOOKUP($A217,Map!$A:$A,Map!D:D)</f>
        <v>Depreciation expenses</v>
      </c>
      <c r="I217" t="str">
        <f>_xlfn.XLOOKUP($A217,Map!$A:$A,Map!E:E)</f>
        <v>Depreciation expenses</v>
      </c>
      <c r="J217" t="str">
        <f>_xlfn.XLOOKUP($A217,Map!$A:$A,Map!F:F)</f>
        <v>Depreciation of property, plant and equipment</v>
      </c>
    </row>
    <row r="218" spans="1:10" hidden="1" x14ac:dyDescent="0.25">
      <c r="A218" s="90">
        <v>700056</v>
      </c>
      <c r="B218" s="90" t="s">
        <v>223</v>
      </c>
      <c r="C218" s="91">
        <v>0</v>
      </c>
      <c r="D218" s="91">
        <v>2686.8719999999998</v>
      </c>
      <c r="E218" s="91">
        <v>2686.8719999999998</v>
      </c>
      <c r="F218" s="91">
        <v>0</v>
      </c>
      <c r="G218" t="str">
        <f>_xlfn.XLOOKUP($A218,Map!$A:$A,Map!C:C)</f>
        <v>IS</v>
      </c>
      <c r="H218" t="str">
        <f>_xlfn.XLOOKUP($A218,Map!$A:$A,Map!D:D)</f>
        <v>Depreciation expenses</v>
      </c>
      <c r="I218" t="str">
        <f>_xlfn.XLOOKUP($A218,Map!$A:$A,Map!E:E)</f>
        <v>Depreciation expenses</v>
      </c>
      <c r="J218" t="str">
        <f>_xlfn.XLOOKUP($A218,Map!$A:$A,Map!F:F)</f>
        <v>Depreciation of property, plant and equipment</v>
      </c>
    </row>
    <row r="219" spans="1:10" hidden="1" x14ac:dyDescent="0.25">
      <c r="A219" s="90">
        <v>700057</v>
      </c>
      <c r="B219" s="90" t="s">
        <v>224</v>
      </c>
      <c r="C219" s="91">
        <v>0</v>
      </c>
      <c r="D219" s="91">
        <v>284000.00400000002</v>
      </c>
      <c r="E219" s="91">
        <v>0</v>
      </c>
      <c r="F219" s="91">
        <v>284000.00400000002</v>
      </c>
      <c r="G219" t="str">
        <f>_xlfn.XLOOKUP($A219,Map!$A:$A,Map!C:C)</f>
        <v>IS</v>
      </c>
      <c r="H219" t="str">
        <f>_xlfn.XLOOKUP($A219,Map!$A:$A,Map!D:D)</f>
        <v>Cost of sales</v>
      </c>
      <c r="I219" t="str">
        <f>_xlfn.XLOOKUP($A219,Map!$A:$A,Map!E:E)</f>
        <v>Overhead - Rent</v>
      </c>
      <c r="J219" t="str">
        <f>_xlfn.XLOOKUP($A219,Map!$A:$A,Map!F:F)</f>
        <v>Warehouse Rent ( Khamis, Rioyadh, Dammam)</v>
      </c>
    </row>
    <row r="220" spans="1:10" hidden="1" x14ac:dyDescent="0.25">
      <c r="A220" s="90">
        <v>700058</v>
      </c>
      <c r="B220" s="90" t="s">
        <v>225</v>
      </c>
      <c r="C220" s="91">
        <v>0</v>
      </c>
      <c r="D220" s="91">
        <v>49980.544000000002</v>
      </c>
      <c r="E220" s="91">
        <v>1315.125</v>
      </c>
      <c r="F220" s="91">
        <v>48665.419000000002</v>
      </c>
      <c r="G220" t="str">
        <f>_xlfn.XLOOKUP($A220,Map!$A:$A,Map!C:C)</f>
        <v>IS</v>
      </c>
      <c r="H220" t="str">
        <f>_xlfn.XLOOKUP($A220,Map!$A:$A,Map!D:D)</f>
        <v>Selling and Marketing</v>
      </c>
      <c r="I220" t="str">
        <f>_xlfn.XLOOKUP($A220,Map!$A:$A,Map!E:E)</f>
        <v>Advertising and promotion expenses</v>
      </c>
      <c r="J220" t="str">
        <f>_xlfn.XLOOKUP($A220,Map!$A:$A,Map!F:F)</f>
        <v>Advertising and promotion expenses</v>
      </c>
    </row>
    <row r="221" spans="1:10" hidden="1" x14ac:dyDescent="0.25">
      <c r="A221" s="90">
        <v>700059</v>
      </c>
      <c r="B221" s="90" t="s">
        <v>226</v>
      </c>
      <c r="C221" s="91">
        <v>0</v>
      </c>
      <c r="D221" s="91">
        <v>38150</v>
      </c>
      <c r="E221" s="91">
        <v>0</v>
      </c>
      <c r="F221" s="91">
        <v>38150</v>
      </c>
      <c r="G221" t="str">
        <f>_xlfn.XLOOKUP($A221,Map!$A:$A,Map!C:C)</f>
        <v>IS</v>
      </c>
      <c r="H221" t="str">
        <f>_xlfn.XLOOKUP($A221,Map!$A:$A,Map!D:D)</f>
        <v>Selling and Marketing</v>
      </c>
      <c r="I221" t="str">
        <f>_xlfn.XLOOKUP($A221,Map!$A:$A,Map!E:E)</f>
        <v>Exhibitions</v>
      </c>
      <c r="J221" t="str">
        <f>_xlfn.XLOOKUP($A221,Map!$A:$A,Map!F:F)</f>
        <v>Exhibitions</v>
      </c>
    </row>
    <row r="222" spans="1:10" hidden="1" x14ac:dyDescent="0.25">
      <c r="A222" s="90">
        <v>700060</v>
      </c>
      <c r="B222" s="90" t="s">
        <v>227</v>
      </c>
      <c r="C222" s="91">
        <v>0</v>
      </c>
      <c r="D222" s="91">
        <v>5802913.9100000001</v>
      </c>
      <c r="E222" s="91">
        <v>2319534.196</v>
      </c>
      <c r="F222" s="91">
        <v>3483379.7140000002</v>
      </c>
      <c r="G222" t="str">
        <f>_xlfn.XLOOKUP($A222,Map!$A:$A,Map!C:C)</f>
        <v>IS</v>
      </c>
      <c r="H222" t="str">
        <f>_xlfn.XLOOKUP($A222,Map!$A:$A,Map!D:D)</f>
        <v>Cost of sales</v>
      </c>
      <c r="I222" t="str">
        <f>_xlfn.XLOOKUP($A222,Map!$A:$A,Map!E:E)</f>
        <v>Freight expenses</v>
      </c>
      <c r="J222" t="str">
        <f>_xlfn.XLOOKUP($A222,Map!$A:$A,Map!F:F)</f>
        <v>Freight expenses</v>
      </c>
    </row>
    <row r="223" spans="1:10" hidden="1" x14ac:dyDescent="0.25">
      <c r="A223" s="90">
        <v>700061</v>
      </c>
      <c r="B223" s="90" t="s">
        <v>228</v>
      </c>
      <c r="C223" s="91">
        <v>0</v>
      </c>
      <c r="D223" s="91">
        <v>222802.948</v>
      </c>
      <c r="E223" s="91">
        <v>0</v>
      </c>
      <c r="F223" s="91">
        <v>222802.948</v>
      </c>
      <c r="G223" t="str">
        <f>_xlfn.XLOOKUP($A223,Map!$A:$A,Map!C:C)</f>
        <v>IS</v>
      </c>
      <c r="H223" t="str">
        <f>_xlfn.XLOOKUP($A223,Map!$A:$A,Map!D:D)</f>
        <v>Selling and Marketing</v>
      </c>
      <c r="I223" t="str">
        <f>_xlfn.XLOOKUP($A223,Map!$A:$A,Map!E:E)</f>
        <v>Commission expenses</v>
      </c>
      <c r="J223" t="str">
        <f>_xlfn.XLOOKUP($A223,Map!$A:$A,Map!F:F)</f>
        <v>Commission expenses</v>
      </c>
    </row>
    <row r="224" spans="1:10" hidden="1" x14ac:dyDescent="0.25">
      <c r="A224" s="90">
        <v>700062</v>
      </c>
      <c r="B224" s="90" t="s">
        <v>229</v>
      </c>
      <c r="C224" s="91">
        <v>0</v>
      </c>
      <c r="D224" s="91">
        <v>0</v>
      </c>
      <c r="E224" s="91">
        <v>0</v>
      </c>
      <c r="F224" s="91">
        <v>0</v>
      </c>
      <c r="G224" t="str">
        <f>_xlfn.XLOOKUP($A224,Map!$A:$A,Map!C:C)</f>
        <v>IS</v>
      </c>
      <c r="H224" t="str">
        <f>_xlfn.XLOOKUP($A224,Map!$A:$A,Map!D:D)</f>
        <v>Revised provision on Bad Debts</v>
      </c>
      <c r="I224" t="str">
        <f>_xlfn.XLOOKUP($A224,Map!$A:$A,Map!E:E)</f>
        <v>Bad debts expense</v>
      </c>
      <c r="J224" t="str">
        <f>_xlfn.XLOOKUP($A224,Map!$A:$A,Map!F:F)</f>
        <v>Bad debts expense</v>
      </c>
    </row>
    <row r="225" spans="1:10" hidden="1" x14ac:dyDescent="0.25">
      <c r="A225" s="90">
        <v>700063</v>
      </c>
      <c r="B225" s="90" t="s">
        <v>230</v>
      </c>
      <c r="C225" s="91">
        <v>0</v>
      </c>
      <c r="D225" s="91">
        <v>1154534.3</v>
      </c>
      <c r="E225" s="91">
        <v>338022.43</v>
      </c>
      <c r="F225" s="91">
        <v>816511.87</v>
      </c>
      <c r="G225" t="str">
        <f>_xlfn.XLOOKUP($A225,Map!$A:$A,Map!C:C)</f>
        <v>IS</v>
      </c>
      <c r="H225" t="str">
        <f>_xlfn.XLOOKUP($A225,Map!$A:$A,Map!D:D)</f>
        <v>General and Admin</v>
      </c>
      <c r="I225" t="str">
        <f>_xlfn.XLOOKUP($A225,Map!$A:$A,Map!E:E)</f>
        <v>Salaries and wages</v>
      </c>
      <c r="J225" t="str">
        <f>_xlfn.XLOOKUP($A225,Map!$A:$A,Map!F:F)</f>
        <v>GOSI</v>
      </c>
    </row>
    <row r="226" spans="1:10" hidden="1" x14ac:dyDescent="0.25">
      <c r="A226" s="90">
        <v>700064</v>
      </c>
      <c r="B226" s="90" t="s">
        <v>231</v>
      </c>
      <c r="C226" s="91">
        <v>0</v>
      </c>
      <c r="D226" s="91">
        <v>0</v>
      </c>
      <c r="E226" s="91">
        <v>0</v>
      </c>
      <c r="F226" s="91">
        <v>0</v>
      </c>
      <c r="G226" t="str">
        <f>_xlfn.XLOOKUP($A226,Map!$A:$A,Map!C:C)</f>
        <v>IS</v>
      </c>
      <c r="H226" t="str">
        <f>_xlfn.XLOOKUP($A226,Map!$A:$A,Map!D:D)</f>
        <v>Pre-operating expenses</v>
      </c>
      <c r="I226" t="str">
        <f>_xlfn.XLOOKUP($A226,Map!$A:$A,Map!E:E)</f>
        <v>Pre-operating expenses</v>
      </c>
      <c r="J226" t="str">
        <f>_xlfn.XLOOKUP($A226,Map!$A:$A,Map!F:F)</f>
        <v>Amortization</v>
      </c>
    </row>
    <row r="227" spans="1:10" hidden="1" x14ac:dyDescent="0.25">
      <c r="A227" s="90">
        <v>700065</v>
      </c>
      <c r="B227" s="90" t="s">
        <v>245</v>
      </c>
      <c r="C227" s="91">
        <v>0</v>
      </c>
      <c r="D227" s="91">
        <v>9639</v>
      </c>
      <c r="E227" s="91">
        <v>9639</v>
      </c>
      <c r="F227" s="91">
        <v>0</v>
      </c>
      <c r="G227" t="str">
        <f>_xlfn.XLOOKUP($A227,Map!$A:$A,Map!C:C)</f>
        <v>IS</v>
      </c>
      <c r="H227" t="str">
        <f>_xlfn.XLOOKUP($A227,Map!$A:$A,Map!D:D)</f>
        <v>Finance cost</v>
      </c>
      <c r="I227" t="str">
        <f>_xlfn.XLOOKUP($A227,Map!$A:$A,Map!E:E)</f>
        <v>Finance cost</v>
      </c>
      <c r="J227" t="str">
        <f>_xlfn.XLOOKUP($A227,Map!$A:$A,Map!F:F)</f>
        <v>Lease interest</v>
      </c>
    </row>
    <row r="228" spans="1:10" hidden="1" x14ac:dyDescent="0.25"/>
    <row r="229" spans="1:10" hidden="1" x14ac:dyDescent="0.25">
      <c r="C229" s="93">
        <f>SUBTOTAL(9,C5:C228)</f>
        <v>1261054.3030000001</v>
      </c>
      <c r="D229" s="93">
        <f>SUBTOTAL(9,D5:D228)</f>
        <v>377653237.30700004</v>
      </c>
      <c r="E229" s="93">
        <f>SUBTOTAL(9,E5:E228)</f>
        <v>380606198.26700002</v>
      </c>
      <c r="F229" s="93">
        <f>SUBTOTAL(9,F5:F228)</f>
        <v>-1691906.6570000001</v>
      </c>
    </row>
    <row r="230" spans="1:10" hidden="1" x14ac:dyDescent="0.25">
      <c r="C230" s="93"/>
      <c r="D230" s="93"/>
      <c r="E230" s="93"/>
      <c r="F230" s="93"/>
    </row>
    <row r="231" spans="1:10" hidden="1" x14ac:dyDescent="0.25">
      <c r="A231" s="5" t="s">
        <v>531</v>
      </c>
    </row>
    <row r="232" spans="1:10" hidden="1" x14ac:dyDescent="0.25">
      <c r="A232" s="90">
        <v>600032</v>
      </c>
      <c r="B232" s="90" t="s">
        <v>722</v>
      </c>
      <c r="D232" s="91">
        <v>445185.70500000002</v>
      </c>
      <c r="E232" s="91">
        <v>0</v>
      </c>
      <c r="F232" s="91">
        <f>D232-E232</f>
        <v>445185.70500000002</v>
      </c>
      <c r="G232" t="str">
        <f>_xlfn.XLOOKUP($A232,Map!$A:$A,Map!C:C)</f>
        <v>IS</v>
      </c>
      <c r="H232" t="str">
        <f>_xlfn.XLOOKUP($A232,Map!$A:$A,Map!D:D)</f>
        <v>Depreciation expenses</v>
      </c>
      <c r="I232" t="str">
        <f>_xlfn.XLOOKUP($A232,Map!$A:$A,Map!E:E)</f>
        <v>Depreciation expenses</v>
      </c>
      <c r="J232" t="str">
        <f>_xlfn.XLOOKUP($A232,Map!$A:$A,Map!F:F)</f>
        <v>Depreciation of property, plant and equipment</v>
      </c>
    </row>
    <row r="233" spans="1:10" hidden="1" x14ac:dyDescent="0.25">
      <c r="A233" s="90">
        <v>600031</v>
      </c>
      <c r="B233" s="90" t="s">
        <v>722</v>
      </c>
      <c r="D233" s="91">
        <v>14498.33</v>
      </c>
      <c r="E233" s="91">
        <v>0</v>
      </c>
      <c r="F233" s="91">
        <f t="shared" ref="F233:F276" si="0">D233-E233</f>
        <v>14498.33</v>
      </c>
      <c r="G233" t="str">
        <f>_xlfn.XLOOKUP($A233,Map!$A:$A,Map!C:C)</f>
        <v>IS</v>
      </c>
      <c r="H233" t="str">
        <f>_xlfn.XLOOKUP($A233,Map!$A:$A,Map!D:D)</f>
        <v>Depreciation expenses</v>
      </c>
      <c r="I233" t="str">
        <f>_xlfn.XLOOKUP($A233,Map!$A:$A,Map!E:E)</f>
        <v>Depreciation expenses</v>
      </c>
      <c r="J233" t="str">
        <f>_xlfn.XLOOKUP($A233,Map!$A:$A,Map!F:F)</f>
        <v>Depreciation of property, plant and equipment</v>
      </c>
    </row>
    <row r="234" spans="1:10" hidden="1" x14ac:dyDescent="0.25">
      <c r="A234" s="90">
        <v>600030</v>
      </c>
      <c r="B234" s="90" t="s">
        <v>722</v>
      </c>
      <c r="D234" s="91">
        <v>43190.017999999996</v>
      </c>
      <c r="E234" s="91">
        <v>0</v>
      </c>
      <c r="F234" s="91">
        <f t="shared" si="0"/>
        <v>43190.017999999996</v>
      </c>
      <c r="G234" t="str">
        <f>_xlfn.XLOOKUP($A234,Map!$A:$A,Map!C:C)</f>
        <v>IS</v>
      </c>
      <c r="H234" t="str">
        <f>_xlfn.XLOOKUP($A234,Map!$A:$A,Map!D:D)</f>
        <v>Depreciation expenses</v>
      </c>
      <c r="I234" t="str">
        <f>_xlfn.XLOOKUP($A234,Map!$A:$A,Map!E:E)</f>
        <v>Depreciation expenses</v>
      </c>
      <c r="J234" t="str">
        <f>_xlfn.XLOOKUP($A234,Map!$A:$A,Map!F:F)</f>
        <v>Depreciation of property, plant and equipment</v>
      </c>
    </row>
    <row r="235" spans="1:10" hidden="1" x14ac:dyDescent="0.25">
      <c r="A235" s="90">
        <v>600029</v>
      </c>
      <c r="B235" s="90" t="s">
        <v>722</v>
      </c>
      <c r="D235" s="91">
        <v>3638104.1009999998</v>
      </c>
      <c r="E235" s="91">
        <v>0</v>
      </c>
      <c r="F235" s="91">
        <f t="shared" si="0"/>
        <v>3638104.1009999998</v>
      </c>
      <c r="G235" t="str">
        <f>_xlfn.XLOOKUP($A235,Map!$A:$A,Map!C:C)</f>
        <v>IS</v>
      </c>
      <c r="H235" t="str">
        <f>_xlfn.XLOOKUP($A235,Map!$A:$A,Map!D:D)</f>
        <v>Cost of sales</v>
      </c>
      <c r="I235" t="str">
        <f>_xlfn.XLOOKUP($A235,Map!$A:$A,Map!E:E)</f>
        <v>Depreciation - Machines</v>
      </c>
      <c r="J235" t="str">
        <f>_xlfn.XLOOKUP($A235,Map!$A:$A,Map!F:F)</f>
        <v>Depreciation of property, plant and equipment</v>
      </c>
    </row>
    <row r="236" spans="1:10" hidden="1" x14ac:dyDescent="0.25">
      <c r="A236" s="90">
        <v>600028</v>
      </c>
      <c r="B236" s="90" t="s">
        <v>722</v>
      </c>
      <c r="D236" s="91">
        <v>118089.66</v>
      </c>
      <c r="E236" s="91">
        <v>0</v>
      </c>
      <c r="F236" s="91">
        <f t="shared" si="0"/>
        <v>118089.66</v>
      </c>
      <c r="G236" t="str">
        <f>_xlfn.XLOOKUP($A236,Map!$A:$A,Map!C:C)</f>
        <v>IS</v>
      </c>
      <c r="H236" t="str">
        <f>_xlfn.XLOOKUP($A236,Map!$A:$A,Map!D:D)</f>
        <v>Cost of sales</v>
      </c>
      <c r="I236" t="str">
        <f>_xlfn.XLOOKUP($A236,Map!$A:$A,Map!E:E)</f>
        <v>Overhead - Consumables &amp; SP</v>
      </c>
      <c r="J236" t="str">
        <f>_xlfn.XLOOKUP($A236,Map!$A:$A,Map!F:F)</f>
        <v xml:space="preserve">Education &amp; Furniture Allowances </v>
      </c>
    </row>
    <row r="237" spans="1:10" hidden="1" x14ac:dyDescent="0.25">
      <c r="A237" s="90">
        <v>600027</v>
      </c>
      <c r="B237" s="90" t="s">
        <v>722</v>
      </c>
      <c r="D237" s="91">
        <v>173594</v>
      </c>
      <c r="E237" s="91">
        <v>0</v>
      </c>
      <c r="F237" s="91">
        <f t="shared" si="0"/>
        <v>173594</v>
      </c>
      <c r="G237" t="str">
        <f>_xlfn.XLOOKUP($A237,Map!$A:$A,Map!C:C)</f>
        <v>IS</v>
      </c>
      <c r="H237" t="str">
        <f>_xlfn.XLOOKUP($A237,Map!$A:$A,Map!D:D)</f>
        <v>Cost of sales</v>
      </c>
      <c r="I237" t="str">
        <f>_xlfn.XLOOKUP($A237,Map!$A:$A,Map!E:E)</f>
        <v>Overhead - Rent</v>
      </c>
      <c r="J237" t="str">
        <f>_xlfn.XLOOKUP($A237,Map!$A:$A,Map!F:F)</f>
        <v>Production hall rental</v>
      </c>
    </row>
    <row r="238" spans="1:10" hidden="1" x14ac:dyDescent="0.25">
      <c r="A238" s="90">
        <v>600025</v>
      </c>
      <c r="B238" s="90" t="s">
        <v>722</v>
      </c>
      <c r="D238" s="91">
        <v>320</v>
      </c>
      <c r="E238" s="91">
        <v>0</v>
      </c>
      <c r="F238" s="91">
        <f t="shared" si="0"/>
        <v>320</v>
      </c>
      <c r="G238" t="str">
        <f>_xlfn.XLOOKUP($A238,Map!$A:$A,Map!C:C)</f>
        <v>IS</v>
      </c>
      <c r="H238" t="str">
        <f>_xlfn.XLOOKUP($A238,Map!$A:$A,Map!D:D)</f>
        <v>Cost of sales</v>
      </c>
      <c r="I238" t="str">
        <f>_xlfn.XLOOKUP($A238,Map!$A:$A,Map!E:E)</f>
        <v>Overhead - Insurance</v>
      </c>
      <c r="J238" t="str">
        <f>_xlfn.XLOOKUP($A238,Map!$A:$A,Map!F:F)</f>
        <v>Building insurance</v>
      </c>
    </row>
    <row r="239" spans="1:10" hidden="1" x14ac:dyDescent="0.25">
      <c r="A239" s="90">
        <v>600024</v>
      </c>
      <c r="B239" s="90" t="s">
        <v>722</v>
      </c>
      <c r="D239" s="91">
        <v>7663.95</v>
      </c>
      <c r="E239" s="91">
        <v>0</v>
      </c>
      <c r="F239" s="91">
        <f t="shared" si="0"/>
        <v>7663.95</v>
      </c>
      <c r="G239" t="str">
        <f>_xlfn.XLOOKUP($A239,Map!$A:$A,Map!C:C)</f>
        <v>IS</v>
      </c>
      <c r="H239" t="str">
        <f>_xlfn.XLOOKUP($A239,Map!$A:$A,Map!D:D)</f>
        <v>Cost of sales</v>
      </c>
      <c r="I239" t="str">
        <f>_xlfn.XLOOKUP($A239,Map!$A:$A,Map!E:E)</f>
        <v>Overhead - Rent</v>
      </c>
      <c r="J239" t="str">
        <f>_xlfn.XLOOKUP($A239,Map!$A:$A,Map!F:F)</f>
        <v>Pump rental expenses</v>
      </c>
    </row>
    <row r="240" spans="1:10" hidden="1" x14ac:dyDescent="0.25">
      <c r="A240" s="90">
        <v>600023</v>
      </c>
      <c r="B240" s="90" t="s">
        <v>722</v>
      </c>
      <c r="D240" s="91">
        <v>4014</v>
      </c>
      <c r="E240" s="91">
        <v>0</v>
      </c>
      <c r="F240" s="91">
        <f t="shared" si="0"/>
        <v>4014</v>
      </c>
      <c r="G240" t="str">
        <f>_xlfn.XLOOKUP($A240,Map!$A:$A,Map!C:C)</f>
        <v>IS</v>
      </c>
      <c r="H240" t="str">
        <f>_xlfn.XLOOKUP($A240,Map!$A:$A,Map!D:D)</f>
        <v>Cost of sales</v>
      </c>
      <c r="I240" t="str">
        <f>_xlfn.XLOOKUP($A240,Map!$A:$A,Map!E:E)</f>
        <v>Overhead - R&amp;M</v>
      </c>
      <c r="J240" t="str">
        <f>_xlfn.XLOOKUP($A240,Map!$A:$A,Map!F:F)</f>
        <v>Office equipment maintenance</v>
      </c>
    </row>
    <row r="241" spans="1:10" hidden="1" x14ac:dyDescent="0.25">
      <c r="A241" s="90">
        <v>600022</v>
      </c>
      <c r="B241" s="90" t="s">
        <v>722</v>
      </c>
      <c r="D241" s="91">
        <v>40689.25</v>
      </c>
      <c r="E241" s="91">
        <v>0</v>
      </c>
      <c r="F241" s="91">
        <f t="shared" si="0"/>
        <v>40689.25</v>
      </c>
      <c r="G241" t="str">
        <f>_xlfn.XLOOKUP($A241,Map!$A:$A,Map!C:C)</f>
        <v>IS</v>
      </c>
      <c r="H241" t="str">
        <f>_xlfn.XLOOKUP($A241,Map!$A:$A,Map!D:D)</f>
        <v>Cost of sales</v>
      </c>
      <c r="I241" t="str">
        <f>_xlfn.XLOOKUP($A241,Map!$A:$A,Map!E:E)</f>
        <v>Overhead - R&amp;M</v>
      </c>
      <c r="J241" t="str">
        <f>_xlfn.XLOOKUP($A241,Map!$A:$A,Map!F:F)</f>
        <v>Building maintenance</v>
      </c>
    </row>
    <row r="242" spans="1:10" hidden="1" x14ac:dyDescent="0.25">
      <c r="A242" s="90">
        <v>600021</v>
      </c>
      <c r="B242" s="90" t="s">
        <v>722</v>
      </c>
      <c r="D242" s="91">
        <v>50408.18</v>
      </c>
      <c r="E242" s="91">
        <v>0</v>
      </c>
      <c r="F242" s="91">
        <f t="shared" si="0"/>
        <v>50408.18</v>
      </c>
      <c r="G242" t="str">
        <f>_xlfn.XLOOKUP($A242,Map!$A:$A,Map!C:C)</f>
        <v>IS</v>
      </c>
      <c r="H242" t="str">
        <f>_xlfn.XLOOKUP($A242,Map!$A:$A,Map!D:D)</f>
        <v>Cost of sales</v>
      </c>
      <c r="I242" t="str">
        <f>_xlfn.XLOOKUP($A242,Map!$A:$A,Map!E:E)</f>
        <v>Overhead - R&amp;M</v>
      </c>
      <c r="J242" t="str">
        <f>_xlfn.XLOOKUP($A242,Map!$A:$A,Map!F:F)</f>
        <v>Vehicle maintenance</v>
      </c>
    </row>
    <row r="243" spans="1:10" hidden="1" x14ac:dyDescent="0.25">
      <c r="A243" s="90">
        <v>600020</v>
      </c>
      <c r="B243" s="90" t="s">
        <v>722</v>
      </c>
      <c r="D243" s="91">
        <v>211989.478</v>
      </c>
      <c r="E243" s="91">
        <v>0</v>
      </c>
      <c r="F243" s="91">
        <f t="shared" si="0"/>
        <v>211989.478</v>
      </c>
      <c r="G243" t="str">
        <f>_xlfn.XLOOKUP($A243,Map!$A:$A,Map!C:C)</f>
        <v>IS</v>
      </c>
      <c r="H243" t="str">
        <f>_xlfn.XLOOKUP($A243,Map!$A:$A,Map!D:D)</f>
        <v>Cost of sales</v>
      </c>
      <c r="I243" t="str">
        <f>_xlfn.XLOOKUP($A243,Map!$A:$A,Map!E:E)</f>
        <v>Overhead - R&amp;M</v>
      </c>
      <c r="J243" t="str">
        <f>_xlfn.XLOOKUP($A243,Map!$A:$A,Map!F:F)</f>
        <v>Machine and equipment</v>
      </c>
    </row>
    <row r="244" spans="1:10" hidden="1" x14ac:dyDescent="0.25">
      <c r="A244" s="90">
        <v>600019</v>
      </c>
      <c r="B244" s="90" t="s">
        <v>722</v>
      </c>
      <c r="D244" s="91">
        <v>118151.98299999999</v>
      </c>
      <c r="E244" s="91">
        <v>0</v>
      </c>
      <c r="F244" s="91">
        <f t="shared" si="0"/>
        <v>118151.98299999999</v>
      </c>
      <c r="G244" t="str">
        <f>_xlfn.XLOOKUP($A244,Map!$A:$A,Map!C:C)</f>
        <v>IS</v>
      </c>
      <c r="H244" t="str">
        <f>_xlfn.XLOOKUP($A244,Map!$A:$A,Map!D:D)</f>
        <v>Cost of sales</v>
      </c>
      <c r="I244" t="str">
        <f>_xlfn.XLOOKUP($A244,Map!$A:$A,Map!E:E)</f>
        <v>Overhead - Utility</v>
      </c>
      <c r="J244" t="str">
        <f>_xlfn.XLOOKUP($A244,Map!$A:$A,Map!F:F)</f>
        <v>Fuel and oil</v>
      </c>
    </row>
    <row r="245" spans="1:10" hidden="1" x14ac:dyDescent="0.25">
      <c r="A245" s="90">
        <v>600018</v>
      </c>
      <c r="B245" s="90" t="s">
        <v>722</v>
      </c>
      <c r="D245" s="91">
        <v>216247</v>
      </c>
      <c r="E245" s="91">
        <v>0</v>
      </c>
      <c r="F245" s="91">
        <f t="shared" si="0"/>
        <v>216247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Overhead - Utility</v>
      </c>
      <c r="J245" t="str">
        <f>_xlfn.XLOOKUP($A245,Map!$A:$A,Map!F:F)</f>
        <v>Water expenses</v>
      </c>
    </row>
    <row r="246" spans="1:10" hidden="1" x14ac:dyDescent="0.25">
      <c r="A246" s="90">
        <v>600017</v>
      </c>
      <c r="B246" s="90" t="s">
        <v>722</v>
      </c>
      <c r="D246" s="91">
        <v>2216881.2599999998</v>
      </c>
      <c r="E246" s="91">
        <v>0</v>
      </c>
      <c r="F246" s="91">
        <f t="shared" si="0"/>
        <v>2216881.2599999998</v>
      </c>
      <c r="G246" t="str">
        <f>_xlfn.XLOOKUP($A246,Map!$A:$A,Map!C:C)</f>
        <v>IS</v>
      </c>
      <c r="H246" t="str">
        <f>_xlfn.XLOOKUP($A246,Map!$A:$A,Map!D:D)</f>
        <v>Cost of sales</v>
      </c>
      <c r="I246" t="str">
        <f>_xlfn.XLOOKUP($A246,Map!$A:$A,Map!E:E)</f>
        <v>Overhead - Utility</v>
      </c>
      <c r="J246" t="str">
        <f>_xlfn.XLOOKUP($A246,Map!$A:$A,Map!F:F)</f>
        <v>Electricity expenses</v>
      </c>
    </row>
    <row r="247" spans="1:10" hidden="1" x14ac:dyDescent="0.25">
      <c r="A247" s="90">
        <v>600016</v>
      </c>
      <c r="B247" s="90" t="s">
        <v>722</v>
      </c>
      <c r="D247" s="91">
        <v>1872605.669</v>
      </c>
      <c r="E247" s="91">
        <v>0</v>
      </c>
      <c r="F247" s="91">
        <f t="shared" si="0"/>
        <v>1872605.669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Overhead - Consumables &amp; SP</v>
      </c>
      <c r="J247" t="str">
        <f>_xlfn.XLOOKUP($A247,Map!$A:$A,Map!F:F)</f>
        <v>Tools</v>
      </c>
    </row>
    <row r="248" spans="1:10" hidden="1" x14ac:dyDescent="0.25">
      <c r="A248" s="90">
        <v>600014</v>
      </c>
      <c r="B248" s="90" t="s">
        <v>722</v>
      </c>
      <c r="D248" s="91">
        <v>1642211.402</v>
      </c>
      <c r="E248" s="91">
        <v>0</v>
      </c>
      <c r="F248" s="91">
        <f t="shared" si="0"/>
        <v>1642211.402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Overhead - Consumables &amp; SP</v>
      </c>
      <c r="J248" t="str">
        <f>_xlfn.XLOOKUP($A248,Map!$A:$A,Map!F:F)</f>
        <v>Consumables</v>
      </c>
    </row>
    <row r="249" spans="1:10" hidden="1" x14ac:dyDescent="0.25">
      <c r="A249" s="90">
        <v>600012</v>
      </c>
      <c r="B249" s="90" t="s">
        <v>722</v>
      </c>
      <c r="D249" s="91">
        <v>1535</v>
      </c>
      <c r="E249" s="91">
        <v>0</v>
      </c>
      <c r="F249" s="91">
        <f t="shared" si="0"/>
        <v>1535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Overhead - Labor Cost</v>
      </c>
      <c r="J249" t="str">
        <f>_xlfn.XLOOKUP($A249,Map!$A:$A,Map!F:F)</f>
        <v xml:space="preserve">Education &amp; Furniture Allowances </v>
      </c>
    </row>
    <row r="250" spans="1:10" hidden="1" x14ac:dyDescent="0.25">
      <c r="A250" s="90">
        <v>600011</v>
      </c>
      <c r="B250" s="90" t="s">
        <v>722</v>
      </c>
      <c r="D250" s="91">
        <v>14500</v>
      </c>
      <c r="E250" s="91">
        <v>0</v>
      </c>
      <c r="F250" s="91">
        <f t="shared" si="0"/>
        <v>14500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Overhead - Labor Cost</v>
      </c>
      <c r="J250" t="str">
        <f>_xlfn.XLOOKUP($A250,Map!$A:$A,Map!F:F)</f>
        <v>Air tickets</v>
      </c>
    </row>
    <row r="251" spans="1:10" hidden="1" x14ac:dyDescent="0.25">
      <c r="A251" s="90">
        <v>600009</v>
      </c>
      <c r="B251" s="90" t="s">
        <v>722</v>
      </c>
      <c r="D251" s="91">
        <v>191436</v>
      </c>
      <c r="E251" s="91">
        <v>0</v>
      </c>
      <c r="F251" s="91">
        <f t="shared" si="0"/>
        <v>191436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Overhead - Labor Cost</v>
      </c>
      <c r="J251" t="str">
        <f>_xlfn.XLOOKUP($A251,Map!$A:$A,Map!F:F)</f>
        <v>Vacation pay</v>
      </c>
    </row>
    <row r="252" spans="1:10" hidden="1" x14ac:dyDescent="0.25">
      <c r="A252" s="90">
        <v>600008</v>
      </c>
      <c r="B252" s="90" t="s">
        <v>722</v>
      </c>
      <c r="D252" s="91">
        <v>421563.03</v>
      </c>
      <c r="E252" s="91">
        <v>0</v>
      </c>
      <c r="F252" s="91">
        <f t="shared" si="0"/>
        <v>421563.03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Overhead - Labor Cost</v>
      </c>
      <c r="J252" t="str">
        <f>_xlfn.XLOOKUP($A252,Map!$A:$A,Map!F:F)</f>
        <v>Air tickets</v>
      </c>
    </row>
    <row r="253" spans="1:10" hidden="1" x14ac:dyDescent="0.25">
      <c r="A253" s="90">
        <v>600007</v>
      </c>
      <c r="B253" s="90" t="s">
        <v>722</v>
      </c>
      <c r="D253" s="91">
        <v>160242</v>
      </c>
      <c r="E253" s="91">
        <v>0</v>
      </c>
      <c r="F253" s="91">
        <f t="shared" si="0"/>
        <v>160242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Overhead - Labor Cost</v>
      </c>
      <c r="J253" t="str">
        <f>_xlfn.XLOOKUP($A253,Map!$A:$A,Map!F:F)</f>
        <v>Transportation allowance</v>
      </c>
    </row>
    <row r="254" spans="1:10" hidden="1" x14ac:dyDescent="0.25">
      <c r="A254" s="90">
        <v>600006</v>
      </c>
      <c r="B254" s="90" t="s">
        <v>722</v>
      </c>
      <c r="D254" s="91">
        <v>437489.97</v>
      </c>
      <c r="E254" s="91">
        <v>0</v>
      </c>
      <c r="F254" s="91">
        <f t="shared" si="0"/>
        <v>437489.97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Overhead - Labor Cost</v>
      </c>
      <c r="J254" t="str">
        <f>_xlfn.XLOOKUP($A254,Map!$A:$A,Map!F:F)</f>
        <v xml:space="preserve">Food &amp; Housing </v>
      </c>
    </row>
    <row r="255" spans="1:10" hidden="1" x14ac:dyDescent="0.25">
      <c r="A255" s="90">
        <v>600005</v>
      </c>
      <c r="B255" s="90" t="s">
        <v>722</v>
      </c>
      <c r="D255" s="91">
        <v>418592.77899999998</v>
      </c>
      <c r="E255" s="91">
        <v>0</v>
      </c>
      <c r="F255" s="91">
        <f t="shared" si="0"/>
        <v>418592.77899999998</v>
      </c>
      <c r="G255" t="str">
        <f>_xlfn.XLOOKUP($A255,Map!$A:$A,Map!C:C)</f>
        <v>IS</v>
      </c>
      <c r="H255" t="str">
        <f>_xlfn.XLOOKUP($A255,Map!$A:$A,Map!D:D)</f>
        <v>General and Admin</v>
      </c>
      <c r="I255" t="str">
        <f>_xlfn.XLOOKUP($A255,Map!$A:$A,Map!E:E)</f>
        <v>Govt license and fees (including modon)</v>
      </c>
      <c r="J255" t="str">
        <f>_xlfn.XLOOKUP($A255,Map!$A:$A,Map!F:F)</f>
        <v>Government fees</v>
      </c>
    </row>
    <row r="256" spans="1:10" hidden="1" x14ac:dyDescent="0.25">
      <c r="A256" s="90">
        <v>600004</v>
      </c>
      <c r="B256" s="90" t="s">
        <v>722</v>
      </c>
      <c r="D256" s="91">
        <v>133520</v>
      </c>
      <c r="E256" s="91">
        <v>0</v>
      </c>
      <c r="F256" s="91">
        <f t="shared" si="0"/>
        <v>133520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Overhead - Labor Cost</v>
      </c>
      <c r="J256" t="str">
        <f>_xlfn.XLOOKUP($A256,Map!$A:$A,Map!F:F)</f>
        <v>Medical insurance</v>
      </c>
    </row>
    <row r="257" spans="1:10" hidden="1" x14ac:dyDescent="0.25">
      <c r="A257" s="90">
        <v>600003</v>
      </c>
      <c r="B257" s="90" t="s">
        <v>722</v>
      </c>
      <c r="D257" s="91">
        <v>406049.76</v>
      </c>
      <c r="E257" s="91">
        <v>0</v>
      </c>
      <c r="F257" s="91">
        <f t="shared" si="0"/>
        <v>406049.76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Overhead - Labor Cost</v>
      </c>
      <c r="J257" t="str">
        <f>_xlfn.XLOOKUP($A257,Map!$A:$A,Map!F:F)</f>
        <v xml:space="preserve">Food &amp; Housing </v>
      </c>
    </row>
    <row r="258" spans="1:10" hidden="1" x14ac:dyDescent="0.25">
      <c r="A258" s="90">
        <v>600002</v>
      </c>
      <c r="B258" s="90" t="s">
        <v>722</v>
      </c>
      <c r="D258" s="91">
        <v>397638</v>
      </c>
      <c r="E258" s="91">
        <v>0</v>
      </c>
      <c r="F258" s="91">
        <f t="shared" si="0"/>
        <v>397638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Overhead - Labor Cost</v>
      </c>
      <c r="J258" t="str">
        <f>_xlfn.XLOOKUP($A258,Map!$A:$A,Map!F:F)</f>
        <v>Overtime pay</v>
      </c>
    </row>
    <row r="259" spans="1:10" hidden="1" x14ac:dyDescent="0.25">
      <c r="A259" s="90">
        <v>600001</v>
      </c>
      <c r="B259" s="90" t="s">
        <v>722</v>
      </c>
      <c r="D259" s="91">
        <v>1785105.375</v>
      </c>
      <c r="E259" s="91">
        <v>0</v>
      </c>
      <c r="F259" s="91">
        <f t="shared" si="0"/>
        <v>1785105.375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Overhead - Labor Cost</v>
      </c>
      <c r="J259" t="str">
        <f>_xlfn.XLOOKUP($A259,Map!$A:$A,Map!F:F)</f>
        <v>Salaries and wages</v>
      </c>
    </row>
    <row r="260" spans="1:10" hidden="1" x14ac:dyDescent="0.25">
      <c r="A260" s="90">
        <v>520042</v>
      </c>
      <c r="B260" s="90" t="s">
        <v>722</v>
      </c>
      <c r="D260" s="91">
        <v>829316.42799999996</v>
      </c>
      <c r="E260" s="91">
        <v>0</v>
      </c>
      <c r="F260" s="91">
        <f t="shared" si="0"/>
        <v>829316.42799999996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Raw materials</v>
      </c>
      <c r="J260" t="str">
        <f>_xlfn.XLOOKUP($A260,Map!$A:$A,Map!F:F)</f>
        <v>Inventory Adjustment</v>
      </c>
    </row>
    <row r="261" spans="1:10" hidden="1" x14ac:dyDescent="0.25">
      <c r="A261" s="90">
        <v>520041</v>
      </c>
      <c r="B261" s="90" t="s">
        <v>722</v>
      </c>
      <c r="D261" s="91">
        <v>0</v>
      </c>
      <c r="E261" s="91">
        <v>13068657.573000001</v>
      </c>
      <c r="F261" s="91">
        <f t="shared" si="0"/>
        <v>-13068657.573000001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Raw materials</v>
      </c>
      <c r="J261" t="str">
        <f>_xlfn.XLOOKUP($A261,Map!$A:$A,Map!F:F)</f>
        <v>Other expenses</v>
      </c>
    </row>
    <row r="262" spans="1:10" hidden="1" x14ac:dyDescent="0.25">
      <c r="A262" s="90">
        <v>520037</v>
      </c>
      <c r="B262" s="90" t="s">
        <v>722</v>
      </c>
      <c r="D262" s="91">
        <v>922472.60699999996</v>
      </c>
      <c r="E262" s="91">
        <v>0</v>
      </c>
      <c r="F262" s="91">
        <f t="shared" si="0"/>
        <v>922472.60699999996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Raw materials</v>
      </c>
      <c r="J262" t="str">
        <f>_xlfn.XLOOKUP($A262,Map!$A:$A,Map!F:F)</f>
        <v>Raw materials</v>
      </c>
    </row>
    <row r="263" spans="1:10" hidden="1" x14ac:dyDescent="0.25">
      <c r="A263" s="90">
        <v>520036</v>
      </c>
      <c r="B263" s="90" t="s">
        <v>722</v>
      </c>
      <c r="D263" s="91">
        <v>0</v>
      </c>
      <c r="E263" s="91">
        <v>0.11600000000000001</v>
      </c>
      <c r="F263" s="91">
        <f t="shared" si="0"/>
        <v>-0.11600000000000001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Raw materials</v>
      </c>
      <c r="J263" t="str">
        <f>_xlfn.XLOOKUP($A263,Map!$A:$A,Map!F:F)</f>
        <v>Raw materials</v>
      </c>
    </row>
    <row r="264" spans="1:10" hidden="1" x14ac:dyDescent="0.25">
      <c r="A264" s="90">
        <v>520023</v>
      </c>
      <c r="B264" s="90" t="s">
        <v>722</v>
      </c>
      <c r="D264" s="91">
        <v>52202.400000000001</v>
      </c>
      <c r="E264" s="91">
        <v>0</v>
      </c>
      <c r="F264" s="91">
        <f t="shared" si="0"/>
        <v>52202.400000000001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Direct Labor</v>
      </c>
      <c r="J264" t="str">
        <f>_xlfn.XLOOKUP($A264,Map!$A:$A,Map!F:F)</f>
        <v>Medical insurance</v>
      </c>
    </row>
    <row r="265" spans="1:10" hidden="1" x14ac:dyDescent="0.25">
      <c r="A265" s="90">
        <v>520021</v>
      </c>
      <c r="B265" s="90" t="s">
        <v>722</v>
      </c>
      <c r="D265" s="91">
        <v>66506</v>
      </c>
      <c r="E265" s="91">
        <v>0</v>
      </c>
      <c r="F265" s="91">
        <f t="shared" si="0"/>
        <v>66506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Direct Labor</v>
      </c>
      <c r="J265" t="str">
        <f>_xlfn.XLOOKUP($A265,Map!$A:$A,Map!F:F)</f>
        <v>Medical insurance</v>
      </c>
    </row>
    <row r="266" spans="1:10" hidden="1" x14ac:dyDescent="0.25">
      <c r="A266" s="90">
        <v>520011</v>
      </c>
      <c r="B266" s="90" t="s">
        <v>722</v>
      </c>
      <c r="D266" s="91">
        <v>424845</v>
      </c>
      <c r="E266" s="91">
        <v>0</v>
      </c>
      <c r="F266" s="91">
        <f t="shared" si="0"/>
        <v>424845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Direct Labor</v>
      </c>
      <c r="J266" t="str">
        <f>_xlfn.XLOOKUP($A266,Map!$A:$A,Map!F:F)</f>
        <v>Overtime pay</v>
      </c>
    </row>
    <row r="267" spans="1:10" hidden="1" x14ac:dyDescent="0.25">
      <c r="A267" s="90">
        <v>520006</v>
      </c>
      <c r="B267" s="90" t="s">
        <v>722</v>
      </c>
      <c r="D267" s="91">
        <v>222564</v>
      </c>
      <c r="E267" s="91">
        <v>0</v>
      </c>
      <c r="F267" s="91">
        <f t="shared" si="0"/>
        <v>222564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Direct Labor</v>
      </c>
      <c r="J267" t="str">
        <f>_xlfn.XLOOKUP($A267,Map!$A:$A,Map!F:F)</f>
        <v>Medical insurance</v>
      </c>
    </row>
    <row r="268" spans="1:10" hidden="1" x14ac:dyDescent="0.25">
      <c r="A268" s="90">
        <v>520004</v>
      </c>
      <c r="B268" s="90" t="s">
        <v>722</v>
      </c>
      <c r="D268" s="91">
        <v>33676</v>
      </c>
      <c r="E268" s="91">
        <v>0</v>
      </c>
      <c r="F268" s="91">
        <f t="shared" si="0"/>
        <v>33676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Direct Labor</v>
      </c>
      <c r="J268" t="str">
        <f>_xlfn.XLOOKUP($A268,Map!$A:$A,Map!F:F)</f>
        <v>Food and housing</v>
      </c>
    </row>
    <row r="269" spans="1:10" hidden="1" x14ac:dyDescent="0.25">
      <c r="A269" s="90">
        <v>520003</v>
      </c>
      <c r="B269" s="90" t="s">
        <v>722</v>
      </c>
      <c r="D269" s="91">
        <v>204511</v>
      </c>
      <c r="E269" s="91">
        <v>0</v>
      </c>
      <c r="F269" s="91">
        <f t="shared" si="0"/>
        <v>204511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Direct Labor</v>
      </c>
      <c r="J269" t="str">
        <f>_xlfn.XLOOKUP($A269,Map!$A:$A,Map!F:F)</f>
        <v>Transportation allowance</v>
      </c>
    </row>
    <row r="270" spans="1:10" hidden="1" x14ac:dyDescent="0.25">
      <c r="A270" s="90">
        <v>520001</v>
      </c>
      <c r="B270" s="90" t="s">
        <v>722</v>
      </c>
      <c r="D270" s="91">
        <v>3727041</v>
      </c>
      <c r="E270" s="91">
        <v>0</v>
      </c>
      <c r="F270" s="91">
        <f t="shared" si="0"/>
        <v>3727041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Direct Labor</v>
      </c>
      <c r="J270" t="str">
        <f>_xlfn.XLOOKUP($A270,Map!$A:$A,Map!F:F)</f>
        <v>Salaries and wages</v>
      </c>
    </row>
    <row r="271" spans="1:10" hidden="1" x14ac:dyDescent="0.25">
      <c r="A271" s="90">
        <v>510005</v>
      </c>
      <c r="B271" s="90" t="s">
        <v>722</v>
      </c>
      <c r="D271" s="91">
        <v>2.4980000000000002</v>
      </c>
      <c r="E271" s="91">
        <v>0</v>
      </c>
      <c r="F271" s="91">
        <f t="shared" si="0"/>
        <v>2.4980000000000002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Raw materials</v>
      </c>
      <c r="J271" t="str">
        <f>_xlfn.XLOOKUP($A271,Map!$A:$A,Map!F:F)</f>
        <v>Other expenses</v>
      </c>
    </row>
    <row r="272" spans="1:10" hidden="1" x14ac:dyDescent="0.25">
      <c r="A272" s="90">
        <v>510004</v>
      </c>
      <c r="B272" s="90" t="s">
        <v>722</v>
      </c>
      <c r="D272" s="91">
        <v>0</v>
      </c>
      <c r="E272" s="91">
        <v>8741046.102</v>
      </c>
      <c r="F272" s="91">
        <f t="shared" si="0"/>
        <v>-8741046.102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Raw materials</v>
      </c>
      <c r="J272" t="str">
        <f>_xlfn.XLOOKUP($A272,Map!$A:$A,Map!F:F)</f>
        <v>Other expenses</v>
      </c>
    </row>
    <row r="273" spans="1:10" hidden="1" x14ac:dyDescent="0.25">
      <c r="A273" s="90">
        <v>510003</v>
      </c>
      <c r="B273" s="90" t="s">
        <v>722</v>
      </c>
      <c r="D273" s="91">
        <v>0</v>
      </c>
      <c r="E273" s="91">
        <v>221455.19200000001</v>
      </c>
      <c r="F273" s="91">
        <f t="shared" si="0"/>
        <v>-221455.19200000001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Raw materials</v>
      </c>
      <c r="J273" t="str">
        <f>_xlfn.XLOOKUP($A273,Map!$A:$A,Map!F:F)</f>
        <v>Raw materials</v>
      </c>
    </row>
    <row r="274" spans="1:10" hidden="1" x14ac:dyDescent="0.25">
      <c r="A274" s="90">
        <v>510002</v>
      </c>
      <c r="B274" s="90" t="s">
        <v>722</v>
      </c>
      <c r="D274" s="91">
        <v>0</v>
      </c>
      <c r="E274" s="91">
        <v>6708201.5209999997</v>
      </c>
      <c r="F274" s="91">
        <f t="shared" si="0"/>
        <v>-6708201.5209999997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Direct Labor</v>
      </c>
      <c r="J274" t="str">
        <f>_xlfn.XLOOKUP($A274,Map!$A:$A,Map!F:F)</f>
        <v>Direct Labor</v>
      </c>
    </row>
    <row r="275" spans="1:10" hidden="1" x14ac:dyDescent="0.25">
      <c r="A275" s="90">
        <v>510001</v>
      </c>
      <c r="B275" s="90" t="s">
        <v>722</v>
      </c>
      <c r="D275" s="91">
        <v>6556335.5659999996</v>
      </c>
      <c r="E275" s="91">
        <v>0</v>
      </c>
      <c r="F275" s="91">
        <f t="shared" si="0"/>
        <v>6556335.5659999996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Raw materials</v>
      </c>
      <c r="J275" t="str">
        <f>_xlfn.XLOOKUP($A275,Map!$A:$A,Map!F:F)</f>
        <v>Raw materials</v>
      </c>
    </row>
    <row r="276" spans="1:10" x14ac:dyDescent="0.25">
      <c r="A276" s="90">
        <v>230001</v>
      </c>
      <c r="B276" s="90" t="s">
        <v>722</v>
      </c>
      <c r="D276" s="91">
        <v>518372.10499999998</v>
      </c>
      <c r="E276" s="91">
        <v>0</v>
      </c>
      <c r="F276" s="91">
        <f t="shared" si="0"/>
        <v>518372.10499999998</v>
      </c>
      <c r="G276" t="str">
        <f>_xlfn.XLOOKUP($A276,Map!$A:$A,Map!C:C)</f>
        <v>BS</v>
      </c>
      <c r="H276" t="str">
        <f>_xlfn.XLOOKUP($A276,Map!$A:$A,Map!D:D)</f>
        <v>Current Liabilities</v>
      </c>
      <c r="I276" t="str">
        <f>_xlfn.XLOOKUP($A276,Map!$A:$A,Map!E:E)</f>
        <v>Tade payables and Accuals &amp; other credit balances</v>
      </c>
      <c r="J276" t="str">
        <f>_xlfn.XLOOKUP($A276,Map!$A:$A,Map!F:F)</f>
        <v>Clearing account</v>
      </c>
    </row>
    <row r="279" spans="1:10" s="1" customFormat="1" x14ac:dyDescent="0.25">
      <c r="A279" s="90">
        <v>170021</v>
      </c>
      <c r="B279" s="90" t="s">
        <v>535</v>
      </c>
      <c r="D279" s="161">
        <v>5773707.4500000002</v>
      </c>
      <c r="F279" s="3">
        <f t="shared" ref="F279:F280" si="1">D279-E279</f>
        <v>5773707.4500000002</v>
      </c>
      <c r="G279" t="str">
        <f>_xlfn.XLOOKUP($A279,Map!$A:$A,Map!C:C)</f>
        <v>BS</v>
      </c>
      <c r="H279" t="str">
        <f>_xlfn.XLOOKUP($A279,Map!$A:$A,Map!D:D)</f>
        <v>Current Assets</v>
      </c>
      <c r="I279" t="str">
        <f>_xlfn.XLOOKUP($A279,Map!$A:$A,Map!E:E)</f>
        <v>Prepaid expenses</v>
      </c>
      <c r="J279" t="str">
        <f>_xlfn.XLOOKUP($A279,Map!$A:$A,Map!F:F)</f>
        <v>Prepaid expense</v>
      </c>
    </row>
    <row r="280" spans="1:10" s="1" customFormat="1" x14ac:dyDescent="0.25">
      <c r="A280" s="1">
        <v>210001</v>
      </c>
      <c r="B280" s="1" t="s">
        <v>78</v>
      </c>
      <c r="E280" s="161">
        <f>D279</f>
        <v>5773707.4500000002</v>
      </c>
      <c r="F280" s="3">
        <f t="shared" si="1"/>
        <v>-5773707.4500000002</v>
      </c>
      <c r="G280" t="str">
        <f>_xlfn.XLOOKUP($A280,Map!$A:$A,Map!C:C)</f>
        <v>BS</v>
      </c>
      <c r="H280" t="str">
        <f>_xlfn.XLOOKUP($A280,Map!$A:$A,Map!D:D)</f>
        <v>Current Liabilities</v>
      </c>
      <c r="I280" t="str">
        <f>_xlfn.XLOOKUP($A280,Map!$A:$A,Map!E:E)</f>
        <v>Tade payables and Accuals &amp; other credit balances</v>
      </c>
      <c r="J280" t="str">
        <f>_xlfn.XLOOKUP($A280,Map!$A:$A,Map!F:F)</f>
        <v>Trade payables - Foreign</v>
      </c>
    </row>
    <row r="283" spans="1:10" s="1" customFormat="1" x14ac:dyDescent="0.25">
      <c r="A283" s="1">
        <v>410001</v>
      </c>
      <c r="B283" s="163" t="s">
        <v>737</v>
      </c>
      <c r="D283" s="164">
        <v>15834024.698588006</v>
      </c>
      <c r="E283" s="164"/>
      <c r="F283" s="3">
        <f t="shared" ref="F283:F284" si="2">D283-E283</f>
        <v>15834024.698588006</v>
      </c>
      <c r="G283" t="str">
        <f>_xlfn.XLOOKUP($A283,Map!$A:$A,Map!C:C)</f>
        <v>IS</v>
      </c>
      <c r="H283" t="str">
        <f>_xlfn.XLOOKUP($A283,Map!$A:$A,Map!D:D)</f>
        <v>Sales</v>
      </c>
      <c r="I283" t="str">
        <f>_xlfn.XLOOKUP($A283,Map!$A:$A,Map!E:E)</f>
        <v>Sales</v>
      </c>
      <c r="J283" t="str">
        <f>_xlfn.XLOOKUP($A283,Map!$A:$A,Map!F:F)</f>
        <v>Trading revenue</v>
      </c>
    </row>
    <row r="284" spans="1:10" s="1" customFormat="1" x14ac:dyDescent="0.25">
      <c r="A284" s="1">
        <v>510001</v>
      </c>
      <c r="B284" s="163" t="s">
        <v>738</v>
      </c>
      <c r="D284" s="164"/>
      <c r="E284" s="164">
        <v>14744678.594825713</v>
      </c>
      <c r="F284" s="3">
        <f t="shared" si="2"/>
        <v>-14744678.594825713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Raw materials</v>
      </c>
      <c r="J284" t="str">
        <f>_xlfn.XLOOKUP($A284,Map!$A:$A,Map!F:F)</f>
        <v>Raw materials</v>
      </c>
    </row>
  </sheetData>
  <autoFilter ref="A4:K276" xr:uid="{40BCE067-23B0-480B-A3D2-88E7823A8A3D}">
    <filterColumn colId="8">
      <filters>
        <filter val="Tade payables and Accuals &amp; other credit balances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3522-9736-4A29-A5A2-F889253D1125}">
  <dimension ref="A1:J296"/>
  <sheetViews>
    <sheetView zoomScale="90" zoomScaleNormal="90" workbookViewId="0">
      <pane ySplit="4" topLeftCell="A268" activePane="bottomLeft" state="frozen"/>
      <selection activeCell="F128" sqref="F128:F130"/>
      <selection pane="bottomLeft" activeCell="A296" sqref="A296"/>
    </sheetView>
  </sheetViews>
  <sheetFormatPr defaultColWidth="8.85546875" defaultRowHeight="15" x14ac:dyDescent="0.25"/>
  <cols>
    <col min="1" max="1" width="13.42578125" style="90" bestFit="1" customWidth="1"/>
    <col min="2" max="2" width="52.28515625" style="90" bestFit="1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42.7109375" style="90" bestFit="1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586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x14ac:dyDescent="0.25">
      <c r="A5" s="90">
        <v>110001</v>
      </c>
      <c r="B5" s="90" t="s">
        <v>0</v>
      </c>
      <c r="C5" s="91">
        <v>0</v>
      </c>
      <c r="D5" s="91">
        <v>0</v>
      </c>
      <c r="E5" s="91">
        <v>0</v>
      </c>
      <c r="F5" s="91">
        <v>0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x14ac:dyDescent="0.25">
      <c r="A6" s="90">
        <v>110002</v>
      </c>
      <c r="B6" s="90" t="s">
        <v>1</v>
      </c>
      <c r="C6" s="91">
        <v>106504996.56999999</v>
      </c>
      <c r="D6" s="91">
        <v>140681</v>
      </c>
      <c r="E6" s="91">
        <v>140681</v>
      </c>
      <c r="F6" s="91">
        <v>106504996.56999999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x14ac:dyDescent="0.25">
      <c r="A7" s="90">
        <v>110003</v>
      </c>
      <c r="B7" s="90" t="s">
        <v>2</v>
      </c>
      <c r="C7" s="91">
        <v>1920201.75</v>
      </c>
      <c r="D7" s="91">
        <v>13860</v>
      </c>
      <c r="E7" s="91">
        <v>168668</v>
      </c>
      <c r="F7" s="91">
        <v>1765393.75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x14ac:dyDescent="0.25">
      <c r="A8" s="90">
        <v>110004</v>
      </c>
      <c r="B8" s="90" t="s">
        <v>3</v>
      </c>
      <c r="C8" s="91">
        <v>66375893.005999997</v>
      </c>
      <c r="D8" s="91">
        <v>10046801.695</v>
      </c>
      <c r="E8" s="91">
        <v>5289608.9179999996</v>
      </c>
      <c r="F8" s="91">
        <v>71133085.783000007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x14ac:dyDescent="0.25">
      <c r="A9" s="90">
        <v>110006</v>
      </c>
      <c r="B9" s="90" t="s">
        <v>4</v>
      </c>
      <c r="C9" s="91">
        <v>2791352.0630000001</v>
      </c>
      <c r="D9" s="91">
        <v>212000</v>
      </c>
      <c r="E9" s="91">
        <v>400591.06</v>
      </c>
      <c r="F9" s="91">
        <v>2602761.003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x14ac:dyDescent="0.25">
      <c r="A10" s="90">
        <v>110007</v>
      </c>
      <c r="B10" s="90" t="s">
        <v>5</v>
      </c>
      <c r="C10" s="91">
        <v>876515.95</v>
      </c>
      <c r="D10" s="91">
        <v>315123</v>
      </c>
      <c r="E10" s="91">
        <v>0</v>
      </c>
      <c r="F10" s="91">
        <v>1191638.95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x14ac:dyDescent="0.25">
      <c r="A11" s="90">
        <v>110008</v>
      </c>
      <c r="B11" s="90" t="s">
        <v>6</v>
      </c>
      <c r="C11" s="91">
        <v>616788.348</v>
      </c>
      <c r="D11" s="91">
        <v>346992.08</v>
      </c>
      <c r="E11" s="91">
        <v>2478.75</v>
      </c>
      <c r="F11" s="91">
        <v>961301.67799999996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</v>
      </c>
    </row>
    <row r="12" spans="1:10" x14ac:dyDescent="0.25">
      <c r="A12" s="90">
        <v>111009</v>
      </c>
      <c r="B12" s="90" t="s">
        <v>7</v>
      </c>
      <c r="C12" s="91">
        <v>2020135</v>
      </c>
      <c r="D12" s="91">
        <v>0</v>
      </c>
      <c r="E12" s="91">
        <v>0</v>
      </c>
      <c r="F12" s="91">
        <v>2020135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Right of use</v>
      </c>
      <c r="J12" t="str">
        <f>_xlfn.XLOOKUP($A12,Map!$A:$A,Map!F:F)</f>
        <v>Leases - right of use assets</v>
      </c>
    </row>
    <row r="13" spans="1:10" x14ac:dyDescent="0.25">
      <c r="A13" s="90">
        <v>111013</v>
      </c>
      <c r="B13" s="90" t="s">
        <v>9</v>
      </c>
      <c r="C13" s="91">
        <v>8976734.1539999992</v>
      </c>
      <c r="D13" s="91">
        <v>579318.83400000003</v>
      </c>
      <c r="E13" s="91">
        <v>9556052.9879999999</v>
      </c>
      <c r="F13" s="91">
        <v>0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x14ac:dyDescent="0.25">
      <c r="A14" s="90">
        <v>111099</v>
      </c>
      <c r="B14" s="90" t="s">
        <v>10</v>
      </c>
      <c r="C14" s="91">
        <v>0</v>
      </c>
      <c r="D14" s="91">
        <v>18062306.274</v>
      </c>
      <c r="E14" s="91">
        <v>18062306.274</v>
      </c>
      <c r="F14" s="91">
        <v>0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x14ac:dyDescent="0.25">
      <c r="A15" s="90">
        <v>120001</v>
      </c>
      <c r="B15" s="90" t="s">
        <v>11</v>
      </c>
      <c r="C15" s="91">
        <v>-2186446.301</v>
      </c>
      <c r="D15" s="91">
        <v>219.81399999999999</v>
      </c>
      <c r="E15" s="91">
        <v>1567064.0049999999</v>
      </c>
      <c r="F15" s="91">
        <v>-3753290.4920000001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x14ac:dyDescent="0.25">
      <c r="A16" s="90">
        <v>120002</v>
      </c>
      <c r="B16" s="90" t="s">
        <v>12</v>
      </c>
      <c r="C16" s="91">
        <v>-1796679.77</v>
      </c>
      <c r="D16" s="91">
        <v>50767.415999999997</v>
      </c>
      <c r="E16" s="91">
        <v>19481.419999999998</v>
      </c>
      <c r="F16" s="91">
        <v>-1765393.774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x14ac:dyDescent="0.25">
      <c r="A17" s="90">
        <v>120003</v>
      </c>
      <c r="B17" s="90" t="s">
        <v>13</v>
      </c>
      <c r="C17" s="91">
        <v>-38426515.730999999</v>
      </c>
      <c r="D17" s="91">
        <v>5155851.216</v>
      </c>
      <c r="E17" s="91">
        <v>3322531.83</v>
      </c>
      <c r="F17" s="91">
        <v>-36593196.344999999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x14ac:dyDescent="0.25">
      <c r="A18" s="90">
        <v>120005</v>
      </c>
      <c r="B18" s="90" t="s">
        <v>14</v>
      </c>
      <c r="C18" s="91">
        <v>-1767725.9750000001</v>
      </c>
      <c r="D18" s="91">
        <v>95242.45</v>
      </c>
      <c r="E18" s="91">
        <v>245363.56099999999</v>
      </c>
      <c r="F18" s="91">
        <v>-1917847.0859999999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x14ac:dyDescent="0.25">
      <c r="A19" s="90">
        <v>120006</v>
      </c>
      <c r="B19" s="90" t="s">
        <v>15</v>
      </c>
      <c r="C19" s="91">
        <v>-832232.89099999995</v>
      </c>
      <c r="D19" s="91">
        <v>0</v>
      </c>
      <c r="E19" s="91">
        <v>96341.123000000007</v>
      </c>
      <c r="F19" s="91">
        <v>-928574.01399999997</v>
      </c>
      <c r="G19" t="str">
        <f>_xlfn.XLOOKUP($A19,Map!$A:$A,Map!C:C)</f>
        <v>BS</v>
      </c>
      <c r="H19" t="str">
        <f>_xlfn.XLOOKUP($A19,Map!$A:$A,Map!D:D)</f>
        <v>Non-Current Assets</v>
      </c>
      <c r="I19" t="str">
        <f>_xlfn.XLOOKUP($A19,Map!$A:$A,Map!E:E)</f>
        <v>Property, plant and equipment</v>
      </c>
      <c r="J19" t="str">
        <f>_xlfn.XLOOKUP($A19,Map!$A:$A,Map!F:F)</f>
        <v>Property, plant and equipment - Accumulated depreciation</v>
      </c>
    </row>
    <row r="20" spans="1:10" x14ac:dyDescent="0.25">
      <c r="A20" s="90">
        <v>120007</v>
      </c>
      <c r="B20" s="90" t="s">
        <v>16</v>
      </c>
      <c r="C20" s="91">
        <v>-264210.005</v>
      </c>
      <c r="D20" s="91">
        <v>61465.21</v>
      </c>
      <c r="E20" s="91">
        <v>117612.825</v>
      </c>
      <c r="F20" s="91">
        <v>-320357.62</v>
      </c>
      <c r="G20" t="str">
        <f>_xlfn.XLOOKUP($A20,Map!$A:$A,Map!C:C)</f>
        <v>BS</v>
      </c>
      <c r="H20" t="str">
        <f>_xlfn.XLOOKUP($A20,Map!$A:$A,Map!D:D)</f>
        <v>Non-Current Assets</v>
      </c>
      <c r="I20" t="str">
        <f>_xlfn.XLOOKUP($A20,Map!$A:$A,Map!E:E)</f>
        <v>Property, plant and equipment</v>
      </c>
      <c r="J20" t="str">
        <f>_xlfn.XLOOKUP($A20,Map!$A:$A,Map!F:F)</f>
        <v>Property, plant and equipment - Accumulated depreciation</v>
      </c>
    </row>
    <row r="21" spans="1:10" x14ac:dyDescent="0.25">
      <c r="A21" s="90">
        <v>120008</v>
      </c>
      <c r="B21" s="90" t="s">
        <v>17</v>
      </c>
      <c r="C21" s="91">
        <v>-24787</v>
      </c>
      <c r="D21" s="91">
        <v>124425</v>
      </c>
      <c r="E21" s="91">
        <v>273147.50799999997</v>
      </c>
      <c r="F21" s="91">
        <v>-173509.508</v>
      </c>
      <c r="G21" t="str">
        <f>_xlfn.XLOOKUP($A21,Map!$A:$A,Map!C:C)</f>
        <v>BS</v>
      </c>
      <c r="H21" t="str">
        <f>_xlfn.XLOOKUP($A21,Map!$A:$A,Map!D:D)</f>
        <v>Non-Current Assets</v>
      </c>
      <c r="I21" t="str">
        <f>_xlfn.XLOOKUP($A21,Map!$A:$A,Map!E:E)</f>
        <v>Right of use</v>
      </c>
      <c r="J21" t="str">
        <f>_xlfn.XLOOKUP($A21,Map!$A:$A,Map!F:F)</f>
        <v>Depreciation/amortization of rights of use assets</v>
      </c>
    </row>
    <row r="22" spans="1:10" x14ac:dyDescent="0.25">
      <c r="A22" s="90">
        <v>121001</v>
      </c>
      <c r="B22" s="90" t="s">
        <v>18</v>
      </c>
      <c r="C22" s="91">
        <v>13762616.130000001</v>
      </c>
      <c r="D22" s="91">
        <v>0</v>
      </c>
      <c r="E22" s="91">
        <v>0</v>
      </c>
      <c r="F22" s="91">
        <v>13762616.130000001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Prepaid expenses</v>
      </c>
      <c r="J22" t="str">
        <f>_xlfn.XLOOKUP($A22,Map!$A:$A,Map!F:F)</f>
        <v>Pre Operating Exps</v>
      </c>
    </row>
    <row r="23" spans="1:10" x14ac:dyDescent="0.25">
      <c r="A23" s="90">
        <v>121002</v>
      </c>
      <c r="B23" s="90" t="s">
        <v>19</v>
      </c>
      <c r="C23" s="91">
        <v>-13762616.130000001</v>
      </c>
      <c r="D23" s="91">
        <v>0</v>
      </c>
      <c r="E23" s="91">
        <v>0</v>
      </c>
      <c r="F23" s="91">
        <v>-13762616.130000001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Prepaid expenses</v>
      </c>
      <c r="J23" t="str">
        <f>_xlfn.XLOOKUP($A23,Map!$A:$A,Map!F:F)</f>
        <v>Amortization Of Pre Operating Exps</v>
      </c>
    </row>
    <row r="24" spans="1:10" x14ac:dyDescent="0.25">
      <c r="A24" s="90">
        <v>130001</v>
      </c>
      <c r="B24" s="90" t="s">
        <v>20</v>
      </c>
      <c r="C24" s="91">
        <v>1482460.22</v>
      </c>
      <c r="D24" s="91">
        <v>77498542.508000001</v>
      </c>
      <c r="E24" s="91">
        <v>78981003.137999997</v>
      </c>
      <c r="F24" s="91">
        <v>-0.41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x14ac:dyDescent="0.25">
      <c r="A25" s="90">
        <v>130002</v>
      </c>
      <c r="B25" s="90" t="s">
        <v>21</v>
      </c>
      <c r="C25" s="91">
        <v>777923.25</v>
      </c>
      <c r="D25" s="91">
        <v>76926260.326000005</v>
      </c>
      <c r="E25" s="91">
        <v>76959265.175999999</v>
      </c>
      <c r="F25" s="91">
        <v>744918.4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x14ac:dyDescent="0.25">
      <c r="A26" s="90">
        <v>130003</v>
      </c>
      <c r="B26" s="90" t="s">
        <v>22</v>
      </c>
      <c r="C26" s="91">
        <v>0</v>
      </c>
      <c r="D26" s="91">
        <v>0</v>
      </c>
      <c r="E26" s="91">
        <v>0</v>
      </c>
      <c r="F26" s="91">
        <v>0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x14ac:dyDescent="0.25">
      <c r="A27" s="90">
        <v>130004</v>
      </c>
      <c r="B27" s="90" t="s">
        <v>23</v>
      </c>
      <c r="C27" s="91">
        <v>144938.85</v>
      </c>
      <c r="D27" s="91">
        <v>20440885.550999999</v>
      </c>
      <c r="E27" s="91">
        <v>20477645.601</v>
      </c>
      <c r="F27" s="91">
        <v>108178.8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x14ac:dyDescent="0.25">
      <c r="A28" s="90">
        <v>130005</v>
      </c>
      <c r="B28" s="90" t="s">
        <v>24</v>
      </c>
      <c r="C28" s="91">
        <v>0</v>
      </c>
      <c r="D28" s="91">
        <v>91725.5</v>
      </c>
      <c r="E28" s="91">
        <v>91725.5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x14ac:dyDescent="0.25">
      <c r="A29" s="90">
        <v>130006</v>
      </c>
      <c r="B29" s="90" t="s">
        <v>25</v>
      </c>
      <c r="C29" s="91">
        <v>115009.41</v>
      </c>
      <c r="D29" s="91">
        <v>274228.24</v>
      </c>
      <c r="E29" s="91">
        <v>300000</v>
      </c>
      <c r="F29" s="91">
        <v>89237.65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x14ac:dyDescent="0.25">
      <c r="A30" s="90">
        <v>130007</v>
      </c>
      <c r="B30" s="90" t="s">
        <v>26</v>
      </c>
      <c r="C30" s="91">
        <v>1132000.1299999999</v>
      </c>
      <c r="D30" s="91">
        <v>6060545.1500000004</v>
      </c>
      <c r="E30" s="91">
        <v>6920917.7199999997</v>
      </c>
      <c r="F30" s="91">
        <v>271627.56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Bank balances</v>
      </c>
    </row>
    <row r="31" spans="1:10" x14ac:dyDescent="0.25">
      <c r="A31" s="90">
        <v>130008</v>
      </c>
      <c r="B31" s="90" t="s">
        <v>247</v>
      </c>
      <c r="C31" s="91">
        <v>1609557.15</v>
      </c>
      <c r="D31" s="91">
        <v>23837464.272</v>
      </c>
      <c r="E31" s="91">
        <v>24112542.151999999</v>
      </c>
      <c r="F31" s="91">
        <v>1334479.27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Cash and cash equivalents</v>
      </c>
      <c r="J31" t="str">
        <f>_xlfn.XLOOKUP($A31,Map!$A:$A,Map!F:F)</f>
        <v>Bank balances</v>
      </c>
    </row>
    <row r="32" spans="1:10" x14ac:dyDescent="0.25">
      <c r="A32" s="90">
        <v>130009</v>
      </c>
      <c r="B32" s="90" t="s">
        <v>27</v>
      </c>
      <c r="C32" s="91">
        <v>883583.5</v>
      </c>
      <c r="D32" s="91">
        <v>52917034.909999996</v>
      </c>
      <c r="E32" s="91">
        <v>53318824.630000003</v>
      </c>
      <c r="F32" s="91">
        <v>481793.78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Bank balances</v>
      </c>
    </row>
    <row r="33" spans="1:10" x14ac:dyDescent="0.25">
      <c r="A33" s="90">
        <v>130010</v>
      </c>
      <c r="B33" s="90" t="s">
        <v>28</v>
      </c>
      <c r="C33" s="91">
        <v>419127.51</v>
      </c>
      <c r="D33" s="91">
        <v>87851486.702999994</v>
      </c>
      <c r="E33" s="91">
        <v>73722529.143000007</v>
      </c>
      <c r="F33" s="91">
        <v>14548085.07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Bank balances</v>
      </c>
    </row>
    <row r="34" spans="1:10" x14ac:dyDescent="0.25">
      <c r="A34" s="90">
        <v>130011</v>
      </c>
      <c r="B34" s="90" t="s">
        <v>29</v>
      </c>
      <c r="C34" s="91">
        <v>0</v>
      </c>
      <c r="D34" s="91">
        <v>27765962.897999998</v>
      </c>
      <c r="E34" s="91">
        <v>17666515.508000001</v>
      </c>
      <c r="F34" s="91">
        <v>10099447.390000001</v>
      </c>
      <c r="G34" t="str">
        <f>_xlfn.XLOOKUP($A34,Map!$A:$A,Map!C:C)</f>
        <v>BS</v>
      </c>
      <c r="H34" t="str">
        <f>_xlfn.XLOOKUP($A34,Map!$A:$A,Map!D:D)</f>
        <v>Current Assets</v>
      </c>
      <c r="I34" t="str">
        <f>_xlfn.XLOOKUP($A34,Map!$A:$A,Map!E:E)</f>
        <v>Cash and cash equivalents</v>
      </c>
      <c r="J34" t="str">
        <f>_xlfn.XLOOKUP($A34,Map!$A:$A,Map!F:F)</f>
        <v>Bank balances</v>
      </c>
    </row>
    <row r="35" spans="1:10" x14ac:dyDescent="0.25">
      <c r="A35" s="90">
        <v>130012</v>
      </c>
      <c r="B35" s="90" t="s">
        <v>248</v>
      </c>
      <c r="C35" s="91">
        <v>0</v>
      </c>
      <c r="D35" s="91">
        <v>32493367.335999999</v>
      </c>
      <c r="E35" s="91">
        <v>20243930.127999999</v>
      </c>
      <c r="F35" s="91">
        <v>12249437.208000001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Cash and cash equivalents</v>
      </c>
      <c r="J35" t="str">
        <f>_xlfn.XLOOKUP($A35,Map!$A:$A,Map!F:F)</f>
        <v>Bank balances</v>
      </c>
    </row>
    <row r="36" spans="1:10" x14ac:dyDescent="0.25">
      <c r="A36" s="90">
        <v>130013</v>
      </c>
      <c r="B36" s="90" t="s">
        <v>30</v>
      </c>
      <c r="C36" s="91">
        <v>0</v>
      </c>
      <c r="D36" s="91">
        <v>804092.223</v>
      </c>
      <c r="E36" s="91">
        <v>2858.18</v>
      </c>
      <c r="F36" s="91">
        <v>801234.04299999995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Cash and cash equivalents</v>
      </c>
      <c r="J36" t="str">
        <f>_xlfn.XLOOKUP($A36,Map!$A:$A,Map!F:F)</f>
        <v>Bank balances</v>
      </c>
    </row>
    <row r="37" spans="1:10" x14ac:dyDescent="0.25">
      <c r="A37" s="90">
        <v>130099</v>
      </c>
      <c r="B37" s="90" t="s">
        <v>34</v>
      </c>
      <c r="C37" s="91">
        <v>0</v>
      </c>
      <c r="D37" s="91">
        <v>162344169.11000001</v>
      </c>
      <c r="E37" s="91">
        <v>162344169.11000001</v>
      </c>
      <c r="F37" s="91">
        <v>0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Cash and cash equivalents</v>
      </c>
      <c r="J37" t="str">
        <f>_xlfn.XLOOKUP($A37,Map!$A:$A,Map!F:F)</f>
        <v>Bank balances</v>
      </c>
    </row>
    <row r="38" spans="1:10" x14ac:dyDescent="0.25">
      <c r="A38" s="90">
        <v>140001</v>
      </c>
      <c r="B38" s="90" t="s">
        <v>35</v>
      </c>
      <c r="C38" s="91">
        <v>43443359.329000004</v>
      </c>
      <c r="D38" s="91">
        <v>418458916.55299997</v>
      </c>
      <c r="E38" s="91">
        <v>422968310.94099998</v>
      </c>
      <c r="F38" s="91">
        <v>38933964.941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Trade receivables</v>
      </c>
      <c r="J38" t="str">
        <f>_xlfn.XLOOKUP($A38,Map!$A:$A,Map!F:F)</f>
        <v>Trade receivables - current</v>
      </c>
    </row>
    <row r="39" spans="1:10" x14ac:dyDescent="0.25">
      <c r="A39" s="90">
        <v>140010</v>
      </c>
      <c r="B39" s="90" t="s">
        <v>36</v>
      </c>
      <c r="C39" s="91">
        <v>0</v>
      </c>
      <c r="D39" s="91">
        <v>0</v>
      </c>
      <c r="E39" s="91">
        <v>0</v>
      </c>
      <c r="F39" s="91">
        <v>0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Trade receivables</v>
      </c>
      <c r="J39" t="str">
        <f>_xlfn.XLOOKUP($A39,Map!$A:$A,Map!F:F)</f>
        <v>Trade receivables - current</v>
      </c>
    </row>
    <row r="40" spans="1:10" x14ac:dyDescent="0.25">
      <c r="A40" s="90">
        <v>150001</v>
      </c>
      <c r="B40" s="90" t="s">
        <v>37</v>
      </c>
      <c r="C40" s="91">
        <v>516445.74</v>
      </c>
      <c r="D40" s="91">
        <v>392120</v>
      </c>
      <c r="E40" s="91">
        <v>747285.74</v>
      </c>
      <c r="F40" s="91">
        <v>161280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Prepaid expenses</v>
      </c>
      <c r="J40" t="str">
        <f>_xlfn.XLOOKUP($A40,Map!$A:$A,Map!F:F)</f>
        <v>Advances - current</v>
      </c>
    </row>
    <row r="41" spans="1:10" x14ac:dyDescent="0.25">
      <c r="A41" s="90">
        <v>150002</v>
      </c>
      <c r="B41" s="90" t="s">
        <v>38</v>
      </c>
      <c r="C41" s="91">
        <v>0</v>
      </c>
      <c r="D41" s="91">
        <v>3144764</v>
      </c>
      <c r="E41" s="91">
        <v>37309</v>
      </c>
      <c r="F41" s="91">
        <v>3107455</v>
      </c>
      <c r="G41" t="str">
        <f>_xlfn.XLOOKUP($A41,Map!$A:$A,Map!C:C)</f>
        <v>BS</v>
      </c>
      <c r="H41" t="str">
        <f>_xlfn.XLOOKUP($A41,Map!$A:$A,Map!D:D)</f>
        <v>Non-Current Liabilities</v>
      </c>
      <c r="I41" t="str">
        <f>_xlfn.XLOOKUP($A41,Map!$A:$A,Map!E:E)</f>
        <v xml:space="preserve">End-of-service indemnities </v>
      </c>
      <c r="J41" t="str">
        <f>_xlfn.XLOOKUP($A41,Map!$A:$A,Map!F:F)</f>
        <v xml:space="preserve">End-of-service indemnities </v>
      </c>
    </row>
    <row r="42" spans="1:10" x14ac:dyDescent="0.25">
      <c r="A42" s="90">
        <v>160001</v>
      </c>
      <c r="B42" s="90" t="s">
        <v>39</v>
      </c>
      <c r="C42" s="91">
        <v>25429.97</v>
      </c>
      <c r="D42" s="91">
        <v>389397.59</v>
      </c>
      <c r="E42" s="91">
        <v>397973.31</v>
      </c>
      <c r="F42" s="91">
        <v>16854.25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Cash and cash equivalents</v>
      </c>
      <c r="J42" t="str">
        <f>_xlfn.XLOOKUP($A42,Map!$A:$A,Map!F:F)</f>
        <v>Petty cash</v>
      </c>
    </row>
    <row r="43" spans="1:10" x14ac:dyDescent="0.25">
      <c r="A43" s="90">
        <v>170000</v>
      </c>
      <c r="B43" s="90" t="s">
        <v>40</v>
      </c>
      <c r="C43" s="91">
        <v>54888.516000000003</v>
      </c>
      <c r="D43" s="91">
        <v>4.0000000000000001E-3</v>
      </c>
      <c r="E43" s="91">
        <v>54888.52</v>
      </c>
      <c r="F43" s="91">
        <v>0</v>
      </c>
      <c r="G43" t="str">
        <f>_xlfn.XLOOKUP($A43,Map!$A:$A,Map!C:C)</f>
        <v>BS</v>
      </c>
      <c r="H43" t="str">
        <f>_xlfn.XLOOKUP($A43,Map!$A:$A,Map!D:D)</f>
        <v>Current Liabilities</v>
      </c>
      <c r="I43" t="str">
        <f>_xlfn.XLOOKUP($A43,Map!$A:$A,Map!E:E)</f>
        <v>Short-term Murabaha loans</v>
      </c>
      <c r="J43" t="str">
        <f>_xlfn.XLOOKUP($A43,Map!$A:$A,Map!F:F)</f>
        <v>Prepayments - current</v>
      </c>
    </row>
    <row r="44" spans="1:10" x14ac:dyDescent="0.25">
      <c r="A44" s="90">
        <v>170001</v>
      </c>
      <c r="B44" s="90" t="s">
        <v>41</v>
      </c>
      <c r="C44" s="91">
        <v>871721.21</v>
      </c>
      <c r="D44" s="91">
        <v>589429.01599999995</v>
      </c>
      <c r="E44" s="91">
        <v>793659.42200000002</v>
      </c>
      <c r="F44" s="91">
        <v>667490.804</v>
      </c>
      <c r="G44" t="str">
        <f>_xlfn.XLOOKUP($A44,Map!$A:$A,Map!C:C)</f>
        <v>BS</v>
      </c>
      <c r="H44" t="str">
        <f>_xlfn.XLOOKUP($A44,Map!$A:$A,Map!D:D)</f>
        <v>Current Liabilities</v>
      </c>
      <c r="I44" t="str">
        <f>_xlfn.XLOOKUP($A44,Map!$A:$A,Map!E:E)</f>
        <v>Short-term Murabaha loans</v>
      </c>
      <c r="J44" t="str">
        <f>_xlfn.XLOOKUP($A44,Map!$A:$A,Map!F:F)</f>
        <v>Prepayments - current</v>
      </c>
    </row>
    <row r="45" spans="1:10" x14ac:dyDescent="0.25">
      <c r="A45" s="90">
        <v>170002</v>
      </c>
      <c r="B45" s="90" t="s">
        <v>42</v>
      </c>
      <c r="C45" s="91">
        <v>221469.87</v>
      </c>
      <c r="D45" s="91">
        <v>2098821.3990000002</v>
      </c>
      <c r="E45" s="91">
        <v>1983872.7679999999</v>
      </c>
      <c r="F45" s="91">
        <v>336418.50099999999</v>
      </c>
      <c r="G45" t="str">
        <f>_xlfn.XLOOKUP($A45,Map!$A:$A,Map!C:C)</f>
        <v>BS</v>
      </c>
      <c r="H45" t="str">
        <f>_xlfn.XLOOKUP($A45,Map!$A:$A,Map!D:D)</f>
        <v>Current Liabilities</v>
      </c>
      <c r="I45" t="str">
        <f>_xlfn.XLOOKUP($A45,Map!$A:$A,Map!E:E)</f>
        <v>Short-term Murabaha loans</v>
      </c>
      <c r="J45" t="str">
        <f>_xlfn.XLOOKUP($A45,Map!$A:$A,Map!F:F)</f>
        <v>Prepayments - current</v>
      </c>
    </row>
    <row r="46" spans="1:10" x14ac:dyDescent="0.25">
      <c r="A46" s="90">
        <v>170003</v>
      </c>
      <c r="B46" s="90" t="s">
        <v>43</v>
      </c>
      <c r="C46" s="91">
        <v>0</v>
      </c>
      <c r="D46" s="91">
        <v>0</v>
      </c>
      <c r="E46" s="91">
        <v>0</v>
      </c>
      <c r="F46" s="91">
        <v>0</v>
      </c>
      <c r="G46" t="str">
        <f>_xlfn.XLOOKUP($A46,Map!$A:$A,Map!C:C)</f>
        <v>BS</v>
      </c>
      <c r="H46" t="str">
        <f>_xlfn.XLOOKUP($A46,Map!$A:$A,Map!D:D)</f>
        <v>Current Liabilities</v>
      </c>
      <c r="I46" t="str">
        <f>_xlfn.XLOOKUP($A46,Map!$A:$A,Map!E:E)</f>
        <v>Short-term Murabaha loans</v>
      </c>
      <c r="J46" t="str">
        <f>_xlfn.XLOOKUP($A46,Map!$A:$A,Map!F:F)</f>
        <v>Prepayments - current</v>
      </c>
    </row>
    <row r="47" spans="1:10" x14ac:dyDescent="0.25">
      <c r="A47" s="90">
        <v>170004</v>
      </c>
      <c r="B47" s="90" t="s">
        <v>244</v>
      </c>
      <c r="C47" s="91">
        <v>0</v>
      </c>
      <c r="D47" s="91">
        <v>0</v>
      </c>
      <c r="E47" s="91">
        <v>0</v>
      </c>
      <c r="F47" s="91">
        <v>0</v>
      </c>
      <c r="G47" t="str">
        <f>_xlfn.XLOOKUP($A47,Map!$A:$A,Map!C:C)</f>
        <v>BS</v>
      </c>
      <c r="H47" t="str">
        <f>_xlfn.XLOOKUP($A47,Map!$A:$A,Map!D:D)</f>
        <v>Current Liabilities</v>
      </c>
      <c r="I47" t="str">
        <f>_xlfn.XLOOKUP($A47,Map!$A:$A,Map!E:E)</f>
        <v>Short-term Murabaha loans</v>
      </c>
      <c r="J47" t="str">
        <f>_xlfn.XLOOKUP($A47,Map!$A:$A,Map!F:F)</f>
        <v>Prepayments - current</v>
      </c>
    </row>
    <row r="48" spans="1:10" x14ac:dyDescent="0.25">
      <c r="A48" s="90">
        <v>170005</v>
      </c>
      <c r="B48" s="90" t="s">
        <v>44</v>
      </c>
      <c r="C48" s="91">
        <v>0</v>
      </c>
      <c r="D48" s="91">
        <v>0</v>
      </c>
      <c r="E48" s="91">
        <v>0</v>
      </c>
      <c r="F48" s="91">
        <v>0</v>
      </c>
      <c r="G48" t="str">
        <f>_xlfn.XLOOKUP($A48,Map!$A:$A,Map!C:C)</f>
        <v>BS</v>
      </c>
      <c r="H48" t="str">
        <f>_xlfn.XLOOKUP($A48,Map!$A:$A,Map!D:D)</f>
        <v>Current Assets</v>
      </c>
      <c r="I48" t="str">
        <f>_xlfn.XLOOKUP($A48,Map!$A:$A,Map!E:E)</f>
        <v>Prepaid expenses</v>
      </c>
      <c r="J48" t="str">
        <f>_xlfn.XLOOKUP($A48,Map!$A:$A,Map!F:F)</f>
        <v>Deposits - current</v>
      </c>
    </row>
    <row r="49" spans="1:10" x14ac:dyDescent="0.25">
      <c r="A49" s="90">
        <v>170006</v>
      </c>
      <c r="B49" s="90" t="s">
        <v>45</v>
      </c>
      <c r="C49" s="91">
        <v>0</v>
      </c>
      <c r="D49" s="91">
        <v>0</v>
      </c>
      <c r="E49" s="91">
        <v>0</v>
      </c>
      <c r="F49" s="91">
        <v>0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Prepaid expenses</v>
      </c>
      <c r="J49" t="str">
        <f>_xlfn.XLOOKUP($A49,Map!$A:$A,Map!F:F)</f>
        <v>Deposits - current</v>
      </c>
    </row>
    <row r="50" spans="1:10" x14ac:dyDescent="0.25">
      <c r="A50" s="90">
        <v>170007</v>
      </c>
      <c r="B50" s="90" t="s">
        <v>46</v>
      </c>
      <c r="C50" s="91">
        <v>0</v>
      </c>
      <c r="D50" s="91">
        <v>0</v>
      </c>
      <c r="E50" s="91">
        <v>0</v>
      </c>
      <c r="F50" s="91">
        <v>0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Prepaid expenses</v>
      </c>
      <c r="J50" t="str">
        <f>_xlfn.XLOOKUP($A50,Map!$A:$A,Map!F:F)</f>
        <v>Deposits - current</v>
      </c>
    </row>
    <row r="51" spans="1:10" x14ac:dyDescent="0.25">
      <c r="A51" s="90">
        <v>170008</v>
      </c>
      <c r="B51" s="90" t="s">
        <v>47</v>
      </c>
      <c r="C51" s="91">
        <v>75267.740000000005</v>
      </c>
      <c r="D51" s="91">
        <v>526316.29</v>
      </c>
      <c r="E51" s="91">
        <v>601584.03</v>
      </c>
      <c r="F51" s="91">
        <v>0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Prepaid expenses</v>
      </c>
      <c r="J51" t="str">
        <f>_xlfn.XLOOKUP($A51,Map!$A:$A,Map!F:F)</f>
        <v>Deposits - current</v>
      </c>
    </row>
    <row r="52" spans="1:10" x14ac:dyDescent="0.25">
      <c r="A52" s="90">
        <v>170009</v>
      </c>
      <c r="B52" s="90" t="s">
        <v>48</v>
      </c>
      <c r="C52" s="91">
        <v>85513</v>
      </c>
      <c r="D52" s="91">
        <v>766608.5</v>
      </c>
      <c r="E52" s="91">
        <v>787512.5</v>
      </c>
      <c r="F52" s="91">
        <v>64609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Prepaid expenses</v>
      </c>
      <c r="J52" t="str">
        <f>_xlfn.XLOOKUP($A52,Map!$A:$A,Map!F:F)</f>
        <v>Rent</v>
      </c>
    </row>
    <row r="53" spans="1:10" x14ac:dyDescent="0.25">
      <c r="A53" s="90">
        <v>170010</v>
      </c>
      <c r="B53" s="90" t="s">
        <v>49</v>
      </c>
      <c r="C53" s="91">
        <v>0</v>
      </c>
      <c r="D53" s="91">
        <v>855982</v>
      </c>
      <c r="E53" s="91">
        <v>855982</v>
      </c>
      <c r="F53" s="91">
        <v>0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Prepaid expenses</v>
      </c>
      <c r="J53" t="str">
        <f>_xlfn.XLOOKUP($A53,Map!$A:$A,Map!F:F)</f>
        <v>Housing allowance</v>
      </c>
    </row>
    <row r="54" spans="1:10" x14ac:dyDescent="0.25">
      <c r="A54" s="90">
        <v>170011</v>
      </c>
      <c r="B54" s="90" t="s">
        <v>50</v>
      </c>
      <c r="C54" s="91">
        <v>1453882.8</v>
      </c>
      <c r="D54" s="91">
        <v>35000</v>
      </c>
      <c r="E54" s="91">
        <v>1488882.8</v>
      </c>
      <c r="F54" s="91">
        <v>0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Prepaid expenses</v>
      </c>
      <c r="J54" t="str">
        <f>_xlfn.XLOOKUP($A54,Map!$A:$A,Map!F:F)</f>
        <v>Air tickets</v>
      </c>
    </row>
    <row r="55" spans="1:10" x14ac:dyDescent="0.25">
      <c r="A55" s="90">
        <v>170012</v>
      </c>
      <c r="B55" s="90" t="s">
        <v>51</v>
      </c>
      <c r="C55" s="91">
        <v>214300</v>
      </c>
      <c r="D55" s="91">
        <v>0</v>
      </c>
      <c r="E55" s="91">
        <v>42860</v>
      </c>
      <c r="F55" s="91">
        <v>171440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Prepaid expenses</v>
      </c>
      <c r="J55" t="str">
        <f>_xlfn.XLOOKUP($A55,Map!$A:$A,Map!F:F)</f>
        <v>Furniture allowance</v>
      </c>
    </row>
    <row r="56" spans="1:10" x14ac:dyDescent="0.25">
      <c r="A56" s="90">
        <v>170013</v>
      </c>
      <c r="B56" s="90" t="s">
        <v>52</v>
      </c>
      <c r="C56" s="91">
        <v>67999.599000000002</v>
      </c>
      <c r="D56" s="91">
        <v>0</v>
      </c>
      <c r="E56" s="91">
        <v>0</v>
      </c>
      <c r="F56" s="91">
        <v>67999.599000000002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Prepaid expenses</v>
      </c>
      <c r="J56" t="str">
        <f>_xlfn.XLOOKUP($A56,Map!$A:$A,Map!F:F)</f>
        <v>Insurance</v>
      </c>
    </row>
    <row r="57" spans="1:10" x14ac:dyDescent="0.25">
      <c r="A57" s="90">
        <v>170014</v>
      </c>
      <c r="B57" s="90" t="s">
        <v>53</v>
      </c>
      <c r="C57" s="91">
        <v>335549.7</v>
      </c>
      <c r="D57" s="91">
        <v>719887.84499999997</v>
      </c>
      <c r="E57" s="91">
        <v>764419.26199999999</v>
      </c>
      <c r="F57" s="91">
        <v>291018.283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Prepaid expenses</v>
      </c>
      <c r="J57" t="str">
        <f>_xlfn.XLOOKUP($A57,Map!$A:$A,Map!F:F)</f>
        <v>Insurance</v>
      </c>
    </row>
    <row r="58" spans="1:10" x14ac:dyDescent="0.25">
      <c r="A58" s="90">
        <v>170015</v>
      </c>
      <c r="B58" s="90" t="s">
        <v>54</v>
      </c>
      <c r="C58" s="91">
        <v>0</v>
      </c>
      <c r="D58" s="91">
        <v>0</v>
      </c>
      <c r="E58" s="91">
        <v>0</v>
      </c>
      <c r="F58" s="91">
        <v>0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Prepaid expenses</v>
      </c>
      <c r="J58" t="str">
        <f>_xlfn.XLOOKUP($A58,Map!$A:$A,Map!F:F)</f>
        <v>Salaries and wages</v>
      </c>
    </row>
    <row r="59" spans="1:10" x14ac:dyDescent="0.25">
      <c r="A59" s="90">
        <v>170016</v>
      </c>
      <c r="B59" s="90" t="s">
        <v>55</v>
      </c>
      <c r="C59" s="91">
        <v>0</v>
      </c>
      <c r="D59" s="91">
        <v>28547.62</v>
      </c>
      <c r="E59" s="91">
        <v>28547.62</v>
      </c>
      <c r="F59" s="91">
        <v>0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Prepaid expenses</v>
      </c>
      <c r="J59" t="str">
        <f>_xlfn.XLOOKUP($A59,Map!$A:$A,Map!F:F)</f>
        <v>Other receivables - current</v>
      </c>
    </row>
    <row r="60" spans="1:10" x14ac:dyDescent="0.25">
      <c r="A60" s="90">
        <v>170017</v>
      </c>
      <c r="B60" s="90" t="s">
        <v>56</v>
      </c>
      <c r="C60" s="91">
        <v>0</v>
      </c>
      <c r="D60" s="91">
        <v>96000</v>
      </c>
      <c r="E60" s="91">
        <v>96000</v>
      </c>
      <c r="F60" s="91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Prepaid expenses</v>
      </c>
      <c r="J60" t="str">
        <f>_xlfn.XLOOKUP($A60,Map!$A:$A,Map!F:F)</f>
        <v>Family allowance</v>
      </c>
    </row>
    <row r="61" spans="1:10" x14ac:dyDescent="0.25">
      <c r="A61" s="90">
        <v>180001</v>
      </c>
      <c r="B61" s="90" t="s">
        <v>60</v>
      </c>
      <c r="C61" s="91">
        <v>0</v>
      </c>
      <c r="D61" s="91">
        <v>1886568.2560000001</v>
      </c>
      <c r="E61" s="91">
        <v>1425993.672</v>
      </c>
      <c r="F61" s="91">
        <v>460574.58399999997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Inventories</v>
      </c>
      <c r="J61" t="str">
        <f>_xlfn.XLOOKUP($A61,Map!$A:$A,Map!F:F)</f>
        <v>Raw materials - Inventory</v>
      </c>
    </row>
    <row r="62" spans="1:10" x14ac:dyDescent="0.25">
      <c r="A62" s="90">
        <v>180002</v>
      </c>
      <c r="B62" s="90" t="s">
        <v>61</v>
      </c>
      <c r="C62" s="91">
        <v>0</v>
      </c>
      <c r="D62" s="91">
        <v>3275.25</v>
      </c>
      <c r="E62" s="91">
        <v>3275.25</v>
      </c>
      <c r="F62" s="91">
        <v>0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Inventories</v>
      </c>
      <c r="J62" t="str">
        <f>_xlfn.XLOOKUP($A62,Map!$A:$A,Map!F:F)</f>
        <v>Raw materials - Inventory</v>
      </c>
    </row>
    <row r="63" spans="1:10" x14ac:dyDescent="0.25">
      <c r="A63" s="90">
        <v>180003</v>
      </c>
      <c r="B63" s="90" t="s">
        <v>62</v>
      </c>
      <c r="C63" s="91">
        <v>9335439.2479999997</v>
      </c>
      <c r="D63" s="91">
        <v>14089476.369000001</v>
      </c>
      <c r="E63" s="91">
        <v>13563762.804</v>
      </c>
      <c r="F63" s="91">
        <v>9861152.8129999992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Spare parts - Inventory</v>
      </c>
    </row>
    <row r="64" spans="1:10" x14ac:dyDescent="0.25">
      <c r="A64" s="90">
        <v>180004</v>
      </c>
      <c r="B64" s="90" t="s">
        <v>63</v>
      </c>
      <c r="C64" s="91">
        <v>10353608.835999999</v>
      </c>
      <c r="D64" s="91">
        <v>41109795.351000004</v>
      </c>
      <c r="E64" s="91">
        <v>45088340.254000001</v>
      </c>
      <c r="F64" s="91">
        <v>6375063.9330000002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Inventories</v>
      </c>
      <c r="J64" t="str">
        <f>_xlfn.XLOOKUP($A64,Map!$A:$A,Map!F:F)</f>
        <v>Raw materials - Inventory</v>
      </c>
    </row>
    <row r="65" spans="1:10" x14ac:dyDescent="0.25">
      <c r="A65" s="90">
        <v>180005</v>
      </c>
      <c r="B65" s="90" t="s">
        <v>64</v>
      </c>
      <c r="C65" s="91">
        <v>14923756.469000001</v>
      </c>
      <c r="D65" s="91">
        <v>32086494.074000001</v>
      </c>
      <c r="E65" s="91">
        <v>33064385.041000001</v>
      </c>
      <c r="F65" s="91">
        <v>13945865.502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Inventories</v>
      </c>
      <c r="J65" t="str">
        <f>_xlfn.XLOOKUP($A65,Map!$A:$A,Map!F:F)</f>
        <v>Raw materials - Inventory</v>
      </c>
    </row>
    <row r="66" spans="1:10" x14ac:dyDescent="0.25">
      <c r="A66" s="90">
        <v>180006</v>
      </c>
      <c r="B66" s="90" t="s">
        <v>65</v>
      </c>
      <c r="C66" s="91">
        <v>1669803.713</v>
      </c>
      <c r="D66" s="91">
        <v>2711065.162</v>
      </c>
      <c r="E66" s="91">
        <v>4001896.577</v>
      </c>
      <c r="F66" s="91">
        <v>378972.29800000001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Inventories</v>
      </c>
      <c r="J66" t="str">
        <f>_xlfn.XLOOKUP($A66,Map!$A:$A,Map!F:F)</f>
        <v>Raw materials - Inventory</v>
      </c>
    </row>
    <row r="67" spans="1:10" x14ac:dyDescent="0.25">
      <c r="A67" s="90">
        <v>180007</v>
      </c>
      <c r="B67" s="90" t="s">
        <v>66</v>
      </c>
      <c r="C67" s="91">
        <v>4219396.8190000001</v>
      </c>
      <c r="D67" s="91">
        <v>19651106.844999999</v>
      </c>
      <c r="E67" s="91">
        <v>22750726.578000002</v>
      </c>
      <c r="F67" s="91">
        <v>1119777.0859999999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Inventories</v>
      </c>
      <c r="J67" t="str">
        <f>_xlfn.XLOOKUP($A67,Map!$A:$A,Map!F:F)</f>
        <v>Raw materials - Inventory</v>
      </c>
    </row>
    <row r="68" spans="1:10" x14ac:dyDescent="0.25">
      <c r="A68" s="90">
        <v>180008</v>
      </c>
      <c r="B68" s="90" t="s">
        <v>67</v>
      </c>
      <c r="C68" s="91">
        <v>1599925.6640000001</v>
      </c>
      <c r="D68" s="91">
        <v>618884.46</v>
      </c>
      <c r="E68" s="91">
        <v>2218810.1239999998</v>
      </c>
      <c r="F68" s="91">
        <v>0</v>
      </c>
      <c r="G68" t="str">
        <f>_xlfn.XLOOKUP($A68,Map!$A:$A,Map!C:C)</f>
        <v>BS</v>
      </c>
      <c r="H68" t="str">
        <f>_xlfn.XLOOKUP($A68,Map!$A:$A,Map!D:D)</f>
        <v>Current Assets</v>
      </c>
      <c r="I68" t="str">
        <f>_xlfn.XLOOKUP($A68,Map!$A:$A,Map!E:E)</f>
        <v>Inventories</v>
      </c>
      <c r="J68" t="str">
        <f>_xlfn.XLOOKUP($A68,Map!$A:$A,Map!F:F)</f>
        <v>Raw materials - Inventory</v>
      </c>
    </row>
    <row r="69" spans="1:10" x14ac:dyDescent="0.25">
      <c r="A69" s="90">
        <v>180009</v>
      </c>
      <c r="B69" s="90" t="s">
        <v>68</v>
      </c>
      <c r="C69" s="91">
        <v>0</v>
      </c>
      <c r="D69" s="91">
        <v>17692688.967</v>
      </c>
      <c r="E69" s="91">
        <v>17692688.967</v>
      </c>
      <c r="F69" s="91">
        <v>0</v>
      </c>
      <c r="G69" t="str">
        <f>_xlfn.XLOOKUP($A69,Map!$A:$A,Map!C:C)</f>
        <v>BS</v>
      </c>
      <c r="H69" t="str">
        <f>_xlfn.XLOOKUP($A69,Map!$A:$A,Map!D:D)</f>
        <v>Current Assets</v>
      </c>
      <c r="I69" t="str">
        <f>_xlfn.XLOOKUP($A69,Map!$A:$A,Map!E:E)</f>
        <v>Inventories</v>
      </c>
      <c r="J69" t="str">
        <f>_xlfn.XLOOKUP($A69,Map!$A:$A,Map!F:F)</f>
        <v>Raw materials - Inventory</v>
      </c>
    </row>
    <row r="70" spans="1:10" x14ac:dyDescent="0.25">
      <c r="A70" s="90">
        <v>180010</v>
      </c>
      <c r="B70" s="90" t="s">
        <v>69</v>
      </c>
      <c r="C70" s="91">
        <v>4243921.3739999998</v>
      </c>
      <c r="D70" s="91">
        <v>6367438.051</v>
      </c>
      <c r="E70" s="91">
        <v>7687931.1699999999</v>
      </c>
      <c r="F70" s="91">
        <v>2923428.2549999999</v>
      </c>
      <c r="G70" t="str">
        <f>_xlfn.XLOOKUP($A70,Map!$A:$A,Map!C:C)</f>
        <v>BS</v>
      </c>
      <c r="H70" t="str">
        <f>_xlfn.XLOOKUP($A70,Map!$A:$A,Map!D:D)</f>
        <v>Current Assets</v>
      </c>
      <c r="I70" t="str">
        <f>_xlfn.XLOOKUP($A70,Map!$A:$A,Map!E:E)</f>
        <v>Inventories</v>
      </c>
      <c r="J70" t="str">
        <f>_xlfn.XLOOKUP($A70,Map!$A:$A,Map!F:F)</f>
        <v>Packaging materials - Inventory</v>
      </c>
    </row>
    <row r="71" spans="1:10" x14ac:dyDescent="0.25">
      <c r="A71" s="90">
        <v>180011</v>
      </c>
      <c r="B71" s="90" t="s">
        <v>70</v>
      </c>
      <c r="C71" s="91">
        <v>4916871.9639999997</v>
      </c>
      <c r="D71" s="91">
        <v>41327981.261</v>
      </c>
      <c r="E71" s="91">
        <v>43384707.397</v>
      </c>
      <c r="F71" s="91">
        <v>2860145.8280000002</v>
      </c>
      <c r="G71" t="str">
        <f>_xlfn.XLOOKUP($A71,Map!$A:$A,Map!C:C)</f>
        <v>BS</v>
      </c>
      <c r="H71" t="str">
        <f>_xlfn.XLOOKUP($A71,Map!$A:$A,Map!D:D)</f>
        <v>Current Assets</v>
      </c>
      <c r="I71" t="str">
        <f>_xlfn.XLOOKUP($A71,Map!$A:$A,Map!E:E)</f>
        <v>Inventories</v>
      </c>
      <c r="J71" t="str">
        <f>_xlfn.XLOOKUP($A71,Map!$A:$A,Map!F:F)</f>
        <v>Finished goods - Inventory</v>
      </c>
    </row>
    <row r="72" spans="1:10" x14ac:dyDescent="0.25">
      <c r="A72" s="90">
        <v>180012</v>
      </c>
      <c r="B72" s="90" t="s">
        <v>71</v>
      </c>
      <c r="C72" s="91">
        <v>6324009.8049999997</v>
      </c>
      <c r="D72" s="91">
        <v>39723570.140000001</v>
      </c>
      <c r="E72" s="91">
        <v>42878475.277999997</v>
      </c>
      <c r="F72" s="91">
        <v>3169104.6669999999</v>
      </c>
      <c r="G72" t="str">
        <f>_xlfn.XLOOKUP($A72,Map!$A:$A,Map!C:C)</f>
        <v>BS</v>
      </c>
      <c r="H72" t="str">
        <f>_xlfn.XLOOKUP($A72,Map!$A:$A,Map!D:D)</f>
        <v>Current Assets</v>
      </c>
      <c r="I72" t="str">
        <f>_xlfn.XLOOKUP($A72,Map!$A:$A,Map!E:E)</f>
        <v>Inventories</v>
      </c>
      <c r="J72" t="str">
        <f>_xlfn.XLOOKUP($A72,Map!$A:$A,Map!F:F)</f>
        <v>Work in progress - Inventory</v>
      </c>
    </row>
    <row r="73" spans="1:10" x14ac:dyDescent="0.25">
      <c r="A73" s="90">
        <v>180013</v>
      </c>
      <c r="B73" s="90" t="s">
        <v>72</v>
      </c>
      <c r="C73" s="91">
        <v>6599030.142</v>
      </c>
      <c r="D73" s="91">
        <v>11397061.696</v>
      </c>
      <c r="E73" s="91">
        <v>11279456.203</v>
      </c>
      <c r="F73" s="91">
        <v>6716635.6349999998</v>
      </c>
      <c r="G73" t="str">
        <f>_xlfn.XLOOKUP($A73,Map!$A:$A,Map!C:C)</f>
        <v>BS</v>
      </c>
      <c r="H73" t="str">
        <f>_xlfn.XLOOKUP($A73,Map!$A:$A,Map!D:D)</f>
        <v>Current Assets</v>
      </c>
      <c r="I73" t="str">
        <f>_xlfn.XLOOKUP($A73,Map!$A:$A,Map!E:E)</f>
        <v>Inventories</v>
      </c>
      <c r="J73" t="str">
        <f>_xlfn.XLOOKUP($A73,Map!$A:$A,Map!F:F)</f>
        <v>Finished goods - Inventory</v>
      </c>
    </row>
    <row r="74" spans="1:10" x14ac:dyDescent="0.25">
      <c r="A74" s="90">
        <v>180014</v>
      </c>
      <c r="B74" s="90" t="s">
        <v>73</v>
      </c>
      <c r="C74" s="91">
        <v>0</v>
      </c>
      <c r="D74" s="91">
        <v>26400384.046999998</v>
      </c>
      <c r="E74" s="91">
        <v>26400384.046999998</v>
      </c>
      <c r="F74" s="91">
        <v>0</v>
      </c>
      <c r="G74" t="str">
        <f>_xlfn.XLOOKUP($A74,Map!$A:$A,Map!C:C)</f>
        <v>BS</v>
      </c>
      <c r="H74" t="str">
        <f>_xlfn.XLOOKUP($A74,Map!$A:$A,Map!D:D)</f>
        <v>Current Assets</v>
      </c>
      <c r="I74" t="str">
        <f>_xlfn.XLOOKUP($A74,Map!$A:$A,Map!E:E)</f>
        <v>Inventories</v>
      </c>
      <c r="J74" t="str">
        <f>_xlfn.XLOOKUP($A74,Map!$A:$A,Map!F:F)</f>
        <v>Work in progress - Inventory</v>
      </c>
    </row>
    <row r="75" spans="1:10" x14ac:dyDescent="0.25">
      <c r="A75" s="90">
        <v>180096</v>
      </c>
      <c r="B75" s="90" t="s">
        <v>74</v>
      </c>
      <c r="C75" s="91">
        <v>0</v>
      </c>
      <c r="D75" s="91">
        <v>3807981.8709999998</v>
      </c>
      <c r="E75" s="91">
        <v>3807981.8709999998</v>
      </c>
      <c r="F75" s="91">
        <v>0</v>
      </c>
      <c r="G75" t="str">
        <f>_xlfn.XLOOKUP($A75,Map!$A:$A,Map!C:C)</f>
        <v>BS</v>
      </c>
      <c r="H75" t="str">
        <f>_xlfn.XLOOKUP($A75,Map!$A:$A,Map!D:D)</f>
        <v>Current Assets</v>
      </c>
      <c r="I75" t="str">
        <f>_xlfn.XLOOKUP($A75,Map!$A:$A,Map!E:E)</f>
        <v>Inventories</v>
      </c>
      <c r="J75" t="str">
        <f>_xlfn.XLOOKUP($A75,Map!$A:$A,Map!F:F)</f>
        <v>Work in progress - Inventory</v>
      </c>
    </row>
    <row r="76" spans="1:10" x14ac:dyDescent="0.25">
      <c r="A76" s="90">
        <v>180097</v>
      </c>
      <c r="B76" s="90" t="s">
        <v>75</v>
      </c>
      <c r="C76" s="91">
        <v>0</v>
      </c>
      <c r="D76" s="91">
        <v>27297259.699999999</v>
      </c>
      <c r="E76" s="91">
        <v>27297259.699999999</v>
      </c>
      <c r="F76" s="91">
        <v>0</v>
      </c>
      <c r="G76" t="str">
        <f>_xlfn.XLOOKUP($A76,Map!$A:$A,Map!C:C)</f>
        <v>BS</v>
      </c>
      <c r="H76" t="str">
        <f>_xlfn.XLOOKUP($A76,Map!$A:$A,Map!D:D)</f>
        <v>Current Assets</v>
      </c>
      <c r="I76" t="str">
        <f>_xlfn.XLOOKUP($A76,Map!$A:$A,Map!E:E)</f>
        <v>Inventories</v>
      </c>
      <c r="J76" t="str">
        <f>_xlfn.XLOOKUP($A76,Map!$A:$A,Map!F:F)</f>
        <v>Work in progress - Inventory</v>
      </c>
    </row>
    <row r="77" spans="1:10" x14ac:dyDescent="0.25">
      <c r="A77" s="90">
        <v>180098</v>
      </c>
      <c r="B77" s="90" t="s">
        <v>76</v>
      </c>
      <c r="C77" s="91">
        <v>-5.0000000000000001E-3</v>
      </c>
      <c r="D77" s="91">
        <v>1.4999999999999999E-2</v>
      </c>
      <c r="E77" s="91">
        <v>0.01</v>
      </c>
      <c r="F77" s="91">
        <v>0</v>
      </c>
      <c r="G77" t="str">
        <f>_xlfn.XLOOKUP($A77,Map!$A:$A,Map!C:C)</f>
        <v>BS</v>
      </c>
      <c r="H77" t="str">
        <f>_xlfn.XLOOKUP($A77,Map!$A:$A,Map!D:D)</f>
        <v>Current Assets</v>
      </c>
      <c r="I77" t="str">
        <f>_xlfn.XLOOKUP($A77,Map!$A:$A,Map!E:E)</f>
        <v>Inventories</v>
      </c>
      <c r="J77" t="str">
        <f>_xlfn.XLOOKUP($A77,Map!$A:$A,Map!F:F)</f>
        <v>Work in progress - Inventory</v>
      </c>
    </row>
    <row r="78" spans="1:10" x14ac:dyDescent="0.25">
      <c r="A78" s="90">
        <v>180099</v>
      </c>
      <c r="B78" s="90" t="s">
        <v>77</v>
      </c>
      <c r="C78" s="91">
        <v>5.0000000000000001E-3</v>
      </c>
      <c r="D78" s="91">
        <v>5.0000000000000001E-3</v>
      </c>
      <c r="E78" s="91">
        <v>0.01</v>
      </c>
      <c r="F78" s="91">
        <v>0</v>
      </c>
      <c r="G78" t="str">
        <f>_xlfn.XLOOKUP($A78,Map!$A:$A,Map!C:C)</f>
        <v>BS</v>
      </c>
      <c r="H78" t="str">
        <f>_xlfn.XLOOKUP($A78,Map!$A:$A,Map!D:D)</f>
        <v>Current Assets</v>
      </c>
      <c r="I78" t="str">
        <f>_xlfn.XLOOKUP($A78,Map!$A:$A,Map!E:E)</f>
        <v>Inventories</v>
      </c>
      <c r="J78" t="str">
        <f>_xlfn.XLOOKUP($A78,Map!$A:$A,Map!F:F)</f>
        <v>Goods in transit - Inventory</v>
      </c>
    </row>
    <row r="79" spans="1:10" x14ac:dyDescent="0.25">
      <c r="A79" s="90">
        <v>210001</v>
      </c>
      <c r="B79" s="90" t="s">
        <v>78</v>
      </c>
      <c r="C79" s="91">
        <v>1690150.4839999999</v>
      </c>
      <c r="D79" s="91">
        <v>84819980.104000002</v>
      </c>
      <c r="E79" s="91">
        <v>85161518.825000003</v>
      </c>
      <c r="F79" s="91">
        <v>1348611.763</v>
      </c>
      <c r="G79" t="str">
        <f>_xlfn.XLOOKUP($A79,Map!$A:$A,Map!C:C)</f>
        <v>BS</v>
      </c>
      <c r="H79" t="str">
        <f>_xlfn.XLOOKUP($A79,Map!$A:$A,Map!D:D)</f>
        <v>Current Liabilities</v>
      </c>
      <c r="I79" t="str">
        <f>_xlfn.XLOOKUP($A79,Map!$A:$A,Map!E:E)</f>
        <v>Tade payables and Accuals &amp; other credit balances</v>
      </c>
      <c r="J79" t="str">
        <f>_xlfn.XLOOKUP($A79,Map!$A:$A,Map!F:F)</f>
        <v>Trade payables - Foreign</v>
      </c>
    </row>
    <row r="80" spans="1:10" x14ac:dyDescent="0.25">
      <c r="A80" s="90">
        <v>210002</v>
      </c>
      <c r="B80" s="90" t="s">
        <v>79</v>
      </c>
      <c r="C80" s="91">
        <v>-4136245.906</v>
      </c>
      <c r="D80" s="91">
        <v>72681304.937999994</v>
      </c>
      <c r="E80" s="91">
        <v>74733025.006999999</v>
      </c>
      <c r="F80" s="91">
        <v>-6187965.9749999996</v>
      </c>
      <c r="G80" t="str">
        <f>_xlfn.XLOOKUP($A80,Map!$A:$A,Map!C:C)</f>
        <v>BS</v>
      </c>
      <c r="H80" t="str">
        <f>_xlfn.XLOOKUP($A80,Map!$A:$A,Map!D:D)</f>
        <v>Current Liabilities</v>
      </c>
      <c r="I80" t="str">
        <f>_xlfn.XLOOKUP($A80,Map!$A:$A,Map!E:E)</f>
        <v>Tade payables and Accuals &amp; other credit balances</v>
      </c>
      <c r="J80" t="str">
        <f>_xlfn.XLOOKUP($A80,Map!$A:$A,Map!F:F)</f>
        <v>Trade payables - Local</v>
      </c>
    </row>
    <row r="81" spans="1:10" x14ac:dyDescent="0.25">
      <c r="A81" s="90">
        <v>220001</v>
      </c>
      <c r="B81" s="90" t="s">
        <v>80</v>
      </c>
      <c r="C81" s="91">
        <v>0</v>
      </c>
      <c r="D81" s="91">
        <v>0</v>
      </c>
      <c r="E81" s="91">
        <v>0</v>
      </c>
      <c r="F81" s="91">
        <v>0</v>
      </c>
      <c r="G81" t="str">
        <f>_xlfn.XLOOKUP($A81,Map!$A:$A,Map!C:C)</f>
        <v>BS</v>
      </c>
      <c r="H81" t="str">
        <f>_xlfn.XLOOKUP($A81,Map!$A:$A,Map!D:D)</f>
        <v>Current Liabilities</v>
      </c>
      <c r="I81" t="str">
        <f>_xlfn.XLOOKUP($A81,Map!$A:$A,Map!E:E)</f>
        <v>Short-term Murabaha loans</v>
      </c>
      <c r="J81" t="str">
        <f>_xlfn.XLOOKUP($A81,Map!$A:$A,Map!F:F)</f>
        <v>Other loans - current</v>
      </c>
    </row>
    <row r="82" spans="1:10" x14ac:dyDescent="0.25">
      <c r="A82" s="90">
        <v>220002</v>
      </c>
      <c r="B82" s="90" t="s">
        <v>81</v>
      </c>
      <c r="C82" s="91">
        <v>0</v>
      </c>
      <c r="D82" s="91">
        <v>0</v>
      </c>
      <c r="E82" s="91">
        <v>0</v>
      </c>
      <c r="F82" s="91">
        <v>0</v>
      </c>
      <c r="G82" t="str">
        <f>_xlfn.XLOOKUP($A82,Map!$A:$A,Map!C:C)</f>
        <v>BS</v>
      </c>
      <c r="H82" t="str">
        <f>_xlfn.XLOOKUP($A82,Map!$A:$A,Map!D:D)</f>
        <v>Current Liabilities</v>
      </c>
      <c r="I82" t="str">
        <f>_xlfn.XLOOKUP($A82,Map!$A:$A,Map!E:E)</f>
        <v>Short-term Murabaha loans</v>
      </c>
      <c r="J82" t="str">
        <f>_xlfn.XLOOKUP($A82,Map!$A:$A,Map!F:F)</f>
        <v>Other loans - current</v>
      </c>
    </row>
    <row r="83" spans="1:10" x14ac:dyDescent="0.25">
      <c r="A83" s="90">
        <v>220003</v>
      </c>
      <c r="B83" s="90" t="s">
        <v>82</v>
      </c>
      <c r="C83" s="91">
        <v>0</v>
      </c>
      <c r="D83" s="91">
        <v>0</v>
      </c>
      <c r="E83" s="91">
        <v>0</v>
      </c>
      <c r="F83" s="91">
        <v>0</v>
      </c>
      <c r="G83" t="str">
        <f>_xlfn.XLOOKUP($A83,Map!$A:$A,Map!C:C)</f>
        <v>BS</v>
      </c>
      <c r="H83" t="str">
        <f>_xlfn.XLOOKUP($A83,Map!$A:$A,Map!D:D)</f>
        <v>Current Liabilities</v>
      </c>
      <c r="I83" t="str">
        <f>_xlfn.XLOOKUP($A83,Map!$A:$A,Map!E:E)</f>
        <v>Short-term Murabaha loans</v>
      </c>
      <c r="J83" t="str">
        <f>_xlfn.XLOOKUP($A83,Map!$A:$A,Map!F:F)</f>
        <v>Other loans - current</v>
      </c>
    </row>
    <row r="84" spans="1:10" x14ac:dyDescent="0.25">
      <c r="A84" s="90">
        <v>220004</v>
      </c>
      <c r="B84" s="90" t="s">
        <v>83</v>
      </c>
      <c r="C84" s="91">
        <v>-8323255.0099999998</v>
      </c>
      <c r="D84" s="91">
        <v>8323255.0099999998</v>
      </c>
      <c r="E84" s="91">
        <v>0</v>
      </c>
      <c r="F84" s="91">
        <v>0</v>
      </c>
      <c r="G84" t="str">
        <f>_xlfn.XLOOKUP($A84,Map!$A:$A,Map!C:C)</f>
        <v>BS</v>
      </c>
      <c r="H84" t="str">
        <f>_xlfn.XLOOKUP($A84,Map!$A:$A,Map!D:D)</f>
        <v>Current Liabilities</v>
      </c>
      <c r="I84" t="str">
        <f>_xlfn.XLOOKUP($A84,Map!$A:$A,Map!E:E)</f>
        <v>Short-term Murabaha loans</v>
      </c>
      <c r="J84" t="str">
        <f>_xlfn.XLOOKUP($A84,Map!$A:$A,Map!F:F)</f>
        <v>Other loans - current</v>
      </c>
    </row>
    <row r="85" spans="1:10" x14ac:dyDescent="0.25">
      <c r="A85" s="90">
        <v>220005</v>
      </c>
      <c r="B85" s="90" t="s">
        <v>84</v>
      </c>
      <c r="C85" s="91">
        <v>-24159339.420000002</v>
      </c>
      <c r="D85" s="91">
        <v>48202489.813000001</v>
      </c>
      <c r="E85" s="91">
        <v>47617110.287</v>
      </c>
      <c r="F85" s="91">
        <v>-23573959.894000001</v>
      </c>
      <c r="G85" t="str">
        <f>_xlfn.XLOOKUP($A85,Map!$A:$A,Map!C:C)</f>
        <v>BS</v>
      </c>
      <c r="H85" t="str">
        <f>_xlfn.XLOOKUP($A85,Map!$A:$A,Map!D:D)</f>
        <v>Current Liabilities</v>
      </c>
      <c r="I85" t="str">
        <f>_xlfn.XLOOKUP($A85,Map!$A:$A,Map!E:E)</f>
        <v>Short-term Murabaha loans</v>
      </c>
      <c r="J85" t="str">
        <f>_xlfn.XLOOKUP($A85,Map!$A:$A,Map!F:F)</f>
        <v>Other loans - current</v>
      </c>
    </row>
    <row r="86" spans="1:10" x14ac:dyDescent="0.25">
      <c r="A86" s="90">
        <v>220006</v>
      </c>
      <c r="B86" s="90" t="s">
        <v>85</v>
      </c>
      <c r="C86" s="91">
        <v>-36223842.005999997</v>
      </c>
      <c r="D86" s="91">
        <v>0</v>
      </c>
      <c r="E86" s="91">
        <v>28275745.649999999</v>
      </c>
      <c r="F86" s="91">
        <v>-64499587.656000003</v>
      </c>
      <c r="G86" t="str">
        <f>_xlfn.XLOOKUP($A86,Map!$A:$A,Map!C:C)</f>
        <v>BS</v>
      </c>
      <c r="H86" t="str">
        <f>_xlfn.XLOOKUP($A86,Map!$A:$A,Map!D:D)</f>
        <v>Current Liabilities</v>
      </c>
      <c r="I86" t="str">
        <f>_xlfn.XLOOKUP($A86,Map!$A:$A,Map!E:E)</f>
        <v>Short-term Murabaha loans</v>
      </c>
      <c r="J86" t="str">
        <f>_xlfn.XLOOKUP($A86,Map!$A:$A,Map!F:F)</f>
        <v>Other loans - current</v>
      </c>
    </row>
    <row r="87" spans="1:10" x14ac:dyDescent="0.25">
      <c r="A87" s="90">
        <v>230001</v>
      </c>
      <c r="B87" s="90" t="s">
        <v>86</v>
      </c>
      <c r="C87" s="91">
        <v>0</v>
      </c>
      <c r="D87" s="91">
        <v>115385756.705</v>
      </c>
      <c r="E87" s="91">
        <v>115385756.705</v>
      </c>
      <c r="F87" s="91">
        <v>0</v>
      </c>
      <c r="G87" t="str">
        <f>_xlfn.XLOOKUP($A87,Map!$A:$A,Map!C:C)</f>
        <v>BS</v>
      </c>
      <c r="H87" t="str">
        <f>_xlfn.XLOOKUP($A87,Map!$A:$A,Map!D:D)</f>
        <v>Current Liabilities</v>
      </c>
      <c r="I87" t="str">
        <f>_xlfn.XLOOKUP($A87,Map!$A:$A,Map!E:E)</f>
        <v>Tade payables and Accuals &amp; other credit balances</v>
      </c>
      <c r="J87" t="str">
        <f>_xlfn.XLOOKUP($A87,Map!$A:$A,Map!F:F)</f>
        <v>Clearing account</v>
      </c>
    </row>
    <row r="88" spans="1:10" x14ac:dyDescent="0.25">
      <c r="A88" s="90">
        <v>240001</v>
      </c>
      <c r="B88" s="90" t="s">
        <v>87</v>
      </c>
      <c r="C88" s="91">
        <v>3.0000000000000001E-3</v>
      </c>
      <c r="D88" s="91">
        <v>3213301.27</v>
      </c>
      <c r="E88" s="91">
        <v>3213301.273</v>
      </c>
      <c r="F88" s="91">
        <v>0</v>
      </c>
      <c r="G88" t="str">
        <f>_xlfn.XLOOKUP($A88,Map!$A:$A,Map!C:C)</f>
        <v>BS</v>
      </c>
      <c r="H88" t="str">
        <f>_xlfn.XLOOKUP($A88,Map!$A:$A,Map!D:D)</f>
        <v>Current Liabilities</v>
      </c>
      <c r="I88" t="str">
        <f>_xlfn.XLOOKUP($A88,Map!$A:$A,Map!E:E)</f>
        <v>Tade payables and Accuals &amp; other credit balances</v>
      </c>
      <c r="J88" t="str">
        <f>_xlfn.XLOOKUP($A88,Map!$A:$A,Map!F:F)</f>
        <v>Overhead</v>
      </c>
    </row>
    <row r="89" spans="1:10" x14ac:dyDescent="0.25">
      <c r="A89" s="90">
        <v>240002</v>
      </c>
      <c r="B89" s="90" t="s">
        <v>88</v>
      </c>
      <c r="C89" s="91">
        <v>0</v>
      </c>
      <c r="D89" s="91">
        <v>537448</v>
      </c>
      <c r="E89" s="91">
        <v>537448</v>
      </c>
      <c r="F89" s="91">
        <v>0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Tade payables and Accuals &amp; other credit balances</v>
      </c>
      <c r="J89" t="str">
        <f>_xlfn.XLOOKUP($A89,Map!$A:$A,Map!F:F)</f>
        <v>Landed Cost - Customs</v>
      </c>
    </row>
    <row r="90" spans="1:10" x14ac:dyDescent="0.25">
      <c r="A90" s="90">
        <v>240003</v>
      </c>
      <c r="B90" s="90" t="s">
        <v>89</v>
      </c>
      <c r="C90" s="91">
        <v>-1874374</v>
      </c>
      <c r="D90" s="91">
        <v>114306.789</v>
      </c>
      <c r="E90" s="91">
        <v>63176.355000000003</v>
      </c>
      <c r="F90" s="91">
        <v>-1823243.5660000001</v>
      </c>
      <c r="G90" t="str">
        <f>_xlfn.XLOOKUP($A90,Map!$A:$A,Map!C:C)</f>
        <v>BS</v>
      </c>
      <c r="H90" t="str">
        <f>_xlfn.XLOOKUP($A90,Map!$A:$A,Map!D:D)</f>
        <v>Non-Current Liabilities</v>
      </c>
      <c r="I90" t="str">
        <f>_xlfn.XLOOKUP($A90,Map!$A:$A,Map!E:E)</f>
        <v xml:space="preserve">Lease liabilities non-current </v>
      </c>
      <c r="J90" t="str">
        <f>_xlfn.XLOOKUP($A90,Map!$A:$A,Map!F:F)</f>
        <v xml:space="preserve"> Lease Obligation</v>
      </c>
    </row>
    <row r="91" spans="1:10" x14ac:dyDescent="0.25">
      <c r="A91" s="90">
        <v>250001</v>
      </c>
      <c r="B91" s="90" t="s">
        <v>90</v>
      </c>
      <c r="C91" s="91">
        <v>0</v>
      </c>
      <c r="D91" s="91">
        <v>13456342</v>
      </c>
      <c r="E91" s="91">
        <v>13456342</v>
      </c>
      <c r="F91" s="91">
        <v>0</v>
      </c>
      <c r="G91" t="str">
        <f>_xlfn.XLOOKUP($A91,Map!$A:$A,Map!C:C)</f>
        <v>BS</v>
      </c>
      <c r="H91" t="str">
        <f>_xlfn.XLOOKUP($A91,Map!$A:$A,Map!D:D)</f>
        <v>Current Liabilities</v>
      </c>
      <c r="I91" t="str">
        <f>_xlfn.XLOOKUP($A91,Map!$A:$A,Map!E:E)</f>
        <v>Tade payables and Accuals &amp; other credit balances</v>
      </c>
      <c r="J91" t="str">
        <f>_xlfn.XLOOKUP($A91,Map!$A:$A,Map!F:F)</f>
        <v>Accrued salaries and wages</v>
      </c>
    </row>
    <row r="92" spans="1:10" x14ac:dyDescent="0.25">
      <c r="A92" s="90">
        <v>250002</v>
      </c>
      <c r="B92" s="90" t="s">
        <v>91</v>
      </c>
      <c r="C92" s="91">
        <v>0</v>
      </c>
      <c r="D92" s="91">
        <v>0</v>
      </c>
      <c r="E92" s="91">
        <v>0</v>
      </c>
      <c r="F92" s="91">
        <v>0</v>
      </c>
      <c r="G92" t="str">
        <f>_xlfn.XLOOKUP($A92,Map!$A:$A,Map!C:C)</f>
        <v>BS</v>
      </c>
      <c r="H92" t="str">
        <f>_xlfn.XLOOKUP($A92,Map!$A:$A,Map!D:D)</f>
        <v>Current Liabilities</v>
      </c>
      <c r="I92" t="str">
        <f>_xlfn.XLOOKUP($A92,Map!$A:$A,Map!E:E)</f>
        <v>Tade payables and Accuals &amp; other credit balances</v>
      </c>
      <c r="J92" t="str">
        <f>_xlfn.XLOOKUP($A92,Map!$A:$A,Map!F:F)</f>
        <v>Accrued utilities</v>
      </c>
    </row>
    <row r="93" spans="1:10" x14ac:dyDescent="0.25">
      <c r="A93" s="90">
        <v>250003</v>
      </c>
      <c r="B93" s="90" t="s">
        <v>92</v>
      </c>
      <c r="C93" s="91">
        <v>-983057</v>
      </c>
      <c r="D93" s="91">
        <v>1243670.8899999999</v>
      </c>
      <c r="E93" s="91">
        <v>904999.89</v>
      </c>
      <c r="F93" s="91">
        <v>-644386</v>
      </c>
      <c r="G93" t="str">
        <f>_xlfn.XLOOKUP($A93,Map!$A:$A,Map!C:C)</f>
        <v>BS</v>
      </c>
      <c r="H93" t="str">
        <f>_xlfn.XLOOKUP($A93,Map!$A:$A,Map!D:D)</f>
        <v>Current Liabilities</v>
      </c>
      <c r="I93" t="str">
        <f>_xlfn.XLOOKUP($A93,Map!$A:$A,Map!E:E)</f>
        <v>Zakat provision</v>
      </c>
      <c r="J93" t="str">
        <f>_xlfn.XLOOKUP($A93,Map!$A:$A,Map!F:F)</f>
        <v>Zakat provision</v>
      </c>
    </row>
    <row r="94" spans="1:10" x14ac:dyDescent="0.25">
      <c r="A94" s="90">
        <v>250004</v>
      </c>
      <c r="B94" s="90" t="s">
        <v>93</v>
      </c>
      <c r="C94" s="91">
        <v>0</v>
      </c>
      <c r="D94" s="91">
        <v>528870</v>
      </c>
      <c r="E94" s="91">
        <v>528870</v>
      </c>
      <c r="F94" s="91">
        <v>0</v>
      </c>
      <c r="G94" t="str">
        <f>_xlfn.XLOOKUP($A94,Map!$A:$A,Map!C:C)</f>
        <v>BS</v>
      </c>
      <c r="H94" t="str">
        <f>_xlfn.XLOOKUP($A94,Map!$A:$A,Map!D:D)</f>
        <v>Current Liabilities</v>
      </c>
      <c r="I94" t="str">
        <f>_xlfn.XLOOKUP($A94,Map!$A:$A,Map!E:E)</f>
        <v>Tade payables and Accuals &amp; other credit balances</v>
      </c>
      <c r="J94" t="str">
        <f>_xlfn.XLOOKUP($A94,Map!$A:$A,Map!F:F)</f>
        <v>Accrued bonus</v>
      </c>
    </row>
    <row r="95" spans="1:10" x14ac:dyDescent="0.25">
      <c r="A95" s="90">
        <v>250005</v>
      </c>
      <c r="B95" s="90" t="s">
        <v>94</v>
      </c>
      <c r="C95" s="91">
        <v>-66150</v>
      </c>
      <c r="D95" s="91">
        <v>103200</v>
      </c>
      <c r="E95" s="91">
        <v>65550</v>
      </c>
      <c r="F95" s="91">
        <v>-28500</v>
      </c>
      <c r="G95" t="str">
        <f>_xlfn.XLOOKUP($A95,Map!$A:$A,Map!C:C)</f>
        <v>BS</v>
      </c>
      <c r="H95" t="str">
        <f>_xlfn.XLOOKUP($A95,Map!$A:$A,Map!D:D)</f>
        <v>Current Liabilities</v>
      </c>
      <c r="I95" t="str">
        <f>_xlfn.XLOOKUP($A95,Map!$A:$A,Map!E:E)</f>
        <v>Tade payables and Accuals &amp; other credit balances</v>
      </c>
      <c r="J95" t="str">
        <f>_xlfn.XLOOKUP($A95,Map!$A:$A,Map!F:F)</f>
        <v>Accrued expenses</v>
      </c>
    </row>
    <row r="96" spans="1:10" x14ac:dyDescent="0.25">
      <c r="A96" s="90">
        <v>250006</v>
      </c>
      <c r="B96" s="90" t="s">
        <v>95</v>
      </c>
      <c r="C96" s="91">
        <v>0</v>
      </c>
      <c r="D96" s="91">
        <v>0</v>
      </c>
      <c r="E96" s="91">
        <v>388008.67</v>
      </c>
      <c r="F96" s="91">
        <v>-388008.67</v>
      </c>
      <c r="G96" t="str">
        <f>_xlfn.XLOOKUP($A96,Map!$A:$A,Map!C:C)</f>
        <v>BS</v>
      </c>
      <c r="H96" t="str">
        <f>_xlfn.XLOOKUP($A96,Map!$A:$A,Map!D:D)</f>
        <v>Current Liabilities</v>
      </c>
      <c r="I96" t="str">
        <f>_xlfn.XLOOKUP($A96,Map!$A:$A,Map!E:E)</f>
        <v>Tade payables and Accuals &amp; other credit balances</v>
      </c>
      <c r="J96" t="str">
        <f>_xlfn.XLOOKUP($A96,Map!$A:$A,Map!F:F)</f>
        <v>Accrued leave</v>
      </c>
    </row>
    <row r="97" spans="1:10" x14ac:dyDescent="0.25">
      <c r="A97" s="90">
        <v>260001</v>
      </c>
      <c r="B97" s="90" t="s">
        <v>96</v>
      </c>
      <c r="C97" s="91">
        <v>-6684528</v>
      </c>
      <c r="D97" s="91">
        <v>0</v>
      </c>
      <c r="E97" s="91">
        <v>0</v>
      </c>
      <c r="F97" s="91">
        <v>-6684528</v>
      </c>
      <c r="G97" t="str">
        <f>_xlfn.XLOOKUP($A97,Map!$A:$A,Map!C:C)</f>
        <v>BS</v>
      </c>
      <c r="H97" t="str">
        <f>_xlfn.XLOOKUP($A97,Map!$A:$A,Map!D:D)</f>
        <v>Stockholder's equity</v>
      </c>
      <c r="I97" t="str">
        <f>_xlfn.XLOOKUP($A97,Map!$A:$A,Map!E:E)</f>
        <v>Statutory reserve</v>
      </c>
      <c r="J97" t="str">
        <f>_xlfn.XLOOKUP($A97,Map!$A:$A,Map!F:F)</f>
        <v>Statutory reserve</v>
      </c>
    </row>
    <row r="98" spans="1:10" x14ac:dyDescent="0.25">
      <c r="A98" s="90">
        <v>260002</v>
      </c>
      <c r="B98" s="90" t="s">
        <v>97</v>
      </c>
      <c r="C98" s="91">
        <v>-4294641</v>
      </c>
      <c r="D98" s="91">
        <v>1040955.18</v>
      </c>
      <c r="E98" s="91">
        <v>4259209.18</v>
      </c>
      <c r="F98" s="91">
        <v>-7512895</v>
      </c>
      <c r="G98" t="str">
        <f>_xlfn.XLOOKUP($A98,Map!$A:$A,Map!C:C)</f>
        <v>BS</v>
      </c>
      <c r="H98" t="str">
        <f>_xlfn.XLOOKUP($A98,Map!$A:$A,Map!D:D)</f>
        <v>Non-Current Liabilities</v>
      </c>
      <c r="I98" t="str">
        <f>_xlfn.XLOOKUP($A98,Map!$A:$A,Map!E:E)</f>
        <v xml:space="preserve">End-of-service indemnities </v>
      </c>
      <c r="J98" t="str">
        <f>_xlfn.XLOOKUP($A98,Map!$A:$A,Map!F:F)</f>
        <v xml:space="preserve">End-of-service indemnities </v>
      </c>
    </row>
    <row r="99" spans="1:10" x14ac:dyDescent="0.25">
      <c r="A99" s="90">
        <v>260003</v>
      </c>
      <c r="B99" s="90" t="s">
        <v>98</v>
      </c>
      <c r="C99" s="91">
        <v>-3156727.1</v>
      </c>
      <c r="D99" s="91">
        <v>391297.46</v>
      </c>
      <c r="E99" s="91">
        <v>716658.44400000002</v>
      </c>
      <c r="F99" s="91">
        <v>-3482088.0839999998</v>
      </c>
      <c r="G99" t="str">
        <f>_xlfn.XLOOKUP($A99,Map!$A:$A,Map!C:C)</f>
        <v>BS</v>
      </c>
      <c r="H99" t="str">
        <f>_xlfn.XLOOKUP($A99,Map!$A:$A,Map!D:D)</f>
        <v>Current Assets</v>
      </c>
      <c r="I99" t="str">
        <f>_xlfn.XLOOKUP($A99,Map!$A:$A,Map!E:E)</f>
        <v>Trade receivables</v>
      </c>
      <c r="J99" t="str">
        <f>_xlfn.XLOOKUP($A99,Map!$A:$A,Map!F:F)</f>
        <v>Provisions</v>
      </c>
    </row>
    <row r="100" spans="1:10" x14ac:dyDescent="0.25">
      <c r="A100" s="90">
        <v>260004</v>
      </c>
      <c r="B100" s="90" t="s">
        <v>99</v>
      </c>
      <c r="C100" s="91">
        <v>-849296.43299999996</v>
      </c>
      <c r="D100" s="91">
        <v>1099296.433</v>
      </c>
      <c r="E100" s="91">
        <v>2250000</v>
      </c>
      <c r="F100" s="91">
        <v>-2000000</v>
      </c>
      <c r="G100" t="str">
        <f>_xlfn.XLOOKUP($A100,Map!$A:$A,Map!C:C)</f>
        <v>BS</v>
      </c>
      <c r="H100" t="str">
        <f>_xlfn.XLOOKUP($A100,Map!$A:$A,Map!D:D)</f>
        <v>Current Assets</v>
      </c>
      <c r="I100" t="str">
        <f>_xlfn.XLOOKUP($A100,Map!$A:$A,Map!E:E)</f>
        <v>Inventories</v>
      </c>
      <c r="J100" t="str">
        <f>_xlfn.XLOOKUP($A100,Map!$A:$A,Map!F:F)</f>
        <v>Allowance for slow moving/obsolete inventories - Inventory</v>
      </c>
    </row>
    <row r="101" spans="1:10" x14ac:dyDescent="0.25">
      <c r="A101" s="90">
        <v>260005</v>
      </c>
      <c r="B101" s="90" t="s">
        <v>100</v>
      </c>
      <c r="C101" s="91">
        <v>-4120000</v>
      </c>
      <c r="D101" s="91">
        <v>8240</v>
      </c>
      <c r="E101" s="91">
        <v>103000</v>
      </c>
      <c r="F101" s="91">
        <v>-4214760</v>
      </c>
      <c r="G101" t="str">
        <f>_xlfn.XLOOKUP($A101,Map!$A:$A,Map!C:C)</f>
        <v>BS</v>
      </c>
      <c r="H101" t="str">
        <f>_xlfn.XLOOKUP($A101,Map!$A:$A,Map!D:D)</f>
        <v>Non-Current Liabilities</v>
      </c>
      <c r="I101" t="str">
        <f>_xlfn.XLOOKUP($A101,Map!$A:$A,Map!E:E)</f>
        <v>Provision for evacuation</v>
      </c>
      <c r="J101" t="str">
        <f>_xlfn.XLOOKUP($A101,Map!$A:$A,Map!F:F)</f>
        <v>Provision for evacuation</v>
      </c>
    </row>
    <row r="102" spans="1:10" x14ac:dyDescent="0.25">
      <c r="A102" s="90">
        <v>270001</v>
      </c>
      <c r="B102" s="90" t="s">
        <v>101</v>
      </c>
      <c r="C102" s="91">
        <v>-502289.05</v>
      </c>
      <c r="D102" s="91">
        <v>729285</v>
      </c>
      <c r="E102" s="91">
        <v>60625.9</v>
      </c>
      <c r="F102" s="91">
        <v>166370.04999999999</v>
      </c>
      <c r="G102" t="str">
        <f>_xlfn.XLOOKUP($A102,Map!$A:$A,Map!C:C)</f>
        <v>BS</v>
      </c>
      <c r="H102" t="str">
        <f>_xlfn.XLOOKUP($A102,Map!$A:$A,Map!D:D)</f>
        <v>Non-Current Liabilities</v>
      </c>
      <c r="I102" t="str">
        <f>_xlfn.XLOOKUP($A102,Map!$A:$A,Map!E:E)</f>
        <v xml:space="preserve">Due to related parties </v>
      </c>
      <c r="J102" t="str">
        <f>_xlfn.XLOOKUP($A102,Map!$A:$A,Map!F:F)</f>
        <v>Aims Holding  Current Acc</v>
      </c>
    </row>
    <row r="103" spans="1:10" x14ac:dyDescent="0.25">
      <c r="A103" s="90">
        <v>270002</v>
      </c>
      <c r="B103" s="90" t="s">
        <v>102</v>
      </c>
      <c r="C103" s="91">
        <v>0</v>
      </c>
      <c r="D103" s="91">
        <v>19660697.335000001</v>
      </c>
      <c r="E103" s="91">
        <v>19660697.335000001</v>
      </c>
      <c r="F103" s="91">
        <v>0</v>
      </c>
      <c r="G103" t="str">
        <f>_xlfn.XLOOKUP($A103,Map!$A:$A,Map!C:C)</f>
        <v>BS</v>
      </c>
      <c r="H103" t="str">
        <f>_xlfn.XLOOKUP($A103,Map!$A:$A,Map!D:D)</f>
        <v>Current Liabilities</v>
      </c>
      <c r="I103" t="str">
        <f>_xlfn.XLOOKUP($A103,Map!$A:$A,Map!E:E)</f>
        <v>Tade payables and Accuals &amp; other credit balances</v>
      </c>
      <c r="J103" t="str">
        <f>_xlfn.XLOOKUP($A103,Map!$A:$A,Map!F:F)</f>
        <v>VAT payables</v>
      </c>
    </row>
    <row r="104" spans="1:10" x14ac:dyDescent="0.25">
      <c r="A104" s="90">
        <v>270003</v>
      </c>
      <c r="B104" s="90" t="s">
        <v>103</v>
      </c>
      <c r="C104" s="91">
        <v>820338.76199999999</v>
      </c>
      <c r="D104" s="91">
        <v>7531329.8099999996</v>
      </c>
      <c r="E104" s="91">
        <v>8351668.5719999997</v>
      </c>
      <c r="F104" s="91">
        <v>0</v>
      </c>
      <c r="G104" t="str">
        <f>_xlfn.XLOOKUP($A104,Map!$A:$A,Map!C:C)</f>
        <v>BS</v>
      </c>
      <c r="H104" t="str">
        <f>_xlfn.XLOOKUP($A104,Map!$A:$A,Map!D:D)</f>
        <v>Current Liabilities</v>
      </c>
      <c r="I104" t="str">
        <f>_xlfn.XLOOKUP($A104,Map!$A:$A,Map!E:E)</f>
        <v>Tade payables and Accuals &amp; other credit balances</v>
      </c>
      <c r="J104" t="str">
        <f>_xlfn.XLOOKUP($A104,Map!$A:$A,Map!F:F)</f>
        <v>VAT payables</v>
      </c>
    </row>
    <row r="105" spans="1:10" x14ac:dyDescent="0.25">
      <c r="A105" s="90">
        <v>270004</v>
      </c>
      <c r="B105" s="90" t="s">
        <v>104</v>
      </c>
      <c r="C105" s="91">
        <v>0</v>
      </c>
      <c r="D105" s="91">
        <v>5500949.2400000002</v>
      </c>
      <c r="E105" s="91">
        <v>7064396.7000000002</v>
      </c>
      <c r="F105" s="91">
        <v>-1563447.46</v>
      </c>
      <c r="G105" t="str">
        <f>_xlfn.XLOOKUP($A105,Map!$A:$A,Map!C:C)</f>
        <v>BS</v>
      </c>
      <c r="H105" t="str">
        <f>_xlfn.XLOOKUP($A105,Map!$A:$A,Map!D:D)</f>
        <v>Current Liabilities</v>
      </c>
      <c r="I105" t="str">
        <f>_xlfn.XLOOKUP($A105,Map!$A:$A,Map!E:E)</f>
        <v>Tade payables and Accuals &amp; other credit balances</v>
      </c>
      <c r="J105" t="str">
        <f>_xlfn.XLOOKUP($A105,Map!$A:$A,Map!F:F)</f>
        <v>VAT payables</v>
      </c>
    </row>
    <row r="106" spans="1:10" x14ac:dyDescent="0.25">
      <c r="A106" s="90">
        <v>310001</v>
      </c>
      <c r="B106" s="90" t="s">
        <v>106</v>
      </c>
      <c r="C106" s="91">
        <v>-32446640.010000002</v>
      </c>
      <c r="D106" s="91">
        <v>0</v>
      </c>
      <c r="E106" s="91">
        <v>0</v>
      </c>
      <c r="F106" s="91">
        <v>-32446640.010000002</v>
      </c>
      <c r="G106" t="str">
        <f>_xlfn.XLOOKUP($A106,Map!$A:$A,Map!C:C)</f>
        <v>BS</v>
      </c>
      <c r="H106" t="str">
        <f>_xlfn.XLOOKUP($A106,Map!$A:$A,Map!D:D)</f>
        <v>Stockholder's equity</v>
      </c>
      <c r="I106" t="str">
        <f>_xlfn.XLOOKUP($A106,Map!$A:$A,Map!E:E)</f>
        <v>Retained earnings</v>
      </c>
      <c r="J106" t="str">
        <f>_xlfn.XLOOKUP($A106,Map!$A:$A,Map!F:F)</f>
        <v>Retained earnings</v>
      </c>
    </row>
    <row r="107" spans="1:10" x14ac:dyDescent="0.25">
      <c r="A107" s="90">
        <v>330001</v>
      </c>
      <c r="B107" s="90" t="s">
        <v>107</v>
      </c>
      <c r="C107" s="91">
        <v>-1766750</v>
      </c>
      <c r="D107" s="91">
        <v>1766750</v>
      </c>
      <c r="E107" s="91">
        <v>0</v>
      </c>
      <c r="F107" s="91">
        <v>0</v>
      </c>
      <c r="G107" t="str">
        <f>_xlfn.XLOOKUP($A107,Map!$A:$A,Map!C:C)</f>
        <v>BS</v>
      </c>
      <c r="H107" t="str">
        <f>_xlfn.XLOOKUP($A107,Map!$A:$A,Map!D:D)</f>
        <v>Stockholder's equity</v>
      </c>
      <c r="I107" t="str">
        <f>_xlfn.XLOOKUP($A107,Map!$A:$A,Map!E:E)</f>
        <v>Retained earnings</v>
      </c>
      <c r="J107" t="str">
        <f>_xlfn.XLOOKUP($A107,Map!$A:$A,Map!F:F)</f>
        <v>Retained earnings</v>
      </c>
    </row>
    <row r="108" spans="1:10" x14ac:dyDescent="0.25">
      <c r="A108" s="90">
        <v>330002</v>
      </c>
      <c r="B108" s="90" t="s">
        <v>108</v>
      </c>
      <c r="C108" s="91">
        <v>-33568250</v>
      </c>
      <c r="D108" s="91">
        <v>0</v>
      </c>
      <c r="E108" s="91">
        <v>1766750</v>
      </c>
      <c r="F108" s="91">
        <v>-35335000</v>
      </c>
      <c r="G108" t="str">
        <f>_xlfn.XLOOKUP($A108,Map!$A:$A,Map!C:C)</f>
        <v>BS</v>
      </c>
      <c r="H108" t="str">
        <f>_xlfn.XLOOKUP($A108,Map!$A:$A,Map!D:D)</f>
        <v>Stockholder's equity</v>
      </c>
      <c r="I108" t="str">
        <f>_xlfn.XLOOKUP($A108,Map!$A:$A,Map!E:E)</f>
        <v>Share capital</v>
      </c>
      <c r="J108" t="str">
        <f>_xlfn.XLOOKUP($A108,Map!$A:$A,Map!F:F)</f>
        <v>Share capital</v>
      </c>
    </row>
    <row r="109" spans="1:10" x14ac:dyDescent="0.25">
      <c r="A109" s="90">
        <v>330003</v>
      </c>
      <c r="B109" s="90" t="s">
        <v>109</v>
      </c>
      <c r="C109" s="91">
        <v>-102255315.01000001</v>
      </c>
      <c r="D109" s="91">
        <v>0</v>
      </c>
      <c r="E109" s="91">
        <v>0</v>
      </c>
      <c r="F109" s="91">
        <v>-102255315.01000001</v>
      </c>
      <c r="G109" t="str">
        <f>_xlfn.XLOOKUP($A109,Map!$A:$A,Map!C:C)</f>
        <v>BS</v>
      </c>
      <c r="H109" t="str">
        <f>_xlfn.XLOOKUP($A109,Map!$A:$A,Map!D:D)</f>
        <v>Stockholder's equity</v>
      </c>
      <c r="I109" t="str">
        <f>_xlfn.XLOOKUP($A109,Map!$A:$A,Map!E:E)</f>
        <v>Additional contribution from shareholders</v>
      </c>
      <c r="J109" t="str">
        <f>_xlfn.XLOOKUP($A109,Map!$A:$A,Map!F:F)</f>
        <v>Additional contribution from shareholders</v>
      </c>
    </row>
    <row r="110" spans="1:10" x14ac:dyDescent="0.25">
      <c r="A110" s="90">
        <v>410001</v>
      </c>
      <c r="B110" s="90" t="s">
        <v>110</v>
      </c>
      <c r="C110" s="91">
        <v>0</v>
      </c>
      <c r="D110" s="91">
        <v>105062710.587</v>
      </c>
      <c r="E110" s="91">
        <v>254066071.155</v>
      </c>
      <c r="F110" s="91">
        <v>-149003360.56799999</v>
      </c>
      <c r="G110" t="str">
        <f>_xlfn.XLOOKUP($A110,Map!$A:$A,Map!C:C)</f>
        <v>IS</v>
      </c>
      <c r="H110" t="str">
        <f>_xlfn.XLOOKUP($A110,Map!$A:$A,Map!D:D)</f>
        <v>Sales</v>
      </c>
      <c r="I110" t="str">
        <f>_xlfn.XLOOKUP($A110,Map!$A:$A,Map!E:E)</f>
        <v>Sales</v>
      </c>
      <c r="J110" t="str">
        <f>_xlfn.XLOOKUP($A110,Map!$A:$A,Map!F:F)</f>
        <v>Trading revenue</v>
      </c>
    </row>
    <row r="111" spans="1:10" x14ac:dyDescent="0.25">
      <c r="A111" s="90">
        <v>410002</v>
      </c>
      <c r="B111" s="90" t="s">
        <v>111</v>
      </c>
      <c r="C111" s="91">
        <v>0</v>
      </c>
      <c r="D111" s="91">
        <v>362210.75099999999</v>
      </c>
      <c r="E111" s="91">
        <v>0</v>
      </c>
      <c r="F111" s="91">
        <v>362210.75099999999</v>
      </c>
      <c r="G111" t="str">
        <f>_xlfn.XLOOKUP($A111,Map!$A:$A,Map!C:C)</f>
        <v>IS</v>
      </c>
      <c r="H111" t="str">
        <f>_xlfn.XLOOKUP($A111,Map!$A:$A,Map!D:D)</f>
        <v>Sales</v>
      </c>
      <c r="I111" t="str">
        <f>_xlfn.XLOOKUP($A111,Map!$A:$A,Map!E:E)</f>
        <v>Sales</v>
      </c>
      <c r="J111" t="str">
        <f>_xlfn.XLOOKUP($A111,Map!$A:$A,Map!F:F)</f>
        <v>Trading revenue</v>
      </c>
    </row>
    <row r="112" spans="1:10" x14ac:dyDescent="0.25">
      <c r="A112" s="90">
        <v>410003</v>
      </c>
      <c r="B112" s="90" t="s">
        <v>112</v>
      </c>
      <c r="C112" s="91">
        <v>0</v>
      </c>
      <c r="D112" s="91">
        <v>25063.031999999999</v>
      </c>
      <c r="E112" s="91">
        <v>3600.1469999999999</v>
      </c>
      <c r="F112" s="91">
        <v>21462.884999999998</v>
      </c>
      <c r="G112" t="str">
        <f>_xlfn.XLOOKUP($A112,Map!$A:$A,Map!C:C)</f>
        <v>IS</v>
      </c>
      <c r="H112" t="str">
        <f>_xlfn.XLOOKUP($A112,Map!$A:$A,Map!D:D)</f>
        <v>Sales</v>
      </c>
      <c r="I112" t="str">
        <f>_xlfn.XLOOKUP($A112,Map!$A:$A,Map!E:E)</f>
        <v>Sales</v>
      </c>
      <c r="J112" t="str">
        <f>_xlfn.XLOOKUP($A112,Map!$A:$A,Map!F:F)</f>
        <v>Trading revenue</v>
      </c>
    </row>
    <row r="113" spans="1:10" x14ac:dyDescent="0.25">
      <c r="A113" s="90">
        <v>410004</v>
      </c>
      <c r="B113" s="90" t="s">
        <v>113</v>
      </c>
      <c r="C113" s="91">
        <v>0</v>
      </c>
      <c r="D113" s="91">
        <v>0</v>
      </c>
      <c r="E113" s="91">
        <v>0</v>
      </c>
      <c r="F113" s="91">
        <v>0</v>
      </c>
      <c r="G113" t="str">
        <f>_xlfn.XLOOKUP($A113,Map!$A:$A,Map!C:C)</f>
        <v>IS</v>
      </c>
      <c r="H113" t="str">
        <f>_xlfn.XLOOKUP($A113,Map!$A:$A,Map!D:D)</f>
        <v>Sales</v>
      </c>
      <c r="I113" t="str">
        <f>_xlfn.XLOOKUP($A113,Map!$A:$A,Map!E:E)</f>
        <v>Sales</v>
      </c>
      <c r="J113" t="str">
        <f>_xlfn.XLOOKUP($A113,Map!$A:$A,Map!F:F)</f>
        <v>Scrap sales</v>
      </c>
    </row>
    <row r="114" spans="1:10" x14ac:dyDescent="0.25">
      <c r="A114" s="90">
        <v>420003</v>
      </c>
      <c r="B114" s="90" t="s">
        <v>115</v>
      </c>
      <c r="C114" s="91">
        <v>0</v>
      </c>
      <c r="D114" s="91">
        <v>4.4999999999999998E-2</v>
      </c>
      <c r="E114" s="91">
        <v>4.4999999999999998E-2</v>
      </c>
      <c r="F114" s="91">
        <v>0</v>
      </c>
      <c r="G114" t="str">
        <f>_xlfn.XLOOKUP($A114,Map!$A:$A,Map!C:C)</f>
        <v>IS</v>
      </c>
      <c r="H114" t="str">
        <f>_xlfn.XLOOKUP($A114,Map!$A:$A,Map!D:D)</f>
        <v>Sales</v>
      </c>
      <c r="I114" t="str">
        <f>_xlfn.XLOOKUP($A114,Map!$A:$A,Map!E:E)</f>
        <v>Sales</v>
      </c>
      <c r="J114" t="str">
        <f>_xlfn.XLOOKUP($A114,Map!$A:$A,Map!F:F)</f>
        <v>Scrap sales</v>
      </c>
    </row>
    <row r="115" spans="1:10" x14ac:dyDescent="0.25">
      <c r="A115" s="90">
        <v>510001</v>
      </c>
      <c r="B115" s="90" t="s">
        <v>116</v>
      </c>
      <c r="C115" s="91">
        <v>0</v>
      </c>
      <c r="D115" s="91">
        <v>122825597.11300001</v>
      </c>
      <c r="E115" s="91">
        <v>2118896.0819999999</v>
      </c>
      <c r="F115" s="91">
        <v>120706701.031</v>
      </c>
      <c r="G115" t="str">
        <f>_xlfn.XLOOKUP($A115,Map!$A:$A,Map!C:C)</f>
        <v>IS</v>
      </c>
      <c r="H115" t="str">
        <f>_xlfn.XLOOKUP($A115,Map!$A:$A,Map!D:D)</f>
        <v>Cost of sales</v>
      </c>
      <c r="I115" t="str">
        <f>_xlfn.XLOOKUP($A115,Map!$A:$A,Map!E:E)</f>
        <v>Raw materials</v>
      </c>
      <c r="J115" t="str">
        <f>_xlfn.XLOOKUP($A115,Map!$A:$A,Map!F:F)</f>
        <v>Raw materials</v>
      </c>
    </row>
    <row r="116" spans="1:10" x14ac:dyDescent="0.25">
      <c r="A116" s="90">
        <v>510002</v>
      </c>
      <c r="B116" s="90" t="s">
        <v>117</v>
      </c>
      <c r="C116" s="91">
        <v>0</v>
      </c>
      <c r="D116" s="91">
        <v>7347405.7220000001</v>
      </c>
      <c r="E116" s="91">
        <v>303092.64799999999</v>
      </c>
      <c r="F116" s="91">
        <v>7044313.074</v>
      </c>
      <c r="G116" t="str">
        <f>_xlfn.XLOOKUP($A116,Map!$A:$A,Map!C:C)</f>
        <v>IS</v>
      </c>
      <c r="H116" t="str">
        <f>_xlfn.XLOOKUP($A116,Map!$A:$A,Map!D:D)</f>
        <v>Cost of sales</v>
      </c>
      <c r="I116" t="str">
        <f>_xlfn.XLOOKUP($A116,Map!$A:$A,Map!E:E)</f>
        <v>Direct Labor</v>
      </c>
      <c r="J116" t="str">
        <f>_xlfn.XLOOKUP($A116,Map!$A:$A,Map!F:F)</f>
        <v>Direct Labor</v>
      </c>
    </row>
    <row r="117" spans="1:10" x14ac:dyDescent="0.25">
      <c r="A117" s="90">
        <v>510003</v>
      </c>
      <c r="B117" s="90" t="s">
        <v>118</v>
      </c>
      <c r="C117" s="91">
        <v>0</v>
      </c>
      <c r="D117" s="91">
        <v>4807556.7860000003</v>
      </c>
      <c r="E117" s="91">
        <v>870186.67299999995</v>
      </c>
      <c r="F117" s="91">
        <v>3937370.1129999999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Raw materials</v>
      </c>
      <c r="J117" t="str">
        <f>_xlfn.XLOOKUP($A117,Map!$A:$A,Map!F:F)</f>
        <v>Raw materials</v>
      </c>
    </row>
    <row r="118" spans="1:10" x14ac:dyDescent="0.25">
      <c r="A118" s="90">
        <v>510004</v>
      </c>
      <c r="B118" s="90" t="s">
        <v>119</v>
      </c>
      <c r="C118" s="91">
        <v>0</v>
      </c>
      <c r="D118" s="91">
        <v>12851377.604</v>
      </c>
      <c r="E118" s="91">
        <v>218410.83600000001</v>
      </c>
      <c r="F118" s="91">
        <v>12632966.767999999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Raw materials</v>
      </c>
      <c r="J118" t="str">
        <f>_xlfn.XLOOKUP($A118,Map!$A:$A,Map!F:F)</f>
        <v>Other expenses</v>
      </c>
    </row>
    <row r="119" spans="1:10" x14ac:dyDescent="0.25">
      <c r="A119" s="90">
        <v>510005</v>
      </c>
      <c r="B119" s="90" t="s">
        <v>120</v>
      </c>
      <c r="C119" s="91">
        <v>0</v>
      </c>
      <c r="D119" s="91">
        <v>93662.607999999993</v>
      </c>
      <c r="E119" s="91">
        <v>93662.607999999993</v>
      </c>
      <c r="F119" s="91">
        <v>0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Raw materials</v>
      </c>
      <c r="J119" t="str">
        <f>_xlfn.XLOOKUP($A119,Map!$A:$A,Map!F:F)</f>
        <v>Other expenses</v>
      </c>
    </row>
    <row r="120" spans="1:10" x14ac:dyDescent="0.25">
      <c r="A120" s="90">
        <v>520001</v>
      </c>
      <c r="B120" s="90" t="s">
        <v>121</v>
      </c>
      <c r="C120" s="91">
        <v>0</v>
      </c>
      <c r="D120" s="91">
        <v>3766411.8769999999</v>
      </c>
      <c r="E120" s="91">
        <v>3766411.8769999999</v>
      </c>
      <c r="F120" s="91">
        <v>0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Direct Labor</v>
      </c>
      <c r="J120" t="str">
        <f>_xlfn.XLOOKUP($A120,Map!$A:$A,Map!F:F)</f>
        <v>Salaries and wages</v>
      </c>
    </row>
    <row r="121" spans="1:10" x14ac:dyDescent="0.25">
      <c r="A121" s="90">
        <v>520002</v>
      </c>
      <c r="B121" s="90" t="s">
        <v>122</v>
      </c>
      <c r="C121" s="91">
        <v>0</v>
      </c>
      <c r="D121" s="91">
        <v>0</v>
      </c>
      <c r="E121" s="91">
        <v>0</v>
      </c>
      <c r="F121" s="91">
        <v>0</v>
      </c>
      <c r="G121" t="str">
        <f>_xlfn.XLOOKUP($A121,Map!$A:$A,Map!C:C)</f>
        <v>IS</v>
      </c>
      <c r="H121" t="str">
        <f>_xlfn.XLOOKUP($A121,Map!$A:$A,Map!D:D)</f>
        <v>Cost of sales</v>
      </c>
      <c r="I121" t="str">
        <f>_xlfn.XLOOKUP($A121,Map!$A:$A,Map!E:E)</f>
        <v>Direct Labor</v>
      </c>
      <c r="J121" t="str">
        <f>_xlfn.XLOOKUP($A121,Map!$A:$A,Map!F:F)</f>
        <v>Overtime pay</v>
      </c>
    </row>
    <row r="122" spans="1:10" x14ac:dyDescent="0.25">
      <c r="A122" s="90">
        <v>520003</v>
      </c>
      <c r="B122" s="90" t="s">
        <v>123</v>
      </c>
      <c r="C122" s="91">
        <v>0</v>
      </c>
      <c r="D122" s="91">
        <v>359720.33299999998</v>
      </c>
      <c r="E122" s="91">
        <v>359720.33299999998</v>
      </c>
      <c r="F122" s="91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Direct Labor</v>
      </c>
      <c r="J122" t="str">
        <f>_xlfn.XLOOKUP($A122,Map!$A:$A,Map!F:F)</f>
        <v>Transportation allowance</v>
      </c>
    </row>
    <row r="123" spans="1:10" x14ac:dyDescent="0.25">
      <c r="A123" s="90">
        <v>520004</v>
      </c>
      <c r="B123" s="90" t="s">
        <v>124</v>
      </c>
      <c r="C123" s="91">
        <v>0</v>
      </c>
      <c r="D123" s="91">
        <v>51062</v>
      </c>
      <c r="E123" s="91">
        <v>51062</v>
      </c>
      <c r="F123" s="91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Direct Labor</v>
      </c>
      <c r="J123" t="str">
        <f>_xlfn.XLOOKUP($A123,Map!$A:$A,Map!F:F)</f>
        <v>Food and housing</v>
      </c>
    </row>
    <row r="124" spans="1:10" x14ac:dyDescent="0.25">
      <c r="A124" s="90">
        <v>520005</v>
      </c>
      <c r="B124" s="90" t="s">
        <v>125</v>
      </c>
      <c r="C124" s="91">
        <v>0</v>
      </c>
      <c r="D124" s="91">
        <v>0</v>
      </c>
      <c r="E124" s="91">
        <v>0</v>
      </c>
      <c r="F124" s="91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Direct Labor</v>
      </c>
      <c r="J124" t="str">
        <f>_xlfn.XLOOKUP($A124,Map!$A:$A,Map!F:F)</f>
        <v>Leave pay</v>
      </c>
    </row>
    <row r="125" spans="1:10" x14ac:dyDescent="0.25">
      <c r="A125" s="90">
        <v>520006</v>
      </c>
      <c r="B125" s="90" t="s">
        <v>126</v>
      </c>
      <c r="C125" s="91">
        <v>0</v>
      </c>
      <c r="D125" s="91">
        <v>285799.93099999998</v>
      </c>
      <c r="E125" s="91">
        <v>285799.93099999998</v>
      </c>
      <c r="F125" s="91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Direct Labor</v>
      </c>
      <c r="J125" t="str">
        <f>_xlfn.XLOOKUP($A125,Map!$A:$A,Map!F:F)</f>
        <v>Medical insurance</v>
      </c>
    </row>
    <row r="126" spans="1:10" x14ac:dyDescent="0.25">
      <c r="A126" s="90">
        <v>520010</v>
      </c>
      <c r="B126" s="90" t="s">
        <v>127</v>
      </c>
      <c r="C126" s="91">
        <v>0</v>
      </c>
      <c r="D126" s="91">
        <v>0</v>
      </c>
      <c r="E126" s="91">
        <v>0</v>
      </c>
      <c r="F126" s="91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Direct Labor</v>
      </c>
      <c r="J126" t="str">
        <f>_xlfn.XLOOKUP($A126,Map!$A:$A,Map!F:F)</f>
        <v>Salaries and wages</v>
      </c>
    </row>
    <row r="127" spans="1:10" x14ac:dyDescent="0.25">
      <c r="A127" s="90">
        <v>520011</v>
      </c>
      <c r="B127" s="90" t="s">
        <v>122</v>
      </c>
      <c r="C127" s="91">
        <v>0</v>
      </c>
      <c r="D127" s="91">
        <v>638970.98</v>
      </c>
      <c r="E127" s="91">
        <v>638970.98</v>
      </c>
      <c r="F127" s="91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Direct Labor</v>
      </c>
      <c r="J127" t="str">
        <f>_xlfn.XLOOKUP($A127,Map!$A:$A,Map!F:F)</f>
        <v>Overtime pay</v>
      </c>
    </row>
    <row r="128" spans="1:10" x14ac:dyDescent="0.25">
      <c r="A128" s="90">
        <v>520013</v>
      </c>
      <c r="B128" s="90" t="s">
        <v>124</v>
      </c>
      <c r="C128" s="91">
        <v>0</v>
      </c>
      <c r="D128" s="91">
        <v>0</v>
      </c>
      <c r="E128" s="91">
        <v>0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Direct Labor</v>
      </c>
      <c r="J128" t="str">
        <f>_xlfn.XLOOKUP($A128,Map!$A:$A,Map!F:F)</f>
        <v>Food and housing</v>
      </c>
    </row>
    <row r="129" spans="1:10" x14ac:dyDescent="0.25">
      <c r="A129" s="90">
        <v>520014</v>
      </c>
      <c r="B129" s="90" t="s">
        <v>125</v>
      </c>
      <c r="C129" s="91">
        <v>0</v>
      </c>
      <c r="D129" s="91">
        <v>0</v>
      </c>
      <c r="E129" s="91">
        <v>0</v>
      </c>
      <c r="F129" s="91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Direct Labor</v>
      </c>
      <c r="J129" t="str">
        <f>_xlfn.XLOOKUP($A129,Map!$A:$A,Map!F:F)</f>
        <v>Leave pay</v>
      </c>
    </row>
    <row r="130" spans="1:10" x14ac:dyDescent="0.25">
      <c r="A130" s="90">
        <v>520021</v>
      </c>
      <c r="B130" s="90" t="s">
        <v>129</v>
      </c>
      <c r="C130" s="91">
        <v>0</v>
      </c>
      <c r="D130" s="91">
        <v>39595</v>
      </c>
      <c r="E130" s="91">
        <v>39595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Direct Labor</v>
      </c>
      <c r="J130" t="str">
        <f>_xlfn.XLOOKUP($A130,Map!$A:$A,Map!F:F)</f>
        <v>Medical insurance</v>
      </c>
    </row>
    <row r="131" spans="1:10" x14ac:dyDescent="0.25">
      <c r="A131" s="90">
        <v>520022</v>
      </c>
      <c r="B131" s="90" t="s">
        <v>130</v>
      </c>
      <c r="C131" s="91">
        <v>0</v>
      </c>
      <c r="D131" s="91">
        <v>0</v>
      </c>
      <c r="E131" s="91">
        <v>0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Direct Labor</v>
      </c>
      <c r="J131" t="str">
        <f>_xlfn.XLOOKUP($A131,Map!$A:$A,Map!F:F)</f>
        <v>Iqama renewal</v>
      </c>
    </row>
    <row r="132" spans="1:10" x14ac:dyDescent="0.25">
      <c r="A132" s="90">
        <v>520023</v>
      </c>
      <c r="B132" s="90" t="s">
        <v>255</v>
      </c>
      <c r="C132" s="91">
        <v>0</v>
      </c>
      <c r="D132" s="91">
        <v>0</v>
      </c>
      <c r="E132" s="91">
        <v>0</v>
      </c>
      <c r="F132" s="91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Direct Labor</v>
      </c>
      <c r="J132" t="str">
        <f>_xlfn.XLOOKUP($A132,Map!$A:$A,Map!F:F)</f>
        <v>Medical insurance</v>
      </c>
    </row>
    <row r="133" spans="1:10" x14ac:dyDescent="0.25">
      <c r="A133" s="90">
        <v>520032</v>
      </c>
      <c r="B133" s="90" t="s">
        <v>131</v>
      </c>
      <c r="C133" s="91">
        <v>0</v>
      </c>
      <c r="D133" s="91">
        <v>0</v>
      </c>
      <c r="E133" s="91">
        <v>0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Raw materials</v>
      </c>
      <c r="J133" t="str">
        <f>_xlfn.XLOOKUP($A133,Map!$A:$A,Map!F:F)</f>
        <v>Consumables</v>
      </c>
    </row>
    <row r="134" spans="1:10" x14ac:dyDescent="0.25">
      <c r="A134" s="90">
        <v>520036</v>
      </c>
      <c r="B134" s="90" t="s">
        <v>132</v>
      </c>
      <c r="C134" s="91">
        <v>0</v>
      </c>
      <c r="D134" s="91">
        <v>9.2999999999999999E-2</v>
      </c>
      <c r="E134" s="91">
        <v>9.2999999999999999E-2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Raw materials</v>
      </c>
      <c r="J134" t="str">
        <f>_xlfn.XLOOKUP($A134,Map!$A:$A,Map!F:F)</f>
        <v>Raw materials</v>
      </c>
    </row>
    <row r="135" spans="1:10" x14ac:dyDescent="0.25">
      <c r="A135" s="90">
        <v>520037</v>
      </c>
      <c r="B135" s="90" t="s">
        <v>133</v>
      </c>
      <c r="C135" s="91">
        <v>0</v>
      </c>
      <c r="D135" s="91">
        <v>1030573.758</v>
      </c>
      <c r="E135" s="91">
        <v>1030573.758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Raw materials</v>
      </c>
      <c r="J135" t="str">
        <f>_xlfn.XLOOKUP($A135,Map!$A:$A,Map!F:F)</f>
        <v>Raw materials</v>
      </c>
    </row>
    <row r="136" spans="1:10" x14ac:dyDescent="0.25">
      <c r="A136" s="90">
        <v>520040</v>
      </c>
      <c r="B136" s="90" t="s">
        <v>134</v>
      </c>
      <c r="C136" s="91">
        <v>0</v>
      </c>
      <c r="D136" s="91">
        <v>0</v>
      </c>
      <c r="E136" s="91">
        <v>0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Raw materials</v>
      </c>
      <c r="J136" t="str">
        <f>_xlfn.XLOOKUP($A136,Map!$A:$A,Map!F:F)</f>
        <v>Other expenses</v>
      </c>
    </row>
    <row r="137" spans="1:10" x14ac:dyDescent="0.25">
      <c r="A137" s="90">
        <v>520041</v>
      </c>
      <c r="B137" s="90" t="s">
        <v>135</v>
      </c>
      <c r="C137" s="91">
        <v>0</v>
      </c>
      <c r="D137" s="91">
        <v>10898591.267000001</v>
      </c>
      <c r="E137" s="91">
        <v>10898591.267000001</v>
      </c>
      <c r="F137" s="91">
        <v>0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Raw materials</v>
      </c>
      <c r="J137" t="str">
        <f>_xlfn.XLOOKUP($A137,Map!$A:$A,Map!F:F)</f>
        <v>Other expenses</v>
      </c>
    </row>
    <row r="138" spans="1:10" x14ac:dyDescent="0.25">
      <c r="A138" s="90">
        <v>520042</v>
      </c>
      <c r="B138" s="90" t="s">
        <v>136</v>
      </c>
      <c r="C138" s="91">
        <v>0</v>
      </c>
      <c r="D138" s="91">
        <v>19168632.975000001</v>
      </c>
      <c r="E138" s="91">
        <v>19168632.975000001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Raw materials</v>
      </c>
      <c r="J138" t="str">
        <f>_xlfn.XLOOKUP($A138,Map!$A:$A,Map!F:F)</f>
        <v>Inventory Adjustment</v>
      </c>
    </row>
    <row r="139" spans="1:10" x14ac:dyDescent="0.25">
      <c r="A139" s="90">
        <v>600001</v>
      </c>
      <c r="B139" s="90" t="s">
        <v>137</v>
      </c>
      <c r="C139" s="91">
        <v>0</v>
      </c>
      <c r="D139" s="91">
        <v>2328745.65</v>
      </c>
      <c r="E139" s="91">
        <v>2328745.65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Overhead - Labor Cost</v>
      </c>
      <c r="J139" t="str">
        <f>_xlfn.XLOOKUP($A139,Map!$A:$A,Map!F:F)</f>
        <v>Salaries and wages</v>
      </c>
    </row>
    <row r="140" spans="1:10" x14ac:dyDescent="0.25">
      <c r="A140" s="90">
        <v>600002</v>
      </c>
      <c r="B140" s="90" t="s">
        <v>138</v>
      </c>
      <c r="C140" s="91">
        <v>0</v>
      </c>
      <c r="D140" s="91">
        <v>335597.125</v>
      </c>
      <c r="E140" s="91">
        <v>335597.125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Overhead - Labor Cost</v>
      </c>
      <c r="J140" t="str">
        <f>_xlfn.XLOOKUP($A140,Map!$A:$A,Map!F:F)</f>
        <v>Overtime pay</v>
      </c>
    </row>
    <row r="141" spans="1:10" x14ac:dyDescent="0.25">
      <c r="A141" s="90">
        <v>600003</v>
      </c>
      <c r="B141" s="90" t="s">
        <v>139</v>
      </c>
      <c r="C141" s="91">
        <v>0</v>
      </c>
      <c r="D141" s="91">
        <v>559788</v>
      </c>
      <c r="E141" s="91">
        <v>559788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Overhead - Labor Cost</v>
      </c>
      <c r="J141" t="str">
        <f>_xlfn.XLOOKUP($A141,Map!$A:$A,Map!F:F)</f>
        <v xml:space="preserve">Food &amp; Housing </v>
      </c>
    </row>
    <row r="142" spans="1:10" x14ac:dyDescent="0.25">
      <c r="A142" s="90">
        <v>600004</v>
      </c>
      <c r="B142" s="90" t="s">
        <v>140</v>
      </c>
      <c r="C142" s="91">
        <v>0</v>
      </c>
      <c r="D142" s="91">
        <v>132897.084</v>
      </c>
      <c r="E142" s="91">
        <v>132897.084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Overhead - Labor Cost</v>
      </c>
      <c r="J142" t="str">
        <f>_xlfn.XLOOKUP($A142,Map!$A:$A,Map!F:F)</f>
        <v>Medical insurance</v>
      </c>
    </row>
    <row r="143" spans="1:10" x14ac:dyDescent="0.25">
      <c r="A143" s="90">
        <v>600005</v>
      </c>
      <c r="B143" s="90" t="s">
        <v>141</v>
      </c>
      <c r="C143" s="91">
        <v>0</v>
      </c>
      <c r="D143" s="91">
        <v>1628123.767</v>
      </c>
      <c r="E143" s="91">
        <v>1628123.767</v>
      </c>
      <c r="F143" s="91">
        <v>0</v>
      </c>
      <c r="G143" t="str">
        <f>_xlfn.XLOOKUP($A143,Map!$A:$A,Map!C:C)</f>
        <v>IS</v>
      </c>
      <c r="H143" t="str">
        <f>_xlfn.XLOOKUP($A143,Map!$A:$A,Map!D:D)</f>
        <v>General and Admin</v>
      </c>
      <c r="I143" t="str">
        <f>_xlfn.XLOOKUP($A143,Map!$A:$A,Map!E:E)</f>
        <v>Govt license and fees (including modon)</v>
      </c>
      <c r="J143" t="str">
        <f>_xlfn.XLOOKUP($A143,Map!$A:$A,Map!F:F)</f>
        <v>Government fees</v>
      </c>
    </row>
    <row r="144" spans="1:10" x14ac:dyDescent="0.25">
      <c r="A144" s="90">
        <v>600006</v>
      </c>
      <c r="B144" s="90" t="s">
        <v>142</v>
      </c>
      <c r="C144" s="91">
        <v>0</v>
      </c>
      <c r="D144" s="91">
        <v>488042.99599999998</v>
      </c>
      <c r="E144" s="91">
        <v>488042.99599999998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Overhead - Labor Cost</v>
      </c>
      <c r="J144" t="str">
        <f>_xlfn.XLOOKUP($A144,Map!$A:$A,Map!F:F)</f>
        <v xml:space="preserve">Food &amp; Housing </v>
      </c>
    </row>
    <row r="145" spans="1:10" x14ac:dyDescent="0.25">
      <c r="A145" s="90">
        <v>600007</v>
      </c>
      <c r="B145" s="90" t="s">
        <v>143</v>
      </c>
      <c r="C145" s="91">
        <v>0</v>
      </c>
      <c r="D145" s="91">
        <v>112525.18</v>
      </c>
      <c r="E145" s="91">
        <v>112525.18</v>
      </c>
      <c r="F145" s="91">
        <v>0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Overhead - Labor Cost</v>
      </c>
      <c r="J145" t="str">
        <f>_xlfn.XLOOKUP($A145,Map!$A:$A,Map!F:F)</f>
        <v>Transportation allowance</v>
      </c>
    </row>
    <row r="146" spans="1:10" x14ac:dyDescent="0.25">
      <c r="A146" s="90">
        <v>600008</v>
      </c>
      <c r="B146" s="90" t="s">
        <v>144</v>
      </c>
      <c r="C146" s="91">
        <v>0</v>
      </c>
      <c r="D146" s="91">
        <v>133498.29</v>
      </c>
      <c r="E146" s="91">
        <v>133498.29</v>
      </c>
      <c r="F146" s="91">
        <v>0</v>
      </c>
      <c r="G146" t="str">
        <f>_xlfn.XLOOKUP($A146,Map!$A:$A,Map!C:C)</f>
        <v>IS</v>
      </c>
      <c r="H146" t="str">
        <f>_xlfn.XLOOKUP($A146,Map!$A:$A,Map!D:D)</f>
        <v>Cost of sales</v>
      </c>
      <c r="I146" t="str">
        <f>_xlfn.XLOOKUP($A146,Map!$A:$A,Map!E:E)</f>
        <v>Overhead - Labor Cost</v>
      </c>
      <c r="J146" t="str">
        <f>_xlfn.XLOOKUP($A146,Map!$A:$A,Map!F:F)</f>
        <v>Air tickets</v>
      </c>
    </row>
    <row r="147" spans="1:10" x14ac:dyDescent="0.25">
      <c r="A147" s="90">
        <v>600009</v>
      </c>
      <c r="B147" s="90" t="s">
        <v>145</v>
      </c>
      <c r="C147" s="91">
        <v>0</v>
      </c>
      <c r="D147" s="91">
        <v>304164.17</v>
      </c>
      <c r="E147" s="91">
        <v>304164.17</v>
      </c>
      <c r="F147" s="91">
        <v>0</v>
      </c>
      <c r="G147" t="str">
        <f>_xlfn.XLOOKUP($A147,Map!$A:$A,Map!C:C)</f>
        <v>IS</v>
      </c>
      <c r="H147" t="str">
        <f>_xlfn.XLOOKUP($A147,Map!$A:$A,Map!D:D)</f>
        <v>Cost of sales</v>
      </c>
      <c r="I147" t="str">
        <f>_xlfn.XLOOKUP($A147,Map!$A:$A,Map!E:E)</f>
        <v>Overhead - Labor Cost</v>
      </c>
      <c r="J147" t="str">
        <f>_xlfn.XLOOKUP($A147,Map!$A:$A,Map!F:F)</f>
        <v>Vacation pay</v>
      </c>
    </row>
    <row r="148" spans="1:10" x14ac:dyDescent="0.25">
      <c r="A148" s="90">
        <v>600010</v>
      </c>
      <c r="B148" s="90" t="s">
        <v>146</v>
      </c>
      <c r="C148" s="91">
        <v>0</v>
      </c>
      <c r="D148" s="91">
        <v>0</v>
      </c>
      <c r="E148" s="91">
        <v>0</v>
      </c>
      <c r="F148" s="91">
        <v>0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Overhead - Labor Cost</v>
      </c>
      <c r="J148" t="str">
        <f>_xlfn.XLOOKUP($A148,Map!$A:$A,Map!F:F)</f>
        <v>EOS expenses</v>
      </c>
    </row>
    <row r="149" spans="1:10" x14ac:dyDescent="0.25">
      <c r="A149" s="90">
        <v>600011</v>
      </c>
      <c r="B149" s="90" t="s">
        <v>147</v>
      </c>
      <c r="C149" s="91">
        <v>0</v>
      </c>
      <c r="D149" s="91">
        <v>12000</v>
      </c>
      <c r="E149" s="91">
        <v>12000</v>
      </c>
      <c r="F149" s="91">
        <v>0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Overhead - Labor Cost</v>
      </c>
      <c r="J149" t="str">
        <f>_xlfn.XLOOKUP($A149,Map!$A:$A,Map!F:F)</f>
        <v>Air tickets</v>
      </c>
    </row>
    <row r="150" spans="1:10" x14ac:dyDescent="0.25">
      <c r="A150" s="90">
        <v>600012</v>
      </c>
      <c r="B150" s="90" t="s">
        <v>148</v>
      </c>
      <c r="C150" s="91">
        <v>0</v>
      </c>
      <c r="D150" s="91">
        <v>1650</v>
      </c>
      <c r="E150" s="91">
        <v>1650</v>
      </c>
      <c r="F150" s="91">
        <v>0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Overhead - Labor Cost</v>
      </c>
      <c r="J150" t="str">
        <f>_xlfn.XLOOKUP($A150,Map!$A:$A,Map!F:F)</f>
        <v xml:space="preserve">Education &amp; Furniture Allowances </v>
      </c>
    </row>
    <row r="151" spans="1:10" x14ac:dyDescent="0.25">
      <c r="A151" s="90">
        <v>600013</v>
      </c>
      <c r="B151" s="90" t="s">
        <v>149</v>
      </c>
      <c r="C151" s="91">
        <v>0</v>
      </c>
      <c r="D151" s="91">
        <v>0</v>
      </c>
      <c r="E151" s="91">
        <v>0</v>
      </c>
      <c r="F151" s="91">
        <v>0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Overhead - Labor Cost</v>
      </c>
      <c r="J151" t="str">
        <f>_xlfn.XLOOKUP($A151,Map!$A:$A,Map!F:F)</f>
        <v>Telephone allowance</v>
      </c>
    </row>
    <row r="152" spans="1:10" x14ac:dyDescent="0.25">
      <c r="A152" s="90">
        <v>600014</v>
      </c>
      <c r="B152" s="90" t="s">
        <v>60</v>
      </c>
      <c r="C152" s="91">
        <v>0</v>
      </c>
      <c r="D152" s="91">
        <v>2418744.5660000001</v>
      </c>
      <c r="E152" s="91">
        <v>2418744.5660000001</v>
      </c>
      <c r="F152" s="91">
        <v>0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Overhead - Consumables &amp; SP</v>
      </c>
      <c r="J152" t="str">
        <f>_xlfn.XLOOKUP($A152,Map!$A:$A,Map!F:F)</f>
        <v>Consumables</v>
      </c>
    </row>
    <row r="153" spans="1:10" x14ac:dyDescent="0.25">
      <c r="A153" s="90">
        <v>600015</v>
      </c>
      <c r="B153" s="90" t="s">
        <v>150</v>
      </c>
      <c r="C153" s="91">
        <v>0</v>
      </c>
      <c r="D153" s="91">
        <v>0</v>
      </c>
      <c r="E153" s="91">
        <v>0</v>
      </c>
      <c r="F153" s="91">
        <v>0</v>
      </c>
      <c r="G153" t="str">
        <f>_xlfn.XLOOKUP($A153,Map!$A:$A,Map!C:C)</f>
        <v>IS</v>
      </c>
      <c r="H153" t="str">
        <f>_xlfn.XLOOKUP($A153,Map!$A:$A,Map!D:D)</f>
        <v>Cost of sales</v>
      </c>
      <c r="I153" t="str">
        <f>_xlfn.XLOOKUP($A153,Map!$A:$A,Map!E:E)</f>
        <v>Overhead - Consumables &amp; SP</v>
      </c>
      <c r="J153" t="str">
        <f>_xlfn.XLOOKUP($A153,Map!$A:$A,Map!F:F)</f>
        <v>Consumables</v>
      </c>
    </row>
    <row r="154" spans="1:10" x14ac:dyDescent="0.25">
      <c r="A154" s="90">
        <v>600016</v>
      </c>
      <c r="B154" s="90" t="s">
        <v>151</v>
      </c>
      <c r="C154" s="91">
        <v>0</v>
      </c>
      <c r="D154" s="91">
        <v>1838713.0889999999</v>
      </c>
      <c r="E154" s="91">
        <v>1838713.0889999999</v>
      </c>
      <c r="F154" s="91">
        <v>0</v>
      </c>
      <c r="G154" t="str">
        <f>_xlfn.XLOOKUP($A154,Map!$A:$A,Map!C:C)</f>
        <v>IS</v>
      </c>
      <c r="H154" t="str">
        <f>_xlfn.XLOOKUP($A154,Map!$A:$A,Map!D:D)</f>
        <v>Cost of sales</v>
      </c>
      <c r="I154" t="str">
        <f>_xlfn.XLOOKUP($A154,Map!$A:$A,Map!E:E)</f>
        <v>Overhead - Consumables &amp; SP</v>
      </c>
      <c r="J154" t="str">
        <f>_xlfn.XLOOKUP($A154,Map!$A:$A,Map!F:F)</f>
        <v>Tools</v>
      </c>
    </row>
    <row r="155" spans="1:10" x14ac:dyDescent="0.25">
      <c r="A155" s="90">
        <v>600017</v>
      </c>
      <c r="B155" s="90" t="s">
        <v>152</v>
      </c>
      <c r="C155" s="91">
        <v>0</v>
      </c>
      <c r="D155" s="91">
        <v>2418089.4890000001</v>
      </c>
      <c r="E155" s="91">
        <v>2418089.4890000001</v>
      </c>
      <c r="F155" s="91">
        <v>0</v>
      </c>
      <c r="G155" t="str">
        <f>_xlfn.XLOOKUP($A155,Map!$A:$A,Map!C:C)</f>
        <v>IS</v>
      </c>
      <c r="H155" t="str">
        <f>_xlfn.XLOOKUP($A155,Map!$A:$A,Map!D:D)</f>
        <v>Cost of sales</v>
      </c>
      <c r="I155" t="str">
        <f>_xlfn.XLOOKUP($A155,Map!$A:$A,Map!E:E)</f>
        <v>Overhead - Utility</v>
      </c>
      <c r="J155" t="str">
        <f>_xlfn.XLOOKUP($A155,Map!$A:$A,Map!F:F)</f>
        <v>Electricity expenses</v>
      </c>
    </row>
    <row r="156" spans="1:10" x14ac:dyDescent="0.25">
      <c r="A156" s="90">
        <v>600018</v>
      </c>
      <c r="B156" s="90" t="s">
        <v>153</v>
      </c>
      <c r="C156" s="91">
        <v>0</v>
      </c>
      <c r="D156" s="91">
        <v>270503</v>
      </c>
      <c r="E156" s="91">
        <v>270503</v>
      </c>
      <c r="F156" s="91">
        <v>0</v>
      </c>
      <c r="G156" t="str">
        <f>_xlfn.XLOOKUP($A156,Map!$A:$A,Map!C:C)</f>
        <v>IS</v>
      </c>
      <c r="H156" t="str">
        <f>_xlfn.XLOOKUP($A156,Map!$A:$A,Map!D:D)</f>
        <v>Cost of sales</v>
      </c>
      <c r="I156" t="str">
        <f>_xlfn.XLOOKUP($A156,Map!$A:$A,Map!E:E)</f>
        <v>Overhead - Utility</v>
      </c>
      <c r="J156" t="str">
        <f>_xlfn.XLOOKUP($A156,Map!$A:$A,Map!F:F)</f>
        <v>Water expenses</v>
      </c>
    </row>
    <row r="157" spans="1:10" x14ac:dyDescent="0.25">
      <c r="A157" s="90">
        <v>600019</v>
      </c>
      <c r="B157" s="90" t="s">
        <v>154</v>
      </c>
      <c r="C157" s="91">
        <v>0</v>
      </c>
      <c r="D157" s="91">
        <v>162035.36600000001</v>
      </c>
      <c r="E157" s="91">
        <v>162035.36600000001</v>
      </c>
      <c r="F157" s="91">
        <v>0</v>
      </c>
      <c r="G157" t="str">
        <f>_xlfn.XLOOKUP($A157,Map!$A:$A,Map!C:C)</f>
        <v>IS</v>
      </c>
      <c r="H157" t="str">
        <f>_xlfn.XLOOKUP($A157,Map!$A:$A,Map!D:D)</f>
        <v>Cost of sales</v>
      </c>
      <c r="I157" t="str">
        <f>_xlfn.XLOOKUP($A157,Map!$A:$A,Map!E:E)</f>
        <v>Overhead - Utility</v>
      </c>
      <c r="J157" t="str">
        <f>_xlfn.XLOOKUP($A157,Map!$A:$A,Map!F:F)</f>
        <v>Fuel and oil</v>
      </c>
    </row>
    <row r="158" spans="1:10" x14ac:dyDescent="0.25">
      <c r="A158" s="90">
        <v>600020</v>
      </c>
      <c r="B158" s="90" t="s">
        <v>155</v>
      </c>
      <c r="C158" s="91">
        <v>0</v>
      </c>
      <c r="D158" s="91">
        <v>242080.73699999999</v>
      </c>
      <c r="E158" s="91">
        <v>242080.73699999999</v>
      </c>
      <c r="F158" s="91">
        <v>0</v>
      </c>
      <c r="G158" t="str">
        <f>_xlfn.XLOOKUP($A158,Map!$A:$A,Map!C:C)</f>
        <v>IS</v>
      </c>
      <c r="H158" t="str">
        <f>_xlfn.XLOOKUP($A158,Map!$A:$A,Map!D:D)</f>
        <v>Cost of sales</v>
      </c>
      <c r="I158" t="str">
        <f>_xlfn.XLOOKUP($A158,Map!$A:$A,Map!E:E)</f>
        <v>Overhead - R&amp;M</v>
      </c>
      <c r="J158" t="str">
        <f>_xlfn.XLOOKUP($A158,Map!$A:$A,Map!F:F)</f>
        <v>Machine and equipment</v>
      </c>
    </row>
    <row r="159" spans="1:10" x14ac:dyDescent="0.25">
      <c r="A159" s="90">
        <v>600021</v>
      </c>
      <c r="B159" s="90" t="s">
        <v>156</v>
      </c>
      <c r="C159" s="91">
        <v>0</v>
      </c>
      <c r="D159" s="91">
        <v>102395.01</v>
      </c>
      <c r="E159" s="91">
        <v>102395.01</v>
      </c>
      <c r="F159" s="91">
        <v>0</v>
      </c>
      <c r="G159" t="str">
        <f>_xlfn.XLOOKUP($A159,Map!$A:$A,Map!C:C)</f>
        <v>IS</v>
      </c>
      <c r="H159" t="str">
        <f>_xlfn.XLOOKUP($A159,Map!$A:$A,Map!D:D)</f>
        <v>Cost of sales</v>
      </c>
      <c r="I159" t="str">
        <f>_xlfn.XLOOKUP($A159,Map!$A:$A,Map!E:E)</f>
        <v>Overhead - R&amp;M</v>
      </c>
      <c r="J159" t="str">
        <f>_xlfn.XLOOKUP($A159,Map!$A:$A,Map!F:F)</f>
        <v>Vehicle maintenance</v>
      </c>
    </row>
    <row r="160" spans="1:10" x14ac:dyDescent="0.25">
      <c r="A160" s="90">
        <v>600022</v>
      </c>
      <c r="B160" s="90" t="s">
        <v>157</v>
      </c>
      <c r="C160" s="91">
        <v>0</v>
      </c>
      <c r="D160" s="91">
        <v>122092.9</v>
      </c>
      <c r="E160" s="91">
        <v>122092.9</v>
      </c>
      <c r="F160" s="91">
        <v>0</v>
      </c>
      <c r="G160" t="str">
        <f>_xlfn.XLOOKUP($A160,Map!$A:$A,Map!C:C)</f>
        <v>IS</v>
      </c>
      <c r="H160" t="str">
        <f>_xlfn.XLOOKUP($A160,Map!$A:$A,Map!D:D)</f>
        <v>Cost of sales</v>
      </c>
      <c r="I160" t="str">
        <f>_xlfn.XLOOKUP($A160,Map!$A:$A,Map!E:E)</f>
        <v>Overhead - R&amp;M</v>
      </c>
      <c r="J160" t="str">
        <f>_xlfn.XLOOKUP($A160,Map!$A:$A,Map!F:F)</f>
        <v>Building maintenance</v>
      </c>
    </row>
    <row r="161" spans="1:10" x14ac:dyDescent="0.25">
      <c r="A161" s="90">
        <v>600023</v>
      </c>
      <c r="B161" s="90" t="s">
        <v>158</v>
      </c>
      <c r="C161" s="91">
        <v>0</v>
      </c>
      <c r="D161" s="91">
        <v>2528.75</v>
      </c>
      <c r="E161" s="91">
        <v>2528.75</v>
      </c>
      <c r="F161" s="91">
        <v>0</v>
      </c>
      <c r="G161" t="str">
        <f>_xlfn.XLOOKUP($A161,Map!$A:$A,Map!C:C)</f>
        <v>IS</v>
      </c>
      <c r="H161" t="str">
        <f>_xlfn.XLOOKUP($A161,Map!$A:$A,Map!D:D)</f>
        <v>Cost of sales</v>
      </c>
      <c r="I161" t="str">
        <f>_xlfn.XLOOKUP($A161,Map!$A:$A,Map!E:E)</f>
        <v>Overhead - R&amp;M</v>
      </c>
      <c r="J161" t="str">
        <f>_xlfn.XLOOKUP($A161,Map!$A:$A,Map!F:F)</f>
        <v>Office equipment maintenance</v>
      </c>
    </row>
    <row r="162" spans="1:10" x14ac:dyDescent="0.25">
      <c r="A162" s="90">
        <v>600024</v>
      </c>
      <c r="B162" s="90" t="s">
        <v>159</v>
      </c>
      <c r="C162" s="91">
        <v>0</v>
      </c>
      <c r="D162" s="91">
        <v>14937.3</v>
      </c>
      <c r="E162" s="91">
        <v>14937.3</v>
      </c>
      <c r="F162" s="91">
        <v>0</v>
      </c>
      <c r="G162" t="str">
        <f>_xlfn.XLOOKUP($A162,Map!$A:$A,Map!C:C)</f>
        <v>IS</v>
      </c>
      <c r="H162" t="str">
        <f>_xlfn.XLOOKUP($A162,Map!$A:$A,Map!D:D)</f>
        <v>Cost of sales</v>
      </c>
      <c r="I162" t="str">
        <f>_xlfn.XLOOKUP($A162,Map!$A:$A,Map!E:E)</f>
        <v>Overhead - Rent</v>
      </c>
      <c r="J162" t="str">
        <f>_xlfn.XLOOKUP($A162,Map!$A:$A,Map!F:F)</f>
        <v>Pump rental expenses</v>
      </c>
    </row>
    <row r="163" spans="1:10" x14ac:dyDescent="0.25">
      <c r="A163" s="90">
        <v>600025</v>
      </c>
      <c r="B163" s="90" t="s">
        <v>160</v>
      </c>
      <c r="C163" s="91">
        <v>0</v>
      </c>
      <c r="D163" s="91">
        <v>0</v>
      </c>
      <c r="E163" s="91">
        <v>0</v>
      </c>
      <c r="F163" s="91">
        <v>0</v>
      </c>
      <c r="G163" t="str">
        <f>_xlfn.XLOOKUP($A163,Map!$A:$A,Map!C:C)</f>
        <v>IS</v>
      </c>
      <c r="H163" t="str">
        <f>_xlfn.XLOOKUP($A163,Map!$A:$A,Map!D:D)</f>
        <v>Cost of sales</v>
      </c>
      <c r="I163" t="str">
        <f>_xlfn.XLOOKUP($A163,Map!$A:$A,Map!E:E)</f>
        <v>Overhead - Insurance</v>
      </c>
      <c r="J163" t="str">
        <f>_xlfn.XLOOKUP($A163,Map!$A:$A,Map!F:F)</f>
        <v>Building insurance</v>
      </c>
    </row>
    <row r="164" spans="1:10" x14ac:dyDescent="0.25">
      <c r="A164" s="90">
        <v>600026</v>
      </c>
      <c r="B164" s="90" t="s">
        <v>161</v>
      </c>
      <c r="C164" s="91">
        <v>0</v>
      </c>
      <c r="D164" s="91">
        <v>0</v>
      </c>
      <c r="E164" s="91">
        <v>0</v>
      </c>
      <c r="F164" s="91">
        <v>0</v>
      </c>
      <c r="G164" t="str">
        <f>_xlfn.XLOOKUP($A164,Map!$A:$A,Map!C:C)</f>
        <v>IS</v>
      </c>
      <c r="H164" t="str">
        <f>_xlfn.XLOOKUP($A164,Map!$A:$A,Map!D:D)</f>
        <v>Cost of sales</v>
      </c>
      <c r="I164" t="str">
        <f>_xlfn.XLOOKUP($A164,Map!$A:$A,Map!E:E)</f>
        <v>Overhead - Insurance</v>
      </c>
      <c r="J164" t="str">
        <f>_xlfn.XLOOKUP($A164,Map!$A:$A,Map!F:F)</f>
        <v>Machine and equipment insurance</v>
      </c>
    </row>
    <row r="165" spans="1:10" x14ac:dyDescent="0.25">
      <c r="A165" s="90">
        <v>600027</v>
      </c>
      <c r="B165" s="90" t="s">
        <v>162</v>
      </c>
      <c r="C165" s="91">
        <v>0</v>
      </c>
      <c r="D165" s="91">
        <v>96092.847999999998</v>
      </c>
      <c r="E165" s="91">
        <v>96092.847999999998</v>
      </c>
      <c r="F165" s="91">
        <v>0</v>
      </c>
      <c r="G165" t="str">
        <f>_xlfn.XLOOKUP($A165,Map!$A:$A,Map!C:C)</f>
        <v>IS</v>
      </c>
      <c r="H165" t="str">
        <f>_xlfn.XLOOKUP($A165,Map!$A:$A,Map!D:D)</f>
        <v>Cost of sales</v>
      </c>
      <c r="I165" t="str">
        <f>_xlfn.XLOOKUP($A165,Map!$A:$A,Map!E:E)</f>
        <v>Overhead - Rent</v>
      </c>
      <c r="J165" t="str">
        <f>_xlfn.XLOOKUP($A165,Map!$A:$A,Map!F:F)</f>
        <v>Production hall rental</v>
      </c>
    </row>
    <row r="166" spans="1:10" x14ac:dyDescent="0.25">
      <c r="A166" s="90">
        <v>600028</v>
      </c>
      <c r="B166" s="90" t="s">
        <v>163</v>
      </c>
      <c r="C166" s="91">
        <v>0</v>
      </c>
      <c r="D166" s="91">
        <v>38557.71</v>
      </c>
      <c r="E166" s="91">
        <v>38557.71</v>
      </c>
      <c r="F166" s="91">
        <v>0</v>
      </c>
      <c r="G166" t="str">
        <f>_xlfn.XLOOKUP($A166,Map!$A:$A,Map!C:C)</f>
        <v>IS</v>
      </c>
      <c r="H166" t="str">
        <f>_xlfn.XLOOKUP($A166,Map!$A:$A,Map!D:D)</f>
        <v>Cost of sales</v>
      </c>
      <c r="I166" t="str">
        <f>_xlfn.XLOOKUP($A166,Map!$A:$A,Map!E:E)</f>
        <v>Overhead - Consumables &amp; SP</v>
      </c>
      <c r="J166" t="str">
        <f>_xlfn.XLOOKUP($A166,Map!$A:$A,Map!F:F)</f>
        <v xml:space="preserve">Education &amp; Furniture Allowances </v>
      </c>
    </row>
    <row r="167" spans="1:10" x14ac:dyDescent="0.25">
      <c r="A167" s="90">
        <v>600029</v>
      </c>
      <c r="B167" s="90" t="s">
        <v>164</v>
      </c>
      <c r="C167" s="91">
        <v>0</v>
      </c>
      <c r="D167" s="91">
        <v>3261134.06</v>
      </c>
      <c r="E167" s="91">
        <v>3261134.06</v>
      </c>
      <c r="F167" s="91">
        <v>0</v>
      </c>
      <c r="G167" t="str">
        <f>_xlfn.XLOOKUP($A167,Map!$A:$A,Map!C:C)</f>
        <v>IS</v>
      </c>
      <c r="H167" t="str">
        <f>_xlfn.XLOOKUP($A167,Map!$A:$A,Map!D:D)</f>
        <v>Cost of sales</v>
      </c>
      <c r="I167" t="str">
        <f>_xlfn.XLOOKUP($A167,Map!$A:$A,Map!E:E)</f>
        <v>Depreciation - Machines</v>
      </c>
      <c r="J167" t="str">
        <f>_xlfn.XLOOKUP($A167,Map!$A:$A,Map!F:F)</f>
        <v>Depreciation of property, plant and equipment</v>
      </c>
    </row>
    <row r="168" spans="1:10" x14ac:dyDescent="0.25">
      <c r="A168" s="90">
        <v>600030</v>
      </c>
      <c r="B168" s="90" t="s">
        <v>165</v>
      </c>
      <c r="C168" s="91">
        <v>0</v>
      </c>
      <c r="D168" s="91">
        <v>117612.825</v>
      </c>
      <c r="E168" s="91">
        <v>117612.825</v>
      </c>
      <c r="F168" s="91">
        <v>0</v>
      </c>
      <c r="G168" t="str">
        <f>_xlfn.XLOOKUP($A168,Map!$A:$A,Map!C:C)</f>
        <v>IS</v>
      </c>
      <c r="H168" t="str">
        <f>_xlfn.XLOOKUP($A168,Map!$A:$A,Map!D:D)</f>
        <v>Depreciation expenses</v>
      </c>
      <c r="I168" t="str">
        <f>_xlfn.XLOOKUP($A168,Map!$A:$A,Map!E:E)</f>
        <v>Depreciation expenses</v>
      </c>
      <c r="J168" t="str">
        <f>_xlfn.XLOOKUP($A168,Map!$A:$A,Map!F:F)</f>
        <v>Depreciation of property, plant and equipment</v>
      </c>
    </row>
    <row r="169" spans="1:10" x14ac:dyDescent="0.25">
      <c r="A169" s="90">
        <v>600031</v>
      </c>
      <c r="B169" s="90" t="s">
        <v>166</v>
      </c>
      <c r="C169" s="91">
        <v>0</v>
      </c>
      <c r="D169" s="91">
        <v>19481.419999999998</v>
      </c>
      <c r="E169" s="91">
        <v>19481.419999999998</v>
      </c>
      <c r="F169" s="91">
        <v>0</v>
      </c>
      <c r="G169" t="str">
        <f>_xlfn.XLOOKUP($A169,Map!$A:$A,Map!C:C)</f>
        <v>IS</v>
      </c>
      <c r="H169" t="str">
        <f>_xlfn.XLOOKUP($A169,Map!$A:$A,Map!D:D)</f>
        <v>Depreciation expenses</v>
      </c>
      <c r="I169" t="str">
        <f>_xlfn.XLOOKUP($A169,Map!$A:$A,Map!E:E)</f>
        <v>Depreciation expenses</v>
      </c>
      <c r="J169" t="str">
        <f>_xlfn.XLOOKUP($A169,Map!$A:$A,Map!F:F)</f>
        <v>Depreciation of property, plant and equipment</v>
      </c>
    </row>
    <row r="170" spans="1:10" x14ac:dyDescent="0.25">
      <c r="A170" s="90">
        <v>600032</v>
      </c>
      <c r="B170" s="90" t="s">
        <v>167</v>
      </c>
      <c r="C170" s="91">
        <v>0</v>
      </c>
      <c r="D170" s="91">
        <v>1491798.43</v>
      </c>
      <c r="E170" s="91">
        <v>1491798.43</v>
      </c>
      <c r="F170" s="91">
        <v>0</v>
      </c>
      <c r="G170" t="str">
        <f>_xlfn.XLOOKUP($A170,Map!$A:$A,Map!C:C)</f>
        <v>IS</v>
      </c>
      <c r="H170" t="str">
        <f>_xlfn.XLOOKUP($A170,Map!$A:$A,Map!D:D)</f>
        <v>Depreciation expenses</v>
      </c>
      <c r="I170" t="str">
        <f>_xlfn.XLOOKUP($A170,Map!$A:$A,Map!E:E)</f>
        <v>Depreciation expenses</v>
      </c>
      <c r="J170" t="str">
        <f>_xlfn.XLOOKUP($A170,Map!$A:$A,Map!F:F)</f>
        <v>Depreciation of property, plant and equipment</v>
      </c>
    </row>
    <row r="171" spans="1:10" x14ac:dyDescent="0.25">
      <c r="A171" s="90">
        <v>600033</v>
      </c>
      <c r="B171" s="90" t="s">
        <v>168</v>
      </c>
      <c r="C171" s="91">
        <v>0</v>
      </c>
      <c r="D171" s="91">
        <v>160112.508</v>
      </c>
      <c r="E171" s="91">
        <v>160112.508</v>
      </c>
      <c r="F171" s="91">
        <v>0</v>
      </c>
      <c r="G171" t="str">
        <f>_xlfn.XLOOKUP($A171,Map!$A:$A,Map!C:C)</f>
        <v>IS</v>
      </c>
      <c r="H171" t="str">
        <f>_xlfn.XLOOKUP($A171,Map!$A:$A,Map!D:D)</f>
        <v>Depreciation expenses</v>
      </c>
      <c r="I171" t="str">
        <f>_xlfn.XLOOKUP($A171,Map!$A:$A,Map!E:E)</f>
        <v>Depreciation expenses</v>
      </c>
      <c r="J171" t="str">
        <f>_xlfn.XLOOKUP($A171,Map!$A:$A,Map!F:F)</f>
        <v>Depreciation of property, plant and equipment</v>
      </c>
    </row>
    <row r="172" spans="1:10" x14ac:dyDescent="0.25">
      <c r="A172" s="90">
        <v>700001</v>
      </c>
      <c r="B172" s="90" t="s">
        <v>171</v>
      </c>
      <c r="C172" s="91">
        <v>0</v>
      </c>
      <c r="D172" s="91">
        <v>5384379.6699999999</v>
      </c>
      <c r="E172" s="91">
        <v>559422</v>
      </c>
      <c r="F172" s="91">
        <v>4824957.67</v>
      </c>
      <c r="G172" t="str">
        <f>_xlfn.XLOOKUP($A172,Map!$A:$A,Map!C:C)</f>
        <v>IS</v>
      </c>
      <c r="H172" t="str">
        <f>_xlfn.XLOOKUP($A172,Map!$A:$A,Map!D:D)</f>
        <v>General and Admin</v>
      </c>
      <c r="I172" t="str">
        <f>_xlfn.XLOOKUP($A172,Map!$A:$A,Map!E:E)</f>
        <v>Salaries and wages</v>
      </c>
      <c r="J172" t="str">
        <f>_xlfn.XLOOKUP($A172,Map!$A:$A,Map!F:F)</f>
        <v>Salaries and wages</v>
      </c>
    </row>
    <row r="173" spans="1:10" x14ac:dyDescent="0.25">
      <c r="A173" s="90">
        <v>700002</v>
      </c>
      <c r="B173" s="90" t="s">
        <v>172</v>
      </c>
      <c r="C173" s="91">
        <v>0</v>
      </c>
      <c r="D173" s="91">
        <v>276768.33299999998</v>
      </c>
      <c r="E173" s="91">
        <v>0</v>
      </c>
      <c r="F173" s="91">
        <v>276768.33299999998</v>
      </c>
      <c r="G173" t="str">
        <f>_xlfn.XLOOKUP($A173,Map!$A:$A,Map!C:C)</f>
        <v>IS</v>
      </c>
      <c r="H173" t="str">
        <f>_xlfn.XLOOKUP($A173,Map!$A:$A,Map!D:D)</f>
        <v>General and Admin</v>
      </c>
      <c r="I173" t="str">
        <f>_xlfn.XLOOKUP($A173,Map!$A:$A,Map!E:E)</f>
        <v>Salaries and wages</v>
      </c>
      <c r="J173" t="str">
        <f>_xlfn.XLOOKUP($A173,Map!$A:$A,Map!F:F)</f>
        <v>Overtime pay</v>
      </c>
    </row>
    <row r="174" spans="1:10" x14ac:dyDescent="0.25">
      <c r="A174" s="90">
        <v>700003</v>
      </c>
      <c r="B174" s="90" t="s">
        <v>173</v>
      </c>
      <c r="C174" s="91">
        <v>0</v>
      </c>
      <c r="D174" s="91">
        <v>20070.75</v>
      </c>
      <c r="E174" s="91">
        <v>0</v>
      </c>
      <c r="F174" s="91">
        <v>20070.75</v>
      </c>
      <c r="G174" t="str">
        <f>_xlfn.XLOOKUP($A174,Map!$A:$A,Map!C:C)</f>
        <v>IS</v>
      </c>
      <c r="H174" t="str">
        <f>_xlfn.XLOOKUP($A174,Map!$A:$A,Map!D:D)</f>
        <v>General and Admin</v>
      </c>
      <c r="I174" t="str">
        <f>_xlfn.XLOOKUP($A174,Map!$A:$A,Map!E:E)</f>
        <v>Salaries and wages</v>
      </c>
      <c r="J174" t="str">
        <f>_xlfn.XLOOKUP($A174,Map!$A:$A,Map!F:F)</f>
        <v xml:space="preserve">Food &amp; Housing </v>
      </c>
    </row>
    <row r="175" spans="1:10" x14ac:dyDescent="0.25">
      <c r="A175" s="90">
        <v>700004</v>
      </c>
      <c r="B175" s="90" t="s">
        <v>174</v>
      </c>
      <c r="C175" s="91">
        <v>0</v>
      </c>
      <c r="D175" s="91">
        <v>258995.701</v>
      </c>
      <c r="E175" s="91">
        <v>0</v>
      </c>
      <c r="F175" s="91">
        <v>258995.701</v>
      </c>
      <c r="G175" t="str">
        <f>_xlfn.XLOOKUP($A175,Map!$A:$A,Map!C:C)</f>
        <v>IS</v>
      </c>
      <c r="H175" t="str">
        <f>_xlfn.XLOOKUP($A175,Map!$A:$A,Map!D:D)</f>
        <v>General and Admin</v>
      </c>
      <c r="I175" t="str">
        <f>_xlfn.XLOOKUP($A175,Map!$A:$A,Map!E:E)</f>
        <v>Salaries and wages</v>
      </c>
      <c r="J175" t="str">
        <f>_xlfn.XLOOKUP($A175,Map!$A:$A,Map!F:F)</f>
        <v>Medical insurance</v>
      </c>
    </row>
    <row r="176" spans="1:10" x14ac:dyDescent="0.25">
      <c r="A176" s="90">
        <v>700005</v>
      </c>
      <c r="B176" s="90" t="s">
        <v>175</v>
      </c>
      <c r="C176" s="91">
        <v>0</v>
      </c>
      <c r="D176" s="91">
        <v>362349.06300000002</v>
      </c>
      <c r="E176" s="91">
        <v>0</v>
      </c>
      <c r="F176" s="91">
        <v>362349.06300000002</v>
      </c>
      <c r="G176" t="str">
        <f>_xlfn.XLOOKUP($A176,Map!$A:$A,Map!C:C)</f>
        <v>IS</v>
      </c>
      <c r="H176" t="str">
        <f>_xlfn.XLOOKUP($A176,Map!$A:$A,Map!D:D)</f>
        <v>General and Admin</v>
      </c>
      <c r="I176" t="str">
        <f>_xlfn.XLOOKUP($A176,Map!$A:$A,Map!E:E)</f>
        <v>Govt license and fees (including modon)</v>
      </c>
      <c r="J176" t="str">
        <f>_xlfn.XLOOKUP($A176,Map!$A:$A,Map!F:F)</f>
        <v>Government fees</v>
      </c>
    </row>
    <row r="177" spans="1:10" x14ac:dyDescent="0.25">
      <c r="A177" s="90">
        <v>700006</v>
      </c>
      <c r="B177" s="90" t="s">
        <v>176</v>
      </c>
      <c r="C177" s="91">
        <v>0</v>
      </c>
      <c r="D177" s="91">
        <v>963068</v>
      </c>
      <c r="E177" s="91">
        <v>72750.25</v>
      </c>
      <c r="F177" s="91">
        <v>890317.75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Salaries and wages</v>
      </c>
      <c r="J177" t="str">
        <f>_xlfn.XLOOKUP($A177,Map!$A:$A,Map!F:F)</f>
        <v xml:space="preserve">Food &amp; Housing </v>
      </c>
    </row>
    <row r="178" spans="1:10" x14ac:dyDescent="0.25">
      <c r="A178" s="90">
        <v>700007</v>
      </c>
      <c r="B178" s="90" t="s">
        <v>177</v>
      </c>
      <c r="C178" s="91">
        <v>0</v>
      </c>
      <c r="D178" s="91">
        <v>509336</v>
      </c>
      <c r="E178" s="91">
        <v>0</v>
      </c>
      <c r="F178" s="91">
        <v>509336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>Salaries and wages</v>
      </c>
      <c r="J178" t="str">
        <f>_xlfn.XLOOKUP($A178,Map!$A:$A,Map!F:F)</f>
        <v>Transportation allowance</v>
      </c>
    </row>
    <row r="179" spans="1:10" x14ac:dyDescent="0.25">
      <c r="A179" s="90">
        <v>700008</v>
      </c>
      <c r="B179" s="90" t="s">
        <v>178</v>
      </c>
      <c r="C179" s="91">
        <v>0</v>
      </c>
      <c r="D179" s="91">
        <v>77116.650999999998</v>
      </c>
      <c r="E179" s="91">
        <v>1750</v>
      </c>
      <c r="F179" s="91">
        <v>75366.650999999998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Salaries and wages</v>
      </c>
      <c r="J179" t="str">
        <f>_xlfn.XLOOKUP($A179,Map!$A:$A,Map!F:F)</f>
        <v>Air tickets</v>
      </c>
    </row>
    <row r="180" spans="1:10" x14ac:dyDescent="0.25">
      <c r="A180" s="90">
        <v>700009</v>
      </c>
      <c r="B180" s="90" t="s">
        <v>179</v>
      </c>
      <c r="C180" s="91">
        <v>0</v>
      </c>
      <c r="D180" s="91">
        <v>506121.5</v>
      </c>
      <c r="E180" s="91">
        <v>50810</v>
      </c>
      <c r="F180" s="91">
        <v>455311.5</v>
      </c>
      <c r="G180" t="str">
        <f>_xlfn.XLOOKUP($A180,Map!$A:$A,Map!C:C)</f>
        <v>IS</v>
      </c>
      <c r="H180" t="str">
        <f>_xlfn.XLOOKUP($A180,Map!$A:$A,Map!D:D)</f>
        <v>General and Admin</v>
      </c>
      <c r="I180" t="str">
        <f>_xlfn.XLOOKUP($A180,Map!$A:$A,Map!E:E)</f>
        <v>Salaries and wages</v>
      </c>
      <c r="J180" t="str">
        <f>_xlfn.XLOOKUP($A180,Map!$A:$A,Map!F:F)</f>
        <v>Leave pay</v>
      </c>
    </row>
    <row r="181" spans="1:10" x14ac:dyDescent="0.25">
      <c r="A181" s="90">
        <v>700010</v>
      </c>
      <c r="B181" s="90" t="s">
        <v>180</v>
      </c>
      <c r="C181" s="91">
        <v>0</v>
      </c>
      <c r="D181" s="91">
        <v>990092.62</v>
      </c>
      <c r="E181" s="91">
        <v>282848.62</v>
      </c>
      <c r="F181" s="91">
        <v>707244</v>
      </c>
      <c r="G181" t="str">
        <f>_xlfn.XLOOKUP($A181,Map!$A:$A,Map!C:C)</f>
        <v>IS</v>
      </c>
      <c r="H181" t="str">
        <f>_xlfn.XLOOKUP($A181,Map!$A:$A,Map!D:D)</f>
        <v>General and Admin</v>
      </c>
      <c r="I181" t="str">
        <f>_xlfn.XLOOKUP($A181,Map!$A:$A,Map!E:E)</f>
        <v>Salaries and wages</v>
      </c>
      <c r="J181" t="str">
        <f>_xlfn.XLOOKUP($A181,Map!$A:$A,Map!F:F)</f>
        <v>Indemnities</v>
      </c>
    </row>
    <row r="182" spans="1:10" x14ac:dyDescent="0.25">
      <c r="A182" s="90">
        <v>700011</v>
      </c>
      <c r="B182" s="90" t="s">
        <v>181</v>
      </c>
      <c r="C182" s="91">
        <v>0</v>
      </c>
      <c r="D182" s="91">
        <v>155965</v>
      </c>
      <c r="E182" s="91">
        <v>6250</v>
      </c>
      <c r="F182" s="91">
        <v>149715</v>
      </c>
      <c r="G182" t="str">
        <f>_xlfn.XLOOKUP($A182,Map!$A:$A,Map!C:C)</f>
        <v>IS</v>
      </c>
      <c r="H182" t="str">
        <f>_xlfn.XLOOKUP($A182,Map!$A:$A,Map!D:D)</f>
        <v>General and Admin</v>
      </c>
      <c r="I182" t="str">
        <f>_xlfn.XLOOKUP($A182,Map!$A:$A,Map!E:E)</f>
        <v>Salaries and wages</v>
      </c>
      <c r="J182" t="str">
        <f>_xlfn.XLOOKUP($A182,Map!$A:$A,Map!F:F)</f>
        <v>Air tickets</v>
      </c>
    </row>
    <row r="183" spans="1:10" x14ac:dyDescent="0.25">
      <c r="A183" s="90">
        <v>700012</v>
      </c>
      <c r="B183" s="90" t="s">
        <v>182</v>
      </c>
      <c r="C183" s="91">
        <v>0</v>
      </c>
      <c r="D183" s="91">
        <v>257011</v>
      </c>
      <c r="E183" s="91">
        <v>0</v>
      </c>
      <c r="F183" s="91">
        <v>257011</v>
      </c>
      <c r="G183" t="str">
        <f>_xlfn.XLOOKUP($A183,Map!$A:$A,Map!C:C)</f>
        <v>IS</v>
      </c>
      <c r="H183" t="str">
        <f>_xlfn.XLOOKUP($A183,Map!$A:$A,Map!D:D)</f>
        <v>General and Admin</v>
      </c>
      <c r="I183" t="str">
        <f>_xlfn.XLOOKUP($A183,Map!$A:$A,Map!E:E)</f>
        <v>Salaries and wages</v>
      </c>
      <c r="J183" t="str">
        <f>_xlfn.XLOOKUP($A183,Map!$A:$A,Map!F:F)</f>
        <v xml:space="preserve">Education &amp; Furniture Allowances </v>
      </c>
    </row>
    <row r="184" spans="1:10" x14ac:dyDescent="0.25">
      <c r="A184" s="90">
        <v>700013</v>
      </c>
      <c r="B184" s="90" t="s">
        <v>183</v>
      </c>
      <c r="C184" s="91">
        <v>0</v>
      </c>
      <c r="D184" s="91">
        <v>52300</v>
      </c>
      <c r="E184" s="91">
        <v>0</v>
      </c>
      <c r="F184" s="91">
        <v>52300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Utilities</v>
      </c>
      <c r="J184" t="str">
        <f>_xlfn.XLOOKUP($A184,Map!$A:$A,Map!F:F)</f>
        <v>Other general and administrative expenses</v>
      </c>
    </row>
    <row r="185" spans="1:10" x14ac:dyDescent="0.25">
      <c r="A185" s="90">
        <v>700014</v>
      </c>
      <c r="B185" s="90" t="s">
        <v>184</v>
      </c>
      <c r="C185" s="91">
        <v>0</v>
      </c>
      <c r="D185" s="91">
        <v>99360</v>
      </c>
      <c r="E185" s="91">
        <v>0</v>
      </c>
      <c r="F185" s="91">
        <v>99360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Salaries and wages</v>
      </c>
      <c r="J185" t="str">
        <f>_xlfn.XLOOKUP($A185,Map!$A:$A,Map!F:F)</f>
        <v xml:space="preserve">Education &amp; Furniture Allowances </v>
      </c>
    </row>
    <row r="186" spans="1:10" x14ac:dyDescent="0.25">
      <c r="A186" s="90">
        <v>700015</v>
      </c>
      <c r="B186" s="90" t="s">
        <v>185</v>
      </c>
      <c r="C186" s="91">
        <v>0</v>
      </c>
      <c r="D186" s="91">
        <v>55111.199999999997</v>
      </c>
      <c r="E186" s="91">
        <v>20585</v>
      </c>
      <c r="F186" s="91">
        <v>34526.199999999997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Business travel</v>
      </c>
      <c r="J186" t="str">
        <f>_xlfn.XLOOKUP($A186,Map!$A:$A,Map!F:F)</f>
        <v>Transportation expenses</v>
      </c>
    </row>
    <row r="187" spans="1:10" x14ac:dyDescent="0.25">
      <c r="A187" s="90">
        <v>700016</v>
      </c>
      <c r="B187" s="90" t="s">
        <v>186</v>
      </c>
      <c r="C187" s="91">
        <v>0</v>
      </c>
      <c r="D187" s="91">
        <v>12299</v>
      </c>
      <c r="E187" s="91">
        <v>0</v>
      </c>
      <c r="F187" s="91">
        <v>12299</v>
      </c>
      <c r="G187" t="str">
        <f>_xlfn.XLOOKUP($A187,Map!$A:$A,Map!C:C)</f>
        <v>IS</v>
      </c>
      <c r="H187" t="str">
        <f>_xlfn.XLOOKUP($A187,Map!$A:$A,Map!D:D)</f>
        <v>Selling and Marketing</v>
      </c>
      <c r="I187" t="str">
        <f>_xlfn.XLOOKUP($A187,Map!$A:$A,Map!E:E)</f>
        <v>Buffet expenses</v>
      </c>
      <c r="J187" t="str">
        <f>_xlfn.XLOOKUP($A187,Map!$A:$A,Map!F:F)</f>
        <v>Food expenses</v>
      </c>
    </row>
    <row r="188" spans="1:10" x14ac:dyDescent="0.25">
      <c r="A188" s="90">
        <v>700017</v>
      </c>
      <c r="B188" s="90" t="s">
        <v>187</v>
      </c>
      <c r="C188" s="91">
        <v>0</v>
      </c>
      <c r="D188" s="91">
        <v>11713.6</v>
      </c>
      <c r="E188" s="91">
        <v>0</v>
      </c>
      <c r="F188" s="91">
        <v>11713.6</v>
      </c>
      <c r="G188" t="str">
        <f>_xlfn.XLOOKUP($A188,Map!$A:$A,Map!C:C)</f>
        <v>IS</v>
      </c>
      <c r="H188" t="str">
        <f>_xlfn.XLOOKUP($A188,Map!$A:$A,Map!D:D)</f>
        <v>General and Admin</v>
      </c>
      <c r="I188" t="str">
        <f>_xlfn.XLOOKUP($A188,Map!$A:$A,Map!E:E)</f>
        <v>Salaries and wages</v>
      </c>
      <c r="J188" t="str">
        <f>_xlfn.XLOOKUP($A188,Map!$A:$A,Map!F:F)</f>
        <v>Accommodation expenses</v>
      </c>
    </row>
    <row r="189" spans="1:10" x14ac:dyDescent="0.25">
      <c r="A189" s="90">
        <v>700018</v>
      </c>
      <c r="B189" s="90" t="s">
        <v>188</v>
      </c>
      <c r="C189" s="91">
        <v>0</v>
      </c>
      <c r="D189" s="91">
        <v>57590.44</v>
      </c>
      <c r="E189" s="91">
        <v>0</v>
      </c>
      <c r="F189" s="91">
        <v>57590.44</v>
      </c>
      <c r="G189" t="str">
        <f>_xlfn.XLOOKUP($A189,Map!$A:$A,Map!C:C)</f>
        <v>IS</v>
      </c>
      <c r="H189" t="str">
        <f>_xlfn.XLOOKUP($A189,Map!$A:$A,Map!D:D)</f>
        <v>General and Admin</v>
      </c>
      <c r="I189" t="str">
        <f>_xlfn.XLOOKUP($A189,Map!$A:$A,Map!E:E)</f>
        <v>Salaries and wages</v>
      </c>
      <c r="J189" t="str">
        <f>_xlfn.XLOOKUP($A189,Map!$A:$A,Map!F:F)</f>
        <v xml:space="preserve">Employee Medical Emergency Expenses </v>
      </c>
    </row>
    <row r="190" spans="1:10" x14ac:dyDescent="0.25">
      <c r="A190" s="90">
        <v>700019</v>
      </c>
      <c r="B190" s="90" t="s">
        <v>189</v>
      </c>
      <c r="C190" s="91">
        <v>0</v>
      </c>
      <c r="D190" s="91">
        <v>597272.75100000005</v>
      </c>
      <c r="E190" s="91">
        <v>7875</v>
      </c>
      <c r="F190" s="91">
        <v>589397.75100000005</v>
      </c>
      <c r="G190" t="str">
        <f>_xlfn.XLOOKUP($A190,Map!$A:$A,Map!C:C)</f>
        <v>IS</v>
      </c>
      <c r="H190" t="str">
        <f>_xlfn.XLOOKUP($A190,Map!$A:$A,Map!D:D)</f>
        <v>General and Admin</v>
      </c>
      <c r="I190" t="str">
        <f>_xlfn.XLOOKUP($A190,Map!$A:$A,Map!E:E)</f>
        <v>Salaries and wages</v>
      </c>
      <c r="J190" t="str">
        <f>_xlfn.XLOOKUP($A190,Map!$A:$A,Map!F:F)</f>
        <v xml:space="preserve">Incentives </v>
      </c>
    </row>
    <row r="191" spans="1:10" x14ac:dyDescent="0.25">
      <c r="A191" s="90">
        <v>700020</v>
      </c>
      <c r="B191" s="90" t="s">
        <v>190</v>
      </c>
      <c r="C191" s="91">
        <v>0</v>
      </c>
      <c r="D191" s="91">
        <v>106982.504</v>
      </c>
      <c r="E191" s="91">
        <v>657.33</v>
      </c>
      <c r="F191" s="91">
        <v>106325.174</v>
      </c>
      <c r="G191" t="str">
        <f>_xlfn.XLOOKUP($A191,Map!$A:$A,Map!C:C)</f>
        <v>IS</v>
      </c>
      <c r="H191" t="str">
        <f>_xlfn.XLOOKUP($A191,Map!$A:$A,Map!D:D)</f>
        <v>General and Admin</v>
      </c>
      <c r="I191" t="str">
        <f>_xlfn.XLOOKUP($A191,Map!$A:$A,Map!E:E)</f>
        <v>Utilities</v>
      </c>
      <c r="J191" t="str">
        <f>_xlfn.XLOOKUP($A191,Map!$A:$A,Map!F:F)</f>
        <v>Electricity expenses</v>
      </c>
    </row>
    <row r="192" spans="1:10" x14ac:dyDescent="0.25">
      <c r="A192" s="90">
        <v>700021</v>
      </c>
      <c r="B192" s="90" t="s">
        <v>191</v>
      </c>
      <c r="C192" s="91">
        <v>0</v>
      </c>
      <c r="D192" s="91">
        <v>15494.5</v>
      </c>
      <c r="E192" s="91">
        <v>0</v>
      </c>
      <c r="F192" s="91">
        <v>15494.5</v>
      </c>
      <c r="G192" t="str">
        <f>_xlfn.XLOOKUP($A192,Map!$A:$A,Map!C:C)</f>
        <v>IS</v>
      </c>
      <c r="H192" t="str">
        <f>_xlfn.XLOOKUP($A192,Map!$A:$A,Map!D:D)</f>
        <v>General and Admin</v>
      </c>
      <c r="I192" t="str">
        <f>_xlfn.XLOOKUP($A192,Map!$A:$A,Map!E:E)</f>
        <v>Utilities</v>
      </c>
      <c r="J192" t="str">
        <f>_xlfn.XLOOKUP($A192,Map!$A:$A,Map!F:F)</f>
        <v>Other general and administrative expenses</v>
      </c>
    </row>
    <row r="193" spans="1:10" x14ac:dyDescent="0.25">
      <c r="A193" s="90">
        <v>700022</v>
      </c>
      <c r="B193" s="90" t="s">
        <v>192</v>
      </c>
      <c r="C193" s="91">
        <v>0</v>
      </c>
      <c r="D193" s="91">
        <v>128410.341</v>
      </c>
      <c r="E193" s="91">
        <v>12314.22</v>
      </c>
      <c r="F193" s="91">
        <v>116096.121</v>
      </c>
      <c r="G193" t="str">
        <f>_xlfn.XLOOKUP($A193,Map!$A:$A,Map!C:C)</f>
        <v>IS</v>
      </c>
      <c r="H193" t="str">
        <f>_xlfn.XLOOKUP($A193,Map!$A:$A,Map!D:D)</f>
        <v>General and Admin</v>
      </c>
      <c r="I193" t="str">
        <f>_xlfn.XLOOKUP($A193,Map!$A:$A,Map!E:E)</f>
        <v>Utilities</v>
      </c>
      <c r="J193" t="str">
        <f>_xlfn.XLOOKUP($A193,Map!$A:$A,Map!F:F)</f>
        <v>Other general and administrative expenses</v>
      </c>
    </row>
    <row r="194" spans="1:10" x14ac:dyDescent="0.25">
      <c r="A194" s="90">
        <v>700023</v>
      </c>
      <c r="B194" s="90" t="s">
        <v>193</v>
      </c>
      <c r="C194" s="91">
        <v>0</v>
      </c>
      <c r="D194" s="91">
        <v>46220.08</v>
      </c>
      <c r="E194" s="91">
        <v>1824</v>
      </c>
      <c r="F194" s="91">
        <v>44396.08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Utilities</v>
      </c>
      <c r="J194" t="str">
        <f>_xlfn.XLOOKUP($A194,Map!$A:$A,Map!F:F)</f>
        <v xml:space="preserve">Postage &amp; Printing </v>
      </c>
    </row>
    <row r="195" spans="1:10" x14ac:dyDescent="0.25">
      <c r="A195" s="90">
        <v>700024</v>
      </c>
      <c r="B195" s="90" t="s">
        <v>194</v>
      </c>
      <c r="C195" s="91">
        <v>0</v>
      </c>
      <c r="D195" s="91">
        <v>411485.44500000001</v>
      </c>
      <c r="E195" s="91">
        <v>63709.283000000003</v>
      </c>
      <c r="F195" s="91">
        <v>347776.16200000001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IT expenses</v>
      </c>
      <c r="J195" t="str">
        <f>_xlfn.XLOOKUP($A195,Map!$A:$A,Map!F:F)</f>
        <v>Other general and administrative expenses</v>
      </c>
    </row>
    <row r="196" spans="1:10" x14ac:dyDescent="0.25">
      <c r="A196" s="90">
        <v>700025</v>
      </c>
      <c r="B196" s="90" t="s">
        <v>195</v>
      </c>
      <c r="C196" s="91">
        <v>0</v>
      </c>
      <c r="D196" s="91">
        <v>307658.04200000002</v>
      </c>
      <c r="E196" s="91">
        <v>37703.571000000004</v>
      </c>
      <c r="F196" s="91">
        <v>269954.47100000002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>Salaries and wages</v>
      </c>
      <c r="J196" t="str">
        <f>_xlfn.XLOOKUP($A196,Map!$A:$A,Map!F:F)</f>
        <v>Salaries and wages</v>
      </c>
    </row>
    <row r="197" spans="1:10" x14ac:dyDescent="0.25">
      <c r="A197" s="90">
        <v>700026</v>
      </c>
      <c r="B197" s="90" t="s">
        <v>196</v>
      </c>
      <c r="C197" s="91">
        <v>0</v>
      </c>
      <c r="D197" s="91">
        <v>0</v>
      </c>
      <c r="E197" s="91">
        <v>0</v>
      </c>
      <c r="F197" s="91">
        <v>0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Utilities</v>
      </c>
      <c r="J197" t="str">
        <f>_xlfn.XLOOKUP($A197,Map!$A:$A,Map!F:F)</f>
        <v>Magazines &amp; News Papers Exp.</v>
      </c>
    </row>
    <row r="198" spans="1:10" x14ac:dyDescent="0.25">
      <c r="A198" s="90">
        <v>700027</v>
      </c>
      <c r="B198" s="90" t="s">
        <v>197</v>
      </c>
      <c r="C198" s="91">
        <v>0</v>
      </c>
      <c r="D198" s="91">
        <v>55117</v>
      </c>
      <c r="E198" s="91">
        <v>15030</v>
      </c>
      <c r="F198" s="91">
        <v>40087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Training</v>
      </c>
      <c r="J198" t="str">
        <f>_xlfn.XLOOKUP($A198,Map!$A:$A,Map!F:F)</f>
        <v>Training</v>
      </c>
    </row>
    <row r="199" spans="1:10" x14ac:dyDescent="0.25">
      <c r="A199" s="90">
        <v>700028</v>
      </c>
      <c r="B199" s="90" t="s">
        <v>198</v>
      </c>
      <c r="C199" s="91">
        <v>0</v>
      </c>
      <c r="D199" s="91">
        <v>7251.1610000000001</v>
      </c>
      <c r="E199" s="91">
        <v>0</v>
      </c>
      <c r="F199" s="91">
        <v>7251.1610000000001</v>
      </c>
      <c r="G199" t="str">
        <f>_xlfn.XLOOKUP($A199,Map!$A:$A,Map!C:C)</f>
        <v>IS</v>
      </c>
      <c r="H199" t="str">
        <f>_xlfn.XLOOKUP($A199,Map!$A:$A,Map!D:D)</f>
        <v>General and Admin</v>
      </c>
      <c r="I199" t="str">
        <f>_xlfn.XLOOKUP($A199,Map!$A:$A,Map!E:E)</f>
        <v xml:space="preserve">Back office Support </v>
      </c>
      <c r="J199" t="str">
        <f>_xlfn.XLOOKUP($A199,Map!$A:$A,Map!F:F)</f>
        <v>Stationery expenses</v>
      </c>
    </row>
    <row r="200" spans="1:10" x14ac:dyDescent="0.25">
      <c r="A200" s="90">
        <v>700029</v>
      </c>
      <c r="B200" s="90" t="s">
        <v>199</v>
      </c>
      <c r="C200" s="91">
        <v>0</v>
      </c>
      <c r="D200" s="91">
        <v>14196.5</v>
      </c>
      <c r="E200" s="91">
        <v>2745</v>
      </c>
      <c r="F200" s="91">
        <v>11451.5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Utilities</v>
      </c>
      <c r="J200" t="str">
        <f>_xlfn.XLOOKUP($A200,Map!$A:$A,Map!F:F)</f>
        <v xml:space="preserve">Postage &amp; Printing </v>
      </c>
    </row>
    <row r="201" spans="1:10" x14ac:dyDescent="0.25">
      <c r="A201" s="90">
        <v>700030</v>
      </c>
      <c r="B201" s="90" t="s">
        <v>200</v>
      </c>
      <c r="C201" s="91">
        <v>0</v>
      </c>
      <c r="D201" s="91">
        <v>47898</v>
      </c>
      <c r="E201" s="91">
        <v>22425</v>
      </c>
      <c r="F201" s="91">
        <v>25473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Utilities</v>
      </c>
      <c r="J201" t="str">
        <f>_xlfn.XLOOKUP($A201,Map!$A:$A,Map!F:F)</f>
        <v>Building maintenance</v>
      </c>
    </row>
    <row r="202" spans="1:10" x14ac:dyDescent="0.25">
      <c r="A202" s="90">
        <v>700031</v>
      </c>
      <c r="B202" s="90" t="s">
        <v>201</v>
      </c>
      <c r="C202" s="91">
        <v>0</v>
      </c>
      <c r="D202" s="91">
        <v>40810.51</v>
      </c>
      <c r="E202" s="91">
        <v>0</v>
      </c>
      <c r="F202" s="91">
        <v>40810.51</v>
      </c>
      <c r="G202" t="str">
        <f>_xlfn.XLOOKUP($A202,Map!$A:$A,Map!C:C)</f>
        <v>IS</v>
      </c>
      <c r="H202" t="str">
        <f>_xlfn.XLOOKUP($A202,Map!$A:$A,Map!D:D)</f>
        <v>General and Admin</v>
      </c>
      <c r="I202" t="str">
        <f>_xlfn.XLOOKUP($A202,Map!$A:$A,Map!E:E)</f>
        <v>Utilities</v>
      </c>
      <c r="J202" t="str">
        <f>_xlfn.XLOOKUP($A202,Map!$A:$A,Map!F:F)</f>
        <v>Office equipment maintenance</v>
      </c>
    </row>
    <row r="203" spans="1:10" x14ac:dyDescent="0.25">
      <c r="A203" s="90">
        <v>700032</v>
      </c>
      <c r="B203" s="90" t="s">
        <v>202</v>
      </c>
      <c r="C203" s="91">
        <v>0</v>
      </c>
      <c r="D203" s="91">
        <v>106961.433</v>
      </c>
      <c r="E203" s="91">
        <v>14887.5</v>
      </c>
      <c r="F203" s="91">
        <v>92073.933000000005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>Utilities</v>
      </c>
      <c r="J203" t="str">
        <f>_xlfn.XLOOKUP($A203,Map!$A:$A,Map!F:F)</f>
        <v>Vehicle maintenance</v>
      </c>
    </row>
    <row r="204" spans="1:10" x14ac:dyDescent="0.25">
      <c r="A204" s="90">
        <v>700033</v>
      </c>
      <c r="B204" s="90" t="s">
        <v>203</v>
      </c>
      <c r="C204" s="91">
        <v>0</v>
      </c>
      <c r="D204" s="91">
        <v>36286.665000000001</v>
      </c>
      <c r="E204" s="91">
        <v>2817.31</v>
      </c>
      <c r="F204" s="91">
        <v>33469.355000000003</v>
      </c>
      <c r="G204" t="str">
        <f>_xlfn.XLOOKUP($A204,Map!$A:$A,Map!C:C)</f>
        <v>IS</v>
      </c>
      <c r="H204" t="str">
        <f>_xlfn.XLOOKUP($A204,Map!$A:$A,Map!D:D)</f>
        <v>General and Admin</v>
      </c>
      <c r="I204" t="str">
        <f>_xlfn.XLOOKUP($A204,Map!$A:$A,Map!E:E)</f>
        <v>Utilities</v>
      </c>
      <c r="J204" t="str">
        <f>_xlfn.XLOOKUP($A204,Map!$A:$A,Map!F:F)</f>
        <v>Fuel and oil</v>
      </c>
    </row>
    <row r="205" spans="1:10" x14ac:dyDescent="0.25">
      <c r="A205" s="90">
        <v>700034</v>
      </c>
      <c r="B205" s="90" t="s">
        <v>204</v>
      </c>
      <c r="C205" s="91">
        <v>0</v>
      </c>
      <c r="D205" s="91">
        <v>17875.099999999999</v>
      </c>
      <c r="E205" s="91">
        <v>0</v>
      </c>
      <c r="F205" s="91">
        <v>17875.099999999999</v>
      </c>
      <c r="G205" t="str">
        <f>_xlfn.XLOOKUP($A205,Map!$A:$A,Map!C:C)</f>
        <v>IS</v>
      </c>
      <c r="H205" t="str">
        <f>_xlfn.XLOOKUP($A205,Map!$A:$A,Map!D:D)</f>
        <v>General and Admin</v>
      </c>
      <c r="I205" t="str">
        <f>_xlfn.XLOOKUP($A205,Map!$A:$A,Map!E:E)</f>
        <v xml:space="preserve">Back office Support </v>
      </c>
      <c r="J205" t="str">
        <f>_xlfn.XLOOKUP($A205,Map!$A:$A,Map!F:F)</f>
        <v>Consumables</v>
      </c>
    </row>
    <row r="206" spans="1:10" x14ac:dyDescent="0.25">
      <c r="A206" s="90">
        <v>700035</v>
      </c>
      <c r="B206" s="90" t="s">
        <v>205</v>
      </c>
      <c r="C206" s="91">
        <v>0</v>
      </c>
      <c r="D206" s="91">
        <v>180079</v>
      </c>
      <c r="E206" s="91">
        <v>0</v>
      </c>
      <c r="F206" s="91">
        <v>180079</v>
      </c>
      <c r="G206" t="str">
        <f>_xlfn.XLOOKUP($A206,Map!$A:$A,Map!C:C)</f>
        <v>IS</v>
      </c>
      <c r="H206" t="str">
        <f>_xlfn.XLOOKUP($A206,Map!$A:$A,Map!D:D)</f>
        <v>General and Admin</v>
      </c>
      <c r="I206" t="str">
        <f>_xlfn.XLOOKUP($A206,Map!$A:$A,Map!E:E)</f>
        <v>Actuarial gains and losses</v>
      </c>
      <c r="J206" t="str">
        <f>_xlfn.XLOOKUP($A206,Map!$A:$A,Map!F:F)</f>
        <v>Other general and administrative expenses</v>
      </c>
    </row>
    <row r="207" spans="1:10" x14ac:dyDescent="0.25">
      <c r="A207" s="90">
        <v>700036</v>
      </c>
      <c r="B207" s="90" t="s">
        <v>206</v>
      </c>
      <c r="C207" s="91">
        <v>0</v>
      </c>
      <c r="D207" s="91">
        <v>67452.846000000005</v>
      </c>
      <c r="E207" s="91">
        <v>0</v>
      </c>
      <c r="F207" s="91">
        <v>67452.846000000005</v>
      </c>
      <c r="G207" t="str">
        <f>_xlfn.XLOOKUP($A207,Map!$A:$A,Map!C:C)</f>
        <v>IS</v>
      </c>
      <c r="H207" t="str">
        <f>_xlfn.XLOOKUP($A207,Map!$A:$A,Map!D:D)</f>
        <v>General and Admin</v>
      </c>
      <c r="I207" t="str">
        <f>_xlfn.XLOOKUP($A207,Map!$A:$A,Map!E:E)</f>
        <v>Utilities</v>
      </c>
      <c r="J207" t="str">
        <f>_xlfn.XLOOKUP($A207,Map!$A:$A,Map!F:F)</f>
        <v>Vehicle insurance</v>
      </c>
    </row>
    <row r="208" spans="1:10" x14ac:dyDescent="0.25">
      <c r="A208" s="90">
        <v>700037</v>
      </c>
      <c r="B208" s="90" t="s">
        <v>207</v>
      </c>
      <c r="C208" s="91">
        <v>0</v>
      </c>
      <c r="D208" s="91">
        <v>0</v>
      </c>
      <c r="E208" s="91">
        <v>0</v>
      </c>
      <c r="F208" s="91">
        <v>0</v>
      </c>
      <c r="G208" t="str">
        <f>_xlfn.XLOOKUP($A208,Map!$A:$A,Map!C:C)</f>
        <v>IS</v>
      </c>
      <c r="H208" t="str">
        <f>_xlfn.XLOOKUP($A208,Map!$A:$A,Map!D:D)</f>
        <v>Finance cost</v>
      </c>
      <c r="I208" t="str">
        <f>_xlfn.XLOOKUP($A208,Map!$A:$A,Map!E:E)</f>
        <v>Finance cost</v>
      </c>
      <c r="J208" t="str">
        <f>_xlfn.XLOOKUP($A208,Map!$A:$A,Map!F:F)</f>
        <v>Lease interest</v>
      </c>
    </row>
    <row r="209" spans="1:10" x14ac:dyDescent="0.25">
      <c r="A209" s="90">
        <v>700038</v>
      </c>
      <c r="B209" s="90" t="s">
        <v>208</v>
      </c>
      <c r="C209" s="91">
        <v>0</v>
      </c>
      <c r="D209" s="91">
        <v>51576.03</v>
      </c>
      <c r="E209" s="91">
        <v>8000</v>
      </c>
      <c r="F209" s="91">
        <v>43576.03</v>
      </c>
      <c r="G209" t="str">
        <f>_xlfn.XLOOKUP($A209,Map!$A:$A,Map!C:C)</f>
        <v>IS</v>
      </c>
      <c r="H209" t="str">
        <f>_xlfn.XLOOKUP($A209,Map!$A:$A,Map!D:D)</f>
        <v>General and Admin</v>
      </c>
      <c r="I209" t="str">
        <f>_xlfn.XLOOKUP($A209,Map!$A:$A,Map!E:E)</f>
        <v>Business travel</v>
      </c>
      <c r="J209" t="str">
        <f>_xlfn.XLOOKUP($A209,Map!$A:$A,Map!F:F)</f>
        <v>Bussiness trip expenses</v>
      </c>
    </row>
    <row r="210" spans="1:10" x14ac:dyDescent="0.25">
      <c r="A210" s="90">
        <v>700039</v>
      </c>
      <c r="B210" s="90" t="s">
        <v>209</v>
      </c>
      <c r="C210" s="91">
        <v>0</v>
      </c>
      <c r="D210" s="91">
        <v>32688.73</v>
      </c>
      <c r="E210" s="91">
        <v>0</v>
      </c>
      <c r="F210" s="91">
        <v>32688.73</v>
      </c>
      <c r="G210" t="str">
        <f>_xlfn.XLOOKUP($A210,Map!$A:$A,Map!C:C)</f>
        <v>IS</v>
      </c>
      <c r="H210" t="str">
        <f>_xlfn.XLOOKUP($A210,Map!$A:$A,Map!D:D)</f>
        <v>Selling and Marketing</v>
      </c>
      <c r="I210" t="str">
        <f>_xlfn.XLOOKUP($A210,Map!$A:$A,Map!E:E)</f>
        <v>Buffet expenses</v>
      </c>
      <c r="J210" t="str">
        <f>_xlfn.XLOOKUP($A210,Map!$A:$A,Map!F:F)</f>
        <v>Buffet expenses</v>
      </c>
    </row>
    <row r="211" spans="1:10" x14ac:dyDescent="0.25">
      <c r="A211" s="90">
        <v>700040</v>
      </c>
      <c r="B211" s="90" t="s">
        <v>210</v>
      </c>
      <c r="C211" s="91">
        <v>0</v>
      </c>
      <c r="D211" s="91">
        <v>790019.59</v>
      </c>
      <c r="E211" s="91">
        <v>4287.01</v>
      </c>
      <c r="F211" s="91">
        <v>785732.58</v>
      </c>
      <c r="G211" t="str">
        <f>_xlfn.XLOOKUP($A211,Map!$A:$A,Map!C:C)</f>
        <v>IS</v>
      </c>
      <c r="H211" t="str">
        <f>_xlfn.XLOOKUP($A211,Map!$A:$A,Map!D:D)</f>
        <v>General and Admin</v>
      </c>
      <c r="I211" t="str">
        <f>_xlfn.XLOOKUP($A211,Map!$A:$A,Map!E:E)</f>
        <v>Utilities</v>
      </c>
      <c r="J211" t="str">
        <f>_xlfn.XLOOKUP($A211,Map!$A:$A,Map!F:F)</f>
        <v xml:space="preserve">Cleaning Expenses </v>
      </c>
    </row>
    <row r="212" spans="1:10" x14ac:dyDescent="0.25">
      <c r="A212" s="90">
        <v>700041</v>
      </c>
      <c r="B212" s="90" t="s">
        <v>211</v>
      </c>
      <c r="C212" s="91">
        <v>0</v>
      </c>
      <c r="D212" s="91">
        <v>144243.25</v>
      </c>
      <c r="E212" s="91">
        <v>0</v>
      </c>
      <c r="F212" s="91">
        <v>144243.25</v>
      </c>
      <c r="G212" t="str">
        <f>_xlfn.XLOOKUP($A212,Map!$A:$A,Map!C:C)</f>
        <v>IS</v>
      </c>
      <c r="H212" t="str">
        <f>_xlfn.XLOOKUP($A212,Map!$A:$A,Map!D:D)</f>
        <v>General and Admin</v>
      </c>
      <c r="I212" t="str">
        <f>_xlfn.XLOOKUP($A212,Map!$A:$A,Map!E:E)</f>
        <v>Salaries and wages</v>
      </c>
      <c r="J212" t="str">
        <f>_xlfn.XLOOKUP($A212,Map!$A:$A,Map!F:F)</f>
        <v>Recruitment</v>
      </c>
    </row>
    <row r="213" spans="1:10" x14ac:dyDescent="0.25">
      <c r="A213" s="90">
        <v>700042</v>
      </c>
      <c r="B213" s="90" t="s">
        <v>212</v>
      </c>
      <c r="C213" s="91">
        <v>0</v>
      </c>
      <c r="D213" s="91">
        <v>2250000</v>
      </c>
      <c r="E213" s="91">
        <v>250000</v>
      </c>
      <c r="F213" s="91">
        <v>2000000</v>
      </c>
      <c r="G213" t="str">
        <f>_xlfn.XLOOKUP($A213,Map!$A:$A,Map!C:C)</f>
        <v>IS</v>
      </c>
      <c r="H213" t="str">
        <f>_xlfn.XLOOKUP($A213,Map!$A:$A,Map!D:D)</f>
        <v>General and Admin</v>
      </c>
      <c r="I213" t="str">
        <f>_xlfn.XLOOKUP($A213,Map!$A:$A,Map!E:E)</f>
        <v xml:space="preserve">Back office Support </v>
      </c>
      <c r="J213" t="str">
        <f>_xlfn.XLOOKUP($A213,Map!$A:$A,Map!F:F)</f>
        <v>Other expenses</v>
      </c>
    </row>
    <row r="214" spans="1:10" x14ac:dyDescent="0.25">
      <c r="A214" s="90">
        <v>700043</v>
      </c>
      <c r="B214" s="90" t="s">
        <v>213</v>
      </c>
      <c r="C214" s="91">
        <v>0</v>
      </c>
      <c r="D214" s="91">
        <v>14025.3</v>
      </c>
      <c r="E214" s="91">
        <v>0</v>
      </c>
      <c r="F214" s="91">
        <v>14025.3</v>
      </c>
      <c r="G214" t="str">
        <f>_xlfn.XLOOKUP($A214,Map!$A:$A,Map!C:C)</f>
        <v>IS</v>
      </c>
      <c r="H214" t="str">
        <f>_xlfn.XLOOKUP($A214,Map!$A:$A,Map!D:D)</f>
        <v>General and Admin</v>
      </c>
      <c r="I214" t="str">
        <f>_xlfn.XLOOKUP($A214,Map!$A:$A,Map!E:E)</f>
        <v>Govt license and fees (including modon)</v>
      </c>
      <c r="J214" t="str">
        <f>_xlfn.XLOOKUP($A214,Map!$A:$A,Map!F:F)</f>
        <v>Licenses and fees</v>
      </c>
    </row>
    <row r="215" spans="1:10" x14ac:dyDescent="0.25">
      <c r="A215" s="90">
        <v>700044</v>
      </c>
      <c r="B215" s="90" t="s">
        <v>214</v>
      </c>
      <c r="C215" s="91">
        <v>0</v>
      </c>
      <c r="D215" s="91">
        <v>75919.839999999997</v>
      </c>
      <c r="E215" s="91">
        <v>0</v>
      </c>
      <c r="F215" s="91">
        <v>75919.839999999997</v>
      </c>
      <c r="G215" t="str">
        <f>_xlfn.XLOOKUP($A215,Map!$A:$A,Map!C:C)</f>
        <v>IS</v>
      </c>
      <c r="H215" t="str">
        <f>_xlfn.XLOOKUP($A215,Map!$A:$A,Map!D:D)</f>
        <v>General and Admin</v>
      </c>
      <c r="I215" t="str">
        <f>_xlfn.XLOOKUP($A215,Map!$A:$A,Map!E:E)</f>
        <v>Govt license and fees (including modon)</v>
      </c>
      <c r="J215" t="str">
        <f>_xlfn.XLOOKUP($A215,Map!$A:$A,Map!F:F)</f>
        <v>Government fees</v>
      </c>
    </row>
    <row r="216" spans="1:10" x14ac:dyDescent="0.25">
      <c r="A216" s="90">
        <v>700045</v>
      </c>
      <c r="B216" s="90" t="s">
        <v>215</v>
      </c>
      <c r="C216" s="91">
        <v>0</v>
      </c>
      <c r="D216" s="91">
        <v>3501089.7250000001</v>
      </c>
      <c r="E216" s="91">
        <v>423430.723</v>
      </c>
      <c r="F216" s="91">
        <v>3077659.0019999999</v>
      </c>
      <c r="G216" t="str">
        <f>_xlfn.XLOOKUP($A216,Map!$A:$A,Map!C:C)</f>
        <v>IS</v>
      </c>
      <c r="H216" t="str">
        <f>_xlfn.XLOOKUP($A216,Map!$A:$A,Map!D:D)</f>
        <v>Finance cost</v>
      </c>
      <c r="I216" t="str">
        <f>_xlfn.XLOOKUP($A216,Map!$A:$A,Map!E:E)</f>
        <v>Finance cost</v>
      </c>
      <c r="J216" t="str">
        <f>_xlfn.XLOOKUP($A216,Map!$A:$A,Map!F:F)</f>
        <v>Bank charges</v>
      </c>
    </row>
    <row r="217" spans="1:10" x14ac:dyDescent="0.25">
      <c r="A217" s="90">
        <v>700048</v>
      </c>
      <c r="B217" s="90" t="s">
        <v>216</v>
      </c>
      <c r="C217" s="91">
        <v>0</v>
      </c>
      <c r="D217" s="91">
        <v>904999.89</v>
      </c>
      <c r="E217" s="91">
        <v>260614</v>
      </c>
      <c r="F217" s="91">
        <v>644385.89</v>
      </c>
      <c r="G217" t="str">
        <f>_xlfn.XLOOKUP($A217,Map!$A:$A,Map!C:C)</f>
        <v>IS</v>
      </c>
      <c r="H217" t="str">
        <f>_xlfn.XLOOKUP($A217,Map!$A:$A,Map!D:D)</f>
        <v>Zakat</v>
      </c>
      <c r="I217" t="str">
        <f>_xlfn.XLOOKUP($A217,Map!$A:$A,Map!E:E)</f>
        <v>Zakat expenses</v>
      </c>
      <c r="J217" t="str">
        <f>_xlfn.XLOOKUP($A217,Map!$A:$A,Map!F:F)</f>
        <v>Zakat expenses</v>
      </c>
    </row>
    <row r="218" spans="1:10" x14ac:dyDescent="0.25">
      <c r="A218" s="90">
        <v>700049</v>
      </c>
      <c r="B218" s="90" t="s">
        <v>217</v>
      </c>
      <c r="C218" s="91">
        <v>0</v>
      </c>
      <c r="D218" s="91">
        <v>0</v>
      </c>
      <c r="E218" s="91">
        <v>0</v>
      </c>
      <c r="F218" s="91">
        <v>0</v>
      </c>
      <c r="G218" t="str">
        <f>_xlfn.XLOOKUP($A218,Map!$A:$A,Map!C:C)</f>
        <v>IS</v>
      </c>
      <c r="H218" t="str">
        <f>_xlfn.XLOOKUP($A218,Map!$A:$A,Map!D:D)</f>
        <v>General and Admin</v>
      </c>
      <c r="I218" t="str">
        <f>_xlfn.XLOOKUP($A218,Map!$A:$A,Map!E:E)</f>
        <v>Salaries and wages</v>
      </c>
      <c r="J218" t="str">
        <f>_xlfn.XLOOKUP($A218,Map!$A:$A,Map!F:F)</f>
        <v>Sadagat expense</v>
      </c>
    </row>
    <row r="219" spans="1:10" x14ac:dyDescent="0.25">
      <c r="A219" s="90">
        <v>700050</v>
      </c>
      <c r="B219" s="90" t="s">
        <v>218</v>
      </c>
      <c r="C219" s="91">
        <v>0</v>
      </c>
      <c r="D219" s="91">
        <v>0</v>
      </c>
      <c r="E219" s="91">
        <v>0</v>
      </c>
      <c r="F219" s="91">
        <v>0</v>
      </c>
      <c r="G219" t="str">
        <f>_xlfn.XLOOKUP($A219,Map!$A:$A,Map!C:C)</f>
        <v>IS</v>
      </c>
      <c r="H219" t="str">
        <f>_xlfn.XLOOKUP($A219,Map!$A:$A,Map!D:D)</f>
        <v>Depreciation expenses</v>
      </c>
      <c r="I219" t="str">
        <f>_xlfn.XLOOKUP($A219,Map!$A:$A,Map!E:E)</f>
        <v>Depreciation expenses</v>
      </c>
      <c r="J219" t="str">
        <f>_xlfn.XLOOKUP($A219,Map!$A:$A,Map!F:F)</f>
        <v>Depreciation of property, plant and equipment</v>
      </c>
    </row>
    <row r="220" spans="1:10" x14ac:dyDescent="0.25">
      <c r="A220" s="90">
        <v>700052</v>
      </c>
      <c r="B220" s="90" t="s">
        <v>219</v>
      </c>
      <c r="C220" s="91">
        <v>0</v>
      </c>
      <c r="D220" s="91">
        <v>0</v>
      </c>
      <c r="E220" s="91">
        <v>0</v>
      </c>
      <c r="F220" s="91">
        <v>0</v>
      </c>
      <c r="G220" t="str">
        <f>_xlfn.XLOOKUP($A220,Map!$A:$A,Map!C:C)</f>
        <v>IS</v>
      </c>
      <c r="H220" t="str">
        <f>_xlfn.XLOOKUP($A220,Map!$A:$A,Map!D:D)</f>
        <v>Depreciation expenses</v>
      </c>
      <c r="I220" t="str">
        <f>_xlfn.XLOOKUP($A220,Map!$A:$A,Map!E:E)</f>
        <v>Depreciation expenses</v>
      </c>
      <c r="J220" t="str">
        <f>_xlfn.XLOOKUP($A220,Map!$A:$A,Map!F:F)</f>
        <v>Depreciation of property, plant and equipment</v>
      </c>
    </row>
    <row r="221" spans="1:10" x14ac:dyDescent="0.25">
      <c r="A221" s="90">
        <v>700053</v>
      </c>
      <c r="B221" s="90" t="s">
        <v>220</v>
      </c>
      <c r="C221" s="91">
        <v>0</v>
      </c>
      <c r="D221" s="91">
        <v>0</v>
      </c>
      <c r="E221" s="91">
        <v>0</v>
      </c>
      <c r="F221" s="91">
        <v>0</v>
      </c>
      <c r="G221" t="str">
        <f>_xlfn.XLOOKUP($A221,Map!$A:$A,Map!C:C)</f>
        <v>IS</v>
      </c>
      <c r="H221" t="str">
        <f>_xlfn.XLOOKUP($A221,Map!$A:$A,Map!D:D)</f>
        <v>Depreciation expenses</v>
      </c>
      <c r="I221" t="str">
        <f>_xlfn.XLOOKUP($A221,Map!$A:$A,Map!E:E)</f>
        <v>Depreciation expenses</v>
      </c>
      <c r="J221" t="str">
        <f>_xlfn.XLOOKUP($A221,Map!$A:$A,Map!F:F)</f>
        <v>Depreciation of property, plant and equipment</v>
      </c>
    </row>
    <row r="222" spans="1:10" x14ac:dyDescent="0.25">
      <c r="A222" s="90">
        <v>700054</v>
      </c>
      <c r="B222" s="90" t="s">
        <v>221</v>
      </c>
      <c r="C222" s="91">
        <v>0</v>
      </c>
      <c r="D222" s="91">
        <v>248830.22099999999</v>
      </c>
      <c r="E222" s="91">
        <v>37311.339999999997</v>
      </c>
      <c r="F222" s="91">
        <v>211518.88099999999</v>
      </c>
      <c r="G222" t="str">
        <f>_xlfn.XLOOKUP($A222,Map!$A:$A,Map!C:C)</f>
        <v>IS</v>
      </c>
      <c r="H222" t="str">
        <f>_xlfn.XLOOKUP($A222,Map!$A:$A,Map!D:D)</f>
        <v>Depreciation expenses</v>
      </c>
      <c r="I222" t="str">
        <f>_xlfn.XLOOKUP($A222,Map!$A:$A,Map!E:E)</f>
        <v>Depreciation expenses</v>
      </c>
      <c r="J222" t="str">
        <f>_xlfn.XLOOKUP($A222,Map!$A:$A,Map!F:F)</f>
        <v>Depreciation of property, plant and equipment</v>
      </c>
    </row>
    <row r="223" spans="1:10" x14ac:dyDescent="0.25">
      <c r="A223" s="90">
        <v>700055</v>
      </c>
      <c r="B223" s="90" t="s">
        <v>222</v>
      </c>
      <c r="C223" s="91">
        <v>0</v>
      </c>
      <c r="D223" s="91">
        <v>65055.127</v>
      </c>
      <c r="E223" s="91">
        <v>0</v>
      </c>
      <c r="F223" s="91">
        <v>65055.127</v>
      </c>
      <c r="G223" t="str">
        <f>_xlfn.XLOOKUP($A223,Map!$A:$A,Map!C:C)</f>
        <v>IS</v>
      </c>
      <c r="H223" t="str">
        <f>_xlfn.XLOOKUP($A223,Map!$A:$A,Map!D:D)</f>
        <v>Depreciation expenses</v>
      </c>
      <c r="I223" t="str">
        <f>_xlfn.XLOOKUP($A223,Map!$A:$A,Map!E:E)</f>
        <v>Depreciation expenses</v>
      </c>
      <c r="J223" t="str">
        <f>_xlfn.XLOOKUP($A223,Map!$A:$A,Map!F:F)</f>
        <v>Depreciation of property, plant and equipment</v>
      </c>
    </row>
    <row r="224" spans="1:10" x14ac:dyDescent="0.25">
      <c r="A224" s="90">
        <v>700056</v>
      </c>
      <c r="B224" s="90" t="s">
        <v>223</v>
      </c>
      <c r="C224" s="91">
        <v>0</v>
      </c>
      <c r="D224" s="91">
        <v>0</v>
      </c>
      <c r="E224" s="91">
        <v>0</v>
      </c>
      <c r="F224" s="91">
        <v>0</v>
      </c>
      <c r="G224" t="str">
        <f>_xlfn.XLOOKUP($A224,Map!$A:$A,Map!C:C)</f>
        <v>IS</v>
      </c>
      <c r="H224" t="str">
        <f>_xlfn.XLOOKUP($A224,Map!$A:$A,Map!D:D)</f>
        <v>Depreciation expenses</v>
      </c>
      <c r="I224" t="str">
        <f>_xlfn.XLOOKUP($A224,Map!$A:$A,Map!E:E)</f>
        <v>Depreciation expenses</v>
      </c>
      <c r="J224" t="str">
        <f>_xlfn.XLOOKUP($A224,Map!$A:$A,Map!F:F)</f>
        <v>Depreciation of property, plant and equipment</v>
      </c>
    </row>
    <row r="225" spans="1:10" x14ac:dyDescent="0.25">
      <c r="A225" s="90">
        <v>700057</v>
      </c>
      <c r="B225" s="90" t="s">
        <v>224</v>
      </c>
      <c r="C225" s="91">
        <v>0</v>
      </c>
      <c r="D225" s="91">
        <v>284000.00400000002</v>
      </c>
      <c r="E225" s="91">
        <v>0</v>
      </c>
      <c r="F225" s="91">
        <v>284000.00400000002</v>
      </c>
      <c r="G225" t="str">
        <f>_xlfn.XLOOKUP($A225,Map!$A:$A,Map!C:C)</f>
        <v>IS</v>
      </c>
      <c r="H225" t="str">
        <f>_xlfn.XLOOKUP($A225,Map!$A:$A,Map!D:D)</f>
        <v>Cost of sales</v>
      </c>
      <c r="I225" t="str">
        <f>_xlfn.XLOOKUP($A225,Map!$A:$A,Map!E:E)</f>
        <v>Overhead - Rent</v>
      </c>
      <c r="J225" t="str">
        <f>_xlfn.XLOOKUP($A225,Map!$A:$A,Map!F:F)</f>
        <v>Warehouse Rent ( Khamis, Rioyadh, Dammam)</v>
      </c>
    </row>
    <row r="226" spans="1:10" x14ac:dyDescent="0.25">
      <c r="A226" s="90">
        <v>700058</v>
      </c>
      <c r="B226" s="90" t="s">
        <v>225</v>
      </c>
      <c r="C226" s="91">
        <v>0</v>
      </c>
      <c r="D226" s="91">
        <v>4000</v>
      </c>
      <c r="E226" s="91">
        <v>0</v>
      </c>
      <c r="F226" s="91">
        <v>4000</v>
      </c>
      <c r="G226" t="str">
        <f>_xlfn.XLOOKUP($A226,Map!$A:$A,Map!C:C)</f>
        <v>IS</v>
      </c>
      <c r="H226" t="str">
        <f>_xlfn.XLOOKUP($A226,Map!$A:$A,Map!D:D)</f>
        <v>Selling and Marketing</v>
      </c>
      <c r="I226" t="str">
        <f>_xlfn.XLOOKUP($A226,Map!$A:$A,Map!E:E)</f>
        <v>Advertising and promotion expenses</v>
      </c>
      <c r="J226" t="str">
        <f>_xlfn.XLOOKUP($A226,Map!$A:$A,Map!F:F)</f>
        <v>Advertising and promotion expenses</v>
      </c>
    </row>
    <row r="227" spans="1:10" x14ac:dyDescent="0.25">
      <c r="A227" s="90">
        <v>700059</v>
      </c>
      <c r="B227" s="90" t="s">
        <v>226</v>
      </c>
      <c r="C227" s="91">
        <v>0</v>
      </c>
      <c r="D227" s="91">
        <v>0</v>
      </c>
      <c r="E227" s="91">
        <v>0</v>
      </c>
      <c r="F227" s="91">
        <v>0</v>
      </c>
      <c r="G227" t="str">
        <f>_xlfn.XLOOKUP($A227,Map!$A:$A,Map!C:C)</f>
        <v>IS</v>
      </c>
      <c r="H227" t="str">
        <f>_xlfn.XLOOKUP($A227,Map!$A:$A,Map!D:D)</f>
        <v>Selling and Marketing</v>
      </c>
      <c r="I227" t="str">
        <f>_xlfn.XLOOKUP($A227,Map!$A:$A,Map!E:E)</f>
        <v>Exhibitions</v>
      </c>
      <c r="J227" t="str">
        <f>_xlfn.XLOOKUP($A227,Map!$A:$A,Map!F:F)</f>
        <v>Exhibitions</v>
      </c>
    </row>
    <row r="228" spans="1:10" x14ac:dyDescent="0.25">
      <c r="A228" s="90">
        <v>700060</v>
      </c>
      <c r="B228" s="90" t="s">
        <v>227</v>
      </c>
      <c r="C228" s="91">
        <v>0</v>
      </c>
      <c r="D228" s="91">
        <v>3879437.1570000001</v>
      </c>
      <c r="E228" s="91">
        <v>1187379.82</v>
      </c>
      <c r="F228" s="91">
        <v>2692057.3369999998</v>
      </c>
      <c r="G228" t="str">
        <f>_xlfn.XLOOKUP($A228,Map!$A:$A,Map!C:C)</f>
        <v>IS</v>
      </c>
      <c r="H228" t="str">
        <f>_xlfn.XLOOKUP($A228,Map!$A:$A,Map!D:D)</f>
        <v>Cost of sales</v>
      </c>
      <c r="I228" t="str">
        <f>_xlfn.XLOOKUP($A228,Map!$A:$A,Map!E:E)</f>
        <v>Freight expenses</v>
      </c>
      <c r="J228" t="str">
        <f>_xlfn.XLOOKUP($A228,Map!$A:$A,Map!F:F)</f>
        <v>Freight expenses</v>
      </c>
    </row>
    <row r="229" spans="1:10" x14ac:dyDescent="0.25">
      <c r="A229" s="90">
        <v>700061</v>
      </c>
      <c r="B229" s="90" t="s">
        <v>228</v>
      </c>
      <c r="C229" s="91">
        <v>0</v>
      </c>
      <c r="D229" s="91">
        <v>254893.24</v>
      </c>
      <c r="E229" s="91">
        <v>0</v>
      </c>
      <c r="F229" s="91">
        <v>254893.24</v>
      </c>
      <c r="G229" t="str">
        <f>_xlfn.XLOOKUP($A229,Map!$A:$A,Map!C:C)</f>
        <v>IS</v>
      </c>
      <c r="H229" t="str">
        <f>_xlfn.XLOOKUP($A229,Map!$A:$A,Map!D:D)</f>
        <v>Selling and Marketing</v>
      </c>
      <c r="I229" t="str">
        <f>_xlfn.XLOOKUP($A229,Map!$A:$A,Map!E:E)</f>
        <v>Commission expenses</v>
      </c>
      <c r="J229" t="str">
        <f>_xlfn.XLOOKUP($A229,Map!$A:$A,Map!F:F)</f>
        <v>Commission expenses</v>
      </c>
    </row>
    <row r="230" spans="1:10" x14ac:dyDescent="0.25">
      <c r="A230" s="90">
        <v>700062</v>
      </c>
      <c r="B230" s="90" t="s">
        <v>229</v>
      </c>
      <c r="C230" s="91">
        <v>0</v>
      </c>
      <c r="D230" s="91">
        <v>333333.32400000002</v>
      </c>
      <c r="E230" s="91">
        <v>7872.32</v>
      </c>
      <c r="F230" s="91">
        <v>325461.00400000002</v>
      </c>
      <c r="G230" t="str">
        <f>_xlfn.XLOOKUP($A230,Map!$A:$A,Map!C:C)</f>
        <v>IS</v>
      </c>
      <c r="H230" t="str">
        <f>_xlfn.XLOOKUP($A230,Map!$A:$A,Map!D:D)</f>
        <v>Revised provision on Bad Debts</v>
      </c>
      <c r="I230" t="str">
        <f>_xlfn.XLOOKUP($A230,Map!$A:$A,Map!E:E)</f>
        <v>Bad debts expense</v>
      </c>
      <c r="J230" t="str">
        <f>_xlfn.XLOOKUP($A230,Map!$A:$A,Map!F:F)</f>
        <v>Bad debts expense</v>
      </c>
    </row>
    <row r="231" spans="1:10" x14ac:dyDescent="0.25">
      <c r="A231" s="90">
        <v>700063</v>
      </c>
      <c r="B231" s="90" t="s">
        <v>230</v>
      </c>
      <c r="C231" s="91">
        <v>0</v>
      </c>
      <c r="D231" s="91">
        <v>1001491.04</v>
      </c>
      <c r="E231" s="91">
        <v>90937.32</v>
      </c>
      <c r="F231" s="91">
        <v>910553.72</v>
      </c>
      <c r="G231" t="str">
        <f>_xlfn.XLOOKUP($A231,Map!$A:$A,Map!C:C)</f>
        <v>IS</v>
      </c>
      <c r="H231" t="str">
        <f>_xlfn.XLOOKUP($A231,Map!$A:$A,Map!D:D)</f>
        <v>General and Admin</v>
      </c>
      <c r="I231" t="str">
        <f>_xlfn.XLOOKUP($A231,Map!$A:$A,Map!E:E)</f>
        <v>Salaries and wages</v>
      </c>
      <c r="J231" t="str">
        <f>_xlfn.XLOOKUP($A231,Map!$A:$A,Map!F:F)</f>
        <v>GOSI</v>
      </c>
    </row>
    <row r="232" spans="1:10" x14ac:dyDescent="0.25">
      <c r="A232" s="90">
        <v>700064</v>
      </c>
      <c r="B232" s="90" t="s">
        <v>231</v>
      </c>
      <c r="C232" s="91">
        <v>0</v>
      </c>
      <c r="D232" s="91">
        <v>0</v>
      </c>
      <c r="E232" s="91">
        <v>0</v>
      </c>
      <c r="F232" s="91">
        <v>0</v>
      </c>
      <c r="G232" t="str">
        <f>_xlfn.XLOOKUP($A232,Map!$A:$A,Map!C:C)</f>
        <v>IS</v>
      </c>
      <c r="H232" t="str">
        <f>_xlfn.XLOOKUP($A232,Map!$A:$A,Map!D:D)</f>
        <v>Pre-operating expenses</v>
      </c>
      <c r="I232" t="str">
        <f>_xlfn.XLOOKUP($A232,Map!$A:$A,Map!E:E)</f>
        <v>Pre-operating expenses</v>
      </c>
      <c r="J232" t="str">
        <f>_xlfn.XLOOKUP($A232,Map!$A:$A,Map!F:F)</f>
        <v>Amortization</v>
      </c>
    </row>
    <row r="233" spans="1:10" x14ac:dyDescent="0.25">
      <c r="A233" s="90">
        <v>700065</v>
      </c>
      <c r="B233" s="90" t="s">
        <v>245</v>
      </c>
      <c r="C233" s="91">
        <v>0</v>
      </c>
      <c r="D233" s="91">
        <v>63176.355000000003</v>
      </c>
      <c r="E233" s="91">
        <v>1271.789</v>
      </c>
      <c r="F233" s="91">
        <v>61904.565999999999</v>
      </c>
      <c r="G233" t="str">
        <f>_xlfn.XLOOKUP($A233,Map!$A:$A,Map!C:C)</f>
        <v>IS</v>
      </c>
      <c r="H233" t="str">
        <f>_xlfn.XLOOKUP($A233,Map!$A:$A,Map!D:D)</f>
        <v>Finance cost</v>
      </c>
      <c r="I233" t="str">
        <f>_xlfn.XLOOKUP($A233,Map!$A:$A,Map!E:E)</f>
        <v>Finance cost</v>
      </c>
      <c r="J233" t="str">
        <f>_xlfn.XLOOKUP($A233,Map!$A:$A,Map!F:F)</f>
        <v>Lease interest</v>
      </c>
    </row>
    <row r="234" spans="1:10" x14ac:dyDescent="0.25">
      <c r="A234" s="90">
        <v>700066</v>
      </c>
      <c r="B234" s="90" t="s">
        <v>233</v>
      </c>
      <c r="C234" s="91">
        <v>0</v>
      </c>
      <c r="D234" s="91">
        <v>103000</v>
      </c>
      <c r="E234" s="91">
        <v>8240</v>
      </c>
      <c r="F234" s="91">
        <v>94760</v>
      </c>
      <c r="G234" t="str">
        <f>_xlfn.XLOOKUP($A234,Map!$A:$A,Map!C:C)</f>
        <v>IS</v>
      </c>
      <c r="H234" t="str">
        <f>_xlfn.XLOOKUP($A234,Map!$A:$A,Map!D:D)</f>
        <v>General and Admin</v>
      </c>
      <c r="I234" t="str">
        <f>_xlfn.XLOOKUP($A234,Map!$A:$A,Map!E:E)</f>
        <v>Govt license and fees (including modon)</v>
      </c>
      <c r="J234" t="str">
        <f>_xlfn.XLOOKUP($A234,Map!$A:$A,Map!F:F)</f>
        <v>3rd Industrial Area Lease Provision</v>
      </c>
    </row>
    <row r="235" spans="1:10" x14ac:dyDescent="0.25">
      <c r="A235" s="90">
        <v>800001</v>
      </c>
      <c r="B235" s="90" t="s">
        <v>235</v>
      </c>
      <c r="C235" s="91">
        <v>0</v>
      </c>
      <c r="D235" s="91">
        <v>0</v>
      </c>
      <c r="E235" s="91">
        <v>444285</v>
      </c>
      <c r="F235" s="91">
        <v>-444285</v>
      </c>
      <c r="G235" t="str">
        <f>_xlfn.XLOOKUP($A235,Map!$A:$A,Map!C:C)</f>
        <v>BS</v>
      </c>
      <c r="H235" t="str">
        <f>_xlfn.XLOOKUP($A235,Map!$A:$A,Map!D:D)</f>
        <v>Non-Current Liabilities</v>
      </c>
      <c r="I235" t="str">
        <f>_xlfn.XLOOKUP($A235,Map!$A:$A,Map!E:E)</f>
        <v xml:space="preserve">Due to related parties </v>
      </c>
      <c r="J235" t="str">
        <f>_xlfn.XLOOKUP($A235,Map!$A:$A,Map!F:F)</f>
        <v>Aims Holding  Current Acc</v>
      </c>
    </row>
    <row r="237" spans="1:10" x14ac:dyDescent="0.25">
      <c r="C237" s="93">
        <f>SUBTOTAL(9,C5:C236)</f>
        <v>-1.4901161193847656E-8</v>
      </c>
      <c r="D237" s="93">
        <f>SUBTOTAL(9,D5:D236)</f>
        <v>2039790130.9910004</v>
      </c>
      <c r="E237" s="93">
        <f>SUBTOTAL(9,E5:E236)</f>
        <v>2039790130.9910009</v>
      </c>
      <c r="F237" s="93">
        <f>SUBTOTAL(9,F5:F236)</f>
        <v>7.834751158952713E-8</v>
      </c>
    </row>
    <row r="238" spans="1:10" x14ac:dyDescent="0.25">
      <c r="C238" s="93"/>
      <c r="D238" s="93"/>
      <c r="E238" s="93"/>
      <c r="F238" s="93"/>
    </row>
    <row r="239" spans="1:10" x14ac:dyDescent="0.25">
      <c r="A239" s="5" t="s">
        <v>531</v>
      </c>
      <c r="D239" s="4"/>
      <c r="E239" s="4"/>
    </row>
    <row r="240" spans="1:10" x14ac:dyDescent="0.25">
      <c r="A240" s="90">
        <v>600033</v>
      </c>
      <c r="B240" s="90" t="s">
        <v>721</v>
      </c>
      <c r="D240" s="91">
        <v>160112.508</v>
      </c>
      <c r="E240" s="91">
        <v>0</v>
      </c>
      <c r="F240" s="91">
        <f>D240-E240</f>
        <v>160112.508</v>
      </c>
      <c r="G240" t="str">
        <f>_xlfn.XLOOKUP($A240,Map!$A:$A,Map!C:C)</f>
        <v>IS</v>
      </c>
      <c r="H240" t="str">
        <f>_xlfn.XLOOKUP($A240,Map!$A:$A,Map!D:D)</f>
        <v>Depreciation expenses</v>
      </c>
      <c r="I240" t="str">
        <f>_xlfn.XLOOKUP($A240,Map!$A:$A,Map!E:E)</f>
        <v>Depreciation expenses</v>
      </c>
      <c r="J240" t="str">
        <f>_xlfn.XLOOKUP($A240,Map!$A:$A,Map!F:F)</f>
        <v>Depreciation of property, plant and equipment</v>
      </c>
    </row>
    <row r="241" spans="1:10" x14ac:dyDescent="0.25">
      <c r="A241" s="90">
        <v>600032</v>
      </c>
      <c r="B241" s="90" t="s">
        <v>721</v>
      </c>
      <c r="D241" s="91">
        <v>1491578.6159999999</v>
      </c>
      <c r="E241" s="91">
        <v>0</v>
      </c>
      <c r="F241" s="91">
        <f t="shared" ref="F241:F288" si="0">D241-E241</f>
        <v>1491578.6159999999</v>
      </c>
      <c r="G241" t="str">
        <f>_xlfn.XLOOKUP($A241,Map!$A:$A,Map!C:C)</f>
        <v>IS</v>
      </c>
      <c r="H241" t="str">
        <f>_xlfn.XLOOKUP($A241,Map!$A:$A,Map!D:D)</f>
        <v>Depreciation expenses</v>
      </c>
      <c r="I241" t="str">
        <f>_xlfn.XLOOKUP($A241,Map!$A:$A,Map!E:E)</f>
        <v>Depreciation expenses</v>
      </c>
      <c r="J241" t="str">
        <f>_xlfn.XLOOKUP($A241,Map!$A:$A,Map!F:F)</f>
        <v>Depreciation of property, plant and equipment</v>
      </c>
    </row>
    <row r="242" spans="1:10" x14ac:dyDescent="0.25">
      <c r="A242" s="90">
        <v>600031</v>
      </c>
      <c r="B242" s="90" t="s">
        <v>721</v>
      </c>
      <c r="D242" s="91">
        <v>0</v>
      </c>
      <c r="E242" s="91">
        <v>0</v>
      </c>
      <c r="F242" s="91">
        <f t="shared" si="0"/>
        <v>0</v>
      </c>
      <c r="G242" t="str">
        <f>_xlfn.XLOOKUP($A242,Map!$A:$A,Map!C:C)</f>
        <v>IS</v>
      </c>
      <c r="H242" t="str">
        <f>_xlfn.XLOOKUP($A242,Map!$A:$A,Map!D:D)</f>
        <v>Depreciation expenses</v>
      </c>
      <c r="I242" t="str">
        <f>_xlfn.XLOOKUP($A242,Map!$A:$A,Map!E:E)</f>
        <v>Depreciation expenses</v>
      </c>
      <c r="J242" t="str">
        <f>_xlfn.XLOOKUP($A242,Map!$A:$A,Map!F:F)</f>
        <v>Depreciation of property, plant and equipment</v>
      </c>
    </row>
    <row r="243" spans="1:10" x14ac:dyDescent="0.25">
      <c r="A243" s="90">
        <v>600030</v>
      </c>
      <c r="B243" s="90" t="s">
        <v>721</v>
      </c>
      <c r="D243" s="91">
        <v>56147.614999999998</v>
      </c>
      <c r="E243" s="91">
        <v>0</v>
      </c>
      <c r="F243" s="91">
        <f t="shared" si="0"/>
        <v>56147.614999999998</v>
      </c>
      <c r="G243" t="str">
        <f>_xlfn.XLOOKUP($A243,Map!$A:$A,Map!C:C)</f>
        <v>IS</v>
      </c>
      <c r="H243" t="str">
        <f>_xlfn.XLOOKUP($A243,Map!$A:$A,Map!D:D)</f>
        <v>Depreciation expenses</v>
      </c>
      <c r="I243" t="str">
        <f>_xlfn.XLOOKUP($A243,Map!$A:$A,Map!E:E)</f>
        <v>Depreciation expenses</v>
      </c>
      <c r="J243" t="str">
        <f>_xlfn.XLOOKUP($A243,Map!$A:$A,Map!F:F)</f>
        <v>Depreciation of property, plant and equipment</v>
      </c>
    </row>
    <row r="244" spans="1:10" x14ac:dyDescent="0.25">
      <c r="A244" s="90">
        <v>600029</v>
      </c>
      <c r="B244" s="90" t="s">
        <v>721</v>
      </c>
      <c r="D244" s="91">
        <v>3256640.844</v>
      </c>
      <c r="E244" s="91">
        <v>0</v>
      </c>
      <c r="F244" s="91">
        <f t="shared" si="0"/>
        <v>3256640.844</v>
      </c>
      <c r="G244" t="str">
        <f>_xlfn.XLOOKUP($A244,Map!$A:$A,Map!C:C)</f>
        <v>IS</v>
      </c>
      <c r="H244" t="str">
        <f>_xlfn.XLOOKUP($A244,Map!$A:$A,Map!D:D)</f>
        <v>Cost of sales</v>
      </c>
      <c r="I244" t="str">
        <f>_xlfn.XLOOKUP($A244,Map!$A:$A,Map!E:E)</f>
        <v>Depreciation - Machines</v>
      </c>
      <c r="J244" t="str">
        <f>_xlfn.XLOOKUP($A244,Map!$A:$A,Map!F:F)</f>
        <v>Depreciation of property, plant and equipment</v>
      </c>
    </row>
    <row r="245" spans="1:10" x14ac:dyDescent="0.25">
      <c r="A245" s="90">
        <v>600028</v>
      </c>
      <c r="B245" s="90" t="s">
        <v>721</v>
      </c>
      <c r="D245" s="91">
        <v>38057.71</v>
      </c>
      <c r="E245" s="91">
        <v>0</v>
      </c>
      <c r="F245" s="91">
        <f t="shared" si="0"/>
        <v>38057.71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Overhead - Consumables &amp; SP</v>
      </c>
      <c r="J245" t="str">
        <f>_xlfn.XLOOKUP($A245,Map!$A:$A,Map!F:F)</f>
        <v xml:space="preserve">Education &amp; Furniture Allowances </v>
      </c>
    </row>
    <row r="246" spans="1:10" x14ac:dyDescent="0.25">
      <c r="A246" s="90">
        <v>600027</v>
      </c>
      <c r="B246" s="90" t="s">
        <v>721</v>
      </c>
      <c r="D246" s="91">
        <v>20884.348000000002</v>
      </c>
      <c r="E246" s="91">
        <v>0</v>
      </c>
      <c r="F246" s="91">
        <f t="shared" si="0"/>
        <v>20884.348000000002</v>
      </c>
      <c r="G246" t="str">
        <f>_xlfn.XLOOKUP($A246,Map!$A:$A,Map!C:C)</f>
        <v>IS</v>
      </c>
      <c r="H246" t="str">
        <f>_xlfn.XLOOKUP($A246,Map!$A:$A,Map!D:D)</f>
        <v>Cost of sales</v>
      </c>
      <c r="I246" t="str">
        <f>_xlfn.XLOOKUP($A246,Map!$A:$A,Map!E:E)</f>
        <v>Overhead - Rent</v>
      </c>
      <c r="J246" t="str">
        <f>_xlfn.XLOOKUP($A246,Map!$A:$A,Map!F:F)</f>
        <v>Production hall rental</v>
      </c>
    </row>
    <row r="247" spans="1:10" x14ac:dyDescent="0.25">
      <c r="A247" s="90">
        <v>600026</v>
      </c>
      <c r="B247" s="90" t="s">
        <v>721</v>
      </c>
      <c r="D247" s="91">
        <v>0</v>
      </c>
      <c r="E247" s="91">
        <v>0</v>
      </c>
      <c r="F247" s="91">
        <f t="shared" si="0"/>
        <v>0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Overhead - Insurance</v>
      </c>
      <c r="J247" t="str">
        <f>_xlfn.XLOOKUP($A247,Map!$A:$A,Map!F:F)</f>
        <v>Machine and equipment insurance</v>
      </c>
    </row>
    <row r="248" spans="1:10" x14ac:dyDescent="0.25">
      <c r="A248" s="90">
        <v>600025</v>
      </c>
      <c r="B248" s="90" t="s">
        <v>721</v>
      </c>
      <c r="D248" s="91">
        <v>0</v>
      </c>
      <c r="E248" s="91">
        <v>0</v>
      </c>
      <c r="F248" s="91">
        <f t="shared" si="0"/>
        <v>0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Overhead - Insurance</v>
      </c>
      <c r="J248" t="str">
        <f>_xlfn.XLOOKUP($A248,Map!$A:$A,Map!F:F)</f>
        <v>Building insurance</v>
      </c>
    </row>
    <row r="249" spans="1:10" x14ac:dyDescent="0.25">
      <c r="A249" s="90">
        <v>600024</v>
      </c>
      <c r="B249" s="90" t="s">
        <v>721</v>
      </c>
      <c r="D249" s="91">
        <v>14937.3</v>
      </c>
      <c r="E249" s="91">
        <v>0</v>
      </c>
      <c r="F249" s="91">
        <f t="shared" si="0"/>
        <v>14937.3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Overhead - Rent</v>
      </c>
      <c r="J249" t="str">
        <f>_xlfn.XLOOKUP($A249,Map!$A:$A,Map!F:F)</f>
        <v>Pump rental expenses</v>
      </c>
    </row>
    <row r="250" spans="1:10" x14ac:dyDescent="0.25">
      <c r="A250" s="90">
        <v>600023</v>
      </c>
      <c r="B250" s="90" t="s">
        <v>721</v>
      </c>
      <c r="D250" s="91">
        <v>2528.75</v>
      </c>
      <c r="E250" s="91">
        <v>0</v>
      </c>
      <c r="F250" s="91">
        <f t="shared" si="0"/>
        <v>2528.75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Overhead - R&amp;M</v>
      </c>
      <c r="J250" t="str">
        <f>_xlfn.XLOOKUP($A250,Map!$A:$A,Map!F:F)</f>
        <v>Office equipment maintenance</v>
      </c>
    </row>
    <row r="251" spans="1:10" x14ac:dyDescent="0.25">
      <c r="A251" s="90">
        <v>600022</v>
      </c>
      <c r="B251" s="90" t="s">
        <v>721</v>
      </c>
      <c r="D251" s="91">
        <v>122092.9</v>
      </c>
      <c r="E251" s="91">
        <v>0</v>
      </c>
      <c r="F251" s="91">
        <f t="shared" si="0"/>
        <v>122092.9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Overhead - R&amp;M</v>
      </c>
      <c r="J251" t="str">
        <f>_xlfn.XLOOKUP($A251,Map!$A:$A,Map!F:F)</f>
        <v>Building maintenance</v>
      </c>
    </row>
    <row r="252" spans="1:10" x14ac:dyDescent="0.25">
      <c r="A252" s="90">
        <v>600021</v>
      </c>
      <c r="B252" s="90" t="s">
        <v>721</v>
      </c>
      <c r="D252" s="91">
        <v>100491.51</v>
      </c>
      <c r="E252" s="91">
        <v>0</v>
      </c>
      <c r="F252" s="91">
        <f t="shared" si="0"/>
        <v>100491.51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Overhead - R&amp;M</v>
      </c>
      <c r="J252" t="str">
        <f>_xlfn.XLOOKUP($A252,Map!$A:$A,Map!F:F)</f>
        <v>Vehicle maintenance</v>
      </c>
    </row>
    <row r="253" spans="1:10" x14ac:dyDescent="0.25">
      <c r="A253" s="90">
        <v>600020</v>
      </c>
      <c r="B253" s="90" t="s">
        <v>721</v>
      </c>
      <c r="D253" s="91">
        <v>241753.386</v>
      </c>
      <c r="E253" s="91">
        <v>0</v>
      </c>
      <c r="F253" s="91">
        <f t="shared" si="0"/>
        <v>241753.386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Overhead - R&amp;M</v>
      </c>
      <c r="J253" t="str">
        <f>_xlfn.XLOOKUP($A253,Map!$A:$A,Map!F:F)</f>
        <v>Machine and equipment</v>
      </c>
    </row>
    <row r="254" spans="1:10" x14ac:dyDescent="0.25">
      <c r="A254" s="90">
        <v>600019</v>
      </c>
      <c r="B254" s="90" t="s">
        <v>721</v>
      </c>
      <c r="D254" s="91">
        <v>162035.36600000001</v>
      </c>
      <c r="E254" s="91">
        <v>0</v>
      </c>
      <c r="F254" s="91">
        <f t="shared" si="0"/>
        <v>162035.36600000001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Overhead - Utility</v>
      </c>
      <c r="J254" t="str">
        <f>_xlfn.XLOOKUP($A254,Map!$A:$A,Map!F:F)</f>
        <v>Fuel and oil</v>
      </c>
    </row>
    <row r="255" spans="1:10" x14ac:dyDescent="0.25">
      <c r="A255" s="90">
        <v>600018</v>
      </c>
      <c r="B255" s="90" t="s">
        <v>721</v>
      </c>
      <c r="D255" s="91">
        <v>270503</v>
      </c>
      <c r="E255" s="91">
        <v>0</v>
      </c>
      <c r="F255" s="91">
        <f t="shared" si="0"/>
        <v>270503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Overhead - Utility</v>
      </c>
      <c r="J255" t="str">
        <f>_xlfn.XLOOKUP($A255,Map!$A:$A,Map!F:F)</f>
        <v>Water expenses</v>
      </c>
    </row>
    <row r="256" spans="1:10" x14ac:dyDescent="0.25">
      <c r="A256" s="90">
        <v>600017</v>
      </c>
      <c r="B256" s="90" t="s">
        <v>721</v>
      </c>
      <c r="D256" s="91">
        <v>2001568.209</v>
      </c>
      <c r="E256" s="91">
        <v>0</v>
      </c>
      <c r="F256" s="91">
        <f t="shared" si="0"/>
        <v>2001568.209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Overhead - Utility</v>
      </c>
      <c r="J256" t="str">
        <f>_xlfn.XLOOKUP($A256,Map!$A:$A,Map!F:F)</f>
        <v>Electricity expenses</v>
      </c>
    </row>
    <row r="257" spans="1:10" x14ac:dyDescent="0.25">
      <c r="A257" s="90">
        <v>600016</v>
      </c>
      <c r="B257" s="90" t="s">
        <v>721</v>
      </c>
      <c r="D257" s="91">
        <v>1838713.0889999999</v>
      </c>
      <c r="E257" s="91">
        <v>0</v>
      </c>
      <c r="F257" s="91">
        <f t="shared" si="0"/>
        <v>1838713.0889999999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Overhead - Consumables &amp; SP</v>
      </c>
      <c r="J257" t="str">
        <f>_xlfn.XLOOKUP($A257,Map!$A:$A,Map!F:F)</f>
        <v>Tools</v>
      </c>
    </row>
    <row r="258" spans="1:10" x14ac:dyDescent="0.25">
      <c r="A258" s="90">
        <v>600015</v>
      </c>
      <c r="B258" s="90" t="s">
        <v>721</v>
      </c>
      <c r="D258" s="91">
        <v>0</v>
      </c>
      <c r="E258" s="91">
        <v>0</v>
      </c>
      <c r="F258" s="91">
        <f t="shared" si="0"/>
        <v>0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Overhead - Consumables &amp; SP</v>
      </c>
      <c r="J258" t="str">
        <f>_xlfn.XLOOKUP($A258,Map!$A:$A,Map!F:F)</f>
        <v>Consumables</v>
      </c>
    </row>
    <row r="259" spans="1:10" x14ac:dyDescent="0.25">
      <c r="A259" s="90">
        <v>600014</v>
      </c>
      <c r="B259" s="90" t="s">
        <v>721</v>
      </c>
      <c r="D259" s="91">
        <v>2413846.3640000001</v>
      </c>
      <c r="E259" s="91">
        <v>0</v>
      </c>
      <c r="F259" s="91">
        <f t="shared" si="0"/>
        <v>2413846.3640000001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Overhead - Consumables &amp; SP</v>
      </c>
      <c r="J259" t="str">
        <f>_xlfn.XLOOKUP($A259,Map!$A:$A,Map!F:F)</f>
        <v>Consumables</v>
      </c>
    </row>
    <row r="260" spans="1:10" x14ac:dyDescent="0.25">
      <c r="A260" s="90">
        <v>600013</v>
      </c>
      <c r="B260" s="90" t="s">
        <v>721</v>
      </c>
      <c r="D260" s="91">
        <v>0</v>
      </c>
      <c r="E260" s="91">
        <v>0</v>
      </c>
      <c r="F260" s="91">
        <f t="shared" si="0"/>
        <v>0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Overhead - Labor Cost</v>
      </c>
      <c r="J260" t="str">
        <f>_xlfn.XLOOKUP($A260,Map!$A:$A,Map!F:F)</f>
        <v>Telephone allowance</v>
      </c>
    </row>
    <row r="261" spans="1:10" x14ac:dyDescent="0.25">
      <c r="A261" s="90">
        <v>600012</v>
      </c>
      <c r="B261" s="90" t="s">
        <v>721</v>
      </c>
      <c r="D261" s="91">
        <v>1650</v>
      </c>
      <c r="E261" s="91">
        <v>0</v>
      </c>
      <c r="F261" s="91">
        <f t="shared" si="0"/>
        <v>1650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Overhead - Labor Cost</v>
      </c>
      <c r="J261" t="str">
        <f>_xlfn.XLOOKUP($A261,Map!$A:$A,Map!F:F)</f>
        <v xml:space="preserve">Education &amp; Furniture Allowances </v>
      </c>
    </row>
    <row r="262" spans="1:10" x14ac:dyDescent="0.25">
      <c r="A262" s="90">
        <v>600011</v>
      </c>
      <c r="B262" s="90" t="s">
        <v>721</v>
      </c>
      <c r="D262" s="91">
        <v>12000</v>
      </c>
      <c r="E262" s="91">
        <v>0</v>
      </c>
      <c r="F262" s="91">
        <f t="shared" si="0"/>
        <v>12000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Overhead - Labor Cost</v>
      </c>
      <c r="J262" t="str">
        <f>_xlfn.XLOOKUP($A262,Map!$A:$A,Map!F:F)</f>
        <v>Air tickets</v>
      </c>
    </row>
    <row r="263" spans="1:10" x14ac:dyDescent="0.25">
      <c r="A263" s="90">
        <v>600010</v>
      </c>
      <c r="B263" s="90" t="s">
        <v>721</v>
      </c>
      <c r="D263" s="91">
        <v>0</v>
      </c>
      <c r="E263" s="91">
        <v>0</v>
      </c>
      <c r="F263" s="91">
        <f t="shared" si="0"/>
        <v>0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Overhead - Labor Cost</v>
      </c>
      <c r="J263" t="str">
        <f>_xlfn.XLOOKUP($A263,Map!$A:$A,Map!F:F)</f>
        <v>EOS expenses</v>
      </c>
    </row>
    <row r="264" spans="1:10" x14ac:dyDescent="0.25">
      <c r="A264" s="90">
        <v>600009</v>
      </c>
      <c r="B264" s="90" t="s">
        <v>721</v>
      </c>
      <c r="D264" s="91">
        <v>304164.17</v>
      </c>
      <c r="E264" s="91">
        <v>0</v>
      </c>
      <c r="F264" s="91">
        <f t="shared" si="0"/>
        <v>304164.17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Overhead - Labor Cost</v>
      </c>
      <c r="J264" t="str">
        <f>_xlfn.XLOOKUP($A264,Map!$A:$A,Map!F:F)</f>
        <v>Vacation pay</v>
      </c>
    </row>
    <row r="265" spans="1:10" x14ac:dyDescent="0.25">
      <c r="A265" s="90">
        <v>600008</v>
      </c>
      <c r="B265" s="90" t="s">
        <v>721</v>
      </c>
      <c r="D265" s="91">
        <v>133498.29</v>
      </c>
      <c r="E265" s="91">
        <v>0</v>
      </c>
      <c r="F265" s="91">
        <f t="shared" si="0"/>
        <v>133498.29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Overhead - Labor Cost</v>
      </c>
      <c r="J265" t="str">
        <f>_xlfn.XLOOKUP($A265,Map!$A:$A,Map!F:F)</f>
        <v>Air tickets</v>
      </c>
    </row>
    <row r="266" spans="1:10" x14ac:dyDescent="0.25">
      <c r="A266" s="90">
        <v>600007</v>
      </c>
      <c r="B266" s="90" t="s">
        <v>721</v>
      </c>
      <c r="D266" s="91">
        <v>112525.18</v>
      </c>
      <c r="E266" s="91">
        <v>0</v>
      </c>
      <c r="F266" s="91">
        <f t="shared" si="0"/>
        <v>112525.18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Overhead - Labor Cost</v>
      </c>
      <c r="J266" t="str">
        <f>_xlfn.XLOOKUP($A266,Map!$A:$A,Map!F:F)</f>
        <v>Transportation allowance</v>
      </c>
    </row>
    <row r="267" spans="1:10" x14ac:dyDescent="0.25">
      <c r="A267" s="90">
        <v>600006</v>
      </c>
      <c r="B267" s="90" t="s">
        <v>721</v>
      </c>
      <c r="D267" s="91">
        <v>488042.99599999998</v>
      </c>
      <c r="E267" s="91">
        <v>0</v>
      </c>
      <c r="F267" s="91">
        <f t="shared" si="0"/>
        <v>488042.99599999998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Overhead - Labor Cost</v>
      </c>
      <c r="J267" t="str">
        <f>_xlfn.XLOOKUP($A267,Map!$A:$A,Map!F:F)</f>
        <v xml:space="preserve">Food &amp; Housing </v>
      </c>
    </row>
    <row r="268" spans="1:10" x14ac:dyDescent="0.25">
      <c r="A268" s="90">
        <v>600005</v>
      </c>
      <c r="B268" s="90" t="s">
        <v>721</v>
      </c>
      <c r="D268" s="91">
        <v>1625362.787</v>
      </c>
      <c r="E268" s="91">
        <v>0</v>
      </c>
      <c r="F268" s="91">
        <f t="shared" si="0"/>
        <v>1625362.787</v>
      </c>
      <c r="G268" t="str">
        <f>_xlfn.XLOOKUP($A268,Map!$A:$A,Map!C:C)</f>
        <v>IS</v>
      </c>
      <c r="H268" t="str">
        <f>_xlfn.XLOOKUP($A268,Map!$A:$A,Map!D:D)</f>
        <v>General and Admin</v>
      </c>
      <c r="I268" t="str">
        <f>_xlfn.XLOOKUP($A268,Map!$A:$A,Map!E:E)</f>
        <v>Govt license and fees (including modon)</v>
      </c>
      <c r="J268" t="str">
        <f>_xlfn.XLOOKUP($A268,Map!$A:$A,Map!F:F)</f>
        <v>Government fees</v>
      </c>
    </row>
    <row r="269" spans="1:10" x14ac:dyDescent="0.25">
      <c r="A269" s="90">
        <v>600004</v>
      </c>
      <c r="B269" s="90" t="s">
        <v>721</v>
      </c>
      <c r="D269" s="91">
        <v>126933.814</v>
      </c>
      <c r="E269" s="91">
        <v>0</v>
      </c>
      <c r="F269" s="91">
        <f t="shared" si="0"/>
        <v>126933.814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Overhead - Labor Cost</v>
      </c>
      <c r="J269" t="str">
        <f>_xlfn.XLOOKUP($A269,Map!$A:$A,Map!F:F)</f>
        <v>Medical insurance</v>
      </c>
    </row>
    <row r="270" spans="1:10" x14ac:dyDescent="0.25">
      <c r="A270" s="90">
        <v>600003</v>
      </c>
      <c r="B270" s="90" t="s">
        <v>721</v>
      </c>
      <c r="D270" s="91">
        <v>559788</v>
      </c>
      <c r="E270" s="91">
        <v>0</v>
      </c>
      <c r="F270" s="91">
        <f t="shared" si="0"/>
        <v>559788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Overhead - Labor Cost</v>
      </c>
      <c r="J270" t="str">
        <f>_xlfn.XLOOKUP($A270,Map!$A:$A,Map!F:F)</f>
        <v xml:space="preserve">Food &amp; Housing </v>
      </c>
    </row>
    <row r="271" spans="1:10" x14ac:dyDescent="0.25">
      <c r="A271" s="90">
        <v>600002</v>
      </c>
      <c r="B271" s="90" t="s">
        <v>721</v>
      </c>
      <c r="D271" s="91">
        <v>335597.125</v>
      </c>
      <c r="E271" s="91">
        <v>0</v>
      </c>
      <c r="F271" s="91">
        <f t="shared" si="0"/>
        <v>335597.125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Overhead - Labor Cost</v>
      </c>
      <c r="J271" t="str">
        <f>_xlfn.XLOOKUP($A271,Map!$A:$A,Map!F:F)</f>
        <v>Overtime pay</v>
      </c>
    </row>
    <row r="272" spans="1:10" x14ac:dyDescent="0.25">
      <c r="A272" s="90">
        <v>600001</v>
      </c>
      <c r="B272" s="90" t="s">
        <v>721</v>
      </c>
      <c r="D272" s="91">
        <v>2045805.402</v>
      </c>
      <c r="E272" s="91">
        <v>0</v>
      </c>
      <c r="F272" s="91">
        <f t="shared" si="0"/>
        <v>2045805.402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Overhead - Labor Cost</v>
      </c>
      <c r="J272" t="str">
        <f>_xlfn.XLOOKUP($A272,Map!$A:$A,Map!F:F)</f>
        <v>Salaries and wages</v>
      </c>
    </row>
    <row r="273" spans="1:10" x14ac:dyDescent="0.25">
      <c r="A273" s="90">
        <v>520042</v>
      </c>
      <c r="B273" s="90" t="s">
        <v>721</v>
      </c>
      <c r="D273" s="91">
        <v>872205.701</v>
      </c>
      <c r="E273" s="91">
        <v>0</v>
      </c>
      <c r="F273" s="91">
        <f t="shared" si="0"/>
        <v>872205.701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Raw materials</v>
      </c>
      <c r="J273" t="str">
        <f>_xlfn.XLOOKUP($A273,Map!$A:$A,Map!F:F)</f>
        <v>Inventory Adjustment</v>
      </c>
    </row>
    <row r="274" spans="1:10" x14ac:dyDescent="0.25">
      <c r="A274" s="90">
        <v>520041</v>
      </c>
      <c r="B274" s="90" t="s">
        <v>721</v>
      </c>
      <c r="D274" s="91">
        <v>0</v>
      </c>
      <c r="E274" s="91">
        <v>9910741.7579999994</v>
      </c>
      <c r="F274" s="91">
        <f t="shared" si="0"/>
        <v>-9910741.7579999994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Raw materials</v>
      </c>
      <c r="J274" t="str">
        <f>_xlfn.XLOOKUP($A274,Map!$A:$A,Map!F:F)</f>
        <v>Other expenses</v>
      </c>
    </row>
    <row r="275" spans="1:10" x14ac:dyDescent="0.25">
      <c r="A275" s="90">
        <v>520037</v>
      </c>
      <c r="B275" s="90" t="s">
        <v>721</v>
      </c>
      <c r="D275" s="91">
        <v>891090.79</v>
      </c>
      <c r="E275" s="91">
        <v>0</v>
      </c>
      <c r="F275" s="91">
        <f t="shared" si="0"/>
        <v>891090.79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Raw materials</v>
      </c>
      <c r="J275" t="str">
        <f>_xlfn.XLOOKUP($A275,Map!$A:$A,Map!F:F)</f>
        <v>Raw materials</v>
      </c>
    </row>
    <row r="276" spans="1:10" x14ac:dyDescent="0.25">
      <c r="A276" s="90">
        <v>520036</v>
      </c>
      <c r="B276" s="90" t="s">
        <v>721</v>
      </c>
      <c r="D276" s="91">
        <v>0</v>
      </c>
      <c r="E276" s="91">
        <v>4.4999999999999998E-2</v>
      </c>
      <c r="F276" s="91">
        <f t="shared" si="0"/>
        <v>-4.4999999999999998E-2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Raw materials</v>
      </c>
      <c r="J276" t="str">
        <f>_xlfn.XLOOKUP($A276,Map!$A:$A,Map!F:F)</f>
        <v>Raw materials</v>
      </c>
    </row>
    <row r="277" spans="1:10" x14ac:dyDescent="0.25">
      <c r="A277" s="90">
        <v>520021</v>
      </c>
      <c r="B277" s="90" t="s">
        <v>721</v>
      </c>
      <c r="D277" s="91">
        <v>39595</v>
      </c>
      <c r="E277" s="91">
        <v>0</v>
      </c>
      <c r="F277" s="91">
        <f t="shared" si="0"/>
        <v>39595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Direct Labor</v>
      </c>
      <c r="J277" t="str">
        <f>_xlfn.XLOOKUP($A277,Map!$A:$A,Map!F:F)</f>
        <v>Medical insurance</v>
      </c>
    </row>
    <row r="278" spans="1:10" x14ac:dyDescent="0.25">
      <c r="A278" s="90">
        <v>520011</v>
      </c>
      <c r="B278" s="90" t="s">
        <v>721</v>
      </c>
      <c r="D278" s="91">
        <v>638970.98</v>
      </c>
      <c r="E278" s="91">
        <v>0</v>
      </c>
      <c r="F278" s="91">
        <f t="shared" si="0"/>
        <v>638970.98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Direct Labor</v>
      </c>
      <c r="J278" t="str">
        <f>_xlfn.XLOOKUP($A278,Map!$A:$A,Map!F:F)</f>
        <v>Overtime pay</v>
      </c>
    </row>
    <row r="279" spans="1:10" x14ac:dyDescent="0.25">
      <c r="A279" s="90">
        <v>520006</v>
      </c>
      <c r="B279" s="90" t="s">
        <v>721</v>
      </c>
      <c r="D279" s="91">
        <v>285799.93099999998</v>
      </c>
      <c r="E279" s="91">
        <v>0</v>
      </c>
      <c r="F279" s="91">
        <f t="shared" si="0"/>
        <v>285799.93099999998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Direct Labor</v>
      </c>
      <c r="J279" t="str">
        <f>_xlfn.XLOOKUP($A279,Map!$A:$A,Map!F:F)</f>
        <v>Medical insurance</v>
      </c>
    </row>
    <row r="280" spans="1:10" x14ac:dyDescent="0.25">
      <c r="A280" s="90">
        <v>520004</v>
      </c>
      <c r="B280" s="90" t="s">
        <v>721</v>
      </c>
      <c r="D280" s="91">
        <v>51062</v>
      </c>
      <c r="E280" s="91">
        <v>0</v>
      </c>
      <c r="F280" s="91">
        <f t="shared" si="0"/>
        <v>51062</v>
      </c>
      <c r="G280" t="str">
        <f>_xlfn.XLOOKUP($A280,Map!$A:$A,Map!C:C)</f>
        <v>IS</v>
      </c>
      <c r="H280" t="str">
        <f>_xlfn.XLOOKUP($A280,Map!$A:$A,Map!D:D)</f>
        <v>Cost of sales</v>
      </c>
      <c r="I280" t="str">
        <f>_xlfn.XLOOKUP($A280,Map!$A:$A,Map!E:E)</f>
        <v>Direct Labor</v>
      </c>
      <c r="J280" t="str">
        <f>_xlfn.XLOOKUP($A280,Map!$A:$A,Map!F:F)</f>
        <v>Food and housing</v>
      </c>
    </row>
    <row r="281" spans="1:10" x14ac:dyDescent="0.25">
      <c r="A281" s="90">
        <v>520003</v>
      </c>
      <c r="B281" s="90" t="s">
        <v>721</v>
      </c>
      <c r="D281" s="91">
        <v>359720.33299999998</v>
      </c>
      <c r="E281" s="91">
        <v>0</v>
      </c>
      <c r="F281" s="91">
        <f t="shared" si="0"/>
        <v>359720.33299999998</v>
      </c>
      <c r="G281" t="str">
        <f>_xlfn.XLOOKUP($A281,Map!$A:$A,Map!C:C)</f>
        <v>IS</v>
      </c>
      <c r="H281" t="str">
        <f>_xlfn.XLOOKUP($A281,Map!$A:$A,Map!D:D)</f>
        <v>Cost of sales</v>
      </c>
      <c r="I281" t="str">
        <f>_xlfn.XLOOKUP($A281,Map!$A:$A,Map!E:E)</f>
        <v>Direct Labor</v>
      </c>
      <c r="J281" t="str">
        <f>_xlfn.XLOOKUP($A281,Map!$A:$A,Map!F:F)</f>
        <v>Transportation allowance</v>
      </c>
    </row>
    <row r="282" spans="1:10" x14ac:dyDescent="0.25">
      <c r="A282" s="90">
        <v>520001</v>
      </c>
      <c r="B282" s="90" t="s">
        <v>721</v>
      </c>
      <c r="D282" s="91">
        <v>3058090.8769999999</v>
      </c>
      <c r="E282" s="91">
        <v>0</v>
      </c>
      <c r="F282" s="91">
        <f t="shared" si="0"/>
        <v>3058090.8769999999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Direct Labor</v>
      </c>
      <c r="J282" t="str">
        <f>_xlfn.XLOOKUP($A282,Map!$A:$A,Map!F:F)</f>
        <v>Salaries and wages</v>
      </c>
    </row>
    <row r="283" spans="1:10" x14ac:dyDescent="0.25">
      <c r="A283" s="90">
        <v>510005</v>
      </c>
      <c r="B283" s="90" t="s">
        <v>721</v>
      </c>
      <c r="D283" s="91">
        <v>0</v>
      </c>
      <c r="E283" s="91">
        <v>26968.514999999999</v>
      </c>
      <c r="F283" s="91">
        <f t="shared" si="0"/>
        <v>-26968.514999999999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Raw materials</v>
      </c>
      <c r="J283" t="str">
        <f>_xlfn.XLOOKUP($A283,Map!$A:$A,Map!F:F)</f>
        <v>Other expenses</v>
      </c>
    </row>
    <row r="284" spans="1:10" x14ac:dyDescent="0.25">
      <c r="A284" s="90">
        <v>510004</v>
      </c>
      <c r="B284" s="90" t="s">
        <v>721</v>
      </c>
      <c r="D284" s="91">
        <v>0</v>
      </c>
      <c r="E284" s="91">
        <v>3263036.375</v>
      </c>
      <c r="F284" s="91">
        <f t="shared" si="0"/>
        <v>-3263036.375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Raw materials</v>
      </c>
      <c r="J284" t="str">
        <f>_xlfn.XLOOKUP($A284,Map!$A:$A,Map!F:F)</f>
        <v>Other expenses</v>
      </c>
    </row>
    <row r="285" spans="1:10" x14ac:dyDescent="0.25">
      <c r="A285" s="90">
        <v>510003</v>
      </c>
      <c r="B285" s="90" t="s">
        <v>721</v>
      </c>
      <c r="D285" s="91">
        <v>841523.47199999995</v>
      </c>
      <c r="E285" s="91">
        <v>0</v>
      </c>
      <c r="F285" s="91">
        <f t="shared" si="0"/>
        <v>841523.47199999995</v>
      </c>
      <c r="G285" t="str">
        <f>_xlfn.XLOOKUP($A285,Map!$A:$A,Map!C:C)</f>
        <v>IS</v>
      </c>
      <c r="H285" t="str">
        <f>_xlfn.XLOOKUP($A285,Map!$A:$A,Map!D:D)</f>
        <v>Cost of sales</v>
      </c>
      <c r="I285" t="str">
        <f>_xlfn.XLOOKUP($A285,Map!$A:$A,Map!E:E)</f>
        <v>Raw materials</v>
      </c>
      <c r="J285" t="str">
        <f>_xlfn.XLOOKUP($A285,Map!$A:$A,Map!F:F)</f>
        <v>Raw materials</v>
      </c>
    </row>
    <row r="286" spans="1:10" x14ac:dyDescent="0.25">
      <c r="A286" s="90">
        <v>510002</v>
      </c>
      <c r="B286" s="90" t="s">
        <v>721</v>
      </c>
      <c r="D286" s="91">
        <v>0</v>
      </c>
      <c r="E286" s="91">
        <v>6860872.0559999999</v>
      </c>
      <c r="F286" s="91">
        <f t="shared" si="0"/>
        <v>-6860872.0559999999</v>
      </c>
      <c r="G286" t="str">
        <f>_xlfn.XLOOKUP($A286,Map!$A:$A,Map!C:C)</f>
        <v>IS</v>
      </c>
      <c r="H286" t="str">
        <f>_xlfn.XLOOKUP($A286,Map!$A:$A,Map!D:D)</f>
        <v>Cost of sales</v>
      </c>
      <c r="I286" t="str">
        <f>_xlfn.XLOOKUP($A286,Map!$A:$A,Map!E:E)</f>
        <v>Direct Labor</v>
      </c>
      <c r="J286" t="str">
        <f>_xlfn.XLOOKUP($A286,Map!$A:$A,Map!F:F)</f>
        <v>Direct Labor</v>
      </c>
    </row>
    <row r="287" spans="1:10" x14ac:dyDescent="0.25">
      <c r="A287" s="90">
        <v>510001</v>
      </c>
      <c r="B287" s="90" t="s">
        <v>721</v>
      </c>
      <c r="D287" s="91">
        <v>0</v>
      </c>
      <c r="E287" s="91">
        <v>4913699.63</v>
      </c>
      <c r="F287" s="91">
        <f t="shared" si="0"/>
        <v>-4913699.63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Raw materials</v>
      </c>
      <c r="J287" t="str">
        <f>_xlfn.XLOOKUP($A287,Map!$A:$A,Map!F:F)</f>
        <v>Raw materials</v>
      </c>
    </row>
    <row r="288" spans="1:10" x14ac:dyDescent="0.25">
      <c r="A288" s="90">
        <v>420003</v>
      </c>
      <c r="B288" s="90" t="s">
        <v>721</v>
      </c>
      <c r="D288" s="91">
        <v>1.6E-2</v>
      </c>
      <c r="E288" s="91">
        <v>0</v>
      </c>
      <c r="F288" s="91">
        <f t="shared" si="0"/>
        <v>1.6E-2</v>
      </c>
      <c r="G288" t="str">
        <f>_xlfn.XLOOKUP($A288,Map!$A:$A,Map!C:C)</f>
        <v>IS</v>
      </c>
      <c r="H288" t="str">
        <f>_xlfn.XLOOKUP($A288,Map!$A:$A,Map!D:D)</f>
        <v>Sales</v>
      </c>
      <c r="I288" t="str">
        <f>_xlfn.XLOOKUP($A288,Map!$A:$A,Map!E:E)</f>
        <v>Sales</v>
      </c>
      <c r="J288" t="str">
        <f>_xlfn.XLOOKUP($A288,Map!$A:$A,Map!F:F)</f>
        <v>Scrap sales</v>
      </c>
    </row>
    <row r="291" spans="1:10" s="1" customFormat="1" x14ac:dyDescent="0.25">
      <c r="A291" s="90">
        <v>170021</v>
      </c>
      <c r="B291" s="90" t="s">
        <v>535</v>
      </c>
      <c r="D291" s="161">
        <v>2935982.66</v>
      </c>
      <c r="F291" s="3">
        <f t="shared" ref="F291:F292" si="1">D291-E291</f>
        <v>2935982.66</v>
      </c>
      <c r="G291" t="str">
        <f>_xlfn.XLOOKUP($A291,Map!$A:$A,Map!C:C)</f>
        <v>BS</v>
      </c>
      <c r="H291" t="str">
        <f>_xlfn.XLOOKUP($A291,Map!$A:$A,Map!D:D)</f>
        <v>Current Assets</v>
      </c>
      <c r="I291" t="str">
        <f>_xlfn.XLOOKUP($A291,Map!$A:$A,Map!E:E)</f>
        <v>Prepaid expenses</v>
      </c>
      <c r="J291" t="str">
        <f>_xlfn.XLOOKUP($A291,Map!$A:$A,Map!F:F)</f>
        <v>Prepaid expense</v>
      </c>
    </row>
    <row r="292" spans="1:10" s="1" customFormat="1" x14ac:dyDescent="0.25">
      <c r="A292" s="1">
        <v>210001</v>
      </c>
      <c r="B292" s="1" t="s">
        <v>78</v>
      </c>
      <c r="E292" s="161">
        <f>D291</f>
        <v>2935982.66</v>
      </c>
      <c r="F292" s="3">
        <f t="shared" si="1"/>
        <v>-2935982.66</v>
      </c>
      <c r="G292" t="str">
        <f>_xlfn.XLOOKUP($A292,Map!$A:$A,Map!C:C)</f>
        <v>BS</v>
      </c>
      <c r="H292" t="str">
        <f>_xlfn.XLOOKUP($A292,Map!$A:$A,Map!D:D)</f>
        <v>Current Liabilities</v>
      </c>
      <c r="I292" t="str">
        <f>_xlfn.XLOOKUP($A292,Map!$A:$A,Map!E:E)</f>
        <v>Tade payables and Accuals &amp; other credit balances</v>
      </c>
      <c r="J292" t="str">
        <f>_xlfn.XLOOKUP($A292,Map!$A:$A,Map!F:F)</f>
        <v>Trade payables - Foreign</v>
      </c>
    </row>
    <row r="295" spans="1:10" s="1" customFormat="1" x14ac:dyDescent="0.25">
      <c r="A295" s="1">
        <v>410001</v>
      </c>
      <c r="B295" s="163" t="s">
        <v>737</v>
      </c>
      <c r="D295" s="164">
        <v>22016852.919456009</v>
      </c>
      <c r="E295" s="164"/>
      <c r="F295" s="3">
        <f t="shared" ref="F295:F296" si="2">D295-E295</f>
        <v>22016852.919456009</v>
      </c>
      <c r="G295" t="str">
        <f>_xlfn.XLOOKUP($A295,Map!$A:$A,Map!C:C)</f>
        <v>IS</v>
      </c>
      <c r="H295" t="str">
        <f>_xlfn.XLOOKUP($A295,Map!$A:$A,Map!D:D)</f>
        <v>Sales</v>
      </c>
      <c r="I295" t="str">
        <f>_xlfn.XLOOKUP($A295,Map!$A:$A,Map!E:E)</f>
        <v>Sales</v>
      </c>
      <c r="J295" t="str">
        <f>_xlfn.XLOOKUP($A295,Map!$A:$A,Map!F:F)</f>
        <v>Trading revenue</v>
      </c>
    </row>
    <row r="296" spans="1:10" s="1" customFormat="1" x14ac:dyDescent="0.25">
      <c r="A296" s="1">
        <v>510001</v>
      </c>
      <c r="B296" s="163" t="s">
        <v>738</v>
      </c>
      <c r="D296" s="164"/>
      <c r="E296" s="164">
        <v>20778951.626437355</v>
      </c>
      <c r="F296" s="3">
        <f t="shared" si="2"/>
        <v>-20778951.626437355</v>
      </c>
      <c r="G296" t="str">
        <f>_xlfn.XLOOKUP($A296,Map!$A:$A,Map!C:C)</f>
        <v>IS</v>
      </c>
      <c r="H296" t="str">
        <f>_xlfn.XLOOKUP($A296,Map!$A:$A,Map!D:D)</f>
        <v>Cost of sales</v>
      </c>
      <c r="I296" t="str">
        <f>_xlfn.XLOOKUP($A296,Map!$A:$A,Map!E:E)</f>
        <v>Raw materials</v>
      </c>
      <c r="J296" t="str">
        <f>_xlfn.XLOOKUP($A296,Map!$A:$A,Map!F:F)</f>
        <v>Raw materials</v>
      </c>
    </row>
  </sheetData>
  <autoFilter ref="A4:K288" xr:uid="{32783522-9736-4A29-A5A2-F889253D112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DC72-FCB1-4264-9201-3053A6837B77}">
  <dimension ref="A1:J299"/>
  <sheetViews>
    <sheetView zoomScale="90" zoomScaleNormal="90" workbookViewId="0">
      <pane ySplit="4" topLeftCell="A272" activePane="bottomLeft" state="frozen"/>
      <selection activeCell="F128" sqref="F128:F130"/>
      <selection pane="bottomLeft" activeCell="E298" sqref="A298:XFD299"/>
    </sheetView>
  </sheetViews>
  <sheetFormatPr defaultColWidth="8.85546875" defaultRowHeight="15" x14ac:dyDescent="0.25"/>
  <cols>
    <col min="1" max="1" width="13.42578125" style="90" bestFit="1" customWidth="1"/>
    <col min="2" max="2" width="52.28515625" style="90" bestFit="1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42.7109375" style="90" bestFit="1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585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x14ac:dyDescent="0.25">
      <c r="A5" s="90">
        <v>110001</v>
      </c>
      <c r="B5" s="90" t="s">
        <v>0</v>
      </c>
      <c r="C5" s="91">
        <v>0</v>
      </c>
      <c r="D5" s="91">
        <v>0</v>
      </c>
      <c r="E5" s="91">
        <v>0</v>
      </c>
      <c r="F5" s="91">
        <v>0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x14ac:dyDescent="0.25">
      <c r="A6" s="90">
        <v>110002</v>
      </c>
      <c r="B6" s="90" t="s">
        <v>1</v>
      </c>
      <c r="C6" s="91">
        <v>106504996.56999999</v>
      </c>
      <c r="D6" s="91">
        <v>0</v>
      </c>
      <c r="E6" s="91">
        <v>0</v>
      </c>
      <c r="F6" s="91">
        <v>106504996.56999999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x14ac:dyDescent="0.25">
      <c r="A7" s="90">
        <v>110003</v>
      </c>
      <c r="B7" s="90" t="s">
        <v>2</v>
      </c>
      <c r="C7" s="91">
        <v>1765393.75</v>
      </c>
      <c r="D7" s="91">
        <v>4600</v>
      </c>
      <c r="E7" s="91">
        <v>4600</v>
      </c>
      <c r="F7" s="91">
        <v>1765393.75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x14ac:dyDescent="0.25">
      <c r="A8" s="90">
        <v>110004</v>
      </c>
      <c r="B8" s="90" t="s">
        <v>3</v>
      </c>
      <c r="C8" s="91">
        <v>71133085.783000007</v>
      </c>
      <c r="D8" s="91">
        <v>1251266.24</v>
      </c>
      <c r="E8" s="91">
        <v>168049.625</v>
      </c>
      <c r="F8" s="91">
        <v>72216302.398000002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x14ac:dyDescent="0.25">
      <c r="A9" s="90">
        <v>110006</v>
      </c>
      <c r="B9" s="90" t="s">
        <v>4</v>
      </c>
      <c r="C9" s="91">
        <v>2602761.003</v>
      </c>
      <c r="D9" s="91">
        <v>177167.5</v>
      </c>
      <c r="E9" s="91">
        <v>104477.5</v>
      </c>
      <c r="F9" s="91">
        <v>2675451.003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x14ac:dyDescent="0.25">
      <c r="A10" s="90">
        <v>110007</v>
      </c>
      <c r="B10" s="90" t="s">
        <v>5</v>
      </c>
      <c r="C10" s="91">
        <v>1191638.95</v>
      </c>
      <c r="D10" s="91">
        <v>1331620.675</v>
      </c>
      <c r="E10" s="91">
        <v>466418.47499999998</v>
      </c>
      <c r="F10" s="91">
        <v>2056841.15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x14ac:dyDescent="0.25">
      <c r="A11" s="90">
        <v>110008</v>
      </c>
      <c r="B11" s="90" t="s">
        <v>6</v>
      </c>
      <c r="C11" s="91">
        <v>961301.67799999996</v>
      </c>
      <c r="D11" s="91">
        <v>54376.817999999999</v>
      </c>
      <c r="E11" s="91">
        <v>0</v>
      </c>
      <c r="F11" s="91">
        <v>1015678.496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</v>
      </c>
    </row>
    <row r="12" spans="1:10" x14ac:dyDescent="0.25">
      <c r="A12" s="90">
        <v>111009</v>
      </c>
      <c r="B12" s="90" t="s">
        <v>7</v>
      </c>
      <c r="C12" s="91">
        <v>2020135</v>
      </c>
      <c r="D12" s="91">
        <v>0</v>
      </c>
      <c r="E12" s="91">
        <v>0</v>
      </c>
      <c r="F12" s="91">
        <v>2020135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Right of use</v>
      </c>
      <c r="J12" t="str">
        <f>_xlfn.XLOOKUP($A12,Map!$A:$A,Map!F:F)</f>
        <v>Leases - right of use assets</v>
      </c>
    </row>
    <row r="13" spans="1:10" x14ac:dyDescent="0.25">
      <c r="A13" s="90">
        <v>111013</v>
      </c>
      <c r="B13" s="90" t="s">
        <v>9</v>
      </c>
      <c r="C13" s="91">
        <v>0</v>
      </c>
      <c r="D13" s="91">
        <v>18359</v>
      </c>
      <c r="E13" s="91">
        <v>18359</v>
      </c>
      <c r="F13" s="91">
        <v>0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x14ac:dyDescent="0.25">
      <c r="A14" s="90">
        <v>111099</v>
      </c>
      <c r="B14" s="90" t="s">
        <v>10</v>
      </c>
      <c r="C14" s="91">
        <v>0</v>
      </c>
      <c r="D14" s="91">
        <v>3500000</v>
      </c>
      <c r="E14" s="91">
        <v>3500000</v>
      </c>
      <c r="F14" s="91">
        <v>0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x14ac:dyDescent="0.25">
      <c r="A15" s="90">
        <v>120001</v>
      </c>
      <c r="B15" s="90" t="s">
        <v>11</v>
      </c>
      <c r="C15" s="91">
        <v>-3753290.4920000001</v>
      </c>
      <c r="D15" s="91">
        <v>0</v>
      </c>
      <c r="E15" s="91">
        <v>1566844.1880000001</v>
      </c>
      <c r="F15" s="91">
        <v>-5320134.68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x14ac:dyDescent="0.25">
      <c r="A16" s="90">
        <v>120002</v>
      </c>
      <c r="B16" s="90" t="s">
        <v>12</v>
      </c>
      <c r="C16" s="91">
        <v>-1765393.774</v>
      </c>
      <c r="D16" s="91">
        <v>0</v>
      </c>
      <c r="E16" s="91">
        <v>0</v>
      </c>
      <c r="F16" s="91">
        <v>-1765393.774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x14ac:dyDescent="0.25">
      <c r="A17" s="90">
        <v>120003</v>
      </c>
      <c r="B17" s="90" t="s">
        <v>13</v>
      </c>
      <c r="C17" s="91">
        <v>-36593196.344999999</v>
      </c>
      <c r="D17" s="91">
        <v>1316.1120000000001</v>
      </c>
      <c r="E17" s="91">
        <v>3447986.2489999998</v>
      </c>
      <c r="F17" s="91">
        <v>-40039866.482000001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x14ac:dyDescent="0.25">
      <c r="A18" s="90">
        <v>120005</v>
      </c>
      <c r="B18" s="90" t="s">
        <v>14</v>
      </c>
      <c r="C18" s="91">
        <v>-1917847.0859999999</v>
      </c>
      <c r="D18" s="91">
        <v>101281.818</v>
      </c>
      <c r="E18" s="91">
        <v>208271.1</v>
      </c>
      <c r="F18" s="91">
        <v>-2024836.368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x14ac:dyDescent="0.25">
      <c r="A19" s="90">
        <v>120006</v>
      </c>
      <c r="B19" s="90" t="s">
        <v>15</v>
      </c>
      <c r="C19" s="91">
        <v>-928574.01399999997</v>
      </c>
      <c r="D19" s="91">
        <v>0</v>
      </c>
      <c r="E19" s="91">
        <v>119516.042</v>
      </c>
      <c r="F19" s="91">
        <v>-1048090.056</v>
      </c>
      <c r="G19" t="str">
        <f>_xlfn.XLOOKUP($A19,Map!$A:$A,Map!C:C)</f>
        <v>BS</v>
      </c>
      <c r="H19" t="str">
        <f>_xlfn.XLOOKUP($A19,Map!$A:$A,Map!D:D)</f>
        <v>Non-Current Assets</v>
      </c>
      <c r="I19" t="str">
        <f>_xlfn.XLOOKUP($A19,Map!$A:$A,Map!E:E)</f>
        <v>Property, plant and equipment</v>
      </c>
      <c r="J19" t="str">
        <f>_xlfn.XLOOKUP($A19,Map!$A:$A,Map!F:F)</f>
        <v>Property, plant and equipment - Accumulated depreciation</v>
      </c>
    </row>
    <row r="20" spans="1:10" x14ac:dyDescent="0.25">
      <c r="A20" s="90">
        <v>120007</v>
      </c>
      <c r="B20" s="90" t="s">
        <v>16</v>
      </c>
      <c r="C20" s="91">
        <v>-320357.62</v>
      </c>
      <c r="D20" s="91">
        <v>0</v>
      </c>
      <c r="E20" s="91">
        <v>76450.78</v>
      </c>
      <c r="F20" s="91">
        <v>-396808.4</v>
      </c>
      <c r="G20" t="str">
        <f>_xlfn.XLOOKUP($A20,Map!$A:$A,Map!C:C)</f>
        <v>BS</v>
      </c>
      <c r="H20" t="str">
        <f>_xlfn.XLOOKUP($A20,Map!$A:$A,Map!D:D)</f>
        <v>Non-Current Assets</v>
      </c>
      <c r="I20" t="str">
        <f>_xlfn.XLOOKUP($A20,Map!$A:$A,Map!E:E)</f>
        <v>Property, plant and equipment</v>
      </c>
      <c r="J20" t="str">
        <f>_xlfn.XLOOKUP($A20,Map!$A:$A,Map!F:F)</f>
        <v>Property, plant and equipment - Accumulated depreciation</v>
      </c>
    </row>
    <row r="21" spans="1:10" x14ac:dyDescent="0.25">
      <c r="A21" s="90">
        <v>120008</v>
      </c>
      <c r="B21" s="90" t="s">
        <v>17</v>
      </c>
      <c r="C21" s="91">
        <v>-173509.508</v>
      </c>
      <c r="D21" s="91">
        <v>0</v>
      </c>
      <c r="E21" s="91">
        <v>160113</v>
      </c>
      <c r="F21" s="91">
        <v>-333622.50799999997</v>
      </c>
      <c r="G21" t="str">
        <f>_xlfn.XLOOKUP($A21,Map!$A:$A,Map!C:C)</f>
        <v>BS</v>
      </c>
      <c r="H21" t="str">
        <f>_xlfn.XLOOKUP($A21,Map!$A:$A,Map!D:D)</f>
        <v>Non-Current Assets</v>
      </c>
      <c r="I21" t="str">
        <f>_xlfn.XLOOKUP($A21,Map!$A:$A,Map!E:E)</f>
        <v>Right of use</v>
      </c>
      <c r="J21" t="str">
        <f>_xlfn.XLOOKUP($A21,Map!$A:$A,Map!F:F)</f>
        <v>Depreciation/amortization of rights of use assets</v>
      </c>
    </row>
    <row r="22" spans="1:10" x14ac:dyDescent="0.25">
      <c r="A22" s="90">
        <v>121001</v>
      </c>
      <c r="B22" s="90" t="s">
        <v>18</v>
      </c>
      <c r="C22" s="91">
        <v>13762616.130000001</v>
      </c>
      <c r="D22" s="91">
        <v>0</v>
      </c>
      <c r="E22" s="91">
        <v>0</v>
      </c>
      <c r="F22" s="91">
        <v>13762616.130000001</v>
      </c>
      <c r="G22" t="str">
        <f>_xlfn.XLOOKUP($A22,Map!$A:$A,Map!C:C)</f>
        <v>BS</v>
      </c>
      <c r="H22" t="str">
        <f>_xlfn.XLOOKUP($A22,Map!$A:$A,Map!D:D)</f>
        <v>Current Assets</v>
      </c>
      <c r="I22" t="str">
        <f>_xlfn.XLOOKUP($A22,Map!$A:$A,Map!E:E)</f>
        <v>Prepaid expenses</v>
      </c>
      <c r="J22" t="str">
        <f>_xlfn.XLOOKUP($A22,Map!$A:$A,Map!F:F)</f>
        <v>Pre Operating Exps</v>
      </c>
    </row>
    <row r="23" spans="1:10" x14ac:dyDescent="0.25">
      <c r="A23" s="90">
        <v>121002</v>
      </c>
      <c r="B23" s="90" t="s">
        <v>19</v>
      </c>
      <c r="C23" s="91">
        <v>-13762616.130000001</v>
      </c>
      <c r="D23" s="91">
        <v>0</v>
      </c>
      <c r="E23" s="91">
        <v>0</v>
      </c>
      <c r="F23" s="91">
        <v>-13762616.130000001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Prepaid expenses</v>
      </c>
      <c r="J23" t="str">
        <f>_xlfn.XLOOKUP($A23,Map!$A:$A,Map!F:F)</f>
        <v>Amortization Of Pre Operating Exps</v>
      </c>
    </row>
    <row r="24" spans="1:10" x14ac:dyDescent="0.25">
      <c r="A24" s="90">
        <v>130001</v>
      </c>
      <c r="B24" s="90" t="s">
        <v>20</v>
      </c>
      <c r="C24" s="91">
        <v>-0.41</v>
      </c>
      <c r="D24" s="91">
        <v>2217974.0699999998</v>
      </c>
      <c r="E24" s="91">
        <v>1963083.59</v>
      </c>
      <c r="F24" s="91">
        <v>254890.07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Cash and cash equivalents</v>
      </c>
      <c r="J24" t="str">
        <f>_xlfn.XLOOKUP($A24,Map!$A:$A,Map!F:F)</f>
        <v>Bank balances</v>
      </c>
    </row>
    <row r="25" spans="1:10" x14ac:dyDescent="0.25">
      <c r="A25" s="90">
        <v>130002</v>
      </c>
      <c r="B25" s="90" t="s">
        <v>21</v>
      </c>
      <c r="C25" s="91">
        <v>744918.4</v>
      </c>
      <c r="D25" s="91">
        <v>1993185.35</v>
      </c>
      <c r="E25" s="91">
        <v>2738103.75</v>
      </c>
      <c r="F25" s="91">
        <v>0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x14ac:dyDescent="0.25">
      <c r="A26" s="90">
        <v>130003</v>
      </c>
      <c r="B26" s="90" t="s">
        <v>22</v>
      </c>
      <c r="C26" s="91">
        <v>0</v>
      </c>
      <c r="D26" s="91">
        <v>0</v>
      </c>
      <c r="E26" s="91">
        <v>0</v>
      </c>
      <c r="F26" s="91">
        <v>0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x14ac:dyDescent="0.25">
      <c r="A27" s="90">
        <v>130004</v>
      </c>
      <c r="B27" s="90" t="s">
        <v>23</v>
      </c>
      <c r="C27" s="91">
        <v>108178.8</v>
      </c>
      <c r="D27" s="91">
        <v>464750.91</v>
      </c>
      <c r="E27" s="91">
        <v>541800.91</v>
      </c>
      <c r="F27" s="91">
        <v>31128.799999999999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x14ac:dyDescent="0.25">
      <c r="A28" s="90">
        <v>130005</v>
      </c>
      <c r="B28" s="90" t="s">
        <v>24</v>
      </c>
      <c r="C28" s="91">
        <v>0</v>
      </c>
      <c r="D28" s="91">
        <v>0</v>
      </c>
      <c r="E28" s="91">
        <v>0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x14ac:dyDescent="0.25">
      <c r="A29" s="90">
        <v>130006</v>
      </c>
      <c r="B29" s="90" t="s">
        <v>25</v>
      </c>
      <c r="C29" s="91">
        <v>89237.65</v>
      </c>
      <c r="D29" s="91">
        <v>133216</v>
      </c>
      <c r="E29" s="91">
        <v>1380</v>
      </c>
      <c r="F29" s="91">
        <v>221073.65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x14ac:dyDescent="0.25">
      <c r="A30" s="90">
        <v>130007</v>
      </c>
      <c r="B30" s="90" t="s">
        <v>26</v>
      </c>
      <c r="C30" s="91">
        <v>271627.56</v>
      </c>
      <c r="D30" s="91">
        <v>703485.92</v>
      </c>
      <c r="E30" s="91">
        <v>0</v>
      </c>
      <c r="F30" s="91">
        <v>975113.48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Bank balances</v>
      </c>
    </row>
    <row r="31" spans="1:10" x14ac:dyDescent="0.25">
      <c r="A31" s="90">
        <v>130008</v>
      </c>
      <c r="B31" s="90" t="s">
        <v>247</v>
      </c>
      <c r="C31" s="91">
        <v>1334479.27</v>
      </c>
      <c r="D31" s="91">
        <v>19070166.526000001</v>
      </c>
      <c r="E31" s="91">
        <v>19840814.076000001</v>
      </c>
      <c r="F31" s="91">
        <v>563831.72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Cash and cash equivalents</v>
      </c>
      <c r="J31" t="str">
        <f>_xlfn.XLOOKUP($A31,Map!$A:$A,Map!F:F)</f>
        <v>Bank balances</v>
      </c>
    </row>
    <row r="32" spans="1:10" x14ac:dyDescent="0.25">
      <c r="A32" s="90">
        <v>130009</v>
      </c>
      <c r="B32" s="90" t="s">
        <v>27</v>
      </c>
      <c r="C32" s="91">
        <v>481793.78</v>
      </c>
      <c r="D32" s="91">
        <v>65840753.43</v>
      </c>
      <c r="E32" s="91">
        <v>65569651.669</v>
      </c>
      <c r="F32" s="91">
        <v>752895.54099999997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Bank balances</v>
      </c>
    </row>
    <row r="33" spans="1:10" x14ac:dyDescent="0.25">
      <c r="A33" s="90">
        <v>130010</v>
      </c>
      <c r="B33" s="90" t="s">
        <v>28</v>
      </c>
      <c r="C33" s="91">
        <v>14548085.07</v>
      </c>
      <c r="D33" s="91">
        <v>151025667.26899999</v>
      </c>
      <c r="E33" s="91">
        <v>164845246.435</v>
      </c>
      <c r="F33" s="91">
        <v>728505.90399999998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Bank balances</v>
      </c>
    </row>
    <row r="34" spans="1:10" x14ac:dyDescent="0.25">
      <c r="A34" s="90">
        <v>130011</v>
      </c>
      <c r="B34" s="90" t="s">
        <v>29</v>
      </c>
      <c r="C34" s="91">
        <v>10099447.390000001</v>
      </c>
      <c r="D34" s="91">
        <v>63598893.686999999</v>
      </c>
      <c r="E34" s="91">
        <v>71860490.834999993</v>
      </c>
      <c r="F34" s="91">
        <v>1837850.2420000001</v>
      </c>
      <c r="G34" t="str">
        <f>_xlfn.XLOOKUP($A34,Map!$A:$A,Map!C:C)</f>
        <v>BS</v>
      </c>
      <c r="H34" t="str">
        <f>_xlfn.XLOOKUP($A34,Map!$A:$A,Map!D:D)</f>
        <v>Current Assets</v>
      </c>
      <c r="I34" t="str">
        <f>_xlfn.XLOOKUP($A34,Map!$A:$A,Map!E:E)</f>
        <v>Cash and cash equivalents</v>
      </c>
      <c r="J34" t="str">
        <f>_xlfn.XLOOKUP($A34,Map!$A:$A,Map!F:F)</f>
        <v>Bank balances</v>
      </c>
    </row>
    <row r="35" spans="1:10" x14ac:dyDescent="0.25">
      <c r="A35" s="90">
        <v>130012</v>
      </c>
      <c r="B35" s="90" t="s">
        <v>248</v>
      </c>
      <c r="C35" s="91">
        <v>12249437.208000001</v>
      </c>
      <c r="D35" s="91">
        <v>49306158.825999998</v>
      </c>
      <c r="E35" s="91">
        <v>59276757.417000003</v>
      </c>
      <c r="F35" s="91">
        <v>2278838.6170000001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Cash and cash equivalents</v>
      </c>
      <c r="J35" t="str">
        <f>_xlfn.XLOOKUP($A35,Map!$A:$A,Map!F:F)</f>
        <v>Bank balances</v>
      </c>
    </row>
    <row r="36" spans="1:10" x14ac:dyDescent="0.25">
      <c r="A36" s="90">
        <v>130013</v>
      </c>
      <c r="B36" s="90" t="s">
        <v>30</v>
      </c>
      <c r="C36" s="91">
        <v>801234.04299999995</v>
      </c>
      <c r="D36" s="91">
        <v>28624595.043000001</v>
      </c>
      <c r="E36" s="91">
        <v>26446278.725000001</v>
      </c>
      <c r="F36" s="91">
        <v>2979550.361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Cash and cash equivalents</v>
      </c>
      <c r="J36" t="str">
        <f>_xlfn.XLOOKUP($A36,Map!$A:$A,Map!F:F)</f>
        <v>Bank balances</v>
      </c>
    </row>
    <row r="37" spans="1:10" x14ac:dyDescent="0.25">
      <c r="A37" s="90">
        <v>130014</v>
      </c>
      <c r="B37" s="90" t="s">
        <v>31</v>
      </c>
      <c r="C37" s="91">
        <v>0</v>
      </c>
      <c r="D37" s="91">
        <v>3790175.25</v>
      </c>
      <c r="E37" s="91">
        <v>3771425.5</v>
      </c>
      <c r="F37" s="91">
        <v>18749.75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Cash and cash equivalents</v>
      </c>
      <c r="J37" t="str">
        <f>_xlfn.XLOOKUP($A37,Map!$A:$A,Map!F:F)</f>
        <v>Bank balances</v>
      </c>
    </row>
    <row r="38" spans="1:10" x14ac:dyDescent="0.25">
      <c r="A38" s="90">
        <v>130099</v>
      </c>
      <c r="B38" s="90" t="s">
        <v>34</v>
      </c>
      <c r="C38" s="91">
        <v>0</v>
      </c>
      <c r="D38" s="91">
        <v>145338160.94</v>
      </c>
      <c r="E38" s="91">
        <v>145338160.94</v>
      </c>
      <c r="F38" s="91">
        <v>0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Cash and cash equivalents</v>
      </c>
      <c r="J38" t="str">
        <f>_xlfn.XLOOKUP($A38,Map!$A:$A,Map!F:F)</f>
        <v>Bank balances</v>
      </c>
    </row>
    <row r="39" spans="1:10" x14ac:dyDescent="0.25">
      <c r="A39" s="90">
        <v>140001</v>
      </c>
      <c r="B39" s="90" t="s">
        <v>35</v>
      </c>
      <c r="C39" s="91">
        <v>38933964.941</v>
      </c>
      <c r="D39" s="91">
        <v>305534993.30900002</v>
      </c>
      <c r="E39" s="91">
        <v>281200658.741</v>
      </c>
      <c r="F39" s="91">
        <v>63268299.509000003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Trade receivables</v>
      </c>
      <c r="J39" t="str">
        <f>_xlfn.XLOOKUP($A39,Map!$A:$A,Map!F:F)</f>
        <v>Trade receivables - current</v>
      </c>
    </row>
    <row r="40" spans="1:10" x14ac:dyDescent="0.25">
      <c r="A40" s="90">
        <v>140010</v>
      </c>
      <c r="B40" s="90" t="s">
        <v>36</v>
      </c>
      <c r="C40" s="91">
        <v>0</v>
      </c>
      <c r="D40" s="91">
        <v>0</v>
      </c>
      <c r="E40" s="91">
        <v>0</v>
      </c>
      <c r="F40" s="91">
        <v>0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Trade receivables</v>
      </c>
      <c r="J40" t="str">
        <f>_xlfn.XLOOKUP($A40,Map!$A:$A,Map!F:F)</f>
        <v>Trade receivables - current</v>
      </c>
    </row>
    <row r="41" spans="1:10" x14ac:dyDescent="0.25">
      <c r="A41" s="90">
        <v>150001</v>
      </c>
      <c r="B41" s="90" t="s">
        <v>37</v>
      </c>
      <c r="C41" s="91">
        <v>161280</v>
      </c>
      <c r="D41" s="91">
        <v>134919</v>
      </c>
      <c r="E41" s="91">
        <v>258949</v>
      </c>
      <c r="F41" s="91">
        <v>37250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Prepaid expenses</v>
      </c>
      <c r="J41" t="str">
        <f>_xlfn.XLOOKUP($A41,Map!$A:$A,Map!F:F)</f>
        <v>Advances - current</v>
      </c>
    </row>
    <row r="42" spans="1:10" x14ac:dyDescent="0.25">
      <c r="A42" s="90">
        <v>150002</v>
      </c>
      <c r="B42" s="90" t="s">
        <v>38</v>
      </c>
      <c r="C42" s="91">
        <v>3107455</v>
      </c>
      <c r="D42" s="91">
        <v>74226</v>
      </c>
      <c r="E42" s="91">
        <v>792899</v>
      </c>
      <c r="F42" s="91">
        <v>2388782</v>
      </c>
      <c r="G42" t="str">
        <f>_xlfn.XLOOKUP($A42,Map!$A:$A,Map!C:C)</f>
        <v>BS</v>
      </c>
      <c r="H42" t="str">
        <f>_xlfn.XLOOKUP($A42,Map!$A:$A,Map!D:D)</f>
        <v>Non-Current Liabilities</v>
      </c>
      <c r="I42" t="str">
        <f>_xlfn.XLOOKUP($A42,Map!$A:$A,Map!E:E)</f>
        <v xml:space="preserve">End-of-service indemnities </v>
      </c>
      <c r="J42" t="str">
        <f>_xlfn.XLOOKUP($A42,Map!$A:$A,Map!F:F)</f>
        <v xml:space="preserve">End-of-service indemnities </v>
      </c>
    </row>
    <row r="43" spans="1:10" x14ac:dyDescent="0.25">
      <c r="A43" s="90">
        <v>160001</v>
      </c>
      <c r="B43" s="90" t="s">
        <v>39</v>
      </c>
      <c r="C43" s="91">
        <v>16854.25</v>
      </c>
      <c r="D43" s="91">
        <v>354892.54</v>
      </c>
      <c r="E43" s="91">
        <v>363042.88</v>
      </c>
      <c r="F43" s="91">
        <v>8703.91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Cash and cash equivalents</v>
      </c>
      <c r="J43" t="str">
        <f>_xlfn.XLOOKUP($A43,Map!$A:$A,Map!F:F)</f>
        <v>Petty cash</v>
      </c>
    </row>
    <row r="44" spans="1:10" x14ac:dyDescent="0.25">
      <c r="A44" s="90">
        <v>170000</v>
      </c>
      <c r="B44" s="90" t="s">
        <v>40</v>
      </c>
      <c r="C44" s="91">
        <v>0</v>
      </c>
      <c r="D44" s="91">
        <v>699908.11</v>
      </c>
      <c r="E44" s="91">
        <v>699908.11</v>
      </c>
      <c r="F44" s="91">
        <v>0</v>
      </c>
      <c r="G44" t="str">
        <f>_xlfn.XLOOKUP($A44,Map!$A:$A,Map!C:C)</f>
        <v>BS</v>
      </c>
      <c r="H44" t="str">
        <f>_xlfn.XLOOKUP($A44,Map!$A:$A,Map!D:D)</f>
        <v>Current Liabilities</v>
      </c>
      <c r="I44" t="str">
        <f>_xlfn.XLOOKUP($A44,Map!$A:$A,Map!E:E)</f>
        <v>Short-term Murabaha loans</v>
      </c>
      <c r="J44" t="str">
        <f>_xlfn.XLOOKUP($A44,Map!$A:$A,Map!F:F)</f>
        <v>Prepayments - current</v>
      </c>
    </row>
    <row r="45" spans="1:10" x14ac:dyDescent="0.25">
      <c r="A45" s="90">
        <v>170001</v>
      </c>
      <c r="B45" s="90" t="s">
        <v>41</v>
      </c>
      <c r="C45" s="91">
        <v>667490.804</v>
      </c>
      <c r="D45" s="91">
        <v>616817.86600000004</v>
      </c>
      <c r="E45" s="91">
        <v>1284308.67</v>
      </c>
      <c r="F45" s="91">
        <v>0</v>
      </c>
      <c r="G45" t="str">
        <f>_xlfn.XLOOKUP($A45,Map!$A:$A,Map!C:C)</f>
        <v>BS</v>
      </c>
      <c r="H45" t="str">
        <f>_xlfn.XLOOKUP($A45,Map!$A:$A,Map!D:D)</f>
        <v>Current Liabilities</v>
      </c>
      <c r="I45" t="str">
        <f>_xlfn.XLOOKUP($A45,Map!$A:$A,Map!E:E)</f>
        <v>Short-term Murabaha loans</v>
      </c>
      <c r="J45" t="str">
        <f>_xlfn.XLOOKUP($A45,Map!$A:$A,Map!F:F)</f>
        <v>Prepayments - current</v>
      </c>
    </row>
    <row r="46" spans="1:10" x14ac:dyDescent="0.25">
      <c r="A46" s="90">
        <v>170002</v>
      </c>
      <c r="B46" s="90" t="s">
        <v>42</v>
      </c>
      <c r="C46" s="91">
        <v>336418.50099999999</v>
      </c>
      <c r="D46" s="91">
        <v>1108905.5190000001</v>
      </c>
      <c r="E46" s="91">
        <v>1445324.02</v>
      </c>
      <c r="F46" s="91">
        <v>0</v>
      </c>
      <c r="G46" t="str">
        <f>_xlfn.XLOOKUP($A46,Map!$A:$A,Map!C:C)</f>
        <v>BS</v>
      </c>
      <c r="H46" t="str">
        <f>_xlfn.XLOOKUP($A46,Map!$A:$A,Map!D:D)</f>
        <v>Current Liabilities</v>
      </c>
      <c r="I46" t="str">
        <f>_xlfn.XLOOKUP($A46,Map!$A:$A,Map!E:E)</f>
        <v>Short-term Murabaha loans</v>
      </c>
      <c r="J46" t="str">
        <f>_xlfn.XLOOKUP($A46,Map!$A:$A,Map!F:F)</f>
        <v>Prepayments - current</v>
      </c>
    </row>
    <row r="47" spans="1:10" x14ac:dyDescent="0.25">
      <c r="A47" s="90">
        <v>170003</v>
      </c>
      <c r="B47" s="90" t="s">
        <v>43</v>
      </c>
      <c r="C47" s="91">
        <v>0</v>
      </c>
      <c r="D47" s="91">
        <v>0</v>
      </c>
      <c r="E47" s="91">
        <v>0</v>
      </c>
      <c r="F47" s="91">
        <v>0</v>
      </c>
      <c r="G47" t="str">
        <f>_xlfn.XLOOKUP($A47,Map!$A:$A,Map!C:C)</f>
        <v>BS</v>
      </c>
      <c r="H47" t="str">
        <f>_xlfn.XLOOKUP($A47,Map!$A:$A,Map!D:D)</f>
        <v>Current Liabilities</v>
      </c>
      <c r="I47" t="str">
        <f>_xlfn.XLOOKUP($A47,Map!$A:$A,Map!E:E)</f>
        <v>Short-term Murabaha loans</v>
      </c>
      <c r="J47" t="str">
        <f>_xlfn.XLOOKUP($A47,Map!$A:$A,Map!F:F)</f>
        <v>Prepayments - current</v>
      </c>
    </row>
    <row r="48" spans="1:10" x14ac:dyDescent="0.25">
      <c r="A48" s="90">
        <v>170004</v>
      </c>
      <c r="B48" s="90" t="s">
        <v>244</v>
      </c>
      <c r="C48" s="91">
        <v>0</v>
      </c>
      <c r="D48" s="91">
        <v>0</v>
      </c>
      <c r="E48" s="91">
        <v>0</v>
      </c>
      <c r="F48" s="91">
        <v>0</v>
      </c>
      <c r="G48" t="str">
        <f>_xlfn.XLOOKUP($A48,Map!$A:$A,Map!C:C)</f>
        <v>BS</v>
      </c>
      <c r="H48" t="str">
        <f>_xlfn.XLOOKUP($A48,Map!$A:$A,Map!D:D)</f>
        <v>Current Liabilities</v>
      </c>
      <c r="I48" t="str">
        <f>_xlfn.XLOOKUP($A48,Map!$A:$A,Map!E:E)</f>
        <v>Short-term Murabaha loans</v>
      </c>
      <c r="J48" t="str">
        <f>_xlfn.XLOOKUP($A48,Map!$A:$A,Map!F:F)</f>
        <v>Prepayments - current</v>
      </c>
    </row>
    <row r="49" spans="1:10" x14ac:dyDescent="0.25">
      <c r="A49" s="90">
        <v>170005</v>
      </c>
      <c r="B49" s="90" t="s">
        <v>44</v>
      </c>
      <c r="C49" s="91">
        <v>0</v>
      </c>
      <c r="D49" s="91">
        <v>0</v>
      </c>
      <c r="E49" s="91">
        <v>0</v>
      </c>
      <c r="F49" s="91">
        <v>0</v>
      </c>
      <c r="G49" t="str">
        <f>_xlfn.XLOOKUP($A49,Map!$A:$A,Map!C:C)</f>
        <v>BS</v>
      </c>
      <c r="H49" t="str">
        <f>_xlfn.XLOOKUP($A49,Map!$A:$A,Map!D:D)</f>
        <v>Current Assets</v>
      </c>
      <c r="I49" t="str">
        <f>_xlfn.XLOOKUP($A49,Map!$A:$A,Map!E:E)</f>
        <v>Prepaid expenses</v>
      </c>
      <c r="J49" t="str">
        <f>_xlfn.XLOOKUP($A49,Map!$A:$A,Map!F:F)</f>
        <v>Deposits - current</v>
      </c>
    </row>
    <row r="50" spans="1:10" x14ac:dyDescent="0.25">
      <c r="A50" s="90">
        <v>170006</v>
      </c>
      <c r="B50" s="90" t="s">
        <v>45</v>
      </c>
      <c r="C50" s="91">
        <v>0</v>
      </c>
      <c r="D50" s="91">
        <v>3855102.0970000001</v>
      </c>
      <c r="E50" s="91">
        <v>2614875.557</v>
      </c>
      <c r="F50" s="91">
        <v>1240226.54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Prepaid expenses</v>
      </c>
      <c r="J50" t="str">
        <f>_xlfn.XLOOKUP($A50,Map!$A:$A,Map!F:F)</f>
        <v>Deposits - current</v>
      </c>
    </row>
    <row r="51" spans="1:10" x14ac:dyDescent="0.25">
      <c r="A51" s="90">
        <v>170007</v>
      </c>
      <c r="B51" s="90" t="s">
        <v>46</v>
      </c>
      <c r="C51" s="91">
        <v>0</v>
      </c>
      <c r="D51" s="91">
        <v>0</v>
      </c>
      <c r="E51" s="91">
        <v>0</v>
      </c>
      <c r="F51" s="91">
        <v>0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Prepaid expenses</v>
      </c>
      <c r="J51" t="str">
        <f>_xlfn.XLOOKUP($A51,Map!$A:$A,Map!F:F)</f>
        <v>Deposits - current</v>
      </c>
    </row>
    <row r="52" spans="1:10" x14ac:dyDescent="0.25">
      <c r="A52" s="90">
        <v>170008</v>
      </c>
      <c r="B52" s="90" t="s">
        <v>47</v>
      </c>
      <c r="C52" s="91">
        <v>0</v>
      </c>
      <c r="D52" s="91">
        <v>1107239.19</v>
      </c>
      <c r="E52" s="91">
        <v>704349.56</v>
      </c>
      <c r="F52" s="91">
        <v>402889.63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Prepaid expenses</v>
      </c>
      <c r="J52" t="str">
        <f>_xlfn.XLOOKUP($A52,Map!$A:$A,Map!F:F)</f>
        <v>Deposits - current</v>
      </c>
    </row>
    <row r="53" spans="1:10" x14ac:dyDescent="0.25">
      <c r="A53" s="90">
        <v>170009</v>
      </c>
      <c r="B53" s="90" t="s">
        <v>48</v>
      </c>
      <c r="C53" s="91">
        <v>64609</v>
      </c>
      <c r="D53" s="91">
        <v>383061.304</v>
      </c>
      <c r="E53" s="91">
        <v>414670.304</v>
      </c>
      <c r="F53" s="91">
        <v>33000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Prepaid expenses</v>
      </c>
      <c r="J53" t="str">
        <f>_xlfn.XLOOKUP($A53,Map!$A:$A,Map!F:F)</f>
        <v>Rent</v>
      </c>
    </row>
    <row r="54" spans="1:10" x14ac:dyDescent="0.25">
      <c r="A54" s="90">
        <v>170010</v>
      </c>
      <c r="B54" s="90" t="s">
        <v>49</v>
      </c>
      <c r="C54" s="91">
        <v>0</v>
      </c>
      <c r="D54" s="91">
        <v>913383.37</v>
      </c>
      <c r="E54" s="91">
        <v>913383.37</v>
      </c>
      <c r="F54" s="91">
        <v>0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Prepaid expenses</v>
      </c>
      <c r="J54" t="str">
        <f>_xlfn.XLOOKUP($A54,Map!$A:$A,Map!F:F)</f>
        <v>Housing allowance</v>
      </c>
    </row>
    <row r="55" spans="1:10" x14ac:dyDescent="0.25">
      <c r="A55" s="90">
        <v>170011</v>
      </c>
      <c r="B55" s="90" t="s">
        <v>50</v>
      </c>
      <c r="C55" s="91">
        <v>0</v>
      </c>
      <c r="D55" s="91">
        <v>235000</v>
      </c>
      <c r="E55" s="91">
        <v>235000</v>
      </c>
      <c r="F55" s="91">
        <v>0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Prepaid expenses</v>
      </c>
      <c r="J55" t="str">
        <f>_xlfn.XLOOKUP($A55,Map!$A:$A,Map!F:F)</f>
        <v>Air tickets</v>
      </c>
    </row>
    <row r="56" spans="1:10" x14ac:dyDescent="0.25">
      <c r="A56" s="90">
        <v>170012</v>
      </c>
      <c r="B56" s="90" t="s">
        <v>51</v>
      </c>
      <c r="C56" s="91">
        <v>171440</v>
      </c>
      <c r="D56" s="91">
        <v>49500</v>
      </c>
      <c r="E56" s="91">
        <v>92360</v>
      </c>
      <c r="F56" s="91">
        <v>128580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Prepaid expenses</v>
      </c>
      <c r="J56" t="str">
        <f>_xlfn.XLOOKUP($A56,Map!$A:$A,Map!F:F)</f>
        <v>Furniture allowance</v>
      </c>
    </row>
    <row r="57" spans="1:10" x14ac:dyDescent="0.25">
      <c r="A57" s="90">
        <v>170013</v>
      </c>
      <c r="B57" s="90" t="s">
        <v>52</v>
      </c>
      <c r="C57" s="91">
        <v>67999.599000000002</v>
      </c>
      <c r="D57" s="91">
        <v>0</v>
      </c>
      <c r="E57" s="91">
        <v>0</v>
      </c>
      <c r="F57" s="91">
        <v>67999.599000000002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Prepaid expenses</v>
      </c>
      <c r="J57" t="str">
        <f>_xlfn.XLOOKUP($A57,Map!$A:$A,Map!F:F)</f>
        <v>Insurance</v>
      </c>
    </row>
    <row r="58" spans="1:10" x14ac:dyDescent="0.25">
      <c r="A58" s="90">
        <v>170014</v>
      </c>
      <c r="B58" s="90" t="s">
        <v>53</v>
      </c>
      <c r="C58" s="91">
        <v>291018.283</v>
      </c>
      <c r="D58" s="91">
        <v>983365.65</v>
      </c>
      <c r="E58" s="91">
        <v>910174.43299999996</v>
      </c>
      <c r="F58" s="91">
        <v>364209.5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Prepaid expenses</v>
      </c>
      <c r="J58" t="str">
        <f>_xlfn.XLOOKUP($A58,Map!$A:$A,Map!F:F)</f>
        <v>Insurance</v>
      </c>
    </row>
    <row r="59" spans="1:10" x14ac:dyDescent="0.25">
      <c r="A59" s="90">
        <v>170015</v>
      </c>
      <c r="B59" s="90" t="s">
        <v>54</v>
      </c>
      <c r="C59" s="91">
        <v>0</v>
      </c>
      <c r="D59" s="91">
        <v>0</v>
      </c>
      <c r="E59" s="91">
        <v>0</v>
      </c>
      <c r="F59" s="91">
        <v>0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Prepaid expenses</v>
      </c>
      <c r="J59" t="str">
        <f>_xlfn.XLOOKUP($A59,Map!$A:$A,Map!F:F)</f>
        <v>Salaries and wages</v>
      </c>
    </row>
    <row r="60" spans="1:10" x14ac:dyDescent="0.25">
      <c r="A60" s="90">
        <v>170016</v>
      </c>
      <c r="B60" s="90" t="s">
        <v>55</v>
      </c>
      <c r="C60" s="91">
        <v>0</v>
      </c>
      <c r="D60" s="91">
        <v>0</v>
      </c>
      <c r="E60" s="91">
        <v>0</v>
      </c>
      <c r="F60" s="91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Prepaid expenses</v>
      </c>
      <c r="J60" t="str">
        <f>_xlfn.XLOOKUP($A60,Map!$A:$A,Map!F:F)</f>
        <v>Other receivables - current</v>
      </c>
    </row>
    <row r="61" spans="1:10" x14ac:dyDescent="0.25">
      <c r="A61" s="90">
        <v>170017</v>
      </c>
      <c r="B61" s="90" t="s">
        <v>56</v>
      </c>
      <c r="C61" s="91">
        <v>0</v>
      </c>
      <c r="D61" s="91">
        <v>0</v>
      </c>
      <c r="E61" s="91">
        <v>0</v>
      </c>
      <c r="F61" s="91">
        <v>0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Prepaid expenses</v>
      </c>
      <c r="J61" t="str">
        <f>_xlfn.XLOOKUP($A61,Map!$A:$A,Map!F:F)</f>
        <v>Family allowance</v>
      </c>
    </row>
    <row r="62" spans="1:10" x14ac:dyDescent="0.25">
      <c r="A62" s="90">
        <v>180001</v>
      </c>
      <c r="B62" s="90" t="s">
        <v>60</v>
      </c>
      <c r="C62" s="91">
        <v>460574.58399999997</v>
      </c>
      <c r="D62" s="91">
        <v>2757166.639</v>
      </c>
      <c r="E62" s="91">
        <v>2745656.6140000001</v>
      </c>
      <c r="F62" s="91">
        <v>472084.609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Inventories</v>
      </c>
      <c r="J62" t="str">
        <f>_xlfn.XLOOKUP($A62,Map!$A:$A,Map!F:F)</f>
        <v>Raw materials - Inventory</v>
      </c>
    </row>
    <row r="63" spans="1:10" x14ac:dyDescent="0.25">
      <c r="A63" s="90">
        <v>180002</v>
      </c>
      <c r="B63" s="90" t="s">
        <v>61</v>
      </c>
      <c r="C63" s="91">
        <v>0</v>
      </c>
      <c r="D63" s="91">
        <v>0</v>
      </c>
      <c r="E63" s="91">
        <v>0</v>
      </c>
      <c r="F63" s="91">
        <v>0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Raw materials - Inventory</v>
      </c>
    </row>
    <row r="64" spans="1:10" x14ac:dyDescent="0.25">
      <c r="A64" s="90">
        <v>180003</v>
      </c>
      <c r="B64" s="90" t="s">
        <v>62</v>
      </c>
      <c r="C64" s="91">
        <v>9861152.8129999992</v>
      </c>
      <c r="D64" s="91">
        <v>5245927.193</v>
      </c>
      <c r="E64" s="91">
        <v>6902957.6270000003</v>
      </c>
      <c r="F64" s="91">
        <v>8204122.3789999997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Inventories</v>
      </c>
      <c r="J64" t="str">
        <f>_xlfn.XLOOKUP($A64,Map!$A:$A,Map!F:F)</f>
        <v>Spare parts - Inventory</v>
      </c>
    </row>
    <row r="65" spans="1:10" x14ac:dyDescent="0.25">
      <c r="A65" s="90">
        <v>180004</v>
      </c>
      <c r="B65" s="90" t="s">
        <v>63</v>
      </c>
      <c r="C65" s="91">
        <v>6375063.9330000002</v>
      </c>
      <c r="D65" s="91">
        <v>72003256.836999997</v>
      </c>
      <c r="E65" s="91">
        <v>56963648.891000003</v>
      </c>
      <c r="F65" s="91">
        <v>21414671.879000001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Inventories</v>
      </c>
      <c r="J65" t="str">
        <f>_xlfn.XLOOKUP($A65,Map!$A:$A,Map!F:F)</f>
        <v>Raw materials - Inventory</v>
      </c>
    </row>
    <row r="66" spans="1:10" x14ac:dyDescent="0.25">
      <c r="A66" s="90">
        <v>180005</v>
      </c>
      <c r="B66" s="90" t="s">
        <v>64</v>
      </c>
      <c r="C66" s="91">
        <v>13945865.502</v>
      </c>
      <c r="D66" s="91">
        <v>48268423.609999999</v>
      </c>
      <c r="E66" s="91">
        <v>51363985.730999999</v>
      </c>
      <c r="F66" s="91">
        <v>10850303.380999999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Inventories</v>
      </c>
      <c r="J66" t="str">
        <f>_xlfn.XLOOKUP($A66,Map!$A:$A,Map!F:F)</f>
        <v>Raw materials - Inventory</v>
      </c>
    </row>
    <row r="67" spans="1:10" x14ac:dyDescent="0.25">
      <c r="A67" s="90">
        <v>180006</v>
      </c>
      <c r="B67" s="90" t="s">
        <v>65</v>
      </c>
      <c r="C67" s="91">
        <v>378972.29800000001</v>
      </c>
      <c r="D67" s="91">
        <v>4979741.7249999996</v>
      </c>
      <c r="E67" s="91">
        <v>4752685.0259999996</v>
      </c>
      <c r="F67" s="91">
        <v>606028.99699999997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Inventories</v>
      </c>
      <c r="J67" t="str">
        <f>_xlfn.XLOOKUP($A67,Map!$A:$A,Map!F:F)</f>
        <v>Raw materials - Inventory</v>
      </c>
    </row>
    <row r="68" spans="1:10" x14ac:dyDescent="0.25">
      <c r="A68" s="90">
        <v>180007</v>
      </c>
      <c r="B68" s="90" t="s">
        <v>66</v>
      </c>
      <c r="C68" s="91">
        <v>1119777.0859999999</v>
      </c>
      <c r="D68" s="91">
        <v>18545955.566</v>
      </c>
      <c r="E68" s="91">
        <v>17199615.723000001</v>
      </c>
      <c r="F68" s="91">
        <v>2466116.929</v>
      </c>
      <c r="G68" t="str">
        <f>_xlfn.XLOOKUP($A68,Map!$A:$A,Map!C:C)</f>
        <v>BS</v>
      </c>
      <c r="H68" t="str">
        <f>_xlfn.XLOOKUP($A68,Map!$A:$A,Map!D:D)</f>
        <v>Current Assets</v>
      </c>
      <c r="I68" t="str">
        <f>_xlfn.XLOOKUP($A68,Map!$A:$A,Map!E:E)</f>
        <v>Inventories</v>
      </c>
      <c r="J68" t="str">
        <f>_xlfn.XLOOKUP($A68,Map!$A:$A,Map!F:F)</f>
        <v>Raw materials - Inventory</v>
      </c>
    </row>
    <row r="69" spans="1:10" x14ac:dyDescent="0.25">
      <c r="A69" s="90">
        <v>180008</v>
      </c>
      <c r="B69" s="90" t="s">
        <v>67</v>
      </c>
      <c r="C69" s="91">
        <v>0</v>
      </c>
      <c r="D69" s="91">
        <v>0</v>
      </c>
      <c r="E69" s="91">
        <v>0</v>
      </c>
      <c r="F69" s="91">
        <v>0</v>
      </c>
      <c r="G69" t="str">
        <f>_xlfn.XLOOKUP($A69,Map!$A:$A,Map!C:C)</f>
        <v>BS</v>
      </c>
      <c r="H69" t="str">
        <f>_xlfn.XLOOKUP($A69,Map!$A:$A,Map!D:D)</f>
        <v>Current Assets</v>
      </c>
      <c r="I69" t="str">
        <f>_xlfn.XLOOKUP($A69,Map!$A:$A,Map!E:E)</f>
        <v>Inventories</v>
      </c>
      <c r="J69" t="str">
        <f>_xlfn.XLOOKUP($A69,Map!$A:$A,Map!F:F)</f>
        <v>Raw materials - Inventory</v>
      </c>
    </row>
    <row r="70" spans="1:10" x14ac:dyDescent="0.25">
      <c r="A70" s="90">
        <v>180009</v>
      </c>
      <c r="B70" s="90" t="s">
        <v>68</v>
      </c>
      <c r="C70" s="91">
        <v>0</v>
      </c>
      <c r="D70" s="91">
        <v>950.55200000000002</v>
      </c>
      <c r="E70" s="91">
        <v>950.55200000000002</v>
      </c>
      <c r="F70" s="91">
        <v>0</v>
      </c>
      <c r="G70" t="str">
        <f>_xlfn.XLOOKUP($A70,Map!$A:$A,Map!C:C)</f>
        <v>BS</v>
      </c>
      <c r="H70" t="str">
        <f>_xlfn.XLOOKUP($A70,Map!$A:$A,Map!D:D)</f>
        <v>Current Assets</v>
      </c>
      <c r="I70" t="str">
        <f>_xlfn.XLOOKUP($A70,Map!$A:$A,Map!E:E)</f>
        <v>Inventories</v>
      </c>
      <c r="J70" t="str">
        <f>_xlfn.XLOOKUP($A70,Map!$A:$A,Map!F:F)</f>
        <v>Raw materials - Inventory</v>
      </c>
    </row>
    <row r="71" spans="1:10" x14ac:dyDescent="0.25">
      <c r="A71" s="90">
        <v>180010</v>
      </c>
      <c r="B71" s="90" t="s">
        <v>69</v>
      </c>
      <c r="C71" s="91">
        <v>2923428.2549999999</v>
      </c>
      <c r="D71" s="91">
        <v>6306397.25</v>
      </c>
      <c r="E71" s="91">
        <v>5558379.4340000004</v>
      </c>
      <c r="F71" s="91">
        <v>3671446.071</v>
      </c>
      <c r="G71" t="str">
        <f>_xlfn.XLOOKUP($A71,Map!$A:$A,Map!C:C)</f>
        <v>BS</v>
      </c>
      <c r="H71" t="str">
        <f>_xlfn.XLOOKUP($A71,Map!$A:$A,Map!D:D)</f>
        <v>Current Assets</v>
      </c>
      <c r="I71" t="str">
        <f>_xlfn.XLOOKUP($A71,Map!$A:$A,Map!E:E)</f>
        <v>Inventories</v>
      </c>
      <c r="J71" t="str">
        <f>_xlfn.XLOOKUP($A71,Map!$A:$A,Map!F:F)</f>
        <v>Packaging materials - Inventory</v>
      </c>
    </row>
    <row r="72" spans="1:10" x14ac:dyDescent="0.25">
      <c r="A72" s="90">
        <v>180011</v>
      </c>
      <c r="B72" s="90" t="s">
        <v>70</v>
      </c>
      <c r="C72" s="91">
        <v>2860145.8280000002</v>
      </c>
      <c r="D72" s="91">
        <v>67133960.322999999</v>
      </c>
      <c r="E72" s="91">
        <v>65640492.092</v>
      </c>
      <c r="F72" s="91">
        <v>4353614.0590000004</v>
      </c>
      <c r="G72" t="str">
        <f>_xlfn.XLOOKUP($A72,Map!$A:$A,Map!C:C)</f>
        <v>BS</v>
      </c>
      <c r="H72" t="str">
        <f>_xlfn.XLOOKUP($A72,Map!$A:$A,Map!D:D)</f>
        <v>Current Assets</v>
      </c>
      <c r="I72" t="str">
        <f>_xlfn.XLOOKUP($A72,Map!$A:$A,Map!E:E)</f>
        <v>Inventories</v>
      </c>
      <c r="J72" t="str">
        <f>_xlfn.XLOOKUP($A72,Map!$A:$A,Map!F:F)</f>
        <v>Finished goods - Inventory</v>
      </c>
    </row>
    <row r="73" spans="1:10" x14ac:dyDescent="0.25">
      <c r="A73" s="90">
        <v>180012</v>
      </c>
      <c r="B73" s="90" t="s">
        <v>71</v>
      </c>
      <c r="C73" s="91">
        <v>3169104.6669999999</v>
      </c>
      <c r="D73" s="91">
        <v>57270084.294</v>
      </c>
      <c r="E73" s="91">
        <v>56870856.824000001</v>
      </c>
      <c r="F73" s="91">
        <v>3568332.1370000001</v>
      </c>
      <c r="G73" t="str">
        <f>_xlfn.XLOOKUP($A73,Map!$A:$A,Map!C:C)</f>
        <v>BS</v>
      </c>
      <c r="H73" t="str">
        <f>_xlfn.XLOOKUP($A73,Map!$A:$A,Map!D:D)</f>
        <v>Current Assets</v>
      </c>
      <c r="I73" t="str">
        <f>_xlfn.XLOOKUP($A73,Map!$A:$A,Map!E:E)</f>
        <v>Inventories</v>
      </c>
      <c r="J73" t="str">
        <f>_xlfn.XLOOKUP($A73,Map!$A:$A,Map!F:F)</f>
        <v>Work in progress - Inventory</v>
      </c>
    </row>
    <row r="74" spans="1:10" x14ac:dyDescent="0.25">
      <c r="A74" s="90">
        <v>180013</v>
      </c>
      <c r="B74" s="90" t="s">
        <v>72</v>
      </c>
      <c r="C74" s="91">
        <v>6716635.6349999998</v>
      </c>
      <c r="D74" s="91">
        <v>7239923.023</v>
      </c>
      <c r="E74" s="91">
        <v>8923603.9409999996</v>
      </c>
      <c r="F74" s="91">
        <v>5032954.7170000002</v>
      </c>
      <c r="G74" t="str">
        <f>_xlfn.XLOOKUP($A74,Map!$A:$A,Map!C:C)</f>
        <v>BS</v>
      </c>
      <c r="H74" t="str">
        <f>_xlfn.XLOOKUP($A74,Map!$A:$A,Map!D:D)</f>
        <v>Current Assets</v>
      </c>
      <c r="I74" t="str">
        <f>_xlfn.XLOOKUP($A74,Map!$A:$A,Map!E:E)</f>
        <v>Inventories</v>
      </c>
      <c r="J74" t="str">
        <f>_xlfn.XLOOKUP($A74,Map!$A:$A,Map!F:F)</f>
        <v>Finished goods - Inventory</v>
      </c>
    </row>
    <row r="75" spans="1:10" x14ac:dyDescent="0.25">
      <c r="A75" s="90">
        <v>180014</v>
      </c>
      <c r="B75" s="90" t="s">
        <v>73</v>
      </c>
      <c r="C75" s="91">
        <v>0</v>
      </c>
      <c r="D75" s="91">
        <v>41914262.369999997</v>
      </c>
      <c r="E75" s="91">
        <v>41914262.369999997</v>
      </c>
      <c r="F75" s="91">
        <v>0</v>
      </c>
      <c r="G75" t="str">
        <f>_xlfn.XLOOKUP($A75,Map!$A:$A,Map!C:C)</f>
        <v>BS</v>
      </c>
      <c r="H75" t="str">
        <f>_xlfn.XLOOKUP($A75,Map!$A:$A,Map!D:D)</f>
        <v>Current Assets</v>
      </c>
      <c r="I75" t="str">
        <f>_xlfn.XLOOKUP($A75,Map!$A:$A,Map!E:E)</f>
        <v>Inventories</v>
      </c>
      <c r="J75" t="str">
        <f>_xlfn.XLOOKUP($A75,Map!$A:$A,Map!F:F)</f>
        <v>Work in progress - Inventory</v>
      </c>
    </row>
    <row r="76" spans="1:10" x14ac:dyDescent="0.25">
      <c r="A76" s="90">
        <v>180096</v>
      </c>
      <c r="B76" s="90" t="s">
        <v>74</v>
      </c>
      <c r="C76" s="91">
        <v>0</v>
      </c>
      <c r="D76" s="91">
        <v>12375527.142999999</v>
      </c>
      <c r="E76" s="91">
        <v>12375527.142999999</v>
      </c>
      <c r="F76" s="91">
        <v>0</v>
      </c>
      <c r="G76" t="str">
        <f>_xlfn.XLOOKUP($A76,Map!$A:$A,Map!C:C)</f>
        <v>BS</v>
      </c>
      <c r="H76" t="str">
        <f>_xlfn.XLOOKUP($A76,Map!$A:$A,Map!D:D)</f>
        <v>Current Assets</v>
      </c>
      <c r="I76" t="str">
        <f>_xlfn.XLOOKUP($A76,Map!$A:$A,Map!E:E)</f>
        <v>Inventories</v>
      </c>
      <c r="J76" t="str">
        <f>_xlfn.XLOOKUP($A76,Map!$A:$A,Map!F:F)</f>
        <v>Work in progress - Inventory</v>
      </c>
    </row>
    <row r="77" spans="1:10" x14ac:dyDescent="0.25">
      <c r="A77" s="90">
        <v>180097</v>
      </c>
      <c r="B77" s="90" t="s">
        <v>75</v>
      </c>
      <c r="C77" s="91">
        <v>0</v>
      </c>
      <c r="D77" s="91">
        <v>0</v>
      </c>
      <c r="E77" s="91">
        <v>0</v>
      </c>
      <c r="F77" s="91">
        <v>0</v>
      </c>
      <c r="G77" t="str">
        <f>_xlfn.XLOOKUP($A77,Map!$A:$A,Map!C:C)</f>
        <v>BS</v>
      </c>
      <c r="H77" t="str">
        <f>_xlfn.XLOOKUP($A77,Map!$A:$A,Map!D:D)</f>
        <v>Current Assets</v>
      </c>
      <c r="I77" t="str">
        <f>_xlfn.XLOOKUP($A77,Map!$A:$A,Map!E:E)</f>
        <v>Inventories</v>
      </c>
      <c r="J77" t="str">
        <f>_xlfn.XLOOKUP($A77,Map!$A:$A,Map!F:F)</f>
        <v>Work in progress - Inventory</v>
      </c>
    </row>
    <row r="78" spans="1:10" x14ac:dyDescent="0.25">
      <c r="A78" s="90">
        <v>180098</v>
      </c>
      <c r="B78" s="90" t="s">
        <v>76</v>
      </c>
      <c r="C78" s="91">
        <v>0</v>
      </c>
      <c r="D78" s="91">
        <v>2413658.2420000001</v>
      </c>
      <c r="E78" s="91">
        <v>2413658.2420000001</v>
      </c>
      <c r="F78" s="91">
        <v>0</v>
      </c>
      <c r="G78" t="str">
        <f>_xlfn.XLOOKUP($A78,Map!$A:$A,Map!C:C)</f>
        <v>BS</v>
      </c>
      <c r="H78" t="str">
        <f>_xlfn.XLOOKUP($A78,Map!$A:$A,Map!D:D)</f>
        <v>Current Assets</v>
      </c>
      <c r="I78" t="str">
        <f>_xlfn.XLOOKUP($A78,Map!$A:$A,Map!E:E)</f>
        <v>Inventories</v>
      </c>
      <c r="J78" t="str">
        <f>_xlfn.XLOOKUP($A78,Map!$A:$A,Map!F:F)</f>
        <v>Work in progress - Inventory</v>
      </c>
    </row>
    <row r="79" spans="1:10" x14ac:dyDescent="0.25">
      <c r="A79" s="90">
        <v>180099</v>
      </c>
      <c r="B79" s="90" t="s">
        <v>77</v>
      </c>
      <c r="C79" s="91">
        <v>0</v>
      </c>
      <c r="D79" s="91">
        <v>0</v>
      </c>
      <c r="E79" s="91">
        <v>0</v>
      </c>
      <c r="F79" s="91">
        <v>0</v>
      </c>
      <c r="G79" t="str">
        <f>_xlfn.XLOOKUP($A79,Map!$A:$A,Map!C:C)</f>
        <v>BS</v>
      </c>
      <c r="H79" t="str">
        <f>_xlfn.XLOOKUP($A79,Map!$A:$A,Map!D:D)</f>
        <v>Current Assets</v>
      </c>
      <c r="I79" t="str">
        <f>_xlfn.XLOOKUP($A79,Map!$A:$A,Map!E:E)</f>
        <v>Inventories</v>
      </c>
      <c r="J79" t="str">
        <f>_xlfn.XLOOKUP($A79,Map!$A:$A,Map!F:F)</f>
        <v>Goods in transit - Inventory</v>
      </c>
    </row>
    <row r="80" spans="1:10" x14ac:dyDescent="0.25">
      <c r="A80" s="90">
        <v>210001</v>
      </c>
      <c r="B80" s="90" t="s">
        <v>78</v>
      </c>
      <c r="C80" s="91">
        <v>1348611.763</v>
      </c>
      <c r="D80" s="91">
        <v>134101232.642</v>
      </c>
      <c r="E80" s="91">
        <v>130521906.206</v>
      </c>
      <c r="F80" s="91">
        <v>4927938.199</v>
      </c>
      <c r="G80" t="str">
        <f>_xlfn.XLOOKUP($A80,Map!$A:$A,Map!C:C)</f>
        <v>BS</v>
      </c>
      <c r="H80" t="str">
        <f>_xlfn.XLOOKUP($A80,Map!$A:$A,Map!D:D)</f>
        <v>Current Liabilities</v>
      </c>
      <c r="I80" t="str">
        <f>_xlfn.XLOOKUP($A80,Map!$A:$A,Map!E:E)</f>
        <v>Tade payables and Accuals &amp; other credit balances</v>
      </c>
      <c r="J80" t="str">
        <f>_xlfn.XLOOKUP($A80,Map!$A:$A,Map!F:F)</f>
        <v>Trade payables - Foreign</v>
      </c>
    </row>
    <row r="81" spans="1:10" x14ac:dyDescent="0.25">
      <c r="A81" s="90">
        <v>210002</v>
      </c>
      <c r="B81" s="90" t="s">
        <v>79</v>
      </c>
      <c r="C81" s="91">
        <v>-6187965.9749999996</v>
      </c>
      <c r="D81" s="91">
        <v>116715136.98</v>
      </c>
      <c r="E81" s="91">
        <v>113580173.921</v>
      </c>
      <c r="F81" s="91">
        <v>-3053002.9160000002</v>
      </c>
      <c r="G81" t="str">
        <f>_xlfn.XLOOKUP($A81,Map!$A:$A,Map!C:C)</f>
        <v>BS</v>
      </c>
      <c r="H81" t="str">
        <f>_xlfn.XLOOKUP($A81,Map!$A:$A,Map!D:D)</f>
        <v>Current Liabilities</v>
      </c>
      <c r="I81" t="str">
        <f>_xlfn.XLOOKUP($A81,Map!$A:$A,Map!E:E)</f>
        <v>Tade payables and Accuals &amp; other credit balances</v>
      </c>
      <c r="J81" t="str">
        <f>_xlfn.XLOOKUP($A81,Map!$A:$A,Map!F:F)</f>
        <v>Trade payables - Local</v>
      </c>
    </row>
    <row r="82" spans="1:10" x14ac:dyDescent="0.25">
      <c r="A82" s="90">
        <v>220001</v>
      </c>
      <c r="B82" s="90" t="s">
        <v>80</v>
      </c>
      <c r="C82" s="91">
        <v>0</v>
      </c>
      <c r="D82" s="91">
        <v>0</v>
      </c>
      <c r="E82" s="91">
        <v>0</v>
      </c>
      <c r="F82" s="91">
        <v>0</v>
      </c>
      <c r="G82" t="str">
        <f>_xlfn.XLOOKUP($A82,Map!$A:$A,Map!C:C)</f>
        <v>BS</v>
      </c>
      <c r="H82" t="str">
        <f>_xlfn.XLOOKUP($A82,Map!$A:$A,Map!D:D)</f>
        <v>Current Liabilities</v>
      </c>
      <c r="I82" t="str">
        <f>_xlfn.XLOOKUP($A82,Map!$A:$A,Map!E:E)</f>
        <v>Short-term Murabaha loans</v>
      </c>
      <c r="J82" t="str">
        <f>_xlfn.XLOOKUP($A82,Map!$A:$A,Map!F:F)</f>
        <v>Other loans - current</v>
      </c>
    </row>
    <row r="83" spans="1:10" x14ac:dyDescent="0.25">
      <c r="A83" s="90">
        <v>220002</v>
      </c>
      <c r="B83" s="90" t="s">
        <v>81</v>
      </c>
      <c r="C83" s="91">
        <v>0</v>
      </c>
      <c r="D83" s="91">
        <v>0</v>
      </c>
      <c r="E83" s="91">
        <v>0</v>
      </c>
      <c r="F83" s="91">
        <v>0</v>
      </c>
      <c r="G83" t="str">
        <f>_xlfn.XLOOKUP($A83,Map!$A:$A,Map!C:C)</f>
        <v>BS</v>
      </c>
      <c r="H83" t="str">
        <f>_xlfn.XLOOKUP($A83,Map!$A:$A,Map!D:D)</f>
        <v>Current Liabilities</v>
      </c>
      <c r="I83" t="str">
        <f>_xlfn.XLOOKUP($A83,Map!$A:$A,Map!E:E)</f>
        <v>Short-term Murabaha loans</v>
      </c>
      <c r="J83" t="str">
        <f>_xlfn.XLOOKUP($A83,Map!$A:$A,Map!F:F)</f>
        <v>Other loans - current</v>
      </c>
    </row>
    <row r="84" spans="1:10" x14ac:dyDescent="0.25">
      <c r="A84" s="90">
        <v>220003</v>
      </c>
      <c r="B84" s="90" t="s">
        <v>82</v>
      </c>
      <c r="C84" s="91">
        <v>0</v>
      </c>
      <c r="D84" s="91">
        <v>0</v>
      </c>
      <c r="E84" s="91">
        <v>0</v>
      </c>
      <c r="F84" s="91">
        <v>0</v>
      </c>
      <c r="G84" t="str">
        <f>_xlfn.XLOOKUP($A84,Map!$A:$A,Map!C:C)</f>
        <v>BS</v>
      </c>
      <c r="H84" t="str">
        <f>_xlfn.XLOOKUP($A84,Map!$A:$A,Map!D:D)</f>
        <v>Current Liabilities</v>
      </c>
      <c r="I84" t="str">
        <f>_xlfn.XLOOKUP($A84,Map!$A:$A,Map!E:E)</f>
        <v>Short-term Murabaha loans</v>
      </c>
      <c r="J84" t="str">
        <f>_xlfn.XLOOKUP($A84,Map!$A:$A,Map!F:F)</f>
        <v>Other loans - current</v>
      </c>
    </row>
    <row r="85" spans="1:10" x14ac:dyDescent="0.25">
      <c r="A85" s="90">
        <v>220004</v>
      </c>
      <c r="B85" s="90" t="s">
        <v>83</v>
      </c>
      <c r="C85" s="91">
        <v>0</v>
      </c>
      <c r="D85" s="91">
        <v>0</v>
      </c>
      <c r="E85" s="91">
        <v>34821818.277000003</v>
      </c>
      <c r="F85" s="91">
        <v>-34821818.277000003</v>
      </c>
      <c r="G85" t="str">
        <f>_xlfn.XLOOKUP($A85,Map!$A:$A,Map!C:C)</f>
        <v>BS</v>
      </c>
      <c r="H85" t="str">
        <f>_xlfn.XLOOKUP($A85,Map!$A:$A,Map!D:D)</f>
        <v>Current Liabilities</v>
      </c>
      <c r="I85" t="str">
        <f>_xlfn.XLOOKUP($A85,Map!$A:$A,Map!E:E)</f>
        <v>Short-term Murabaha loans</v>
      </c>
      <c r="J85" t="str">
        <f>_xlfn.XLOOKUP($A85,Map!$A:$A,Map!F:F)</f>
        <v>Other loans - current</v>
      </c>
    </row>
    <row r="86" spans="1:10" x14ac:dyDescent="0.25">
      <c r="A86" s="90">
        <v>220005</v>
      </c>
      <c r="B86" s="90" t="s">
        <v>84</v>
      </c>
      <c r="C86" s="91">
        <v>-23573959.894000001</v>
      </c>
      <c r="D86" s="91">
        <v>56563497.428000003</v>
      </c>
      <c r="E86" s="91">
        <v>59728447.307999998</v>
      </c>
      <c r="F86" s="91">
        <v>-26738909.774</v>
      </c>
      <c r="G86" t="str">
        <f>_xlfn.XLOOKUP($A86,Map!$A:$A,Map!C:C)</f>
        <v>BS</v>
      </c>
      <c r="H86" t="str">
        <f>_xlfn.XLOOKUP($A86,Map!$A:$A,Map!D:D)</f>
        <v>Current Liabilities</v>
      </c>
      <c r="I86" t="str">
        <f>_xlfn.XLOOKUP($A86,Map!$A:$A,Map!E:E)</f>
        <v>Short-term Murabaha loans</v>
      </c>
      <c r="J86" t="str">
        <f>_xlfn.XLOOKUP($A86,Map!$A:$A,Map!F:F)</f>
        <v>Other loans - current</v>
      </c>
    </row>
    <row r="87" spans="1:10" x14ac:dyDescent="0.25">
      <c r="A87" s="90">
        <v>220006</v>
      </c>
      <c r="B87" s="90" t="s">
        <v>85</v>
      </c>
      <c r="C87" s="91">
        <v>-64499587.656000003</v>
      </c>
      <c r="D87" s="91">
        <v>71861538.310000002</v>
      </c>
      <c r="E87" s="91">
        <v>39246080.612000003</v>
      </c>
      <c r="F87" s="91">
        <v>-31884129.958000001</v>
      </c>
      <c r="G87" t="str">
        <f>_xlfn.XLOOKUP($A87,Map!$A:$A,Map!C:C)</f>
        <v>BS</v>
      </c>
      <c r="H87" t="str">
        <f>_xlfn.XLOOKUP($A87,Map!$A:$A,Map!D:D)</f>
        <v>Current Liabilities</v>
      </c>
      <c r="I87" t="str">
        <f>_xlfn.XLOOKUP($A87,Map!$A:$A,Map!E:E)</f>
        <v>Short-term Murabaha loans</v>
      </c>
      <c r="J87" t="str">
        <f>_xlfn.XLOOKUP($A87,Map!$A:$A,Map!F:F)</f>
        <v>Other loans - current</v>
      </c>
    </row>
    <row r="88" spans="1:10" x14ac:dyDescent="0.25">
      <c r="A88" s="90">
        <v>230001</v>
      </c>
      <c r="B88" s="90" t="s">
        <v>86</v>
      </c>
      <c r="C88" s="91">
        <v>0</v>
      </c>
      <c r="D88" s="91">
        <v>173876138.498</v>
      </c>
      <c r="E88" s="91">
        <v>173876138.498</v>
      </c>
      <c r="F88" s="91">
        <v>0</v>
      </c>
      <c r="G88" t="str">
        <f>_xlfn.XLOOKUP($A88,Map!$A:$A,Map!C:C)</f>
        <v>BS</v>
      </c>
      <c r="H88" t="str">
        <f>_xlfn.XLOOKUP($A88,Map!$A:$A,Map!D:D)</f>
        <v>Current Liabilities</v>
      </c>
      <c r="I88" t="str">
        <f>_xlfn.XLOOKUP($A88,Map!$A:$A,Map!E:E)</f>
        <v>Tade payables and Accuals &amp; other credit balances</v>
      </c>
      <c r="J88" t="str">
        <f>_xlfn.XLOOKUP($A88,Map!$A:$A,Map!F:F)</f>
        <v>Clearing account</v>
      </c>
    </row>
    <row r="89" spans="1:10" x14ac:dyDescent="0.25">
      <c r="A89" s="90">
        <v>240001</v>
      </c>
      <c r="B89" s="90" t="s">
        <v>87</v>
      </c>
      <c r="C89" s="91">
        <v>0</v>
      </c>
      <c r="D89" s="91">
        <v>2734144.4180000001</v>
      </c>
      <c r="E89" s="91">
        <v>2734144.4180000001</v>
      </c>
      <c r="F89" s="91">
        <v>0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Tade payables and Accuals &amp; other credit balances</v>
      </c>
      <c r="J89" t="str">
        <f>_xlfn.XLOOKUP($A89,Map!$A:$A,Map!F:F)</f>
        <v>Overhead</v>
      </c>
    </row>
    <row r="90" spans="1:10" x14ac:dyDescent="0.25">
      <c r="A90" s="90">
        <v>240002</v>
      </c>
      <c r="B90" s="90" t="s">
        <v>88</v>
      </c>
      <c r="C90" s="91">
        <v>0</v>
      </c>
      <c r="D90" s="91">
        <v>0</v>
      </c>
      <c r="E90" s="91">
        <v>0</v>
      </c>
      <c r="F90" s="91">
        <v>0</v>
      </c>
      <c r="G90" t="str">
        <f>_xlfn.XLOOKUP($A90,Map!$A:$A,Map!C:C)</f>
        <v>BS</v>
      </c>
      <c r="H90" t="str">
        <f>_xlfn.XLOOKUP($A90,Map!$A:$A,Map!D:D)</f>
        <v>Current Liabilities</v>
      </c>
      <c r="I90" t="str">
        <f>_xlfn.XLOOKUP($A90,Map!$A:$A,Map!E:E)</f>
        <v>Tade payables and Accuals &amp; other credit balances</v>
      </c>
      <c r="J90" t="str">
        <f>_xlfn.XLOOKUP($A90,Map!$A:$A,Map!F:F)</f>
        <v>Landed Cost - Customs</v>
      </c>
    </row>
    <row r="91" spans="1:10" x14ac:dyDescent="0.25">
      <c r="A91" s="90">
        <v>240003</v>
      </c>
      <c r="B91" s="90" t="s">
        <v>89</v>
      </c>
      <c r="C91" s="91">
        <v>-1823243.5660000001</v>
      </c>
      <c r="D91" s="91">
        <v>173321.1</v>
      </c>
      <c r="E91" s="91">
        <v>61904.56</v>
      </c>
      <c r="F91" s="91">
        <v>-1711827.0260000001</v>
      </c>
      <c r="G91" t="str">
        <f>_xlfn.XLOOKUP($A91,Map!$A:$A,Map!C:C)</f>
        <v>BS</v>
      </c>
      <c r="H91" t="str">
        <f>_xlfn.XLOOKUP($A91,Map!$A:$A,Map!D:D)</f>
        <v>Non-Current Liabilities</v>
      </c>
      <c r="I91" t="str">
        <f>_xlfn.XLOOKUP($A91,Map!$A:$A,Map!E:E)</f>
        <v xml:space="preserve">Lease liabilities non-current </v>
      </c>
      <c r="J91" t="str">
        <f>_xlfn.XLOOKUP($A91,Map!$A:$A,Map!F:F)</f>
        <v xml:space="preserve"> Lease Obligation</v>
      </c>
    </row>
    <row r="92" spans="1:10" x14ac:dyDescent="0.25">
      <c r="A92" s="90">
        <v>250001</v>
      </c>
      <c r="B92" s="90" t="s">
        <v>90</v>
      </c>
      <c r="C92" s="91">
        <v>0</v>
      </c>
      <c r="D92" s="91">
        <v>16286600.34</v>
      </c>
      <c r="E92" s="91">
        <v>16286600.34</v>
      </c>
      <c r="F92" s="91">
        <v>0</v>
      </c>
      <c r="G92" t="str">
        <f>_xlfn.XLOOKUP($A92,Map!$A:$A,Map!C:C)</f>
        <v>BS</v>
      </c>
      <c r="H92" t="str">
        <f>_xlfn.XLOOKUP($A92,Map!$A:$A,Map!D:D)</f>
        <v>Current Liabilities</v>
      </c>
      <c r="I92" t="str">
        <f>_xlfn.XLOOKUP($A92,Map!$A:$A,Map!E:E)</f>
        <v>Tade payables and Accuals &amp; other credit balances</v>
      </c>
      <c r="J92" t="str">
        <f>_xlfn.XLOOKUP($A92,Map!$A:$A,Map!F:F)</f>
        <v>Accrued salaries and wages</v>
      </c>
    </row>
    <row r="93" spans="1:10" x14ac:dyDescent="0.25">
      <c r="A93" s="90">
        <v>250002</v>
      </c>
      <c r="B93" s="90" t="s">
        <v>91</v>
      </c>
      <c r="C93" s="91">
        <v>0</v>
      </c>
      <c r="D93" s="91">
        <v>175025.261</v>
      </c>
      <c r="E93" s="91">
        <v>175025.261</v>
      </c>
      <c r="F93" s="91">
        <v>0</v>
      </c>
      <c r="G93" t="str">
        <f>_xlfn.XLOOKUP($A93,Map!$A:$A,Map!C:C)</f>
        <v>BS</v>
      </c>
      <c r="H93" t="str">
        <f>_xlfn.XLOOKUP($A93,Map!$A:$A,Map!D:D)</f>
        <v>Current Liabilities</v>
      </c>
      <c r="I93" t="str">
        <f>_xlfn.XLOOKUP($A93,Map!$A:$A,Map!E:E)</f>
        <v>Tade payables and Accuals &amp; other credit balances</v>
      </c>
      <c r="J93" t="str">
        <f>_xlfn.XLOOKUP($A93,Map!$A:$A,Map!F:F)</f>
        <v>Accrued utilities</v>
      </c>
    </row>
    <row r="94" spans="1:10" x14ac:dyDescent="0.25">
      <c r="A94" s="90">
        <v>250003</v>
      </c>
      <c r="B94" s="90" t="s">
        <v>92</v>
      </c>
      <c r="C94" s="91">
        <v>-644386</v>
      </c>
      <c r="D94" s="91">
        <v>1294386</v>
      </c>
      <c r="E94" s="91">
        <v>650000</v>
      </c>
      <c r="F94" s="91">
        <v>0</v>
      </c>
      <c r="G94" t="str">
        <f>_xlfn.XLOOKUP($A94,Map!$A:$A,Map!C:C)</f>
        <v>BS</v>
      </c>
      <c r="H94" t="str">
        <f>_xlfn.XLOOKUP($A94,Map!$A:$A,Map!D:D)</f>
        <v>Current Liabilities</v>
      </c>
      <c r="I94" t="str">
        <f>_xlfn.XLOOKUP($A94,Map!$A:$A,Map!E:E)</f>
        <v>Zakat provision</v>
      </c>
      <c r="J94" t="str">
        <f>_xlfn.XLOOKUP($A94,Map!$A:$A,Map!F:F)</f>
        <v>Zakat provision</v>
      </c>
    </row>
    <row r="95" spans="1:10" x14ac:dyDescent="0.25">
      <c r="A95" s="90">
        <v>250004</v>
      </c>
      <c r="B95" s="90" t="s">
        <v>93</v>
      </c>
      <c r="C95" s="91">
        <v>0</v>
      </c>
      <c r="D95" s="91">
        <v>0</v>
      </c>
      <c r="E95" s="91">
        <v>1108800</v>
      </c>
      <c r="F95" s="91">
        <v>-1108800</v>
      </c>
      <c r="G95" t="str">
        <f>_xlfn.XLOOKUP($A95,Map!$A:$A,Map!C:C)</f>
        <v>BS</v>
      </c>
      <c r="H95" t="str">
        <f>_xlfn.XLOOKUP($A95,Map!$A:$A,Map!D:D)</f>
        <v>Current Liabilities</v>
      </c>
      <c r="I95" t="str">
        <f>_xlfn.XLOOKUP($A95,Map!$A:$A,Map!E:E)</f>
        <v>Tade payables and Accuals &amp; other credit balances</v>
      </c>
      <c r="J95" t="str">
        <f>_xlfn.XLOOKUP($A95,Map!$A:$A,Map!F:F)</f>
        <v>Accrued bonus</v>
      </c>
    </row>
    <row r="96" spans="1:10" x14ac:dyDescent="0.25">
      <c r="A96" s="90">
        <v>250005</v>
      </c>
      <c r="B96" s="90" t="s">
        <v>94</v>
      </c>
      <c r="C96" s="91">
        <v>-28500</v>
      </c>
      <c r="D96" s="91">
        <v>3500553.83</v>
      </c>
      <c r="E96" s="91">
        <v>6145101.5800000001</v>
      </c>
      <c r="F96" s="91">
        <v>-2673047.75</v>
      </c>
      <c r="G96" t="str">
        <f>_xlfn.XLOOKUP($A96,Map!$A:$A,Map!C:C)</f>
        <v>BS</v>
      </c>
      <c r="H96" t="str">
        <f>_xlfn.XLOOKUP($A96,Map!$A:$A,Map!D:D)</f>
        <v>Current Liabilities</v>
      </c>
      <c r="I96" t="str">
        <f>_xlfn.XLOOKUP($A96,Map!$A:$A,Map!E:E)</f>
        <v>Tade payables and Accuals &amp; other credit balances</v>
      </c>
      <c r="J96" t="str">
        <f>_xlfn.XLOOKUP($A96,Map!$A:$A,Map!F:F)</f>
        <v>Accrued expenses</v>
      </c>
    </row>
    <row r="97" spans="1:10" x14ac:dyDescent="0.25">
      <c r="A97" s="90">
        <v>250006</v>
      </c>
      <c r="B97" s="90" t="s">
        <v>95</v>
      </c>
      <c r="C97" s="91">
        <v>-388008.67</v>
      </c>
      <c r="D97" s="91">
        <v>102772</v>
      </c>
      <c r="E97" s="91">
        <v>163913.035</v>
      </c>
      <c r="F97" s="91">
        <v>-449149.70500000002</v>
      </c>
      <c r="G97" t="str">
        <f>_xlfn.XLOOKUP($A97,Map!$A:$A,Map!C:C)</f>
        <v>BS</v>
      </c>
      <c r="H97" t="str">
        <f>_xlfn.XLOOKUP($A97,Map!$A:$A,Map!D:D)</f>
        <v>Current Liabilities</v>
      </c>
      <c r="I97" t="str">
        <f>_xlfn.XLOOKUP($A97,Map!$A:$A,Map!E:E)</f>
        <v>Tade payables and Accuals &amp; other credit balances</v>
      </c>
      <c r="J97" t="str">
        <f>_xlfn.XLOOKUP($A97,Map!$A:$A,Map!F:F)</f>
        <v>Accrued leave</v>
      </c>
    </row>
    <row r="98" spans="1:10" x14ac:dyDescent="0.25">
      <c r="A98" s="90">
        <v>260001</v>
      </c>
      <c r="B98" s="90" t="s">
        <v>96</v>
      </c>
      <c r="C98" s="91">
        <v>-6684528</v>
      </c>
      <c r="D98" s="91">
        <v>20370.5</v>
      </c>
      <c r="E98" s="91">
        <v>538800.5</v>
      </c>
      <c r="F98" s="91">
        <v>-7202958</v>
      </c>
      <c r="G98" t="str">
        <f>_xlfn.XLOOKUP($A98,Map!$A:$A,Map!C:C)</f>
        <v>BS</v>
      </c>
      <c r="H98" t="str">
        <f>_xlfn.XLOOKUP($A98,Map!$A:$A,Map!D:D)</f>
        <v>Stockholder's equity</v>
      </c>
      <c r="I98" t="str">
        <f>_xlfn.XLOOKUP($A98,Map!$A:$A,Map!E:E)</f>
        <v>Statutory reserve</v>
      </c>
      <c r="J98" t="str">
        <f>_xlfn.XLOOKUP($A98,Map!$A:$A,Map!F:F)</f>
        <v>Statutory reserve</v>
      </c>
    </row>
    <row r="99" spans="1:10" x14ac:dyDescent="0.25">
      <c r="A99" s="90">
        <v>260002</v>
      </c>
      <c r="B99" s="90" t="s">
        <v>97</v>
      </c>
      <c r="C99" s="91">
        <v>-7512895</v>
      </c>
      <c r="D99" s="91">
        <v>2323136</v>
      </c>
      <c r="E99" s="91">
        <v>1090985</v>
      </c>
      <c r="F99" s="91">
        <v>-6280744</v>
      </c>
      <c r="G99" t="str">
        <f>_xlfn.XLOOKUP($A99,Map!$A:$A,Map!C:C)</f>
        <v>BS</v>
      </c>
      <c r="H99" t="str">
        <f>_xlfn.XLOOKUP($A99,Map!$A:$A,Map!D:D)</f>
        <v>Non-Current Liabilities</v>
      </c>
      <c r="I99" t="str">
        <f>_xlfn.XLOOKUP($A99,Map!$A:$A,Map!E:E)</f>
        <v xml:space="preserve">End-of-service indemnities </v>
      </c>
      <c r="J99" t="str">
        <f>_xlfn.XLOOKUP($A99,Map!$A:$A,Map!F:F)</f>
        <v xml:space="preserve">End-of-service indemnities </v>
      </c>
    </row>
    <row r="100" spans="1:10" x14ac:dyDescent="0.25">
      <c r="A100" s="90">
        <v>260003</v>
      </c>
      <c r="B100" s="90" t="s">
        <v>98</v>
      </c>
      <c r="C100" s="91">
        <v>-3482088.0839999998</v>
      </c>
      <c r="D100" s="91">
        <v>958517.09</v>
      </c>
      <c r="E100" s="91">
        <v>930533.68</v>
      </c>
      <c r="F100" s="91">
        <v>-3454104.6740000001</v>
      </c>
      <c r="G100" t="str">
        <f>_xlfn.XLOOKUP($A100,Map!$A:$A,Map!C:C)</f>
        <v>BS</v>
      </c>
      <c r="H100" t="str">
        <f>_xlfn.XLOOKUP($A100,Map!$A:$A,Map!D:D)</f>
        <v>Current Assets</v>
      </c>
      <c r="I100" t="str">
        <f>_xlfn.XLOOKUP($A100,Map!$A:$A,Map!E:E)</f>
        <v>Trade receivables</v>
      </c>
      <c r="J100" t="str">
        <f>_xlfn.XLOOKUP($A100,Map!$A:$A,Map!F:F)</f>
        <v>Provisions</v>
      </c>
    </row>
    <row r="101" spans="1:10" x14ac:dyDescent="0.25">
      <c r="A101" s="90">
        <v>260004</v>
      </c>
      <c r="B101" s="90" t="s">
        <v>99</v>
      </c>
      <c r="C101" s="91">
        <v>-2000000</v>
      </c>
      <c r="D101" s="91">
        <v>2270000</v>
      </c>
      <c r="E101" s="91">
        <v>270000</v>
      </c>
      <c r="F101" s="91">
        <v>0</v>
      </c>
      <c r="G101" t="str">
        <f>_xlfn.XLOOKUP($A101,Map!$A:$A,Map!C:C)</f>
        <v>BS</v>
      </c>
      <c r="H101" t="str">
        <f>_xlfn.XLOOKUP($A101,Map!$A:$A,Map!D:D)</f>
        <v>Current Assets</v>
      </c>
      <c r="I101" t="str">
        <f>_xlfn.XLOOKUP($A101,Map!$A:$A,Map!E:E)</f>
        <v>Inventories</v>
      </c>
      <c r="J101" t="str">
        <f>_xlfn.XLOOKUP($A101,Map!$A:$A,Map!F:F)</f>
        <v>Allowance for slow moving/obsolete inventories - Inventory</v>
      </c>
    </row>
    <row r="102" spans="1:10" x14ac:dyDescent="0.25">
      <c r="A102" s="90">
        <v>260005</v>
      </c>
      <c r="B102" s="90" t="s">
        <v>100</v>
      </c>
      <c r="C102" s="91">
        <v>-4214760</v>
      </c>
      <c r="D102" s="91">
        <v>0</v>
      </c>
      <c r="E102" s="91">
        <v>115133.194</v>
      </c>
      <c r="F102" s="91">
        <v>-4329893.1940000001</v>
      </c>
      <c r="G102" t="str">
        <f>_xlfn.XLOOKUP($A102,Map!$A:$A,Map!C:C)</f>
        <v>BS</v>
      </c>
      <c r="H102" t="str">
        <f>_xlfn.XLOOKUP($A102,Map!$A:$A,Map!D:D)</f>
        <v>Non-Current Liabilities</v>
      </c>
      <c r="I102" t="str">
        <f>_xlfn.XLOOKUP($A102,Map!$A:$A,Map!E:E)</f>
        <v>Provision for evacuation</v>
      </c>
      <c r="J102" t="str">
        <f>_xlfn.XLOOKUP($A102,Map!$A:$A,Map!F:F)</f>
        <v>Provision for evacuation</v>
      </c>
    </row>
    <row r="103" spans="1:10" x14ac:dyDescent="0.25">
      <c r="A103" s="90">
        <v>270001</v>
      </c>
      <c r="B103" s="90" t="s">
        <v>101</v>
      </c>
      <c r="C103" s="91">
        <v>166370.04999999999</v>
      </c>
      <c r="D103" s="91">
        <v>61621.19</v>
      </c>
      <c r="E103" s="91">
        <v>81836.584000000003</v>
      </c>
      <c r="F103" s="91">
        <v>146154.65599999999</v>
      </c>
      <c r="G103" t="str">
        <f>_xlfn.XLOOKUP($A103,Map!$A:$A,Map!C:C)</f>
        <v>BS</v>
      </c>
      <c r="H103" t="str">
        <f>_xlfn.XLOOKUP($A103,Map!$A:$A,Map!D:D)</f>
        <v>Non-Current Liabilities</v>
      </c>
      <c r="I103" t="str">
        <f>_xlfn.XLOOKUP($A103,Map!$A:$A,Map!E:E)</f>
        <v xml:space="preserve">Due to related parties </v>
      </c>
      <c r="J103" t="str">
        <f>_xlfn.XLOOKUP($A103,Map!$A:$A,Map!F:F)</f>
        <v>Aims Holding  Current Acc</v>
      </c>
    </row>
    <row r="104" spans="1:10" x14ac:dyDescent="0.25">
      <c r="A104" s="90">
        <v>270002</v>
      </c>
      <c r="B104" s="90" t="s">
        <v>102</v>
      </c>
      <c r="C104" s="91">
        <v>0</v>
      </c>
      <c r="D104" s="91">
        <v>22087353.535</v>
      </c>
      <c r="E104" s="91">
        <v>22087353.535</v>
      </c>
      <c r="F104" s="91">
        <v>0</v>
      </c>
      <c r="G104" t="str">
        <f>_xlfn.XLOOKUP($A104,Map!$A:$A,Map!C:C)</f>
        <v>BS</v>
      </c>
      <c r="H104" t="str">
        <f>_xlfn.XLOOKUP($A104,Map!$A:$A,Map!D:D)</f>
        <v>Current Liabilities</v>
      </c>
      <c r="I104" t="str">
        <f>_xlfn.XLOOKUP($A104,Map!$A:$A,Map!E:E)</f>
        <v>Tade payables and Accuals &amp; other credit balances</v>
      </c>
      <c r="J104" t="str">
        <f>_xlfn.XLOOKUP($A104,Map!$A:$A,Map!F:F)</f>
        <v>VAT payables</v>
      </c>
    </row>
    <row r="105" spans="1:10" x14ac:dyDescent="0.25">
      <c r="A105" s="90">
        <v>270003</v>
      </c>
      <c r="B105" s="90" t="s">
        <v>103</v>
      </c>
      <c r="C105" s="91">
        <v>0</v>
      </c>
      <c r="D105" s="91">
        <v>11197210.389</v>
      </c>
      <c r="E105" s="91">
        <v>11197210.389</v>
      </c>
      <c r="F105" s="91">
        <v>0</v>
      </c>
      <c r="G105" t="str">
        <f>_xlfn.XLOOKUP($A105,Map!$A:$A,Map!C:C)</f>
        <v>BS</v>
      </c>
      <c r="H105" t="str">
        <f>_xlfn.XLOOKUP($A105,Map!$A:$A,Map!D:D)</f>
        <v>Current Liabilities</v>
      </c>
      <c r="I105" t="str">
        <f>_xlfn.XLOOKUP($A105,Map!$A:$A,Map!E:E)</f>
        <v>Tade payables and Accuals &amp; other credit balances</v>
      </c>
      <c r="J105" t="str">
        <f>_xlfn.XLOOKUP($A105,Map!$A:$A,Map!F:F)</f>
        <v>VAT payables</v>
      </c>
    </row>
    <row r="106" spans="1:10" x14ac:dyDescent="0.25">
      <c r="A106" s="90">
        <v>270004</v>
      </c>
      <c r="B106" s="90" t="s">
        <v>104</v>
      </c>
      <c r="C106" s="91">
        <v>-1563447.46</v>
      </c>
      <c r="D106" s="91">
        <v>7857550.3200000003</v>
      </c>
      <c r="E106" s="91">
        <v>7519660.21</v>
      </c>
      <c r="F106" s="91">
        <v>-1225557.3500000001</v>
      </c>
      <c r="G106" t="str">
        <f>_xlfn.XLOOKUP($A106,Map!$A:$A,Map!C:C)</f>
        <v>BS</v>
      </c>
      <c r="H106" t="str">
        <f>_xlfn.XLOOKUP($A106,Map!$A:$A,Map!D:D)</f>
        <v>Current Liabilities</v>
      </c>
      <c r="I106" t="str">
        <f>_xlfn.XLOOKUP($A106,Map!$A:$A,Map!E:E)</f>
        <v>Tade payables and Accuals &amp; other credit balances</v>
      </c>
      <c r="J106" t="str">
        <f>_xlfn.XLOOKUP($A106,Map!$A:$A,Map!F:F)</f>
        <v>VAT payables</v>
      </c>
    </row>
    <row r="107" spans="1:10" x14ac:dyDescent="0.25">
      <c r="A107" s="90">
        <v>310001</v>
      </c>
      <c r="B107" s="90" t="s">
        <v>106</v>
      </c>
      <c r="C107" s="91">
        <v>-14406130.132999999</v>
      </c>
      <c r="D107" s="91">
        <v>667457.37</v>
      </c>
      <c r="E107" s="91">
        <v>149027.37</v>
      </c>
      <c r="F107" s="91">
        <v>-13887700.132999999</v>
      </c>
      <c r="G107" t="str">
        <f>_xlfn.XLOOKUP($A107,Map!$A:$A,Map!C:C)</f>
        <v>BS</v>
      </c>
      <c r="H107" t="str">
        <f>_xlfn.XLOOKUP($A107,Map!$A:$A,Map!D:D)</f>
        <v>Stockholder's equity</v>
      </c>
      <c r="I107" t="str">
        <f>_xlfn.XLOOKUP($A107,Map!$A:$A,Map!E:E)</f>
        <v>Retained earnings</v>
      </c>
      <c r="J107" t="str">
        <f>_xlfn.XLOOKUP($A107,Map!$A:$A,Map!F:F)</f>
        <v>Retained earnings</v>
      </c>
    </row>
    <row r="108" spans="1:10" x14ac:dyDescent="0.25">
      <c r="A108" s="90">
        <v>330001</v>
      </c>
      <c r="B108" s="90" t="s">
        <v>107</v>
      </c>
      <c r="C108" s="91">
        <v>0</v>
      </c>
      <c r="D108" s="91">
        <v>0</v>
      </c>
      <c r="E108" s="91">
        <v>0</v>
      </c>
      <c r="F108" s="91">
        <v>0</v>
      </c>
      <c r="G108" t="str">
        <f>_xlfn.XLOOKUP($A108,Map!$A:$A,Map!C:C)</f>
        <v>BS</v>
      </c>
      <c r="H108" t="str">
        <f>_xlfn.XLOOKUP($A108,Map!$A:$A,Map!D:D)</f>
        <v>Stockholder's equity</v>
      </c>
      <c r="I108" t="str">
        <f>_xlfn.XLOOKUP($A108,Map!$A:$A,Map!E:E)</f>
        <v>Retained earnings</v>
      </c>
      <c r="J108" t="str">
        <f>_xlfn.XLOOKUP($A108,Map!$A:$A,Map!F:F)</f>
        <v>Retained earnings</v>
      </c>
    </row>
    <row r="109" spans="1:10" x14ac:dyDescent="0.25">
      <c r="A109" s="90">
        <v>330002</v>
      </c>
      <c r="B109" s="90" t="s">
        <v>108</v>
      </c>
      <c r="C109" s="91">
        <v>-35335000</v>
      </c>
      <c r="D109" s="91">
        <v>0</v>
      </c>
      <c r="E109" s="91">
        <v>0</v>
      </c>
      <c r="F109" s="91">
        <v>-35335000</v>
      </c>
      <c r="G109" t="str">
        <f>_xlfn.XLOOKUP($A109,Map!$A:$A,Map!C:C)</f>
        <v>BS</v>
      </c>
      <c r="H109" t="str">
        <f>_xlfn.XLOOKUP($A109,Map!$A:$A,Map!D:D)</f>
        <v>Stockholder's equity</v>
      </c>
      <c r="I109" t="str">
        <f>_xlfn.XLOOKUP($A109,Map!$A:$A,Map!E:E)</f>
        <v>Share capital</v>
      </c>
      <c r="J109" t="str">
        <f>_xlfn.XLOOKUP($A109,Map!$A:$A,Map!F:F)</f>
        <v>Share capital</v>
      </c>
    </row>
    <row r="110" spans="1:10" x14ac:dyDescent="0.25">
      <c r="A110" s="90">
        <v>330003</v>
      </c>
      <c r="B110" s="90" t="s">
        <v>109</v>
      </c>
      <c r="C110" s="91">
        <v>-102255315.01000001</v>
      </c>
      <c r="D110" s="91">
        <v>0</v>
      </c>
      <c r="E110" s="91">
        <v>0</v>
      </c>
      <c r="F110" s="91">
        <v>-102255315.01000001</v>
      </c>
      <c r="G110" t="str">
        <f>_xlfn.XLOOKUP($A110,Map!$A:$A,Map!C:C)</f>
        <v>BS</v>
      </c>
      <c r="H110" t="str">
        <f>_xlfn.XLOOKUP($A110,Map!$A:$A,Map!D:D)</f>
        <v>Stockholder's equity</v>
      </c>
      <c r="I110" t="str">
        <f>_xlfn.XLOOKUP($A110,Map!$A:$A,Map!E:E)</f>
        <v>Additional contribution from shareholders</v>
      </c>
      <c r="J110" t="str">
        <f>_xlfn.XLOOKUP($A110,Map!$A:$A,Map!F:F)</f>
        <v>Additional contribution from shareholders</v>
      </c>
    </row>
    <row r="111" spans="1:10" x14ac:dyDescent="0.25">
      <c r="A111" s="90">
        <v>410001</v>
      </c>
      <c r="B111" s="90" t="s">
        <v>110</v>
      </c>
      <c r="C111" s="91">
        <v>0</v>
      </c>
      <c r="D111" s="91">
        <v>24845336.616</v>
      </c>
      <c r="E111" s="91">
        <v>227234284.92500001</v>
      </c>
      <c r="F111" s="91">
        <v>-202388948.30899999</v>
      </c>
      <c r="G111" t="str">
        <f>_xlfn.XLOOKUP($A111,Map!$A:$A,Map!C:C)</f>
        <v>IS</v>
      </c>
      <c r="H111" t="str">
        <f>_xlfn.XLOOKUP($A111,Map!$A:$A,Map!D:D)</f>
        <v>Sales</v>
      </c>
      <c r="I111" t="str">
        <f>_xlfn.XLOOKUP($A111,Map!$A:$A,Map!E:E)</f>
        <v>Sales</v>
      </c>
      <c r="J111" t="str">
        <f>_xlfn.XLOOKUP($A111,Map!$A:$A,Map!F:F)</f>
        <v>Trading revenue</v>
      </c>
    </row>
    <row r="112" spans="1:10" x14ac:dyDescent="0.25">
      <c r="A112" s="90">
        <v>410002</v>
      </c>
      <c r="B112" s="90" t="s">
        <v>111</v>
      </c>
      <c r="C112" s="91">
        <v>0</v>
      </c>
      <c r="D112" s="91">
        <v>815298.13600000006</v>
      </c>
      <c r="E112" s="91">
        <v>0</v>
      </c>
      <c r="F112" s="91">
        <v>815298.13600000006</v>
      </c>
      <c r="G112" t="str">
        <f>_xlfn.XLOOKUP($A112,Map!$A:$A,Map!C:C)</f>
        <v>IS</v>
      </c>
      <c r="H112" t="str">
        <f>_xlfn.XLOOKUP($A112,Map!$A:$A,Map!D:D)</f>
        <v>Sales</v>
      </c>
      <c r="I112" t="str">
        <f>_xlfn.XLOOKUP($A112,Map!$A:$A,Map!E:E)</f>
        <v>Sales</v>
      </c>
      <c r="J112" t="str">
        <f>_xlfn.XLOOKUP($A112,Map!$A:$A,Map!F:F)</f>
        <v>Trading revenue</v>
      </c>
    </row>
    <row r="113" spans="1:10" x14ac:dyDescent="0.25">
      <c r="A113" s="90">
        <v>410003</v>
      </c>
      <c r="B113" s="90" t="s">
        <v>112</v>
      </c>
      <c r="C113" s="91">
        <v>0</v>
      </c>
      <c r="D113" s="91">
        <v>23793.195</v>
      </c>
      <c r="E113" s="91">
        <v>318.5</v>
      </c>
      <c r="F113" s="91">
        <v>23474.695</v>
      </c>
      <c r="G113" t="str">
        <f>_xlfn.XLOOKUP($A113,Map!$A:$A,Map!C:C)</f>
        <v>IS</v>
      </c>
      <c r="H113" t="str">
        <f>_xlfn.XLOOKUP($A113,Map!$A:$A,Map!D:D)</f>
        <v>Sales</v>
      </c>
      <c r="I113" t="str">
        <f>_xlfn.XLOOKUP($A113,Map!$A:$A,Map!E:E)</f>
        <v>Sales</v>
      </c>
      <c r="J113" t="str">
        <f>_xlfn.XLOOKUP($A113,Map!$A:$A,Map!F:F)</f>
        <v>Trading revenue</v>
      </c>
    </row>
    <row r="114" spans="1:10" x14ac:dyDescent="0.25">
      <c r="A114" s="90">
        <v>410004</v>
      </c>
      <c r="B114" s="90" t="s">
        <v>113</v>
      </c>
      <c r="C114" s="91">
        <v>0</v>
      </c>
      <c r="D114" s="91">
        <v>175175</v>
      </c>
      <c r="E114" s="91">
        <v>1443356.379</v>
      </c>
      <c r="F114" s="91">
        <v>-1268181.379</v>
      </c>
      <c r="G114" t="str">
        <f>_xlfn.XLOOKUP($A114,Map!$A:$A,Map!C:C)</f>
        <v>IS</v>
      </c>
      <c r="H114" t="str">
        <f>_xlfn.XLOOKUP($A114,Map!$A:$A,Map!D:D)</f>
        <v>Sales</v>
      </c>
      <c r="I114" t="str">
        <f>_xlfn.XLOOKUP($A114,Map!$A:$A,Map!E:E)</f>
        <v>Sales</v>
      </c>
      <c r="J114" t="str">
        <f>_xlfn.XLOOKUP($A114,Map!$A:$A,Map!F:F)</f>
        <v>Scrap sales</v>
      </c>
    </row>
    <row r="115" spans="1:10" x14ac:dyDescent="0.25">
      <c r="A115" s="90">
        <v>420001</v>
      </c>
      <c r="B115" s="90" t="s">
        <v>114</v>
      </c>
      <c r="C115" s="91">
        <v>0</v>
      </c>
      <c r="D115" s="91">
        <v>0</v>
      </c>
      <c r="E115" s="91">
        <v>11208</v>
      </c>
      <c r="F115" s="91">
        <v>-11208</v>
      </c>
      <c r="G115" t="str">
        <f>_xlfn.XLOOKUP($A115,Map!$A:$A,Map!C:C)</f>
        <v>IS</v>
      </c>
      <c r="H115" t="str">
        <f>_xlfn.XLOOKUP($A115,Map!$A:$A,Map!D:D)</f>
        <v>Sales</v>
      </c>
      <c r="I115" t="str">
        <f>_xlfn.XLOOKUP($A115,Map!$A:$A,Map!E:E)</f>
        <v>Sales</v>
      </c>
      <c r="J115" t="str">
        <f>_xlfn.XLOOKUP($A115,Map!$A:$A,Map!F:F)</f>
        <v>Other income</v>
      </c>
    </row>
    <row r="116" spans="1:10" x14ac:dyDescent="0.25">
      <c r="A116" s="90">
        <v>420003</v>
      </c>
      <c r="B116" s="90" t="s">
        <v>115</v>
      </c>
      <c r="C116" s="91">
        <v>0</v>
      </c>
      <c r="D116" s="91">
        <v>3.2000000000000001E-2</v>
      </c>
      <c r="E116" s="91">
        <v>3.2000000000000001E-2</v>
      </c>
      <c r="F116" s="91">
        <v>0</v>
      </c>
      <c r="G116" t="str">
        <f>_xlfn.XLOOKUP($A116,Map!$A:$A,Map!C:C)</f>
        <v>IS</v>
      </c>
      <c r="H116" t="str">
        <f>_xlfn.XLOOKUP($A116,Map!$A:$A,Map!D:D)</f>
        <v>Sales</v>
      </c>
      <c r="I116" t="str">
        <f>_xlfn.XLOOKUP($A116,Map!$A:$A,Map!E:E)</f>
        <v>Sales</v>
      </c>
      <c r="J116" t="str">
        <f>_xlfn.XLOOKUP($A116,Map!$A:$A,Map!F:F)</f>
        <v>Scrap sales</v>
      </c>
    </row>
    <row r="117" spans="1:10" x14ac:dyDescent="0.25">
      <c r="A117" s="90">
        <v>510001</v>
      </c>
      <c r="B117" s="90" t="s">
        <v>116</v>
      </c>
      <c r="C117" s="91">
        <v>0</v>
      </c>
      <c r="D117" s="91">
        <v>575068259.06099999</v>
      </c>
      <c r="E117" s="91">
        <v>435866919.73199999</v>
      </c>
      <c r="F117" s="91">
        <v>139201339.329</v>
      </c>
      <c r="G117" t="str">
        <f>_xlfn.XLOOKUP($A117,Map!$A:$A,Map!C:C)</f>
        <v>IS</v>
      </c>
      <c r="H117" t="str">
        <f>_xlfn.XLOOKUP($A117,Map!$A:$A,Map!D:D)</f>
        <v>Cost of sales</v>
      </c>
      <c r="I117" t="str">
        <f>_xlfn.XLOOKUP($A117,Map!$A:$A,Map!E:E)</f>
        <v>Raw materials</v>
      </c>
      <c r="J117" t="str">
        <f>_xlfn.XLOOKUP($A117,Map!$A:$A,Map!F:F)</f>
        <v>Raw materials</v>
      </c>
    </row>
    <row r="118" spans="1:10" x14ac:dyDescent="0.25">
      <c r="A118" s="90">
        <v>510002</v>
      </c>
      <c r="B118" s="90" t="s">
        <v>117</v>
      </c>
      <c r="C118" s="91">
        <v>0</v>
      </c>
      <c r="D118" s="91">
        <v>22110324.796999998</v>
      </c>
      <c r="E118" s="91">
        <v>11082486.596999999</v>
      </c>
      <c r="F118" s="91">
        <v>11027838.199999999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Direct Labor</v>
      </c>
      <c r="J118" t="str">
        <f>_xlfn.XLOOKUP($A118,Map!$A:$A,Map!F:F)</f>
        <v>Direct Labor</v>
      </c>
    </row>
    <row r="119" spans="1:10" x14ac:dyDescent="0.25">
      <c r="A119" s="90">
        <v>510003</v>
      </c>
      <c r="B119" s="90" t="s">
        <v>118</v>
      </c>
      <c r="C119" s="91">
        <v>0</v>
      </c>
      <c r="D119" s="91">
        <v>20429476.774</v>
      </c>
      <c r="E119" s="91">
        <v>14265542.818</v>
      </c>
      <c r="F119" s="91">
        <v>6163933.9560000002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Raw materials</v>
      </c>
      <c r="J119" t="str">
        <f>_xlfn.XLOOKUP($A119,Map!$A:$A,Map!F:F)</f>
        <v>Raw materials</v>
      </c>
    </row>
    <row r="120" spans="1:10" x14ac:dyDescent="0.25">
      <c r="A120" s="90">
        <v>510004</v>
      </c>
      <c r="B120" s="90" t="s">
        <v>119</v>
      </c>
      <c r="C120" s="91">
        <v>0</v>
      </c>
      <c r="D120" s="91">
        <v>52061369.383000001</v>
      </c>
      <c r="E120" s="91">
        <v>32284520.727000002</v>
      </c>
      <c r="F120" s="91">
        <v>19776848.655999999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Raw materials</v>
      </c>
      <c r="J120" t="str">
        <f>_xlfn.XLOOKUP($A120,Map!$A:$A,Map!F:F)</f>
        <v>Other expenses</v>
      </c>
    </row>
    <row r="121" spans="1:10" x14ac:dyDescent="0.25">
      <c r="A121" s="90">
        <v>510005</v>
      </c>
      <c r="B121" s="90" t="s">
        <v>120</v>
      </c>
      <c r="C121" s="91">
        <v>0</v>
      </c>
      <c r="D121" s="91">
        <v>78967.600999999995</v>
      </c>
      <c r="E121" s="91">
        <v>78967.600999999995</v>
      </c>
      <c r="F121" s="91">
        <v>0</v>
      </c>
      <c r="G121" t="str">
        <f>_xlfn.XLOOKUP($A121,Map!$A:$A,Map!C:C)</f>
        <v>IS</v>
      </c>
      <c r="H121" t="str">
        <f>_xlfn.XLOOKUP($A121,Map!$A:$A,Map!D:D)</f>
        <v>Cost of sales</v>
      </c>
      <c r="I121" t="str">
        <f>_xlfn.XLOOKUP($A121,Map!$A:$A,Map!E:E)</f>
        <v>Raw materials</v>
      </c>
      <c r="J121" t="str">
        <f>_xlfn.XLOOKUP($A121,Map!$A:$A,Map!F:F)</f>
        <v>Other expenses</v>
      </c>
    </row>
    <row r="122" spans="1:10" x14ac:dyDescent="0.25">
      <c r="A122" s="90">
        <v>520001</v>
      </c>
      <c r="B122" s="90" t="s">
        <v>121</v>
      </c>
      <c r="C122" s="91">
        <v>0</v>
      </c>
      <c r="D122" s="91">
        <v>7816373</v>
      </c>
      <c r="E122" s="91">
        <v>7816373</v>
      </c>
      <c r="F122" s="91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Direct Labor</v>
      </c>
      <c r="J122" t="str">
        <f>_xlfn.XLOOKUP($A122,Map!$A:$A,Map!F:F)</f>
        <v>Salaries and wages</v>
      </c>
    </row>
    <row r="123" spans="1:10" x14ac:dyDescent="0.25">
      <c r="A123" s="90">
        <v>520002</v>
      </c>
      <c r="B123" s="90" t="s">
        <v>122</v>
      </c>
      <c r="C123" s="91">
        <v>0</v>
      </c>
      <c r="D123" s="91">
        <v>0</v>
      </c>
      <c r="E123" s="91">
        <v>0</v>
      </c>
      <c r="F123" s="91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Direct Labor</v>
      </c>
      <c r="J123" t="str">
        <f>_xlfn.XLOOKUP($A123,Map!$A:$A,Map!F:F)</f>
        <v>Overtime pay</v>
      </c>
    </row>
    <row r="124" spans="1:10" x14ac:dyDescent="0.25">
      <c r="A124" s="90">
        <v>520003</v>
      </c>
      <c r="B124" s="90" t="s">
        <v>123</v>
      </c>
      <c r="C124" s="91">
        <v>0</v>
      </c>
      <c r="D124" s="91">
        <v>689006</v>
      </c>
      <c r="E124" s="91">
        <v>689006</v>
      </c>
      <c r="F124" s="91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Direct Labor</v>
      </c>
      <c r="J124" t="str">
        <f>_xlfn.XLOOKUP($A124,Map!$A:$A,Map!F:F)</f>
        <v>Transportation allowance</v>
      </c>
    </row>
    <row r="125" spans="1:10" x14ac:dyDescent="0.25">
      <c r="A125" s="90">
        <v>520004</v>
      </c>
      <c r="B125" s="90" t="s">
        <v>124</v>
      </c>
      <c r="C125" s="91">
        <v>0</v>
      </c>
      <c r="D125" s="91">
        <v>0</v>
      </c>
      <c r="E125" s="91">
        <v>0</v>
      </c>
      <c r="F125" s="91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Direct Labor</v>
      </c>
      <c r="J125" t="str">
        <f>_xlfn.XLOOKUP($A125,Map!$A:$A,Map!F:F)</f>
        <v>Food and housing</v>
      </c>
    </row>
    <row r="126" spans="1:10" x14ac:dyDescent="0.25">
      <c r="A126" s="90">
        <v>520005</v>
      </c>
      <c r="B126" s="90" t="s">
        <v>125</v>
      </c>
      <c r="C126" s="91">
        <v>0</v>
      </c>
      <c r="D126" s="91">
        <v>370834</v>
      </c>
      <c r="E126" s="91">
        <v>370834</v>
      </c>
      <c r="F126" s="91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Direct Labor</v>
      </c>
      <c r="J126" t="str">
        <f>_xlfn.XLOOKUP($A126,Map!$A:$A,Map!F:F)</f>
        <v>Leave pay</v>
      </c>
    </row>
    <row r="127" spans="1:10" x14ac:dyDescent="0.25">
      <c r="A127" s="90">
        <v>520006</v>
      </c>
      <c r="B127" s="90" t="s">
        <v>126</v>
      </c>
      <c r="C127" s="91">
        <v>0</v>
      </c>
      <c r="D127" s="91">
        <v>521953.09399999998</v>
      </c>
      <c r="E127" s="91">
        <v>521953.09399999998</v>
      </c>
      <c r="F127" s="91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Direct Labor</v>
      </c>
      <c r="J127" t="str">
        <f>_xlfn.XLOOKUP($A127,Map!$A:$A,Map!F:F)</f>
        <v>Medical insurance</v>
      </c>
    </row>
    <row r="128" spans="1:10" x14ac:dyDescent="0.25">
      <c r="A128" s="90">
        <v>520010</v>
      </c>
      <c r="B128" s="90" t="s">
        <v>127</v>
      </c>
      <c r="C128" s="91">
        <v>0</v>
      </c>
      <c r="D128" s="91">
        <v>0</v>
      </c>
      <c r="E128" s="91">
        <v>0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Direct Labor</v>
      </c>
      <c r="J128" t="str">
        <f>_xlfn.XLOOKUP($A128,Map!$A:$A,Map!F:F)</f>
        <v>Salaries and wages</v>
      </c>
    </row>
    <row r="129" spans="1:10" x14ac:dyDescent="0.25">
      <c r="A129" s="90">
        <v>520011</v>
      </c>
      <c r="B129" s="90" t="s">
        <v>122</v>
      </c>
      <c r="C129" s="91">
        <v>0</v>
      </c>
      <c r="D129" s="91">
        <v>2427058</v>
      </c>
      <c r="E129" s="91">
        <v>2427058</v>
      </c>
      <c r="F129" s="91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Direct Labor</v>
      </c>
      <c r="J129" t="str">
        <f>_xlfn.XLOOKUP($A129,Map!$A:$A,Map!F:F)</f>
        <v>Overtime pay</v>
      </c>
    </row>
    <row r="130" spans="1:10" x14ac:dyDescent="0.25">
      <c r="A130" s="90">
        <v>520013</v>
      </c>
      <c r="B130" s="90" t="s">
        <v>124</v>
      </c>
      <c r="C130" s="91">
        <v>0</v>
      </c>
      <c r="D130" s="91">
        <v>0</v>
      </c>
      <c r="E130" s="91">
        <v>0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Direct Labor</v>
      </c>
      <c r="J130" t="str">
        <f>_xlfn.XLOOKUP($A130,Map!$A:$A,Map!F:F)</f>
        <v>Food and housing</v>
      </c>
    </row>
    <row r="131" spans="1:10" x14ac:dyDescent="0.25">
      <c r="A131" s="90">
        <v>520014</v>
      </c>
      <c r="B131" s="90" t="s">
        <v>125</v>
      </c>
      <c r="C131" s="91">
        <v>0</v>
      </c>
      <c r="D131" s="91">
        <v>0</v>
      </c>
      <c r="E131" s="91">
        <v>0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Direct Labor</v>
      </c>
      <c r="J131" t="str">
        <f>_xlfn.XLOOKUP($A131,Map!$A:$A,Map!F:F)</f>
        <v>Leave pay</v>
      </c>
    </row>
    <row r="132" spans="1:10" x14ac:dyDescent="0.25">
      <c r="A132" s="90">
        <v>520015</v>
      </c>
      <c r="B132" s="90" t="s">
        <v>128</v>
      </c>
      <c r="C132" s="91">
        <v>0</v>
      </c>
      <c r="D132" s="91">
        <v>238956</v>
      </c>
      <c r="E132" s="91">
        <v>238956</v>
      </c>
      <c r="F132" s="91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Direct Labor</v>
      </c>
      <c r="J132" t="str">
        <f>_xlfn.XLOOKUP($A132,Map!$A:$A,Map!F:F)</f>
        <v>Food and housing</v>
      </c>
    </row>
    <row r="133" spans="1:10" x14ac:dyDescent="0.25">
      <c r="A133" s="90">
        <v>520021</v>
      </c>
      <c r="B133" s="90" t="s">
        <v>129</v>
      </c>
      <c r="C133" s="91">
        <v>0</v>
      </c>
      <c r="D133" s="91">
        <v>17216.238000000001</v>
      </c>
      <c r="E133" s="91">
        <v>17216.238000000001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Direct Labor</v>
      </c>
      <c r="J133" t="str">
        <f>_xlfn.XLOOKUP($A133,Map!$A:$A,Map!F:F)</f>
        <v>Medical insurance</v>
      </c>
    </row>
    <row r="134" spans="1:10" x14ac:dyDescent="0.25">
      <c r="A134" s="90">
        <v>520022</v>
      </c>
      <c r="B134" s="90" t="s">
        <v>130</v>
      </c>
      <c r="C134" s="91">
        <v>0</v>
      </c>
      <c r="D134" s="91">
        <v>0</v>
      </c>
      <c r="E134" s="91">
        <v>0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Direct Labor</v>
      </c>
      <c r="J134" t="str">
        <f>_xlfn.XLOOKUP($A134,Map!$A:$A,Map!F:F)</f>
        <v>Iqama renewal</v>
      </c>
    </row>
    <row r="135" spans="1:10" x14ac:dyDescent="0.25">
      <c r="A135" s="90">
        <v>520023</v>
      </c>
      <c r="B135" s="90" t="s">
        <v>255</v>
      </c>
      <c r="C135" s="91">
        <v>0</v>
      </c>
      <c r="D135" s="91">
        <v>0</v>
      </c>
      <c r="E135" s="91">
        <v>0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Direct Labor</v>
      </c>
      <c r="J135" t="str">
        <f>_xlfn.XLOOKUP($A135,Map!$A:$A,Map!F:F)</f>
        <v>Medical insurance</v>
      </c>
    </row>
    <row r="136" spans="1:10" x14ac:dyDescent="0.25">
      <c r="A136" s="90">
        <v>520032</v>
      </c>
      <c r="B136" s="90" t="s">
        <v>131</v>
      </c>
      <c r="C136" s="91">
        <v>0</v>
      </c>
      <c r="D136" s="91">
        <v>0</v>
      </c>
      <c r="E136" s="91">
        <v>0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Raw materials</v>
      </c>
      <c r="J136" t="str">
        <f>_xlfn.XLOOKUP($A136,Map!$A:$A,Map!F:F)</f>
        <v>Consumables</v>
      </c>
    </row>
    <row r="137" spans="1:10" x14ac:dyDescent="0.25">
      <c r="A137" s="90">
        <v>520036</v>
      </c>
      <c r="B137" s="90" t="s">
        <v>132</v>
      </c>
      <c r="C137" s="91">
        <v>0</v>
      </c>
      <c r="D137" s="91">
        <v>0.193</v>
      </c>
      <c r="E137" s="91">
        <v>0.193</v>
      </c>
      <c r="F137" s="91">
        <v>0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Raw materials</v>
      </c>
      <c r="J137" t="str">
        <f>_xlfn.XLOOKUP($A137,Map!$A:$A,Map!F:F)</f>
        <v>Raw materials</v>
      </c>
    </row>
    <row r="138" spans="1:10" x14ac:dyDescent="0.25">
      <c r="A138" s="90">
        <v>520037</v>
      </c>
      <c r="B138" s="90" t="s">
        <v>133</v>
      </c>
      <c r="C138" s="91">
        <v>0</v>
      </c>
      <c r="D138" s="91">
        <v>763101.13399999996</v>
      </c>
      <c r="E138" s="91">
        <v>763101.13399999996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Raw materials</v>
      </c>
      <c r="J138" t="str">
        <f>_xlfn.XLOOKUP($A138,Map!$A:$A,Map!F:F)</f>
        <v>Raw materials</v>
      </c>
    </row>
    <row r="139" spans="1:10" x14ac:dyDescent="0.25">
      <c r="A139" s="90">
        <v>520040</v>
      </c>
      <c r="B139" s="90" t="s">
        <v>134</v>
      </c>
      <c r="C139" s="91">
        <v>0</v>
      </c>
      <c r="D139" s="91">
        <v>252.684</v>
      </c>
      <c r="E139" s="91">
        <v>252.684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Raw materials</v>
      </c>
      <c r="J139" t="str">
        <f>_xlfn.XLOOKUP($A139,Map!$A:$A,Map!F:F)</f>
        <v>Other expenses</v>
      </c>
    </row>
    <row r="140" spans="1:10" x14ac:dyDescent="0.25">
      <c r="A140" s="90">
        <v>520041</v>
      </c>
      <c r="B140" s="90" t="s">
        <v>135</v>
      </c>
      <c r="C140" s="91">
        <v>0</v>
      </c>
      <c r="D140" s="91">
        <v>21084066.015000001</v>
      </c>
      <c r="E140" s="91">
        <v>21084066.015000001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Raw materials</v>
      </c>
      <c r="J140" t="str">
        <f>_xlfn.XLOOKUP($A140,Map!$A:$A,Map!F:F)</f>
        <v>Other expenses</v>
      </c>
    </row>
    <row r="141" spans="1:10" x14ac:dyDescent="0.25">
      <c r="A141" s="90">
        <v>520042</v>
      </c>
      <c r="B141" s="90" t="s">
        <v>136</v>
      </c>
      <c r="C141" s="91">
        <v>0</v>
      </c>
      <c r="D141" s="91">
        <v>20114965.186000001</v>
      </c>
      <c r="E141" s="91">
        <v>20114965.186000001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Raw materials</v>
      </c>
      <c r="J141" t="str">
        <f>_xlfn.XLOOKUP($A141,Map!$A:$A,Map!F:F)</f>
        <v>Inventory Adjustment</v>
      </c>
    </row>
    <row r="142" spans="1:10" x14ac:dyDescent="0.25">
      <c r="A142" s="90">
        <v>600001</v>
      </c>
      <c r="B142" s="90" t="s">
        <v>137</v>
      </c>
      <c r="C142" s="91">
        <v>0</v>
      </c>
      <c r="D142" s="91">
        <v>5738897</v>
      </c>
      <c r="E142" s="91">
        <v>5738897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Overhead - Labor Cost</v>
      </c>
      <c r="J142" t="str">
        <f>_xlfn.XLOOKUP($A142,Map!$A:$A,Map!F:F)</f>
        <v>Salaries and wages</v>
      </c>
    </row>
    <row r="143" spans="1:10" x14ac:dyDescent="0.25">
      <c r="A143" s="90">
        <v>600002</v>
      </c>
      <c r="B143" s="90" t="s">
        <v>138</v>
      </c>
      <c r="C143" s="91">
        <v>0</v>
      </c>
      <c r="D143" s="91">
        <v>1172328</v>
      </c>
      <c r="E143" s="91">
        <v>1172328</v>
      </c>
      <c r="F143" s="91">
        <v>0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Overhead - Labor Cost</v>
      </c>
      <c r="J143" t="str">
        <f>_xlfn.XLOOKUP($A143,Map!$A:$A,Map!F:F)</f>
        <v>Overtime pay</v>
      </c>
    </row>
    <row r="144" spans="1:10" x14ac:dyDescent="0.25">
      <c r="A144" s="90">
        <v>600003</v>
      </c>
      <c r="B144" s="90" t="s">
        <v>139</v>
      </c>
      <c r="C144" s="91">
        <v>0</v>
      </c>
      <c r="D144" s="91">
        <v>2091400.3859999999</v>
      </c>
      <c r="E144" s="91">
        <v>2091400.3859999999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Overhead - Labor Cost</v>
      </c>
      <c r="J144" t="str">
        <f>_xlfn.XLOOKUP($A144,Map!$A:$A,Map!F:F)</f>
        <v xml:space="preserve">Food &amp; Housing </v>
      </c>
    </row>
    <row r="145" spans="1:10" x14ac:dyDescent="0.25">
      <c r="A145" s="90">
        <v>600004</v>
      </c>
      <c r="B145" s="90" t="s">
        <v>140</v>
      </c>
      <c r="C145" s="91">
        <v>0</v>
      </c>
      <c r="D145" s="91">
        <v>205302.3</v>
      </c>
      <c r="E145" s="91">
        <v>205302.3</v>
      </c>
      <c r="F145" s="91">
        <v>0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Overhead - Labor Cost</v>
      </c>
      <c r="J145" t="str">
        <f>_xlfn.XLOOKUP($A145,Map!$A:$A,Map!F:F)</f>
        <v>Medical insurance</v>
      </c>
    </row>
    <row r="146" spans="1:10" x14ac:dyDescent="0.25">
      <c r="A146" s="90">
        <v>600005</v>
      </c>
      <c r="B146" s="90" t="s">
        <v>141</v>
      </c>
      <c r="C146" s="91">
        <v>0</v>
      </c>
      <c r="D146" s="91">
        <v>1371054.52</v>
      </c>
      <c r="E146" s="91">
        <v>1371054.52</v>
      </c>
      <c r="F146" s="91">
        <v>0</v>
      </c>
      <c r="G146" t="str">
        <f>_xlfn.XLOOKUP($A146,Map!$A:$A,Map!C:C)</f>
        <v>IS</v>
      </c>
      <c r="H146" t="str">
        <f>_xlfn.XLOOKUP($A146,Map!$A:$A,Map!D:D)</f>
        <v>General and Admin</v>
      </c>
      <c r="I146" t="str">
        <f>_xlfn.XLOOKUP($A146,Map!$A:$A,Map!E:E)</f>
        <v>Govt license and fees (including modon)</v>
      </c>
      <c r="J146" t="str">
        <f>_xlfn.XLOOKUP($A146,Map!$A:$A,Map!F:F)</f>
        <v>Government fees</v>
      </c>
    </row>
    <row r="147" spans="1:10" x14ac:dyDescent="0.25">
      <c r="A147" s="90">
        <v>600006</v>
      </c>
      <c r="B147" s="90" t="s">
        <v>142</v>
      </c>
      <c r="C147" s="91">
        <v>0</v>
      </c>
      <c r="D147" s="91">
        <v>2205274.5789999999</v>
      </c>
      <c r="E147" s="91">
        <v>2205274.5789999999</v>
      </c>
      <c r="F147" s="91">
        <v>0</v>
      </c>
      <c r="G147" t="str">
        <f>_xlfn.XLOOKUP($A147,Map!$A:$A,Map!C:C)</f>
        <v>IS</v>
      </c>
      <c r="H147" t="str">
        <f>_xlfn.XLOOKUP($A147,Map!$A:$A,Map!D:D)</f>
        <v>Cost of sales</v>
      </c>
      <c r="I147" t="str">
        <f>_xlfn.XLOOKUP($A147,Map!$A:$A,Map!E:E)</f>
        <v>Overhead - Labor Cost</v>
      </c>
      <c r="J147" t="str">
        <f>_xlfn.XLOOKUP($A147,Map!$A:$A,Map!F:F)</f>
        <v xml:space="preserve">Food &amp; Housing </v>
      </c>
    </row>
    <row r="148" spans="1:10" x14ac:dyDescent="0.25">
      <c r="A148" s="90">
        <v>600007</v>
      </c>
      <c r="B148" s="90" t="s">
        <v>143</v>
      </c>
      <c r="C148" s="91">
        <v>0</v>
      </c>
      <c r="D148" s="91">
        <v>145200</v>
      </c>
      <c r="E148" s="91">
        <v>145200</v>
      </c>
      <c r="F148" s="91">
        <v>0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Overhead - Labor Cost</v>
      </c>
      <c r="J148" t="str">
        <f>_xlfn.XLOOKUP($A148,Map!$A:$A,Map!F:F)</f>
        <v>Transportation allowance</v>
      </c>
    </row>
    <row r="149" spans="1:10" x14ac:dyDescent="0.25">
      <c r="A149" s="90">
        <v>600008</v>
      </c>
      <c r="B149" s="90" t="s">
        <v>144</v>
      </c>
      <c r="C149" s="91">
        <v>0</v>
      </c>
      <c r="D149" s="91">
        <v>841906.27500000002</v>
      </c>
      <c r="E149" s="91">
        <v>841906.27500000002</v>
      </c>
      <c r="F149" s="91">
        <v>0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Overhead - Labor Cost</v>
      </c>
      <c r="J149" t="str">
        <f>_xlfn.XLOOKUP($A149,Map!$A:$A,Map!F:F)</f>
        <v>Air tickets</v>
      </c>
    </row>
    <row r="150" spans="1:10" x14ac:dyDescent="0.25">
      <c r="A150" s="90">
        <v>600009</v>
      </c>
      <c r="B150" s="90" t="s">
        <v>145</v>
      </c>
      <c r="C150" s="91">
        <v>0</v>
      </c>
      <c r="D150" s="91">
        <v>660912.06999999995</v>
      </c>
      <c r="E150" s="91">
        <v>660912.06999999995</v>
      </c>
      <c r="F150" s="91">
        <v>0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Overhead - Labor Cost</v>
      </c>
      <c r="J150" t="str">
        <f>_xlfn.XLOOKUP($A150,Map!$A:$A,Map!F:F)</f>
        <v>Vacation pay</v>
      </c>
    </row>
    <row r="151" spans="1:10" x14ac:dyDescent="0.25">
      <c r="A151" s="90">
        <v>600010</v>
      </c>
      <c r="B151" s="90" t="s">
        <v>146</v>
      </c>
      <c r="C151" s="91">
        <v>0</v>
      </c>
      <c r="D151" s="91">
        <v>40886</v>
      </c>
      <c r="E151" s="91">
        <v>40886</v>
      </c>
      <c r="F151" s="91">
        <v>0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Overhead - Labor Cost</v>
      </c>
      <c r="J151" t="str">
        <f>_xlfn.XLOOKUP($A151,Map!$A:$A,Map!F:F)</f>
        <v>EOS expenses</v>
      </c>
    </row>
    <row r="152" spans="1:10" x14ac:dyDescent="0.25">
      <c r="A152" s="90">
        <v>600011</v>
      </c>
      <c r="B152" s="90" t="s">
        <v>147</v>
      </c>
      <c r="C152" s="91">
        <v>0</v>
      </c>
      <c r="D152" s="91">
        <v>46780</v>
      </c>
      <c r="E152" s="91">
        <v>46780</v>
      </c>
      <c r="F152" s="91">
        <v>0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Overhead - Labor Cost</v>
      </c>
      <c r="J152" t="str">
        <f>_xlfn.XLOOKUP($A152,Map!$A:$A,Map!F:F)</f>
        <v>Air tickets</v>
      </c>
    </row>
    <row r="153" spans="1:10" x14ac:dyDescent="0.25">
      <c r="A153" s="90">
        <v>600012</v>
      </c>
      <c r="B153" s="90" t="s">
        <v>148</v>
      </c>
      <c r="C153" s="91">
        <v>0</v>
      </c>
      <c r="D153" s="91">
        <v>0</v>
      </c>
      <c r="E153" s="91">
        <v>0</v>
      </c>
      <c r="F153" s="91">
        <v>0</v>
      </c>
      <c r="G153" t="str">
        <f>_xlfn.XLOOKUP($A153,Map!$A:$A,Map!C:C)</f>
        <v>IS</v>
      </c>
      <c r="H153" t="str">
        <f>_xlfn.XLOOKUP($A153,Map!$A:$A,Map!D:D)</f>
        <v>Cost of sales</v>
      </c>
      <c r="I153" t="str">
        <f>_xlfn.XLOOKUP($A153,Map!$A:$A,Map!E:E)</f>
        <v>Overhead - Labor Cost</v>
      </c>
      <c r="J153" t="str">
        <f>_xlfn.XLOOKUP($A153,Map!$A:$A,Map!F:F)</f>
        <v xml:space="preserve">Education &amp; Furniture Allowances </v>
      </c>
    </row>
    <row r="154" spans="1:10" x14ac:dyDescent="0.25">
      <c r="A154" s="90">
        <v>600013</v>
      </c>
      <c r="B154" s="90" t="s">
        <v>149</v>
      </c>
      <c r="C154" s="91">
        <v>0</v>
      </c>
      <c r="D154" s="91">
        <v>300</v>
      </c>
      <c r="E154" s="91">
        <v>300</v>
      </c>
      <c r="F154" s="91">
        <v>0</v>
      </c>
      <c r="G154" t="str">
        <f>_xlfn.XLOOKUP($A154,Map!$A:$A,Map!C:C)</f>
        <v>IS</v>
      </c>
      <c r="H154" t="str">
        <f>_xlfn.XLOOKUP($A154,Map!$A:$A,Map!D:D)</f>
        <v>Cost of sales</v>
      </c>
      <c r="I154" t="str">
        <f>_xlfn.XLOOKUP($A154,Map!$A:$A,Map!E:E)</f>
        <v>Overhead - Labor Cost</v>
      </c>
      <c r="J154" t="str">
        <f>_xlfn.XLOOKUP($A154,Map!$A:$A,Map!F:F)</f>
        <v>Telephone allowance</v>
      </c>
    </row>
    <row r="155" spans="1:10" x14ac:dyDescent="0.25">
      <c r="A155" s="90">
        <v>600014</v>
      </c>
      <c r="B155" s="90" t="s">
        <v>60</v>
      </c>
      <c r="C155" s="91">
        <v>0</v>
      </c>
      <c r="D155" s="91">
        <v>3033861.2</v>
      </c>
      <c r="E155" s="91">
        <v>3033861.2</v>
      </c>
      <c r="F155" s="91">
        <v>0</v>
      </c>
      <c r="G155" t="str">
        <f>_xlfn.XLOOKUP($A155,Map!$A:$A,Map!C:C)</f>
        <v>IS</v>
      </c>
      <c r="H155" t="str">
        <f>_xlfn.XLOOKUP($A155,Map!$A:$A,Map!D:D)</f>
        <v>Cost of sales</v>
      </c>
      <c r="I155" t="str">
        <f>_xlfn.XLOOKUP($A155,Map!$A:$A,Map!E:E)</f>
        <v>Overhead - Consumables &amp; SP</v>
      </c>
      <c r="J155" t="str">
        <f>_xlfn.XLOOKUP($A155,Map!$A:$A,Map!F:F)</f>
        <v>Consumables</v>
      </c>
    </row>
    <row r="156" spans="1:10" x14ac:dyDescent="0.25">
      <c r="A156" s="90">
        <v>600015</v>
      </c>
      <c r="B156" s="90" t="s">
        <v>150</v>
      </c>
      <c r="C156" s="91">
        <v>0</v>
      </c>
      <c r="D156" s="91">
        <v>0</v>
      </c>
      <c r="E156" s="91">
        <v>0</v>
      </c>
      <c r="F156" s="91">
        <v>0</v>
      </c>
      <c r="G156" t="str">
        <f>_xlfn.XLOOKUP($A156,Map!$A:$A,Map!C:C)</f>
        <v>IS</v>
      </c>
      <c r="H156" t="str">
        <f>_xlfn.XLOOKUP($A156,Map!$A:$A,Map!D:D)</f>
        <v>Cost of sales</v>
      </c>
      <c r="I156" t="str">
        <f>_xlfn.XLOOKUP($A156,Map!$A:$A,Map!E:E)</f>
        <v>Overhead - Consumables &amp; SP</v>
      </c>
      <c r="J156" t="str">
        <f>_xlfn.XLOOKUP($A156,Map!$A:$A,Map!F:F)</f>
        <v>Consumables</v>
      </c>
    </row>
    <row r="157" spans="1:10" x14ac:dyDescent="0.25">
      <c r="A157" s="90">
        <v>600016</v>
      </c>
      <c r="B157" s="90" t="s">
        <v>151</v>
      </c>
      <c r="C157" s="91">
        <v>0</v>
      </c>
      <c r="D157" s="91">
        <v>16587906.378</v>
      </c>
      <c r="E157" s="91">
        <v>16587906.378</v>
      </c>
      <c r="F157" s="91">
        <v>0</v>
      </c>
      <c r="G157" t="str">
        <f>_xlfn.XLOOKUP($A157,Map!$A:$A,Map!C:C)</f>
        <v>IS</v>
      </c>
      <c r="H157" t="str">
        <f>_xlfn.XLOOKUP($A157,Map!$A:$A,Map!D:D)</f>
        <v>Cost of sales</v>
      </c>
      <c r="I157" t="str">
        <f>_xlfn.XLOOKUP($A157,Map!$A:$A,Map!E:E)</f>
        <v>Overhead - Consumables &amp; SP</v>
      </c>
      <c r="J157" t="str">
        <f>_xlfn.XLOOKUP($A157,Map!$A:$A,Map!F:F)</f>
        <v>Tools</v>
      </c>
    </row>
    <row r="158" spans="1:10" x14ac:dyDescent="0.25">
      <c r="A158" s="90">
        <v>600017</v>
      </c>
      <c r="B158" s="90" t="s">
        <v>152</v>
      </c>
      <c r="C158" s="91">
        <v>0</v>
      </c>
      <c r="D158" s="91">
        <v>4992660.8870000001</v>
      </c>
      <c r="E158" s="91">
        <v>4992660.8870000001</v>
      </c>
      <c r="F158" s="91">
        <v>0</v>
      </c>
      <c r="G158" t="str">
        <f>_xlfn.XLOOKUP($A158,Map!$A:$A,Map!C:C)</f>
        <v>IS</v>
      </c>
      <c r="H158" t="str">
        <f>_xlfn.XLOOKUP($A158,Map!$A:$A,Map!D:D)</f>
        <v>Cost of sales</v>
      </c>
      <c r="I158" t="str">
        <f>_xlfn.XLOOKUP($A158,Map!$A:$A,Map!E:E)</f>
        <v>Overhead - Utility</v>
      </c>
      <c r="J158" t="str">
        <f>_xlfn.XLOOKUP($A158,Map!$A:$A,Map!F:F)</f>
        <v>Electricity expenses</v>
      </c>
    </row>
    <row r="159" spans="1:10" x14ac:dyDescent="0.25">
      <c r="A159" s="90">
        <v>600018</v>
      </c>
      <c r="B159" s="90" t="s">
        <v>153</v>
      </c>
      <c r="C159" s="91">
        <v>0</v>
      </c>
      <c r="D159" s="91">
        <v>412504.174</v>
      </c>
      <c r="E159" s="91">
        <v>412504.174</v>
      </c>
      <c r="F159" s="91">
        <v>0</v>
      </c>
      <c r="G159" t="str">
        <f>_xlfn.XLOOKUP($A159,Map!$A:$A,Map!C:C)</f>
        <v>IS</v>
      </c>
      <c r="H159" t="str">
        <f>_xlfn.XLOOKUP($A159,Map!$A:$A,Map!D:D)</f>
        <v>Cost of sales</v>
      </c>
      <c r="I159" t="str">
        <f>_xlfn.XLOOKUP($A159,Map!$A:$A,Map!E:E)</f>
        <v>Overhead - Utility</v>
      </c>
      <c r="J159" t="str">
        <f>_xlfn.XLOOKUP($A159,Map!$A:$A,Map!F:F)</f>
        <v>Water expenses</v>
      </c>
    </row>
    <row r="160" spans="1:10" x14ac:dyDescent="0.25">
      <c r="A160" s="90">
        <v>600019</v>
      </c>
      <c r="B160" s="90" t="s">
        <v>154</v>
      </c>
      <c r="C160" s="91">
        <v>0</v>
      </c>
      <c r="D160" s="91">
        <v>426469.05800000002</v>
      </c>
      <c r="E160" s="91">
        <v>426469.05800000002</v>
      </c>
      <c r="F160" s="91">
        <v>0</v>
      </c>
      <c r="G160" t="str">
        <f>_xlfn.XLOOKUP($A160,Map!$A:$A,Map!C:C)</f>
        <v>IS</v>
      </c>
      <c r="H160" t="str">
        <f>_xlfn.XLOOKUP($A160,Map!$A:$A,Map!D:D)</f>
        <v>Cost of sales</v>
      </c>
      <c r="I160" t="str">
        <f>_xlfn.XLOOKUP($A160,Map!$A:$A,Map!E:E)</f>
        <v>Overhead - Utility</v>
      </c>
      <c r="J160" t="str">
        <f>_xlfn.XLOOKUP($A160,Map!$A:$A,Map!F:F)</f>
        <v>Fuel and oil</v>
      </c>
    </row>
    <row r="161" spans="1:10" x14ac:dyDescent="0.25">
      <c r="A161" s="90">
        <v>600020</v>
      </c>
      <c r="B161" s="90" t="s">
        <v>155</v>
      </c>
      <c r="C161" s="91">
        <v>0</v>
      </c>
      <c r="D161" s="91">
        <v>2996894.9920000001</v>
      </c>
      <c r="E161" s="91">
        <v>2996894.9920000001</v>
      </c>
      <c r="F161" s="91">
        <v>0</v>
      </c>
      <c r="G161" t="str">
        <f>_xlfn.XLOOKUP($A161,Map!$A:$A,Map!C:C)</f>
        <v>IS</v>
      </c>
      <c r="H161" t="str">
        <f>_xlfn.XLOOKUP($A161,Map!$A:$A,Map!D:D)</f>
        <v>Cost of sales</v>
      </c>
      <c r="I161" t="str">
        <f>_xlfn.XLOOKUP($A161,Map!$A:$A,Map!E:E)</f>
        <v>Overhead - R&amp;M</v>
      </c>
      <c r="J161" t="str">
        <f>_xlfn.XLOOKUP($A161,Map!$A:$A,Map!F:F)</f>
        <v>Machine and equipment</v>
      </c>
    </row>
    <row r="162" spans="1:10" x14ac:dyDescent="0.25">
      <c r="A162" s="90">
        <v>600021</v>
      </c>
      <c r="B162" s="90" t="s">
        <v>156</v>
      </c>
      <c r="C162" s="91">
        <v>0</v>
      </c>
      <c r="D162" s="91">
        <v>103316.67</v>
      </c>
      <c r="E162" s="91">
        <v>103316.67</v>
      </c>
      <c r="F162" s="91">
        <v>0</v>
      </c>
      <c r="G162" t="str">
        <f>_xlfn.XLOOKUP($A162,Map!$A:$A,Map!C:C)</f>
        <v>IS</v>
      </c>
      <c r="H162" t="str">
        <f>_xlfn.XLOOKUP($A162,Map!$A:$A,Map!D:D)</f>
        <v>Cost of sales</v>
      </c>
      <c r="I162" t="str">
        <f>_xlfn.XLOOKUP($A162,Map!$A:$A,Map!E:E)</f>
        <v>Overhead - R&amp;M</v>
      </c>
      <c r="J162" t="str">
        <f>_xlfn.XLOOKUP($A162,Map!$A:$A,Map!F:F)</f>
        <v>Vehicle maintenance</v>
      </c>
    </row>
    <row r="163" spans="1:10" x14ac:dyDescent="0.25">
      <c r="A163" s="90">
        <v>600022</v>
      </c>
      <c r="B163" s="90" t="s">
        <v>157</v>
      </c>
      <c r="C163" s="91">
        <v>0</v>
      </c>
      <c r="D163" s="91">
        <v>377036.73200000002</v>
      </c>
      <c r="E163" s="91">
        <v>377036.73200000002</v>
      </c>
      <c r="F163" s="91">
        <v>0</v>
      </c>
      <c r="G163" t="str">
        <f>_xlfn.XLOOKUP($A163,Map!$A:$A,Map!C:C)</f>
        <v>IS</v>
      </c>
      <c r="H163" t="str">
        <f>_xlfn.XLOOKUP($A163,Map!$A:$A,Map!D:D)</f>
        <v>Cost of sales</v>
      </c>
      <c r="I163" t="str">
        <f>_xlfn.XLOOKUP($A163,Map!$A:$A,Map!E:E)</f>
        <v>Overhead - R&amp;M</v>
      </c>
      <c r="J163" t="str">
        <f>_xlfn.XLOOKUP($A163,Map!$A:$A,Map!F:F)</f>
        <v>Building maintenance</v>
      </c>
    </row>
    <row r="164" spans="1:10" x14ac:dyDescent="0.25">
      <c r="A164" s="90">
        <v>600023</v>
      </c>
      <c r="B164" s="90" t="s">
        <v>158</v>
      </c>
      <c r="C164" s="91">
        <v>0</v>
      </c>
      <c r="D164" s="91">
        <v>202905</v>
      </c>
      <c r="E164" s="91">
        <v>202905</v>
      </c>
      <c r="F164" s="91">
        <v>0</v>
      </c>
      <c r="G164" t="str">
        <f>_xlfn.XLOOKUP($A164,Map!$A:$A,Map!C:C)</f>
        <v>IS</v>
      </c>
      <c r="H164" t="str">
        <f>_xlfn.XLOOKUP($A164,Map!$A:$A,Map!D:D)</f>
        <v>Cost of sales</v>
      </c>
      <c r="I164" t="str">
        <f>_xlfn.XLOOKUP($A164,Map!$A:$A,Map!E:E)</f>
        <v>Overhead - R&amp;M</v>
      </c>
      <c r="J164" t="str">
        <f>_xlfn.XLOOKUP($A164,Map!$A:$A,Map!F:F)</f>
        <v>Office equipment maintenance</v>
      </c>
    </row>
    <row r="165" spans="1:10" x14ac:dyDescent="0.25">
      <c r="A165" s="90">
        <v>600024</v>
      </c>
      <c r="B165" s="90" t="s">
        <v>159</v>
      </c>
      <c r="C165" s="91">
        <v>0</v>
      </c>
      <c r="D165" s="91">
        <v>0</v>
      </c>
      <c r="E165" s="91">
        <v>0</v>
      </c>
      <c r="F165" s="91">
        <v>0</v>
      </c>
      <c r="G165" t="str">
        <f>_xlfn.XLOOKUP($A165,Map!$A:$A,Map!C:C)</f>
        <v>IS</v>
      </c>
      <c r="H165" t="str">
        <f>_xlfn.XLOOKUP($A165,Map!$A:$A,Map!D:D)</f>
        <v>Cost of sales</v>
      </c>
      <c r="I165" t="str">
        <f>_xlfn.XLOOKUP($A165,Map!$A:$A,Map!E:E)</f>
        <v>Overhead - Rent</v>
      </c>
      <c r="J165" t="str">
        <f>_xlfn.XLOOKUP($A165,Map!$A:$A,Map!F:F)</f>
        <v>Pump rental expenses</v>
      </c>
    </row>
    <row r="166" spans="1:10" x14ac:dyDescent="0.25">
      <c r="A166" s="90">
        <v>600025</v>
      </c>
      <c r="B166" s="90" t="s">
        <v>160</v>
      </c>
      <c r="C166" s="91">
        <v>0</v>
      </c>
      <c r="D166" s="91">
        <v>0</v>
      </c>
      <c r="E166" s="91">
        <v>0</v>
      </c>
      <c r="F166" s="91">
        <v>0</v>
      </c>
      <c r="G166" t="str">
        <f>_xlfn.XLOOKUP($A166,Map!$A:$A,Map!C:C)</f>
        <v>IS</v>
      </c>
      <c r="H166" t="str">
        <f>_xlfn.XLOOKUP($A166,Map!$A:$A,Map!D:D)</f>
        <v>Cost of sales</v>
      </c>
      <c r="I166" t="str">
        <f>_xlfn.XLOOKUP($A166,Map!$A:$A,Map!E:E)</f>
        <v>Overhead - Insurance</v>
      </c>
      <c r="J166" t="str">
        <f>_xlfn.XLOOKUP($A166,Map!$A:$A,Map!F:F)</f>
        <v>Building insurance</v>
      </c>
    </row>
    <row r="167" spans="1:10" x14ac:dyDescent="0.25">
      <c r="A167" s="90">
        <v>600026</v>
      </c>
      <c r="B167" s="90" t="s">
        <v>161</v>
      </c>
      <c r="C167" s="91">
        <v>0</v>
      </c>
      <c r="D167" s="91">
        <v>0</v>
      </c>
      <c r="E167" s="91">
        <v>0</v>
      </c>
      <c r="F167" s="91">
        <v>0</v>
      </c>
      <c r="G167" t="str">
        <f>_xlfn.XLOOKUP($A167,Map!$A:$A,Map!C:C)</f>
        <v>IS</v>
      </c>
      <c r="H167" t="str">
        <f>_xlfn.XLOOKUP($A167,Map!$A:$A,Map!D:D)</f>
        <v>Cost of sales</v>
      </c>
      <c r="I167" t="str">
        <f>_xlfn.XLOOKUP($A167,Map!$A:$A,Map!E:E)</f>
        <v>Overhead - Insurance</v>
      </c>
      <c r="J167" t="str">
        <f>_xlfn.XLOOKUP($A167,Map!$A:$A,Map!F:F)</f>
        <v>Machine and equipment insurance</v>
      </c>
    </row>
    <row r="168" spans="1:10" x14ac:dyDescent="0.25">
      <c r="A168" s="90">
        <v>600027</v>
      </c>
      <c r="B168" s="90" t="s">
        <v>162</v>
      </c>
      <c r="C168" s="91">
        <v>0</v>
      </c>
      <c r="D168" s="91">
        <v>0</v>
      </c>
      <c r="E168" s="91">
        <v>0</v>
      </c>
      <c r="F168" s="91">
        <v>0</v>
      </c>
      <c r="G168" t="str">
        <f>_xlfn.XLOOKUP($A168,Map!$A:$A,Map!C:C)</f>
        <v>IS</v>
      </c>
      <c r="H168" t="str">
        <f>_xlfn.XLOOKUP($A168,Map!$A:$A,Map!D:D)</f>
        <v>Cost of sales</v>
      </c>
      <c r="I168" t="str">
        <f>_xlfn.XLOOKUP($A168,Map!$A:$A,Map!E:E)</f>
        <v>Overhead - Rent</v>
      </c>
      <c r="J168" t="str">
        <f>_xlfn.XLOOKUP($A168,Map!$A:$A,Map!F:F)</f>
        <v>Production hall rental</v>
      </c>
    </row>
    <row r="169" spans="1:10" x14ac:dyDescent="0.25">
      <c r="A169" s="90">
        <v>600028</v>
      </c>
      <c r="B169" s="90" t="s">
        <v>163</v>
      </c>
      <c r="C169" s="91">
        <v>0</v>
      </c>
      <c r="D169" s="91">
        <v>23873.54</v>
      </c>
      <c r="E169" s="91">
        <v>23873.54</v>
      </c>
      <c r="F169" s="91">
        <v>0</v>
      </c>
      <c r="G169" t="str">
        <f>_xlfn.XLOOKUP($A169,Map!$A:$A,Map!C:C)</f>
        <v>IS</v>
      </c>
      <c r="H169" t="str">
        <f>_xlfn.XLOOKUP($A169,Map!$A:$A,Map!D:D)</f>
        <v>Cost of sales</v>
      </c>
      <c r="I169" t="str">
        <f>_xlfn.XLOOKUP($A169,Map!$A:$A,Map!E:E)</f>
        <v>Overhead - Consumables &amp; SP</v>
      </c>
      <c r="J169" t="str">
        <f>_xlfn.XLOOKUP($A169,Map!$A:$A,Map!F:F)</f>
        <v xml:space="preserve">Education &amp; Furniture Allowances </v>
      </c>
    </row>
    <row r="170" spans="1:10" x14ac:dyDescent="0.25">
      <c r="A170" s="90">
        <v>600029</v>
      </c>
      <c r="B170" s="90" t="s">
        <v>164</v>
      </c>
      <c r="C170" s="91">
        <v>0</v>
      </c>
      <c r="D170" s="91">
        <v>6894955.8320000004</v>
      </c>
      <c r="E170" s="91">
        <v>6894955.8320000004</v>
      </c>
      <c r="F170" s="91">
        <v>0</v>
      </c>
      <c r="G170" t="str">
        <f>_xlfn.XLOOKUP($A170,Map!$A:$A,Map!C:C)</f>
        <v>IS</v>
      </c>
      <c r="H170" t="str">
        <f>_xlfn.XLOOKUP($A170,Map!$A:$A,Map!D:D)</f>
        <v>Cost of sales</v>
      </c>
      <c r="I170" t="str">
        <f>_xlfn.XLOOKUP($A170,Map!$A:$A,Map!E:E)</f>
        <v>Depreciation - Machines</v>
      </c>
      <c r="J170" t="str">
        <f>_xlfn.XLOOKUP($A170,Map!$A:$A,Map!F:F)</f>
        <v>Depreciation of property, plant and equipment</v>
      </c>
    </row>
    <row r="171" spans="1:10" x14ac:dyDescent="0.25">
      <c r="A171" s="90">
        <v>600030</v>
      </c>
      <c r="B171" s="90" t="s">
        <v>165</v>
      </c>
      <c r="C171" s="91">
        <v>0</v>
      </c>
      <c r="D171" s="91">
        <v>152901.56</v>
      </c>
      <c r="E171" s="91">
        <v>152901.56</v>
      </c>
      <c r="F171" s="91">
        <v>0</v>
      </c>
      <c r="G171" t="str">
        <f>_xlfn.XLOOKUP($A171,Map!$A:$A,Map!C:C)</f>
        <v>IS</v>
      </c>
      <c r="H171" t="str">
        <f>_xlfn.XLOOKUP($A171,Map!$A:$A,Map!D:D)</f>
        <v>Depreciation expenses</v>
      </c>
      <c r="I171" t="str">
        <f>_xlfn.XLOOKUP($A171,Map!$A:$A,Map!E:E)</f>
        <v>Depreciation expenses</v>
      </c>
      <c r="J171" t="str">
        <f>_xlfn.XLOOKUP($A171,Map!$A:$A,Map!F:F)</f>
        <v>Depreciation of property, plant and equipment</v>
      </c>
    </row>
    <row r="172" spans="1:10" x14ac:dyDescent="0.25">
      <c r="A172" s="90">
        <v>600031</v>
      </c>
      <c r="B172" s="90" t="s">
        <v>166</v>
      </c>
      <c r="C172" s="91">
        <v>0</v>
      </c>
      <c r="D172" s="91">
        <v>0</v>
      </c>
      <c r="E172" s="91">
        <v>0</v>
      </c>
      <c r="F172" s="91">
        <v>0</v>
      </c>
      <c r="G172" t="str">
        <f>_xlfn.XLOOKUP($A172,Map!$A:$A,Map!C:C)</f>
        <v>IS</v>
      </c>
      <c r="H172" t="str">
        <f>_xlfn.XLOOKUP($A172,Map!$A:$A,Map!D:D)</f>
        <v>Depreciation expenses</v>
      </c>
      <c r="I172" t="str">
        <f>_xlfn.XLOOKUP($A172,Map!$A:$A,Map!E:E)</f>
        <v>Depreciation expenses</v>
      </c>
      <c r="J172" t="str">
        <f>_xlfn.XLOOKUP($A172,Map!$A:$A,Map!F:F)</f>
        <v>Depreciation of property, plant and equipment</v>
      </c>
    </row>
    <row r="173" spans="1:10" x14ac:dyDescent="0.25">
      <c r="A173" s="90">
        <v>600032</v>
      </c>
      <c r="B173" s="90" t="s">
        <v>167</v>
      </c>
      <c r="C173" s="91">
        <v>0</v>
      </c>
      <c r="D173" s="91">
        <v>3133688.3760000002</v>
      </c>
      <c r="E173" s="91">
        <v>3133688.3760000002</v>
      </c>
      <c r="F173" s="91">
        <v>0</v>
      </c>
      <c r="G173" t="str">
        <f>_xlfn.XLOOKUP($A173,Map!$A:$A,Map!C:C)</f>
        <v>IS</v>
      </c>
      <c r="H173" t="str">
        <f>_xlfn.XLOOKUP($A173,Map!$A:$A,Map!D:D)</f>
        <v>Depreciation expenses</v>
      </c>
      <c r="I173" t="str">
        <f>_xlfn.XLOOKUP($A173,Map!$A:$A,Map!E:E)</f>
        <v>Depreciation expenses</v>
      </c>
      <c r="J173" t="str">
        <f>_xlfn.XLOOKUP($A173,Map!$A:$A,Map!F:F)</f>
        <v>Depreciation of property, plant and equipment</v>
      </c>
    </row>
    <row r="174" spans="1:10" x14ac:dyDescent="0.25">
      <c r="A174" s="90">
        <v>600033</v>
      </c>
      <c r="B174" s="90" t="s">
        <v>168</v>
      </c>
      <c r="C174" s="91">
        <v>0</v>
      </c>
      <c r="D174" s="91">
        <v>320226</v>
      </c>
      <c r="E174" s="91">
        <v>320226</v>
      </c>
      <c r="F174" s="91">
        <v>0</v>
      </c>
      <c r="G174" t="str">
        <f>_xlfn.XLOOKUP($A174,Map!$A:$A,Map!C:C)</f>
        <v>IS</v>
      </c>
      <c r="H174" t="str">
        <f>_xlfn.XLOOKUP($A174,Map!$A:$A,Map!D:D)</f>
        <v>Depreciation expenses</v>
      </c>
      <c r="I174" t="str">
        <f>_xlfn.XLOOKUP($A174,Map!$A:$A,Map!E:E)</f>
        <v>Depreciation expenses</v>
      </c>
      <c r="J174" t="str">
        <f>_xlfn.XLOOKUP($A174,Map!$A:$A,Map!F:F)</f>
        <v>Depreciation of property, plant and equipment</v>
      </c>
    </row>
    <row r="175" spans="1:10" x14ac:dyDescent="0.25">
      <c r="A175" s="90">
        <v>600060</v>
      </c>
      <c r="B175" s="90" t="s">
        <v>170</v>
      </c>
      <c r="C175" s="91">
        <v>0</v>
      </c>
      <c r="D175" s="91">
        <v>1537449.8</v>
      </c>
      <c r="E175" s="91">
        <v>1537449.8</v>
      </c>
      <c r="F175" s="91">
        <v>0</v>
      </c>
      <c r="G175" t="str">
        <f>_xlfn.XLOOKUP($A175,Map!$A:$A,Map!C:C)</f>
        <v>IS</v>
      </c>
      <c r="H175" t="str">
        <f>_xlfn.XLOOKUP($A175,Map!$A:$A,Map!D:D)</f>
        <v>Other Income</v>
      </c>
      <c r="I175" t="str">
        <f>_xlfn.XLOOKUP($A175,Map!$A:$A,Map!E:E)</f>
        <v>Other Income</v>
      </c>
      <c r="J175" t="str">
        <f>_xlfn.XLOOKUP($A175,Map!$A:$A,Map!F:F)</f>
        <v>Hadaf program</v>
      </c>
    </row>
    <row r="176" spans="1:10" x14ac:dyDescent="0.25">
      <c r="A176" s="90">
        <v>700001</v>
      </c>
      <c r="B176" s="90" t="s">
        <v>171</v>
      </c>
      <c r="C176" s="91">
        <v>0</v>
      </c>
      <c r="D176" s="91">
        <v>5108168</v>
      </c>
      <c r="E176" s="91">
        <v>919</v>
      </c>
      <c r="F176" s="91">
        <v>5107249</v>
      </c>
      <c r="G176" t="str">
        <f>_xlfn.XLOOKUP($A176,Map!$A:$A,Map!C:C)</f>
        <v>IS</v>
      </c>
      <c r="H176" t="str">
        <f>_xlfn.XLOOKUP($A176,Map!$A:$A,Map!D:D)</f>
        <v>General and Admin</v>
      </c>
      <c r="I176" t="str">
        <f>_xlfn.XLOOKUP($A176,Map!$A:$A,Map!E:E)</f>
        <v>Salaries and wages</v>
      </c>
      <c r="J176" t="str">
        <f>_xlfn.XLOOKUP($A176,Map!$A:$A,Map!F:F)</f>
        <v>Salaries and wages</v>
      </c>
    </row>
    <row r="177" spans="1:10" x14ac:dyDescent="0.25">
      <c r="A177" s="90">
        <v>700002</v>
      </c>
      <c r="B177" s="90" t="s">
        <v>172</v>
      </c>
      <c r="C177" s="91">
        <v>0</v>
      </c>
      <c r="D177" s="91">
        <v>121114</v>
      </c>
      <c r="E177" s="91">
        <v>0</v>
      </c>
      <c r="F177" s="91">
        <v>121114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Salaries and wages</v>
      </c>
      <c r="J177" t="str">
        <f>_xlfn.XLOOKUP($A177,Map!$A:$A,Map!F:F)</f>
        <v>Overtime pay</v>
      </c>
    </row>
    <row r="178" spans="1:10" x14ac:dyDescent="0.25">
      <c r="A178" s="90">
        <v>700003</v>
      </c>
      <c r="B178" s="90" t="s">
        <v>173</v>
      </c>
      <c r="C178" s="91">
        <v>0</v>
      </c>
      <c r="D178" s="91">
        <v>11200</v>
      </c>
      <c r="E178" s="91">
        <v>0</v>
      </c>
      <c r="F178" s="91">
        <v>11200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>Salaries and wages</v>
      </c>
      <c r="J178" t="str">
        <f>_xlfn.XLOOKUP($A178,Map!$A:$A,Map!F:F)</f>
        <v xml:space="preserve">Food &amp; Housing </v>
      </c>
    </row>
    <row r="179" spans="1:10" x14ac:dyDescent="0.25">
      <c r="A179" s="90">
        <v>700004</v>
      </c>
      <c r="B179" s="90" t="s">
        <v>174</v>
      </c>
      <c r="C179" s="91">
        <v>0</v>
      </c>
      <c r="D179" s="91">
        <v>293385.2</v>
      </c>
      <c r="E179" s="91">
        <v>9125</v>
      </c>
      <c r="F179" s="91">
        <v>284260.2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Salaries and wages</v>
      </c>
      <c r="J179" t="str">
        <f>_xlfn.XLOOKUP($A179,Map!$A:$A,Map!F:F)</f>
        <v>Medical insurance</v>
      </c>
    </row>
    <row r="180" spans="1:10" x14ac:dyDescent="0.25">
      <c r="A180" s="90">
        <v>700005</v>
      </c>
      <c r="B180" s="90" t="s">
        <v>175</v>
      </c>
      <c r="C180" s="91">
        <v>0</v>
      </c>
      <c r="D180" s="91">
        <v>124092.61</v>
      </c>
      <c r="E180" s="91">
        <v>29867.03</v>
      </c>
      <c r="F180" s="91">
        <v>94225.58</v>
      </c>
      <c r="G180" t="str">
        <f>_xlfn.XLOOKUP($A180,Map!$A:$A,Map!C:C)</f>
        <v>IS</v>
      </c>
      <c r="H180" t="str">
        <f>_xlfn.XLOOKUP($A180,Map!$A:$A,Map!D:D)</f>
        <v>General and Admin</v>
      </c>
      <c r="I180" t="str">
        <f>_xlfn.XLOOKUP($A180,Map!$A:$A,Map!E:E)</f>
        <v>Govt license and fees (including modon)</v>
      </c>
      <c r="J180" t="str">
        <f>_xlfn.XLOOKUP($A180,Map!$A:$A,Map!F:F)</f>
        <v>Government fees</v>
      </c>
    </row>
    <row r="181" spans="1:10" x14ac:dyDescent="0.25">
      <c r="A181" s="90">
        <v>700006</v>
      </c>
      <c r="B181" s="90" t="s">
        <v>176</v>
      </c>
      <c r="C181" s="91">
        <v>0</v>
      </c>
      <c r="D181" s="91">
        <v>1152499.6040000001</v>
      </c>
      <c r="E181" s="91">
        <v>0</v>
      </c>
      <c r="F181" s="91">
        <v>1152499.6040000001</v>
      </c>
      <c r="G181" t="str">
        <f>_xlfn.XLOOKUP($A181,Map!$A:$A,Map!C:C)</f>
        <v>IS</v>
      </c>
      <c r="H181" t="str">
        <f>_xlfn.XLOOKUP($A181,Map!$A:$A,Map!D:D)</f>
        <v>General and Admin</v>
      </c>
      <c r="I181" t="str">
        <f>_xlfn.XLOOKUP($A181,Map!$A:$A,Map!E:E)</f>
        <v>Salaries and wages</v>
      </c>
      <c r="J181" t="str">
        <f>_xlfn.XLOOKUP($A181,Map!$A:$A,Map!F:F)</f>
        <v xml:space="preserve">Food &amp; Housing </v>
      </c>
    </row>
    <row r="182" spans="1:10" x14ac:dyDescent="0.25">
      <c r="A182" s="90">
        <v>700007</v>
      </c>
      <c r="B182" s="90" t="s">
        <v>177</v>
      </c>
      <c r="C182" s="91">
        <v>0</v>
      </c>
      <c r="D182" s="91">
        <v>557335</v>
      </c>
      <c r="E182" s="91">
        <v>0</v>
      </c>
      <c r="F182" s="91">
        <v>557335</v>
      </c>
      <c r="G182" t="str">
        <f>_xlfn.XLOOKUP($A182,Map!$A:$A,Map!C:C)</f>
        <v>IS</v>
      </c>
      <c r="H182" t="str">
        <f>_xlfn.XLOOKUP($A182,Map!$A:$A,Map!D:D)</f>
        <v>General and Admin</v>
      </c>
      <c r="I182" t="str">
        <f>_xlfn.XLOOKUP($A182,Map!$A:$A,Map!E:E)</f>
        <v>Salaries and wages</v>
      </c>
      <c r="J182" t="str">
        <f>_xlfn.XLOOKUP($A182,Map!$A:$A,Map!F:F)</f>
        <v>Transportation allowance</v>
      </c>
    </row>
    <row r="183" spans="1:10" x14ac:dyDescent="0.25">
      <c r="A183" s="90">
        <v>700008</v>
      </c>
      <c r="B183" s="90" t="s">
        <v>178</v>
      </c>
      <c r="C183" s="91">
        <v>0</v>
      </c>
      <c r="D183" s="91">
        <v>12888</v>
      </c>
      <c r="E183" s="91">
        <v>0</v>
      </c>
      <c r="F183" s="91">
        <v>12888</v>
      </c>
      <c r="G183" t="str">
        <f>_xlfn.XLOOKUP($A183,Map!$A:$A,Map!C:C)</f>
        <v>IS</v>
      </c>
      <c r="H183" t="str">
        <f>_xlfn.XLOOKUP($A183,Map!$A:$A,Map!D:D)</f>
        <v>General and Admin</v>
      </c>
      <c r="I183" t="str">
        <f>_xlfn.XLOOKUP($A183,Map!$A:$A,Map!E:E)</f>
        <v>Salaries and wages</v>
      </c>
      <c r="J183" t="str">
        <f>_xlfn.XLOOKUP($A183,Map!$A:$A,Map!F:F)</f>
        <v>Air tickets</v>
      </c>
    </row>
    <row r="184" spans="1:10" x14ac:dyDescent="0.25">
      <c r="A184" s="90">
        <v>700009</v>
      </c>
      <c r="B184" s="90" t="s">
        <v>179</v>
      </c>
      <c r="C184" s="91">
        <v>0</v>
      </c>
      <c r="D184" s="91">
        <v>110835</v>
      </c>
      <c r="E184" s="91">
        <v>16000</v>
      </c>
      <c r="F184" s="91">
        <v>94835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Salaries and wages</v>
      </c>
      <c r="J184" t="str">
        <f>_xlfn.XLOOKUP($A184,Map!$A:$A,Map!F:F)</f>
        <v>Leave pay</v>
      </c>
    </row>
    <row r="185" spans="1:10" x14ac:dyDescent="0.25">
      <c r="A185" s="90">
        <v>700010</v>
      </c>
      <c r="B185" s="90" t="s">
        <v>180</v>
      </c>
      <c r="C185" s="91">
        <v>0</v>
      </c>
      <c r="D185" s="91">
        <v>1203844</v>
      </c>
      <c r="E185" s="91">
        <v>500052.67</v>
      </c>
      <c r="F185" s="91">
        <v>703791.33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Salaries and wages</v>
      </c>
      <c r="J185" t="str">
        <f>_xlfn.XLOOKUP($A185,Map!$A:$A,Map!F:F)</f>
        <v>Indemnities</v>
      </c>
    </row>
    <row r="186" spans="1:10" x14ac:dyDescent="0.25">
      <c r="A186" s="90">
        <v>700011</v>
      </c>
      <c r="B186" s="90" t="s">
        <v>181</v>
      </c>
      <c r="C186" s="91">
        <v>0</v>
      </c>
      <c r="D186" s="91">
        <v>68517.156000000003</v>
      </c>
      <c r="E186" s="91">
        <v>0</v>
      </c>
      <c r="F186" s="91">
        <v>68517.156000000003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Salaries and wages</v>
      </c>
      <c r="J186" t="str">
        <f>_xlfn.XLOOKUP($A186,Map!$A:$A,Map!F:F)</f>
        <v>Air tickets</v>
      </c>
    </row>
    <row r="187" spans="1:10" x14ac:dyDescent="0.25">
      <c r="A187" s="90">
        <v>700012</v>
      </c>
      <c r="B187" s="90" t="s">
        <v>182</v>
      </c>
      <c r="C187" s="91">
        <v>0</v>
      </c>
      <c r="D187" s="91">
        <v>298423</v>
      </c>
      <c r="E187" s="91">
        <v>0</v>
      </c>
      <c r="F187" s="91">
        <v>298423</v>
      </c>
      <c r="G187" t="str">
        <f>_xlfn.XLOOKUP($A187,Map!$A:$A,Map!C:C)</f>
        <v>IS</v>
      </c>
      <c r="H187" t="str">
        <f>_xlfn.XLOOKUP($A187,Map!$A:$A,Map!D:D)</f>
        <v>General and Admin</v>
      </c>
      <c r="I187" t="str">
        <f>_xlfn.XLOOKUP($A187,Map!$A:$A,Map!E:E)</f>
        <v>Salaries and wages</v>
      </c>
      <c r="J187" t="str">
        <f>_xlfn.XLOOKUP($A187,Map!$A:$A,Map!F:F)</f>
        <v xml:space="preserve">Education &amp; Furniture Allowances </v>
      </c>
    </row>
    <row r="188" spans="1:10" x14ac:dyDescent="0.25">
      <c r="A188" s="90">
        <v>700013</v>
      </c>
      <c r="B188" s="90" t="s">
        <v>183</v>
      </c>
      <c r="C188" s="91">
        <v>0</v>
      </c>
      <c r="D188" s="91">
        <v>45775</v>
      </c>
      <c r="E188" s="91">
        <v>0</v>
      </c>
      <c r="F188" s="91">
        <v>45775</v>
      </c>
      <c r="G188" t="str">
        <f>_xlfn.XLOOKUP($A188,Map!$A:$A,Map!C:C)</f>
        <v>IS</v>
      </c>
      <c r="H188" t="str">
        <f>_xlfn.XLOOKUP($A188,Map!$A:$A,Map!D:D)</f>
        <v>General and Admin</v>
      </c>
      <c r="I188" t="str">
        <f>_xlfn.XLOOKUP($A188,Map!$A:$A,Map!E:E)</f>
        <v>Utilities</v>
      </c>
      <c r="J188" t="str">
        <f>_xlfn.XLOOKUP($A188,Map!$A:$A,Map!F:F)</f>
        <v>Other general and administrative expenses</v>
      </c>
    </row>
    <row r="189" spans="1:10" x14ac:dyDescent="0.25">
      <c r="A189" s="90">
        <v>700014</v>
      </c>
      <c r="B189" s="90" t="s">
        <v>184</v>
      </c>
      <c r="C189" s="91">
        <v>0</v>
      </c>
      <c r="D189" s="91">
        <v>125709</v>
      </c>
      <c r="E189" s="91">
        <v>0</v>
      </c>
      <c r="F189" s="91">
        <v>125709</v>
      </c>
      <c r="G189" t="str">
        <f>_xlfn.XLOOKUP($A189,Map!$A:$A,Map!C:C)</f>
        <v>IS</v>
      </c>
      <c r="H189" t="str">
        <f>_xlfn.XLOOKUP($A189,Map!$A:$A,Map!D:D)</f>
        <v>General and Admin</v>
      </c>
      <c r="I189" t="str">
        <f>_xlfn.XLOOKUP($A189,Map!$A:$A,Map!E:E)</f>
        <v>Salaries and wages</v>
      </c>
      <c r="J189" t="str">
        <f>_xlfn.XLOOKUP($A189,Map!$A:$A,Map!F:F)</f>
        <v xml:space="preserve">Education &amp; Furniture Allowances </v>
      </c>
    </row>
    <row r="190" spans="1:10" x14ac:dyDescent="0.25">
      <c r="A190" s="90">
        <v>700015</v>
      </c>
      <c r="B190" s="90" t="s">
        <v>185</v>
      </c>
      <c r="C190" s="91">
        <v>0</v>
      </c>
      <c r="D190" s="91">
        <v>43083.355000000003</v>
      </c>
      <c r="E190" s="91">
        <v>0</v>
      </c>
      <c r="F190" s="91">
        <v>43083.355000000003</v>
      </c>
      <c r="G190" t="str">
        <f>_xlfn.XLOOKUP($A190,Map!$A:$A,Map!C:C)</f>
        <v>IS</v>
      </c>
      <c r="H190" t="str">
        <f>_xlfn.XLOOKUP($A190,Map!$A:$A,Map!D:D)</f>
        <v>General and Admin</v>
      </c>
      <c r="I190" t="str">
        <f>_xlfn.XLOOKUP($A190,Map!$A:$A,Map!E:E)</f>
        <v>Business travel</v>
      </c>
      <c r="J190" t="str">
        <f>_xlfn.XLOOKUP($A190,Map!$A:$A,Map!F:F)</f>
        <v>Transportation expenses</v>
      </c>
    </row>
    <row r="191" spans="1:10" x14ac:dyDescent="0.25">
      <c r="A191" s="90">
        <v>700016</v>
      </c>
      <c r="B191" s="90" t="s">
        <v>186</v>
      </c>
      <c r="C191" s="91">
        <v>0</v>
      </c>
      <c r="D191" s="91">
        <v>18458.11</v>
      </c>
      <c r="E191" s="91">
        <v>0</v>
      </c>
      <c r="F191" s="91">
        <v>18458.11</v>
      </c>
      <c r="G191" t="str">
        <f>_xlfn.XLOOKUP($A191,Map!$A:$A,Map!C:C)</f>
        <v>IS</v>
      </c>
      <c r="H191" t="str">
        <f>_xlfn.XLOOKUP($A191,Map!$A:$A,Map!D:D)</f>
        <v>Selling and Marketing</v>
      </c>
      <c r="I191" t="str">
        <f>_xlfn.XLOOKUP($A191,Map!$A:$A,Map!E:E)</f>
        <v>Buffet expenses</v>
      </c>
      <c r="J191" t="str">
        <f>_xlfn.XLOOKUP($A191,Map!$A:$A,Map!F:F)</f>
        <v>Food expenses</v>
      </c>
    </row>
    <row r="192" spans="1:10" x14ac:dyDescent="0.25">
      <c r="A192" s="90">
        <v>700017</v>
      </c>
      <c r="B192" s="90" t="s">
        <v>187</v>
      </c>
      <c r="C192" s="91">
        <v>0</v>
      </c>
      <c r="D192" s="91">
        <v>0</v>
      </c>
      <c r="E192" s="91">
        <v>0</v>
      </c>
      <c r="F192" s="91">
        <v>0</v>
      </c>
      <c r="G192" t="str">
        <f>_xlfn.XLOOKUP($A192,Map!$A:$A,Map!C:C)</f>
        <v>IS</v>
      </c>
      <c r="H192" t="str">
        <f>_xlfn.XLOOKUP($A192,Map!$A:$A,Map!D:D)</f>
        <v>General and Admin</v>
      </c>
      <c r="I192" t="str">
        <f>_xlfn.XLOOKUP($A192,Map!$A:$A,Map!E:E)</f>
        <v>Salaries and wages</v>
      </c>
      <c r="J192" t="str">
        <f>_xlfn.XLOOKUP($A192,Map!$A:$A,Map!F:F)</f>
        <v>Accommodation expenses</v>
      </c>
    </row>
    <row r="193" spans="1:10" x14ac:dyDescent="0.25">
      <c r="A193" s="90">
        <v>700018</v>
      </c>
      <c r="B193" s="90" t="s">
        <v>188</v>
      </c>
      <c r="C193" s="91">
        <v>0</v>
      </c>
      <c r="D193" s="91">
        <v>936</v>
      </c>
      <c r="E193" s="91">
        <v>0</v>
      </c>
      <c r="F193" s="91">
        <v>936</v>
      </c>
      <c r="G193" t="str">
        <f>_xlfn.XLOOKUP($A193,Map!$A:$A,Map!C:C)</f>
        <v>IS</v>
      </c>
      <c r="H193" t="str">
        <f>_xlfn.XLOOKUP($A193,Map!$A:$A,Map!D:D)</f>
        <v>General and Admin</v>
      </c>
      <c r="I193" t="str">
        <f>_xlfn.XLOOKUP($A193,Map!$A:$A,Map!E:E)</f>
        <v>Salaries and wages</v>
      </c>
      <c r="J193" t="str">
        <f>_xlfn.XLOOKUP($A193,Map!$A:$A,Map!F:F)</f>
        <v xml:space="preserve">Employee Medical Emergency Expenses </v>
      </c>
    </row>
    <row r="194" spans="1:10" x14ac:dyDescent="0.25">
      <c r="A194" s="90">
        <v>700019</v>
      </c>
      <c r="B194" s="90" t="s">
        <v>189</v>
      </c>
      <c r="C194" s="91">
        <v>0</v>
      </c>
      <c r="D194" s="91">
        <v>1157158.33</v>
      </c>
      <c r="E194" s="91">
        <v>48358.33</v>
      </c>
      <c r="F194" s="91">
        <v>1108800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Salaries and wages</v>
      </c>
      <c r="J194" t="str">
        <f>_xlfn.XLOOKUP($A194,Map!$A:$A,Map!F:F)</f>
        <v xml:space="preserve">Incentives </v>
      </c>
    </row>
    <row r="195" spans="1:10" x14ac:dyDescent="0.25">
      <c r="A195" s="90">
        <v>700020</v>
      </c>
      <c r="B195" s="90" t="s">
        <v>190</v>
      </c>
      <c r="C195" s="91">
        <v>0</v>
      </c>
      <c r="D195" s="91">
        <v>75031.581000000006</v>
      </c>
      <c r="E195" s="91">
        <v>5151.3</v>
      </c>
      <c r="F195" s="91">
        <v>69880.281000000003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Utilities</v>
      </c>
      <c r="J195" t="str">
        <f>_xlfn.XLOOKUP($A195,Map!$A:$A,Map!F:F)</f>
        <v>Electricity expenses</v>
      </c>
    </row>
    <row r="196" spans="1:10" x14ac:dyDescent="0.25">
      <c r="A196" s="90">
        <v>700021</v>
      </c>
      <c r="B196" s="90" t="s">
        <v>191</v>
      </c>
      <c r="C196" s="91">
        <v>0</v>
      </c>
      <c r="D196" s="91">
        <v>27224</v>
      </c>
      <c r="E196" s="91">
        <v>0</v>
      </c>
      <c r="F196" s="91">
        <v>27224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>Utilities</v>
      </c>
      <c r="J196" t="str">
        <f>_xlfn.XLOOKUP($A196,Map!$A:$A,Map!F:F)</f>
        <v>Other general and administrative expenses</v>
      </c>
    </row>
    <row r="197" spans="1:10" x14ac:dyDescent="0.25">
      <c r="A197" s="90">
        <v>700022</v>
      </c>
      <c r="B197" s="90" t="s">
        <v>192</v>
      </c>
      <c r="C197" s="91">
        <v>0</v>
      </c>
      <c r="D197" s="91">
        <v>101686.39999999999</v>
      </c>
      <c r="E197" s="91">
        <v>92</v>
      </c>
      <c r="F197" s="91">
        <v>101594.4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Utilities</v>
      </c>
      <c r="J197" t="str">
        <f>_xlfn.XLOOKUP($A197,Map!$A:$A,Map!F:F)</f>
        <v>Other general and administrative expenses</v>
      </c>
    </row>
    <row r="198" spans="1:10" x14ac:dyDescent="0.25">
      <c r="A198" s="90">
        <v>700023</v>
      </c>
      <c r="B198" s="90" t="s">
        <v>193</v>
      </c>
      <c r="C198" s="91">
        <v>0</v>
      </c>
      <c r="D198" s="91">
        <v>32352.641</v>
      </c>
      <c r="E198" s="91">
        <v>0</v>
      </c>
      <c r="F198" s="91">
        <v>32352.641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Utilities</v>
      </c>
      <c r="J198" t="str">
        <f>_xlfn.XLOOKUP($A198,Map!$A:$A,Map!F:F)</f>
        <v xml:space="preserve">Postage &amp; Printing </v>
      </c>
    </row>
    <row r="199" spans="1:10" x14ac:dyDescent="0.25">
      <c r="A199" s="90">
        <v>700024</v>
      </c>
      <c r="B199" s="90" t="s">
        <v>194</v>
      </c>
      <c r="C199" s="91">
        <v>0</v>
      </c>
      <c r="D199" s="91">
        <v>200895.38</v>
      </c>
      <c r="E199" s="91">
        <v>7751.1530000000002</v>
      </c>
      <c r="F199" s="91">
        <v>193144.22700000001</v>
      </c>
      <c r="G199" t="str">
        <f>_xlfn.XLOOKUP($A199,Map!$A:$A,Map!C:C)</f>
        <v>IS</v>
      </c>
      <c r="H199" t="str">
        <f>_xlfn.XLOOKUP($A199,Map!$A:$A,Map!D:D)</f>
        <v>General and Admin</v>
      </c>
      <c r="I199" t="str">
        <f>_xlfn.XLOOKUP($A199,Map!$A:$A,Map!E:E)</f>
        <v>IT expenses</v>
      </c>
      <c r="J199" t="str">
        <f>_xlfn.XLOOKUP($A199,Map!$A:$A,Map!F:F)</f>
        <v>Other general and administrative expenses</v>
      </c>
    </row>
    <row r="200" spans="1:10" x14ac:dyDescent="0.25">
      <c r="A200" s="90">
        <v>700025</v>
      </c>
      <c r="B200" s="90" t="s">
        <v>195</v>
      </c>
      <c r="C200" s="91">
        <v>0</v>
      </c>
      <c r="D200" s="91">
        <v>240087.35</v>
      </c>
      <c r="E200" s="91">
        <v>0</v>
      </c>
      <c r="F200" s="91">
        <v>240087.35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Salaries and wages</v>
      </c>
      <c r="J200" t="str">
        <f>_xlfn.XLOOKUP($A200,Map!$A:$A,Map!F:F)</f>
        <v>Salaries and wages</v>
      </c>
    </row>
    <row r="201" spans="1:10" x14ac:dyDescent="0.25">
      <c r="A201" s="90">
        <v>700026</v>
      </c>
      <c r="B201" s="90" t="s">
        <v>196</v>
      </c>
      <c r="C201" s="91">
        <v>0</v>
      </c>
      <c r="D201" s="91">
        <v>0</v>
      </c>
      <c r="E201" s="91">
        <v>0</v>
      </c>
      <c r="F201" s="91">
        <v>0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Utilities</v>
      </c>
      <c r="J201" t="str">
        <f>_xlfn.XLOOKUP($A201,Map!$A:$A,Map!F:F)</f>
        <v>Magazines &amp; News Papers Exp.</v>
      </c>
    </row>
    <row r="202" spans="1:10" x14ac:dyDescent="0.25">
      <c r="A202" s="90">
        <v>700027</v>
      </c>
      <c r="B202" s="90" t="s">
        <v>197</v>
      </c>
      <c r="C202" s="91">
        <v>0</v>
      </c>
      <c r="D202" s="91">
        <v>122275.63</v>
      </c>
      <c r="E202" s="91">
        <v>1040</v>
      </c>
      <c r="F202" s="91">
        <v>121235.63</v>
      </c>
      <c r="G202" t="str">
        <f>_xlfn.XLOOKUP($A202,Map!$A:$A,Map!C:C)</f>
        <v>IS</v>
      </c>
      <c r="H202" t="str">
        <f>_xlfn.XLOOKUP($A202,Map!$A:$A,Map!D:D)</f>
        <v>General and Admin</v>
      </c>
      <c r="I202" t="str">
        <f>_xlfn.XLOOKUP($A202,Map!$A:$A,Map!E:E)</f>
        <v>Training</v>
      </c>
      <c r="J202" t="str">
        <f>_xlfn.XLOOKUP($A202,Map!$A:$A,Map!F:F)</f>
        <v>Training</v>
      </c>
    </row>
    <row r="203" spans="1:10" x14ac:dyDescent="0.25">
      <c r="A203" s="90">
        <v>700028</v>
      </c>
      <c r="B203" s="90" t="s">
        <v>198</v>
      </c>
      <c r="C203" s="91">
        <v>0</v>
      </c>
      <c r="D203" s="91">
        <v>9845.5910000000003</v>
      </c>
      <c r="E203" s="91">
        <v>0</v>
      </c>
      <c r="F203" s="91">
        <v>9845.5910000000003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 xml:space="preserve">Back office Support </v>
      </c>
      <c r="J203" t="str">
        <f>_xlfn.XLOOKUP($A203,Map!$A:$A,Map!F:F)</f>
        <v>Stationery expenses</v>
      </c>
    </row>
    <row r="204" spans="1:10" x14ac:dyDescent="0.25">
      <c r="A204" s="90">
        <v>700029</v>
      </c>
      <c r="B204" s="90" t="s">
        <v>199</v>
      </c>
      <c r="C204" s="91">
        <v>0</v>
      </c>
      <c r="D204" s="91">
        <v>3402.741</v>
      </c>
      <c r="E204" s="91">
        <v>0</v>
      </c>
      <c r="F204" s="91">
        <v>3402.741</v>
      </c>
      <c r="G204" t="str">
        <f>_xlfn.XLOOKUP($A204,Map!$A:$A,Map!C:C)</f>
        <v>IS</v>
      </c>
      <c r="H204" t="str">
        <f>_xlfn.XLOOKUP($A204,Map!$A:$A,Map!D:D)</f>
        <v>General and Admin</v>
      </c>
      <c r="I204" t="str">
        <f>_xlfn.XLOOKUP($A204,Map!$A:$A,Map!E:E)</f>
        <v>Utilities</v>
      </c>
      <c r="J204" t="str">
        <f>_xlfn.XLOOKUP($A204,Map!$A:$A,Map!F:F)</f>
        <v xml:space="preserve">Postage &amp; Printing </v>
      </c>
    </row>
    <row r="205" spans="1:10" x14ac:dyDescent="0.25">
      <c r="A205" s="90">
        <v>700030</v>
      </c>
      <c r="B205" s="90" t="s">
        <v>200</v>
      </c>
      <c r="C205" s="91">
        <v>0</v>
      </c>
      <c r="D205" s="91">
        <v>41310.536999999997</v>
      </c>
      <c r="E205" s="91">
        <v>0</v>
      </c>
      <c r="F205" s="91">
        <v>41310.536999999997</v>
      </c>
      <c r="G205" t="str">
        <f>_xlfn.XLOOKUP($A205,Map!$A:$A,Map!C:C)</f>
        <v>IS</v>
      </c>
      <c r="H205" t="str">
        <f>_xlfn.XLOOKUP($A205,Map!$A:$A,Map!D:D)</f>
        <v>General and Admin</v>
      </c>
      <c r="I205" t="str">
        <f>_xlfn.XLOOKUP($A205,Map!$A:$A,Map!E:E)</f>
        <v>Utilities</v>
      </c>
      <c r="J205" t="str">
        <f>_xlfn.XLOOKUP($A205,Map!$A:$A,Map!F:F)</f>
        <v>Building maintenance</v>
      </c>
    </row>
    <row r="206" spans="1:10" x14ac:dyDescent="0.25">
      <c r="A206" s="90">
        <v>700031</v>
      </c>
      <c r="B206" s="90" t="s">
        <v>201</v>
      </c>
      <c r="C206" s="91">
        <v>0</v>
      </c>
      <c r="D206" s="91">
        <v>1705</v>
      </c>
      <c r="E206" s="91">
        <v>0</v>
      </c>
      <c r="F206" s="91">
        <v>1705</v>
      </c>
      <c r="G206" t="str">
        <f>_xlfn.XLOOKUP($A206,Map!$A:$A,Map!C:C)</f>
        <v>IS</v>
      </c>
      <c r="H206" t="str">
        <f>_xlfn.XLOOKUP($A206,Map!$A:$A,Map!D:D)</f>
        <v>General and Admin</v>
      </c>
      <c r="I206" t="str">
        <f>_xlfn.XLOOKUP($A206,Map!$A:$A,Map!E:E)</f>
        <v>Utilities</v>
      </c>
      <c r="J206" t="str">
        <f>_xlfn.XLOOKUP($A206,Map!$A:$A,Map!F:F)</f>
        <v>Office equipment maintenance</v>
      </c>
    </row>
    <row r="207" spans="1:10" x14ac:dyDescent="0.25">
      <c r="A207" s="90">
        <v>700032</v>
      </c>
      <c r="B207" s="90" t="s">
        <v>202</v>
      </c>
      <c r="C207" s="91">
        <v>0</v>
      </c>
      <c r="D207" s="91">
        <v>113887.11900000001</v>
      </c>
      <c r="E207" s="91">
        <v>17000.16</v>
      </c>
      <c r="F207" s="91">
        <v>96886.959000000003</v>
      </c>
      <c r="G207" t="str">
        <f>_xlfn.XLOOKUP($A207,Map!$A:$A,Map!C:C)</f>
        <v>IS</v>
      </c>
      <c r="H207" t="str">
        <f>_xlfn.XLOOKUP($A207,Map!$A:$A,Map!D:D)</f>
        <v>General and Admin</v>
      </c>
      <c r="I207" t="str">
        <f>_xlfn.XLOOKUP($A207,Map!$A:$A,Map!E:E)</f>
        <v>Utilities</v>
      </c>
      <c r="J207" t="str">
        <f>_xlfn.XLOOKUP($A207,Map!$A:$A,Map!F:F)</f>
        <v>Vehicle maintenance</v>
      </c>
    </row>
    <row r="208" spans="1:10" x14ac:dyDescent="0.25">
      <c r="A208" s="90">
        <v>700033</v>
      </c>
      <c r="B208" s="90" t="s">
        <v>203</v>
      </c>
      <c r="C208" s="91">
        <v>0</v>
      </c>
      <c r="D208" s="91">
        <v>18216.55</v>
      </c>
      <c r="E208" s="91">
        <v>0</v>
      </c>
      <c r="F208" s="91">
        <v>18216.55</v>
      </c>
      <c r="G208" t="str">
        <f>_xlfn.XLOOKUP($A208,Map!$A:$A,Map!C:C)</f>
        <v>IS</v>
      </c>
      <c r="H208" t="str">
        <f>_xlfn.XLOOKUP($A208,Map!$A:$A,Map!D:D)</f>
        <v>General and Admin</v>
      </c>
      <c r="I208" t="str">
        <f>_xlfn.XLOOKUP($A208,Map!$A:$A,Map!E:E)</f>
        <v>Utilities</v>
      </c>
      <c r="J208" t="str">
        <f>_xlfn.XLOOKUP($A208,Map!$A:$A,Map!F:F)</f>
        <v>Fuel and oil</v>
      </c>
    </row>
    <row r="209" spans="1:10" x14ac:dyDescent="0.25">
      <c r="A209" s="90">
        <v>700034</v>
      </c>
      <c r="B209" s="90" t="s">
        <v>204</v>
      </c>
      <c r="C209" s="91">
        <v>0</v>
      </c>
      <c r="D209" s="91">
        <v>24134.670999999998</v>
      </c>
      <c r="E209" s="91">
        <v>0</v>
      </c>
      <c r="F209" s="91">
        <v>24134.670999999998</v>
      </c>
      <c r="G209" t="str">
        <f>_xlfn.XLOOKUP($A209,Map!$A:$A,Map!C:C)</f>
        <v>IS</v>
      </c>
      <c r="H209" t="str">
        <f>_xlfn.XLOOKUP($A209,Map!$A:$A,Map!D:D)</f>
        <v>General and Admin</v>
      </c>
      <c r="I209" t="str">
        <f>_xlfn.XLOOKUP($A209,Map!$A:$A,Map!E:E)</f>
        <v xml:space="preserve">Back office Support </v>
      </c>
      <c r="J209" t="str">
        <f>_xlfn.XLOOKUP($A209,Map!$A:$A,Map!F:F)</f>
        <v>Consumables</v>
      </c>
    </row>
    <row r="210" spans="1:10" x14ac:dyDescent="0.25">
      <c r="A210" s="90">
        <v>700035</v>
      </c>
      <c r="B210" s="90" t="s">
        <v>205</v>
      </c>
      <c r="C210" s="91">
        <v>0</v>
      </c>
      <c r="D210" s="91">
        <v>0</v>
      </c>
      <c r="E210" s="91">
        <v>25921</v>
      </c>
      <c r="F210" s="91">
        <v>-25921</v>
      </c>
      <c r="G210" t="str">
        <f>_xlfn.XLOOKUP($A210,Map!$A:$A,Map!C:C)</f>
        <v>IS</v>
      </c>
      <c r="H210" t="str">
        <f>_xlfn.XLOOKUP($A210,Map!$A:$A,Map!D:D)</f>
        <v>General and Admin</v>
      </c>
      <c r="I210" t="str">
        <f>_xlfn.XLOOKUP($A210,Map!$A:$A,Map!E:E)</f>
        <v>Actuarial gains and losses</v>
      </c>
      <c r="J210" t="str">
        <f>_xlfn.XLOOKUP($A210,Map!$A:$A,Map!F:F)</f>
        <v>Other general and administrative expenses</v>
      </c>
    </row>
    <row r="211" spans="1:10" x14ac:dyDescent="0.25">
      <c r="A211" s="90">
        <v>700036</v>
      </c>
      <c r="B211" s="90" t="s">
        <v>206</v>
      </c>
      <c r="C211" s="91">
        <v>0</v>
      </c>
      <c r="D211" s="91">
        <v>74763</v>
      </c>
      <c r="E211" s="91">
        <v>0</v>
      </c>
      <c r="F211" s="91">
        <v>74763</v>
      </c>
      <c r="G211" t="str">
        <f>_xlfn.XLOOKUP($A211,Map!$A:$A,Map!C:C)</f>
        <v>IS</v>
      </c>
      <c r="H211" t="str">
        <f>_xlfn.XLOOKUP($A211,Map!$A:$A,Map!D:D)</f>
        <v>General and Admin</v>
      </c>
      <c r="I211" t="str">
        <f>_xlfn.XLOOKUP($A211,Map!$A:$A,Map!E:E)</f>
        <v>Utilities</v>
      </c>
      <c r="J211" t="str">
        <f>_xlfn.XLOOKUP($A211,Map!$A:$A,Map!F:F)</f>
        <v>Vehicle insurance</v>
      </c>
    </row>
    <row r="212" spans="1:10" x14ac:dyDescent="0.25">
      <c r="A212" s="90">
        <v>700037</v>
      </c>
      <c r="B212" s="90" t="s">
        <v>207</v>
      </c>
      <c r="C212" s="91">
        <v>0</v>
      </c>
      <c r="D212" s="91">
        <v>0</v>
      </c>
      <c r="E212" s="91">
        <v>0</v>
      </c>
      <c r="F212" s="91">
        <v>0</v>
      </c>
      <c r="G212" t="str">
        <f>_xlfn.XLOOKUP($A212,Map!$A:$A,Map!C:C)</f>
        <v>IS</v>
      </c>
      <c r="H212" t="str">
        <f>_xlfn.XLOOKUP($A212,Map!$A:$A,Map!D:D)</f>
        <v>Finance cost</v>
      </c>
      <c r="I212" t="str">
        <f>_xlfn.XLOOKUP($A212,Map!$A:$A,Map!E:E)</f>
        <v>Finance cost</v>
      </c>
      <c r="J212" t="str">
        <f>_xlfn.XLOOKUP($A212,Map!$A:$A,Map!F:F)</f>
        <v>Lease interest</v>
      </c>
    </row>
    <row r="213" spans="1:10" x14ac:dyDescent="0.25">
      <c r="A213" s="90">
        <v>700038</v>
      </c>
      <c r="B213" s="90" t="s">
        <v>208</v>
      </c>
      <c r="C213" s="91">
        <v>0</v>
      </c>
      <c r="D213" s="91">
        <v>21990.956999999999</v>
      </c>
      <c r="E213" s="91">
        <v>0</v>
      </c>
      <c r="F213" s="91">
        <v>21990.956999999999</v>
      </c>
      <c r="G213" t="str">
        <f>_xlfn.XLOOKUP($A213,Map!$A:$A,Map!C:C)</f>
        <v>IS</v>
      </c>
      <c r="H213" t="str">
        <f>_xlfn.XLOOKUP($A213,Map!$A:$A,Map!D:D)</f>
        <v>General and Admin</v>
      </c>
      <c r="I213" t="str">
        <f>_xlfn.XLOOKUP($A213,Map!$A:$A,Map!E:E)</f>
        <v>Business travel</v>
      </c>
      <c r="J213" t="str">
        <f>_xlfn.XLOOKUP($A213,Map!$A:$A,Map!F:F)</f>
        <v>Bussiness trip expenses</v>
      </c>
    </row>
    <row r="214" spans="1:10" x14ac:dyDescent="0.25">
      <c r="A214" s="90">
        <v>700039</v>
      </c>
      <c r="B214" s="90" t="s">
        <v>209</v>
      </c>
      <c r="C214" s="91">
        <v>0</v>
      </c>
      <c r="D214" s="91">
        <v>26050.937000000002</v>
      </c>
      <c r="E214" s="91">
        <v>0</v>
      </c>
      <c r="F214" s="91">
        <v>26050.937000000002</v>
      </c>
      <c r="G214" t="str">
        <f>_xlfn.XLOOKUP($A214,Map!$A:$A,Map!C:C)</f>
        <v>IS</v>
      </c>
      <c r="H214" t="str">
        <f>_xlfn.XLOOKUP($A214,Map!$A:$A,Map!D:D)</f>
        <v>Selling and Marketing</v>
      </c>
      <c r="I214" t="str">
        <f>_xlfn.XLOOKUP($A214,Map!$A:$A,Map!E:E)</f>
        <v>Buffet expenses</v>
      </c>
      <c r="J214" t="str">
        <f>_xlfn.XLOOKUP($A214,Map!$A:$A,Map!F:F)</f>
        <v>Buffet expenses</v>
      </c>
    </row>
    <row r="215" spans="1:10" x14ac:dyDescent="0.25">
      <c r="A215" s="90">
        <v>700040</v>
      </c>
      <c r="B215" s="90" t="s">
        <v>210</v>
      </c>
      <c r="C215" s="91">
        <v>0</v>
      </c>
      <c r="D215" s="91">
        <v>659323.45200000005</v>
      </c>
      <c r="E215" s="91">
        <v>0</v>
      </c>
      <c r="F215" s="91">
        <v>659323.45200000005</v>
      </c>
      <c r="G215" t="str">
        <f>_xlfn.XLOOKUP($A215,Map!$A:$A,Map!C:C)</f>
        <v>IS</v>
      </c>
      <c r="H215" t="str">
        <f>_xlfn.XLOOKUP($A215,Map!$A:$A,Map!D:D)</f>
        <v>General and Admin</v>
      </c>
      <c r="I215" t="str">
        <f>_xlfn.XLOOKUP($A215,Map!$A:$A,Map!E:E)</f>
        <v>Utilities</v>
      </c>
      <c r="J215" t="str">
        <f>_xlfn.XLOOKUP($A215,Map!$A:$A,Map!F:F)</f>
        <v xml:space="preserve">Cleaning Expenses </v>
      </c>
    </row>
    <row r="216" spans="1:10" x14ac:dyDescent="0.25">
      <c r="A216" s="90">
        <v>700041</v>
      </c>
      <c r="B216" s="90" t="s">
        <v>211</v>
      </c>
      <c r="C216" s="91">
        <v>0</v>
      </c>
      <c r="D216" s="91">
        <v>426881.42599999998</v>
      </c>
      <c r="E216" s="91">
        <v>41666.917999999998</v>
      </c>
      <c r="F216" s="91">
        <v>385214.50799999997</v>
      </c>
      <c r="G216" t="str">
        <f>_xlfn.XLOOKUP($A216,Map!$A:$A,Map!C:C)</f>
        <v>IS</v>
      </c>
      <c r="H216" t="str">
        <f>_xlfn.XLOOKUP($A216,Map!$A:$A,Map!D:D)</f>
        <v>General and Admin</v>
      </c>
      <c r="I216" t="str">
        <f>_xlfn.XLOOKUP($A216,Map!$A:$A,Map!E:E)</f>
        <v>Salaries and wages</v>
      </c>
      <c r="J216" t="str">
        <f>_xlfn.XLOOKUP($A216,Map!$A:$A,Map!F:F)</f>
        <v>Recruitment</v>
      </c>
    </row>
    <row r="217" spans="1:10" x14ac:dyDescent="0.25">
      <c r="A217" s="90">
        <v>700042</v>
      </c>
      <c r="B217" s="90" t="s">
        <v>212</v>
      </c>
      <c r="C217" s="91">
        <v>0</v>
      </c>
      <c r="D217" s="91">
        <v>270000</v>
      </c>
      <c r="E217" s="91">
        <v>120000</v>
      </c>
      <c r="F217" s="91">
        <v>150000</v>
      </c>
      <c r="G217" t="str">
        <f>_xlfn.XLOOKUP($A217,Map!$A:$A,Map!C:C)</f>
        <v>IS</v>
      </c>
      <c r="H217" t="str">
        <f>_xlfn.XLOOKUP($A217,Map!$A:$A,Map!D:D)</f>
        <v>General and Admin</v>
      </c>
      <c r="I217" t="str">
        <f>_xlfn.XLOOKUP($A217,Map!$A:$A,Map!E:E)</f>
        <v xml:space="preserve">Back office Support </v>
      </c>
      <c r="J217" t="str">
        <f>_xlfn.XLOOKUP($A217,Map!$A:$A,Map!F:F)</f>
        <v>Other expenses</v>
      </c>
    </row>
    <row r="218" spans="1:10" x14ac:dyDescent="0.25">
      <c r="A218" s="90">
        <v>700043</v>
      </c>
      <c r="B218" s="90" t="s">
        <v>213</v>
      </c>
      <c r="C218" s="91">
        <v>0</v>
      </c>
      <c r="D218" s="91">
        <v>1610</v>
      </c>
      <c r="E218" s="91">
        <v>539</v>
      </c>
      <c r="F218" s="91">
        <v>1071</v>
      </c>
      <c r="G218" t="str">
        <f>_xlfn.XLOOKUP($A218,Map!$A:$A,Map!C:C)</f>
        <v>IS</v>
      </c>
      <c r="H218" t="str">
        <f>_xlfn.XLOOKUP($A218,Map!$A:$A,Map!D:D)</f>
        <v>General and Admin</v>
      </c>
      <c r="I218" t="str">
        <f>_xlfn.XLOOKUP($A218,Map!$A:$A,Map!E:E)</f>
        <v>Govt license and fees (including modon)</v>
      </c>
      <c r="J218" t="str">
        <f>_xlfn.XLOOKUP($A218,Map!$A:$A,Map!F:F)</f>
        <v>Licenses and fees</v>
      </c>
    </row>
    <row r="219" spans="1:10" x14ac:dyDescent="0.25">
      <c r="A219" s="90">
        <v>700044</v>
      </c>
      <c r="B219" s="90" t="s">
        <v>214</v>
      </c>
      <c r="C219" s="91">
        <v>0</v>
      </c>
      <c r="D219" s="91">
        <v>66803.25</v>
      </c>
      <c r="E219" s="91">
        <v>575</v>
      </c>
      <c r="F219" s="91">
        <v>66228.25</v>
      </c>
      <c r="G219" t="str">
        <f>_xlfn.XLOOKUP($A219,Map!$A:$A,Map!C:C)</f>
        <v>IS</v>
      </c>
      <c r="H219" t="str">
        <f>_xlfn.XLOOKUP($A219,Map!$A:$A,Map!D:D)</f>
        <v>General and Admin</v>
      </c>
      <c r="I219" t="str">
        <f>_xlfn.XLOOKUP($A219,Map!$A:$A,Map!E:E)</f>
        <v>Govt license and fees (including modon)</v>
      </c>
      <c r="J219" t="str">
        <f>_xlfn.XLOOKUP($A219,Map!$A:$A,Map!F:F)</f>
        <v>Government fees</v>
      </c>
    </row>
    <row r="220" spans="1:10" x14ac:dyDescent="0.25">
      <c r="A220" s="90">
        <v>700045</v>
      </c>
      <c r="B220" s="90" t="s">
        <v>215</v>
      </c>
      <c r="C220" s="91">
        <v>0</v>
      </c>
      <c r="D220" s="91">
        <v>4571660.1720000003</v>
      </c>
      <c r="E220" s="91">
        <v>607967.45799999998</v>
      </c>
      <c r="F220" s="91">
        <v>3963692.7140000002</v>
      </c>
      <c r="G220" t="str">
        <f>_xlfn.XLOOKUP($A220,Map!$A:$A,Map!C:C)</f>
        <v>IS</v>
      </c>
      <c r="H220" t="str">
        <f>_xlfn.XLOOKUP($A220,Map!$A:$A,Map!D:D)</f>
        <v>Finance cost</v>
      </c>
      <c r="I220" t="str">
        <f>_xlfn.XLOOKUP($A220,Map!$A:$A,Map!E:E)</f>
        <v>Finance cost</v>
      </c>
      <c r="J220" t="str">
        <f>_xlfn.XLOOKUP($A220,Map!$A:$A,Map!F:F)</f>
        <v>Bank charges</v>
      </c>
    </row>
    <row r="221" spans="1:10" x14ac:dyDescent="0.25">
      <c r="A221" s="90">
        <v>700048</v>
      </c>
      <c r="B221" s="90" t="s">
        <v>216</v>
      </c>
      <c r="C221" s="91">
        <v>0</v>
      </c>
      <c r="D221" s="91">
        <v>796434.87</v>
      </c>
      <c r="E221" s="91">
        <v>650000</v>
      </c>
      <c r="F221" s="91">
        <v>146434.87</v>
      </c>
      <c r="G221" t="str">
        <f>_xlfn.XLOOKUP($A221,Map!$A:$A,Map!C:C)</f>
        <v>IS</v>
      </c>
      <c r="H221" t="str">
        <f>_xlfn.XLOOKUP($A221,Map!$A:$A,Map!D:D)</f>
        <v>Zakat</v>
      </c>
      <c r="I221" t="str">
        <f>_xlfn.XLOOKUP($A221,Map!$A:$A,Map!E:E)</f>
        <v>Zakat expenses</v>
      </c>
      <c r="J221" t="str">
        <f>_xlfn.XLOOKUP($A221,Map!$A:$A,Map!F:F)</f>
        <v>Zakat expenses</v>
      </c>
    </row>
    <row r="222" spans="1:10" x14ac:dyDescent="0.25">
      <c r="A222" s="90">
        <v>700049</v>
      </c>
      <c r="B222" s="90" t="s">
        <v>217</v>
      </c>
      <c r="C222" s="91">
        <v>0</v>
      </c>
      <c r="D222" s="91">
        <v>438</v>
      </c>
      <c r="E222" s="91">
        <v>438</v>
      </c>
      <c r="F222" s="91">
        <v>0</v>
      </c>
      <c r="G222" t="str">
        <f>_xlfn.XLOOKUP($A222,Map!$A:$A,Map!C:C)</f>
        <v>IS</v>
      </c>
      <c r="H222" t="str">
        <f>_xlfn.XLOOKUP($A222,Map!$A:$A,Map!D:D)</f>
        <v>General and Admin</v>
      </c>
      <c r="I222" t="str">
        <f>_xlfn.XLOOKUP($A222,Map!$A:$A,Map!E:E)</f>
        <v>Salaries and wages</v>
      </c>
      <c r="J222" t="str">
        <f>_xlfn.XLOOKUP($A222,Map!$A:$A,Map!F:F)</f>
        <v>Sadagat expense</v>
      </c>
    </row>
    <row r="223" spans="1:10" x14ac:dyDescent="0.25">
      <c r="A223" s="90">
        <v>700050</v>
      </c>
      <c r="B223" s="90" t="s">
        <v>218</v>
      </c>
      <c r="C223" s="91">
        <v>0</v>
      </c>
      <c r="D223" s="91">
        <v>0</v>
      </c>
      <c r="E223" s="91">
        <v>0</v>
      </c>
      <c r="F223" s="91">
        <v>0</v>
      </c>
      <c r="G223" t="str">
        <f>_xlfn.XLOOKUP($A223,Map!$A:$A,Map!C:C)</f>
        <v>IS</v>
      </c>
      <c r="H223" t="str">
        <f>_xlfn.XLOOKUP($A223,Map!$A:$A,Map!D:D)</f>
        <v>Depreciation expenses</v>
      </c>
      <c r="I223" t="str">
        <f>_xlfn.XLOOKUP($A223,Map!$A:$A,Map!E:E)</f>
        <v>Depreciation expenses</v>
      </c>
      <c r="J223" t="str">
        <f>_xlfn.XLOOKUP($A223,Map!$A:$A,Map!F:F)</f>
        <v>Depreciation of property, plant and equipment</v>
      </c>
    </row>
    <row r="224" spans="1:10" x14ac:dyDescent="0.25">
      <c r="A224" s="90">
        <v>700052</v>
      </c>
      <c r="B224" s="90" t="s">
        <v>219</v>
      </c>
      <c r="C224" s="91">
        <v>0</v>
      </c>
      <c r="D224" s="91">
        <v>0</v>
      </c>
      <c r="E224" s="91">
        <v>0</v>
      </c>
      <c r="F224" s="91">
        <v>0</v>
      </c>
      <c r="G224" t="str">
        <f>_xlfn.XLOOKUP($A224,Map!$A:$A,Map!C:C)</f>
        <v>IS</v>
      </c>
      <c r="H224" t="str">
        <f>_xlfn.XLOOKUP($A224,Map!$A:$A,Map!D:D)</f>
        <v>Depreciation expenses</v>
      </c>
      <c r="I224" t="str">
        <f>_xlfn.XLOOKUP($A224,Map!$A:$A,Map!E:E)</f>
        <v>Depreciation expenses</v>
      </c>
      <c r="J224" t="str">
        <f>_xlfn.XLOOKUP($A224,Map!$A:$A,Map!F:F)</f>
        <v>Depreciation of property, plant and equipment</v>
      </c>
    </row>
    <row r="225" spans="1:10" x14ac:dyDescent="0.25">
      <c r="A225" s="90">
        <v>700053</v>
      </c>
      <c r="B225" s="90" t="s">
        <v>220</v>
      </c>
      <c r="C225" s="91">
        <v>0</v>
      </c>
      <c r="D225" s="91">
        <v>0</v>
      </c>
      <c r="E225" s="91">
        <v>0</v>
      </c>
      <c r="F225" s="91">
        <v>0</v>
      </c>
      <c r="G225" t="str">
        <f>_xlfn.XLOOKUP($A225,Map!$A:$A,Map!C:C)</f>
        <v>IS</v>
      </c>
      <c r="H225" t="str">
        <f>_xlfn.XLOOKUP($A225,Map!$A:$A,Map!D:D)</f>
        <v>Depreciation expenses</v>
      </c>
      <c r="I225" t="str">
        <f>_xlfn.XLOOKUP($A225,Map!$A:$A,Map!E:E)</f>
        <v>Depreciation expenses</v>
      </c>
      <c r="J225" t="str">
        <f>_xlfn.XLOOKUP($A225,Map!$A:$A,Map!F:F)</f>
        <v>Depreciation of property, plant and equipment</v>
      </c>
    </row>
    <row r="226" spans="1:10" x14ac:dyDescent="0.25">
      <c r="A226" s="90">
        <v>700054</v>
      </c>
      <c r="B226" s="90" t="s">
        <v>221</v>
      </c>
      <c r="C226" s="91">
        <v>0</v>
      </c>
      <c r="D226" s="91">
        <v>203609.02</v>
      </c>
      <c r="E226" s="91">
        <v>2622.9079999999999</v>
      </c>
      <c r="F226" s="91">
        <v>200986.11199999999</v>
      </c>
      <c r="G226" t="str">
        <f>_xlfn.XLOOKUP($A226,Map!$A:$A,Map!C:C)</f>
        <v>IS</v>
      </c>
      <c r="H226" t="str">
        <f>_xlfn.XLOOKUP($A226,Map!$A:$A,Map!D:D)</f>
        <v>Depreciation expenses</v>
      </c>
      <c r="I226" t="str">
        <f>_xlfn.XLOOKUP($A226,Map!$A:$A,Map!E:E)</f>
        <v>Depreciation expenses</v>
      </c>
      <c r="J226" t="str">
        <f>_xlfn.XLOOKUP($A226,Map!$A:$A,Map!F:F)</f>
        <v>Depreciation of property, plant and equipment</v>
      </c>
    </row>
    <row r="227" spans="1:10" x14ac:dyDescent="0.25">
      <c r="A227" s="90">
        <v>700055</v>
      </c>
      <c r="B227" s="90" t="s">
        <v>222</v>
      </c>
      <c r="C227" s="91">
        <v>0</v>
      </c>
      <c r="D227" s="91">
        <v>119516.042</v>
      </c>
      <c r="E227" s="91">
        <v>0</v>
      </c>
      <c r="F227" s="91">
        <v>119516.042</v>
      </c>
      <c r="G227" t="str">
        <f>_xlfn.XLOOKUP($A227,Map!$A:$A,Map!C:C)</f>
        <v>IS</v>
      </c>
      <c r="H227" t="str">
        <f>_xlfn.XLOOKUP($A227,Map!$A:$A,Map!D:D)</f>
        <v>Depreciation expenses</v>
      </c>
      <c r="I227" t="str">
        <f>_xlfn.XLOOKUP($A227,Map!$A:$A,Map!E:E)</f>
        <v>Depreciation expenses</v>
      </c>
      <c r="J227" t="str">
        <f>_xlfn.XLOOKUP($A227,Map!$A:$A,Map!F:F)</f>
        <v>Depreciation of property, plant and equipment</v>
      </c>
    </row>
    <row r="228" spans="1:10" x14ac:dyDescent="0.25">
      <c r="A228" s="90">
        <v>700056</v>
      </c>
      <c r="B228" s="90" t="s">
        <v>223</v>
      </c>
      <c r="C228" s="91">
        <v>0</v>
      </c>
      <c r="D228" s="91">
        <v>6000</v>
      </c>
      <c r="E228" s="91">
        <v>6000</v>
      </c>
      <c r="F228" s="91">
        <v>0</v>
      </c>
      <c r="G228" t="str">
        <f>_xlfn.XLOOKUP($A228,Map!$A:$A,Map!C:C)</f>
        <v>IS</v>
      </c>
      <c r="H228" t="str">
        <f>_xlfn.XLOOKUP($A228,Map!$A:$A,Map!D:D)</f>
        <v>Depreciation expenses</v>
      </c>
      <c r="I228" t="str">
        <f>_xlfn.XLOOKUP($A228,Map!$A:$A,Map!E:E)</f>
        <v>Depreciation expenses</v>
      </c>
      <c r="J228" t="str">
        <f>_xlfn.XLOOKUP($A228,Map!$A:$A,Map!F:F)</f>
        <v>Depreciation of property, plant and equipment</v>
      </c>
    </row>
    <row r="229" spans="1:10" x14ac:dyDescent="0.25">
      <c r="A229" s="90">
        <v>700057</v>
      </c>
      <c r="B229" s="90" t="s">
        <v>224</v>
      </c>
      <c r="C229" s="91">
        <v>0</v>
      </c>
      <c r="D229" s="91">
        <v>265999.92</v>
      </c>
      <c r="E229" s="91">
        <v>0</v>
      </c>
      <c r="F229" s="91">
        <v>265999.92</v>
      </c>
      <c r="G229" t="str">
        <f>_xlfn.XLOOKUP($A229,Map!$A:$A,Map!C:C)</f>
        <v>IS</v>
      </c>
      <c r="H229" t="str">
        <f>_xlfn.XLOOKUP($A229,Map!$A:$A,Map!D:D)</f>
        <v>Cost of sales</v>
      </c>
      <c r="I229" t="str">
        <f>_xlfn.XLOOKUP($A229,Map!$A:$A,Map!E:E)</f>
        <v>Overhead - Rent</v>
      </c>
      <c r="J229" t="str">
        <f>_xlfn.XLOOKUP($A229,Map!$A:$A,Map!F:F)</f>
        <v>Warehouse Rent ( Khamis, Rioyadh, Dammam)</v>
      </c>
    </row>
    <row r="230" spans="1:10" x14ac:dyDescent="0.25">
      <c r="A230" s="90">
        <v>700058</v>
      </c>
      <c r="B230" s="90" t="s">
        <v>225</v>
      </c>
      <c r="C230" s="91">
        <v>0</v>
      </c>
      <c r="D230" s="91">
        <v>245</v>
      </c>
      <c r="E230" s="91">
        <v>0</v>
      </c>
      <c r="F230" s="91">
        <v>245</v>
      </c>
      <c r="G230" t="str">
        <f>_xlfn.XLOOKUP($A230,Map!$A:$A,Map!C:C)</f>
        <v>IS</v>
      </c>
      <c r="H230" t="str">
        <f>_xlfn.XLOOKUP($A230,Map!$A:$A,Map!D:D)</f>
        <v>Selling and Marketing</v>
      </c>
      <c r="I230" t="str">
        <f>_xlfn.XLOOKUP($A230,Map!$A:$A,Map!E:E)</f>
        <v>Advertising and promotion expenses</v>
      </c>
      <c r="J230" t="str">
        <f>_xlfn.XLOOKUP($A230,Map!$A:$A,Map!F:F)</f>
        <v>Advertising and promotion expenses</v>
      </c>
    </row>
    <row r="231" spans="1:10" x14ac:dyDescent="0.25">
      <c r="A231" s="90">
        <v>700059</v>
      </c>
      <c r="B231" s="90" t="s">
        <v>226</v>
      </c>
      <c r="C231" s="91">
        <v>0</v>
      </c>
      <c r="D231" s="91">
        <v>1315</v>
      </c>
      <c r="E231" s="91">
        <v>0</v>
      </c>
      <c r="F231" s="91">
        <v>1315</v>
      </c>
      <c r="G231" t="str">
        <f>_xlfn.XLOOKUP($A231,Map!$A:$A,Map!C:C)</f>
        <v>IS</v>
      </c>
      <c r="H231" t="str">
        <f>_xlfn.XLOOKUP($A231,Map!$A:$A,Map!D:D)</f>
        <v>Selling and Marketing</v>
      </c>
      <c r="I231" t="str">
        <f>_xlfn.XLOOKUP($A231,Map!$A:$A,Map!E:E)</f>
        <v>Exhibitions</v>
      </c>
      <c r="J231" t="str">
        <f>_xlfn.XLOOKUP($A231,Map!$A:$A,Map!F:F)</f>
        <v>Exhibitions</v>
      </c>
    </row>
    <row r="232" spans="1:10" x14ac:dyDescent="0.25">
      <c r="A232" s="90">
        <v>700060</v>
      </c>
      <c r="B232" s="90" t="s">
        <v>227</v>
      </c>
      <c r="C232" s="91">
        <v>0</v>
      </c>
      <c r="D232" s="91">
        <v>14893336.74</v>
      </c>
      <c r="E232" s="91">
        <v>12093125.491</v>
      </c>
      <c r="F232" s="91">
        <v>2800211.2489999998</v>
      </c>
      <c r="G232" t="str">
        <f>_xlfn.XLOOKUP($A232,Map!$A:$A,Map!C:C)</f>
        <v>IS</v>
      </c>
      <c r="H232" t="str">
        <f>_xlfn.XLOOKUP($A232,Map!$A:$A,Map!D:D)</f>
        <v>Cost of sales</v>
      </c>
      <c r="I232" t="str">
        <f>_xlfn.XLOOKUP($A232,Map!$A:$A,Map!E:E)</f>
        <v>Freight expenses</v>
      </c>
      <c r="J232" t="str">
        <f>_xlfn.XLOOKUP($A232,Map!$A:$A,Map!F:F)</f>
        <v>Freight expenses</v>
      </c>
    </row>
    <row r="233" spans="1:10" x14ac:dyDescent="0.25">
      <c r="A233" s="90">
        <v>700061</v>
      </c>
      <c r="B233" s="90" t="s">
        <v>228</v>
      </c>
      <c r="C233" s="91">
        <v>0</v>
      </c>
      <c r="D233" s="91">
        <v>367072.77</v>
      </c>
      <c r="E233" s="91">
        <v>34130</v>
      </c>
      <c r="F233" s="91">
        <v>332942.77</v>
      </c>
      <c r="G233" t="str">
        <f>_xlfn.XLOOKUP($A233,Map!$A:$A,Map!C:C)</f>
        <v>IS</v>
      </c>
      <c r="H233" t="str">
        <f>_xlfn.XLOOKUP($A233,Map!$A:$A,Map!D:D)</f>
        <v>Selling and Marketing</v>
      </c>
      <c r="I233" t="str">
        <f>_xlfn.XLOOKUP($A233,Map!$A:$A,Map!E:E)</f>
        <v>Commission expenses</v>
      </c>
      <c r="J233" t="str">
        <f>_xlfn.XLOOKUP($A233,Map!$A:$A,Map!F:F)</f>
        <v>Commission expenses</v>
      </c>
    </row>
    <row r="234" spans="1:10" x14ac:dyDescent="0.25">
      <c r="A234" s="90">
        <v>700062</v>
      </c>
      <c r="B234" s="90" t="s">
        <v>229</v>
      </c>
      <c r="C234" s="91">
        <v>0</v>
      </c>
      <c r="D234" s="91">
        <v>472144.65</v>
      </c>
      <c r="E234" s="91">
        <v>223369.65</v>
      </c>
      <c r="F234" s="91">
        <v>248775</v>
      </c>
      <c r="G234" t="str">
        <f>_xlfn.XLOOKUP($A234,Map!$A:$A,Map!C:C)</f>
        <v>IS</v>
      </c>
      <c r="H234" t="str">
        <f>_xlfn.XLOOKUP($A234,Map!$A:$A,Map!D:D)</f>
        <v>Revised provision on Bad Debts</v>
      </c>
      <c r="I234" t="str">
        <f>_xlfn.XLOOKUP($A234,Map!$A:$A,Map!E:E)</f>
        <v>Bad debts expense</v>
      </c>
      <c r="J234" t="str">
        <f>_xlfn.XLOOKUP($A234,Map!$A:$A,Map!F:F)</f>
        <v>Bad debts expense</v>
      </c>
    </row>
    <row r="235" spans="1:10" x14ac:dyDescent="0.25">
      <c r="A235" s="90">
        <v>700063</v>
      </c>
      <c r="B235" s="90" t="s">
        <v>230</v>
      </c>
      <c r="C235" s="91">
        <v>0</v>
      </c>
      <c r="D235" s="91">
        <v>1227517.8500000001</v>
      </c>
      <c r="E235" s="91">
        <v>224135.75</v>
      </c>
      <c r="F235" s="91">
        <v>1003382.1</v>
      </c>
      <c r="G235" t="str">
        <f>_xlfn.XLOOKUP($A235,Map!$A:$A,Map!C:C)</f>
        <v>IS</v>
      </c>
      <c r="H235" t="str">
        <f>_xlfn.XLOOKUP($A235,Map!$A:$A,Map!D:D)</f>
        <v>General and Admin</v>
      </c>
      <c r="I235" t="str">
        <f>_xlfn.XLOOKUP($A235,Map!$A:$A,Map!E:E)</f>
        <v>Salaries and wages</v>
      </c>
      <c r="J235" t="str">
        <f>_xlfn.XLOOKUP($A235,Map!$A:$A,Map!F:F)</f>
        <v>GOSI</v>
      </c>
    </row>
    <row r="236" spans="1:10" x14ac:dyDescent="0.25">
      <c r="A236" s="90">
        <v>700064</v>
      </c>
      <c r="B236" s="90" t="s">
        <v>231</v>
      </c>
      <c r="C236" s="91">
        <v>0</v>
      </c>
      <c r="D236" s="91">
        <v>11184.8</v>
      </c>
      <c r="E236" s="91">
        <v>11184.8</v>
      </c>
      <c r="F236" s="91">
        <v>0</v>
      </c>
      <c r="G236" t="str">
        <f>_xlfn.XLOOKUP($A236,Map!$A:$A,Map!C:C)</f>
        <v>IS</v>
      </c>
      <c r="H236" t="str">
        <f>_xlfn.XLOOKUP($A236,Map!$A:$A,Map!D:D)</f>
        <v>Pre-operating expenses</v>
      </c>
      <c r="I236" t="str">
        <f>_xlfn.XLOOKUP($A236,Map!$A:$A,Map!E:E)</f>
        <v>Pre-operating expenses</v>
      </c>
      <c r="J236" t="str">
        <f>_xlfn.XLOOKUP($A236,Map!$A:$A,Map!F:F)</f>
        <v>Amortization</v>
      </c>
    </row>
    <row r="237" spans="1:10" x14ac:dyDescent="0.25">
      <c r="A237" s="90">
        <v>700065</v>
      </c>
      <c r="B237" s="90" t="s">
        <v>245</v>
      </c>
      <c r="C237" s="91">
        <v>0</v>
      </c>
      <c r="D237" s="91">
        <v>61904.56</v>
      </c>
      <c r="E237" s="91">
        <v>0</v>
      </c>
      <c r="F237" s="91">
        <v>61904.56</v>
      </c>
      <c r="G237" t="str">
        <f>_xlfn.XLOOKUP($A237,Map!$A:$A,Map!C:C)</f>
        <v>IS</v>
      </c>
      <c r="H237" t="str">
        <f>_xlfn.XLOOKUP($A237,Map!$A:$A,Map!D:D)</f>
        <v>Finance cost</v>
      </c>
      <c r="I237" t="str">
        <f>_xlfn.XLOOKUP($A237,Map!$A:$A,Map!E:E)</f>
        <v>Finance cost</v>
      </c>
      <c r="J237" t="str">
        <f>_xlfn.XLOOKUP($A237,Map!$A:$A,Map!F:F)</f>
        <v>Lease interest</v>
      </c>
    </row>
    <row r="238" spans="1:10" x14ac:dyDescent="0.25">
      <c r="A238" s="90">
        <v>700066</v>
      </c>
      <c r="B238" s="90" t="s">
        <v>233</v>
      </c>
      <c r="C238" s="91">
        <v>0</v>
      </c>
      <c r="D238" s="91">
        <v>115133.194</v>
      </c>
      <c r="E238" s="91">
        <v>0</v>
      </c>
      <c r="F238" s="91">
        <v>115133.194</v>
      </c>
      <c r="G238" t="str">
        <f>_xlfn.XLOOKUP($A238,Map!$A:$A,Map!C:C)</f>
        <v>IS</v>
      </c>
      <c r="H238" t="str">
        <f>_xlfn.XLOOKUP($A238,Map!$A:$A,Map!D:D)</f>
        <v>General and Admin</v>
      </c>
      <c r="I238" t="str">
        <f>_xlfn.XLOOKUP($A238,Map!$A:$A,Map!E:E)</f>
        <v>Govt license and fees (including modon)</v>
      </c>
      <c r="J238" t="str">
        <f>_xlfn.XLOOKUP($A238,Map!$A:$A,Map!F:F)</f>
        <v>3rd Industrial Area Lease Provision</v>
      </c>
    </row>
    <row r="239" spans="1:10" x14ac:dyDescent="0.25">
      <c r="A239" s="90">
        <v>800001</v>
      </c>
      <c r="B239" s="90" t="s">
        <v>235</v>
      </c>
      <c r="C239" s="91">
        <v>0</v>
      </c>
      <c r="D239" s="91">
        <v>0</v>
      </c>
      <c r="E239" s="91">
        <v>0</v>
      </c>
      <c r="F239" s="91">
        <v>0</v>
      </c>
      <c r="G239" t="str">
        <f>_xlfn.XLOOKUP($A239,Map!$A:$A,Map!C:C)</f>
        <v>BS</v>
      </c>
      <c r="H239" t="str">
        <f>_xlfn.XLOOKUP($A239,Map!$A:$A,Map!D:D)</f>
        <v>Non-Current Liabilities</v>
      </c>
      <c r="I239" t="str">
        <f>_xlfn.XLOOKUP($A239,Map!$A:$A,Map!E:E)</f>
        <v xml:space="preserve">Due to related parties </v>
      </c>
      <c r="J239" t="str">
        <f>_xlfn.XLOOKUP($A239,Map!$A:$A,Map!F:F)</f>
        <v>Aims Holding  Current Acc</v>
      </c>
    </row>
    <row r="241" spans="1:10" x14ac:dyDescent="0.25">
      <c r="C241" s="93">
        <f>SUBTOTAL(9,C5:C240)</f>
        <v>1.0430812835693359E-7</v>
      </c>
      <c r="D241" s="93">
        <f>SUBTOTAL(9,D5:D240)</f>
        <v>2667376368.9409981</v>
      </c>
      <c r="E241" s="93">
        <f>SUBTOTAL(9,E5:E240)</f>
        <v>2667376368.9409995</v>
      </c>
      <c r="F241" s="93">
        <f>SUBTOTAL(9,F5:F240)</f>
        <v>8.0253812484443188E-8</v>
      </c>
    </row>
    <row r="242" spans="1:10" x14ac:dyDescent="0.25">
      <c r="C242" s="93"/>
      <c r="D242" s="93"/>
      <c r="E242" s="93"/>
      <c r="F242" s="93"/>
    </row>
    <row r="243" spans="1:10" x14ac:dyDescent="0.25">
      <c r="A243" s="5" t="s">
        <v>531</v>
      </c>
    </row>
    <row r="244" spans="1:10" x14ac:dyDescent="0.25">
      <c r="A244" s="90">
        <v>600060</v>
      </c>
      <c r="B244" s="90" t="s">
        <v>170</v>
      </c>
      <c r="D244" s="91">
        <v>0</v>
      </c>
      <c r="E244" s="91">
        <v>751257.5</v>
      </c>
      <c r="F244" s="91">
        <f>D244-E244</f>
        <v>-751257.5</v>
      </c>
      <c r="G244" t="str">
        <f>_xlfn.XLOOKUP($A244,Map!$A:$A,Map!C:C)</f>
        <v>IS</v>
      </c>
      <c r="H244" t="str">
        <f>_xlfn.XLOOKUP($A244,Map!$A:$A,Map!D:D)</f>
        <v>Other Income</v>
      </c>
      <c r="I244" t="str">
        <f>_xlfn.XLOOKUP($A244,Map!$A:$A,Map!E:E)</f>
        <v>Other Income</v>
      </c>
      <c r="J244" t="str">
        <f>_xlfn.XLOOKUP($A244,Map!$A:$A,Map!F:F)</f>
        <v>Hadaf program</v>
      </c>
    </row>
    <row r="245" spans="1:10" x14ac:dyDescent="0.25">
      <c r="A245" s="90">
        <v>600033</v>
      </c>
      <c r="B245" s="90" t="s">
        <v>168</v>
      </c>
      <c r="D245" s="91">
        <v>160113</v>
      </c>
      <c r="E245" s="91">
        <v>0</v>
      </c>
      <c r="F245" s="91">
        <f t="shared" ref="F245:F291" si="0">D245-E245</f>
        <v>160113</v>
      </c>
      <c r="G245" t="str">
        <f>_xlfn.XLOOKUP($A245,Map!$A:$A,Map!C:C)</f>
        <v>IS</v>
      </c>
      <c r="H245" t="str">
        <f>_xlfn.XLOOKUP($A245,Map!$A:$A,Map!D:D)</f>
        <v>Depreciation expenses</v>
      </c>
      <c r="I245" t="str">
        <f>_xlfn.XLOOKUP($A245,Map!$A:$A,Map!E:E)</f>
        <v>Depreciation expenses</v>
      </c>
      <c r="J245" t="str">
        <f>_xlfn.XLOOKUP($A245,Map!$A:$A,Map!F:F)</f>
        <v>Depreciation of property, plant and equipment</v>
      </c>
    </row>
    <row r="246" spans="1:10" x14ac:dyDescent="0.25">
      <c r="A246" s="90">
        <v>600032</v>
      </c>
      <c r="B246" s="90" t="s">
        <v>167</v>
      </c>
      <c r="D246" s="91">
        <v>1566844.1880000001</v>
      </c>
      <c r="E246" s="91">
        <v>0</v>
      </c>
      <c r="F246" s="91">
        <f t="shared" si="0"/>
        <v>1566844.1880000001</v>
      </c>
      <c r="G246" t="str">
        <f>_xlfn.XLOOKUP($A246,Map!$A:$A,Map!C:C)</f>
        <v>IS</v>
      </c>
      <c r="H246" t="str">
        <f>_xlfn.XLOOKUP($A246,Map!$A:$A,Map!D:D)</f>
        <v>Depreciation expenses</v>
      </c>
      <c r="I246" t="str">
        <f>_xlfn.XLOOKUP($A246,Map!$A:$A,Map!E:E)</f>
        <v>Depreciation expenses</v>
      </c>
      <c r="J246" t="str">
        <f>_xlfn.XLOOKUP($A246,Map!$A:$A,Map!F:F)</f>
        <v>Depreciation of property, plant and equipment</v>
      </c>
    </row>
    <row r="247" spans="1:10" x14ac:dyDescent="0.25">
      <c r="A247" s="90">
        <v>600030</v>
      </c>
      <c r="B247" s="90" t="s">
        <v>165</v>
      </c>
      <c r="D247" s="91">
        <v>76450.78</v>
      </c>
      <c r="E247" s="91">
        <v>0</v>
      </c>
      <c r="F247" s="91">
        <f t="shared" si="0"/>
        <v>76450.78</v>
      </c>
      <c r="G247" t="str">
        <f>_xlfn.XLOOKUP($A247,Map!$A:$A,Map!C:C)</f>
        <v>IS</v>
      </c>
      <c r="H247" t="str">
        <f>_xlfn.XLOOKUP($A247,Map!$A:$A,Map!D:D)</f>
        <v>Depreciation expenses</v>
      </c>
      <c r="I247" t="str">
        <f>_xlfn.XLOOKUP($A247,Map!$A:$A,Map!E:E)</f>
        <v>Depreciation expenses</v>
      </c>
      <c r="J247" t="str">
        <f>_xlfn.XLOOKUP($A247,Map!$A:$A,Map!F:F)</f>
        <v>Depreciation of property, plant and equipment</v>
      </c>
    </row>
    <row r="248" spans="1:10" x14ac:dyDescent="0.25">
      <c r="A248" s="90">
        <v>600029</v>
      </c>
      <c r="B248" s="90" t="s">
        <v>164</v>
      </c>
      <c r="D248" s="91">
        <v>3446969.5830000001</v>
      </c>
      <c r="E248" s="91">
        <v>0</v>
      </c>
      <c r="F248" s="91">
        <f t="shared" si="0"/>
        <v>3446969.5830000001</v>
      </c>
      <c r="G248" t="str">
        <f>_xlfn.XLOOKUP($A248,Map!$A:$A,Map!C:C)</f>
        <v>IS</v>
      </c>
      <c r="H248" t="str">
        <f>_xlfn.XLOOKUP($A248,Map!$A:$A,Map!D:D)</f>
        <v>Cost of sales</v>
      </c>
      <c r="I248" t="str">
        <f>_xlfn.XLOOKUP($A248,Map!$A:$A,Map!E:E)</f>
        <v>Depreciation - Machines</v>
      </c>
      <c r="J248" t="str">
        <f>_xlfn.XLOOKUP($A248,Map!$A:$A,Map!F:F)</f>
        <v>Depreciation of property, plant and equipment</v>
      </c>
    </row>
    <row r="249" spans="1:10" x14ac:dyDescent="0.25">
      <c r="A249" s="90">
        <v>600028</v>
      </c>
      <c r="B249" s="90" t="s">
        <v>163</v>
      </c>
      <c r="D249" s="91">
        <v>11936.77</v>
      </c>
      <c r="E249" s="91">
        <v>0</v>
      </c>
      <c r="F249" s="91">
        <f t="shared" si="0"/>
        <v>11936.77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Overhead - Consumables &amp; SP</v>
      </c>
      <c r="J249" t="str">
        <f>_xlfn.XLOOKUP($A249,Map!$A:$A,Map!F:F)</f>
        <v xml:space="preserve">Education &amp; Furniture Allowances </v>
      </c>
    </row>
    <row r="250" spans="1:10" x14ac:dyDescent="0.25">
      <c r="A250" s="90">
        <v>600023</v>
      </c>
      <c r="B250" s="90" t="s">
        <v>158</v>
      </c>
      <c r="D250" s="91">
        <v>101452.5</v>
      </c>
      <c r="E250" s="91">
        <v>0</v>
      </c>
      <c r="F250" s="91">
        <f t="shared" si="0"/>
        <v>101452.5</v>
      </c>
      <c r="G250" t="str">
        <f>_xlfn.XLOOKUP($A250,Map!$A:$A,Map!C:C)</f>
        <v>IS</v>
      </c>
      <c r="H250" t="str">
        <f>_xlfn.XLOOKUP($A250,Map!$A:$A,Map!D:D)</f>
        <v>Cost of sales</v>
      </c>
      <c r="I250" t="str">
        <f>_xlfn.XLOOKUP($A250,Map!$A:$A,Map!E:E)</f>
        <v>Overhead - R&amp;M</v>
      </c>
      <c r="J250" t="str">
        <f>_xlfn.XLOOKUP($A250,Map!$A:$A,Map!F:F)</f>
        <v>Office equipment maintenance</v>
      </c>
    </row>
    <row r="251" spans="1:10" x14ac:dyDescent="0.25">
      <c r="A251" s="90">
        <v>600022</v>
      </c>
      <c r="B251" s="90" t="s">
        <v>157</v>
      </c>
      <c r="D251" s="91">
        <v>188518.36600000001</v>
      </c>
      <c r="E251" s="91">
        <v>0</v>
      </c>
      <c r="F251" s="91">
        <f t="shared" si="0"/>
        <v>188518.36600000001</v>
      </c>
      <c r="G251" t="str">
        <f>_xlfn.XLOOKUP($A251,Map!$A:$A,Map!C:C)</f>
        <v>IS</v>
      </c>
      <c r="H251" t="str">
        <f>_xlfn.XLOOKUP($A251,Map!$A:$A,Map!D:D)</f>
        <v>Cost of sales</v>
      </c>
      <c r="I251" t="str">
        <f>_xlfn.XLOOKUP($A251,Map!$A:$A,Map!E:E)</f>
        <v>Overhead - R&amp;M</v>
      </c>
      <c r="J251" t="str">
        <f>_xlfn.XLOOKUP($A251,Map!$A:$A,Map!F:F)</f>
        <v>Building maintenance</v>
      </c>
    </row>
    <row r="252" spans="1:10" x14ac:dyDescent="0.25">
      <c r="A252" s="90">
        <v>600021</v>
      </c>
      <c r="B252" s="90" t="s">
        <v>156</v>
      </c>
      <c r="D252" s="91">
        <v>51658.334999999999</v>
      </c>
      <c r="E252" s="91">
        <v>0</v>
      </c>
      <c r="F252" s="91">
        <f t="shared" si="0"/>
        <v>51658.334999999999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Overhead - R&amp;M</v>
      </c>
      <c r="J252" t="str">
        <f>_xlfn.XLOOKUP($A252,Map!$A:$A,Map!F:F)</f>
        <v>Vehicle maintenance</v>
      </c>
    </row>
    <row r="253" spans="1:10" x14ac:dyDescent="0.25">
      <c r="A253" s="90">
        <v>600020</v>
      </c>
      <c r="B253" s="90" t="s">
        <v>155</v>
      </c>
      <c r="D253" s="91">
        <v>1423670.814</v>
      </c>
      <c r="E253" s="91">
        <v>0</v>
      </c>
      <c r="F253" s="91">
        <f t="shared" si="0"/>
        <v>1423670.814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Overhead - R&amp;M</v>
      </c>
      <c r="J253" t="str">
        <f>_xlfn.XLOOKUP($A253,Map!$A:$A,Map!F:F)</f>
        <v>Machine and equipment</v>
      </c>
    </row>
    <row r="254" spans="1:10" x14ac:dyDescent="0.25">
      <c r="A254" s="90">
        <v>600019</v>
      </c>
      <c r="B254" s="90" t="s">
        <v>154</v>
      </c>
      <c r="D254" s="91">
        <v>213234.52900000001</v>
      </c>
      <c r="E254" s="91">
        <v>0</v>
      </c>
      <c r="F254" s="91">
        <f t="shared" si="0"/>
        <v>213234.52900000001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Overhead - Utility</v>
      </c>
      <c r="J254" t="str">
        <f>_xlfn.XLOOKUP($A254,Map!$A:$A,Map!F:F)</f>
        <v>Fuel and oil</v>
      </c>
    </row>
    <row r="255" spans="1:10" x14ac:dyDescent="0.25">
      <c r="A255" s="90">
        <v>600018</v>
      </c>
      <c r="B255" s="90" t="s">
        <v>153</v>
      </c>
      <c r="D255" s="91">
        <v>206252.087</v>
      </c>
      <c r="E255" s="91">
        <v>0</v>
      </c>
      <c r="F255" s="91">
        <f t="shared" si="0"/>
        <v>206252.087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Overhead - Utility</v>
      </c>
      <c r="J255" t="str">
        <f>_xlfn.XLOOKUP($A255,Map!$A:$A,Map!F:F)</f>
        <v>Water expenses</v>
      </c>
    </row>
    <row r="256" spans="1:10" x14ac:dyDescent="0.25">
      <c r="A256" s="90">
        <v>600017</v>
      </c>
      <c r="B256" s="90" t="s">
        <v>152</v>
      </c>
      <c r="D256" s="91">
        <v>2408817.8130000001</v>
      </c>
      <c r="E256" s="91">
        <v>0</v>
      </c>
      <c r="F256" s="91">
        <f t="shared" si="0"/>
        <v>2408817.8130000001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Overhead - Utility</v>
      </c>
      <c r="J256" t="str">
        <f>_xlfn.XLOOKUP($A256,Map!$A:$A,Map!F:F)</f>
        <v>Electricity expenses</v>
      </c>
    </row>
    <row r="257" spans="1:10" x14ac:dyDescent="0.25">
      <c r="A257" s="90">
        <v>600016</v>
      </c>
      <c r="B257" s="90" t="s">
        <v>151</v>
      </c>
      <c r="D257" s="91">
        <v>4889495.5690000001</v>
      </c>
      <c r="E257" s="91">
        <v>0</v>
      </c>
      <c r="F257" s="91">
        <f t="shared" si="0"/>
        <v>4889495.5690000001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Overhead - Consumables &amp; SP</v>
      </c>
      <c r="J257" t="str">
        <f>_xlfn.XLOOKUP($A257,Map!$A:$A,Map!F:F)</f>
        <v>Tools</v>
      </c>
    </row>
    <row r="258" spans="1:10" x14ac:dyDescent="0.25">
      <c r="A258" s="90">
        <v>600014</v>
      </c>
      <c r="B258" s="90" t="s">
        <v>60</v>
      </c>
      <c r="D258" s="91">
        <v>1509545.075</v>
      </c>
      <c r="E258" s="91">
        <v>0</v>
      </c>
      <c r="F258" s="91">
        <f t="shared" si="0"/>
        <v>1509545.075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Overhead - Consumables &amp; SP</v>
      </c>
      <c r="J258" t="str">
        <f>_xlfn.XLOOKUP($A258,Map!$A:$A,Map!F:F)</f>
        <v>Consumables</v>
      </c>
    </row>
    <row r="259" spans="1:10" x14ac:dyDescent="0.25">
      <c r="A259" s="90">
        <v>600013</v>
      </c>
      <c r="B259" s="90" t="s">
        <v>149</v>
      </c>
      <c r="D259" s="91">
        <v>150</v>
      </c>
      <c r="E259" s="91">
        <v>0</v>
      </c>
      <c r="F259" s="91">
        <f t="shared" si="0"/>
        <v>150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Overhead - Labor Cost</v>
      </c>
      <c r="J259" t="str">
        <f>_xlfn.XLOOKUP($A259,Map!$A:$A,Map!F:F)</f>
        <v>Telephone allowance</v>
      </c>
    </row>
    <row r="260" spans="1:10" x14ac:dyDescent="0.25">
      <c r="A260" s="90">
        <v>600011</v>
      </c>
      <c r="B260" s="90" t="s">
        <v>147</v>
      </c>
      <c r="D260" s="91">
        <v>23390</v>
      </c>
      <c r="E260" s="91">
        <v>0</v>
      </c>
      <c r="F260" s="91">
        <f t="shared" si="0"/>
        <v>23390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Overhead - Labor Cost</v>
      </c>
      <c r="J260" t="str">
        <f>_xlfn.XLOOKUP($A260,Map!$A:$A,Map!F:F)</f>
        <v>Air tickets</v>
      </c>
    </row>
    <row r="261" spans="1:10" x14ac:dyDescent="0.25">
      <c r="A261" s="90">
        <v>600010</v>
      </c>
      <c r="B261" s="90" t="s">
        <v>146</v>
      </c>
      <c r="D261" s="91">
        <v>20443</v>
      </c>
      <c r="E261" s="91">
        <v>0</v>
      </c>
      <c r="F261" s="91">
        <f t="shared" si="0"/>
        <v>20443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Overhead - Labor Cost</v>
      </c>
      <c r="J261" t="str">
        <f>_xlfn.XLOOKUP($A261,Map!$A:$A,Map!F:F)</f>
        <v>EOS expenses</v>
      </c>
    </row>
    <row r="262" spans="1:10" x14ac:dyDescent="0.25">
      <c r="A262" s="90">
        <v>600009</v>
      </c>
      <c r="B262" s="90" t="s">
        <v>145</v>
      </c>
      <c r="D262" s="91">
        <v>330456.03499999997</v>
      </c>
      <c r="E262" s="91">
        <v>0</v>
      </c>
      <c r="F262" s="91">
        <f t="shared" si="0"/>
        <v>330456.03499999997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Overhead - Labor Cost</v>
      </c>
      <c r="J262" t="str">
        <f>_xlfn.XLOOKUP($A262,Map!$A:$A,Map!F:F)</f>
        <v>Vacation pay</v>
      </c>
    </row>
    <row r="263" spans="1:10" x14ac:dyDescent="0.25">
      <c r="A263" s="90">
        <v>600008</v>
      </c>
      <c r="B263" s="90" t="s">
        <v>144</v>
      </c>
      <c r="D263" s="91">
        <v>419534.58600000001</v>
      </c>
      <c r="E263" s="91">
        <v>0</v>
      </c>
      <c r="F263" s="91">
        <f t="shared" si="0"/>
        <v>419534.58600000001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Overhead - Labor Cost</v>
      </c>
      <c r="J263" t="str">
        <f>_xlfn.XLOOKUP($A263,Map!$A:$A,Map!F:F)</f>
        <v>Air tickets</v>
      </c>
    </row>
    <row r="264" spans="1:10" x14ac:dyDescent="0.25">
      <c r="A264" s="90">
        <v>600007</v>
      </c>
      <c r="B264" s="90" t="s">
        <v>143</v>
      </c>
      <c r="D264" s="91">
        <v>72600</v>
      </c>
      <c r="E264" s="91">
        <v>0</v>
      </c>
      <c r="F264" s="91">
        <f t="shared" si="0"/>
        <v>72600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Overhead - Labor Cost</v>
      </c>
      <c r="J264" t="str">
        <f>_xlfn.XLOOKUP($A264,Map!$A:$A,Map!F:F)</f>
        <v>Transportation allowance</v>
      </c>
    </row>
    <row r="265" spans="1:10" x14ac:dyDescent="0.25">
      <c r="A265" s="90">
        <v>600006</v>
      </c>
      <c r="B265" s="90" t="s">
        <v>142</v>
      </c>
      <c r="D265" s="91">
        <v>1088432.7250000001</v>
      </c>
      <c r="E265" s="91">
        <v>0</v>
      </c>
      <c r="F265" s="91">
        <f t="shared" si="0"/>
        <v>1088432.7250000001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Overhead - Labor Cost</v>
      </c>
      <c r="J265" t="str">
        <f>_xlfn.XLOOKUP($A265,Map!$A:$A,Map!F:F)</f>
        <v xml:space="preserve">Food &amp; Housing </v>
      </c>
    </row>
    <row r="266" spans="1:10" x14ac:dyDescent="0.25">
      <c r="A266" s="90">
        <v>600005</v>
      </c>
      <c r="B266" s="90" t="s">
        <v>141</v>
      </c>
      <c r="D266" s="91">
        <v>675532.28</v>
      </c>
      <c r="E266" s="91">
        <v>0</v>
      </c>
      <c r="F266" s="91">
        <f t="shared" si="0"/>
        <v>675532.28</v>
      </c>
      <c r="G266" t="str">
        <f>_xlfn.XLOOKUP($A266,Map!$A:$A,Map!C:C)</f>
        <v>IS</v>
      </c>
      <c r="H266" t="str">
        <f>_xlfn.XLOOKUP($A266,Map!$A:$A,Map!D:D)</f>
        <v>General and Admin</v>
      </c>
      <c r="I266" t="str">
        <f>_xlfn.XLOOKUP($A266,Map!$A:$A,Map!E:E)</f>
        <v>Govt license and fees (including modon)</v>
      </c>
      <c r="J266" t="str">
        <f>_xlfn.XLOOKUP($A266,Map!$A:$A,Map!F:F)</f>
        <v>Government fees</v>
      </c>
    </row>
    <row r="267" spans="1:10" x14ac:dyDescent="0.25">
      <c r="A267" s="90">
        <v>600004</v>
      </c>
      <c r="B267" s="90" t="s">
        <v>140</v>
      </c>
      <c r="D267" s="91">
        <v>102651.15</v>
      </c>
      <c r="E267" s="91">
        <v>0</v>
      </c>
      <c r="F267" s="91">
        <f t="shared" si="0"/>
        <v>102651.15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Overhead - Labor Cost</v>
      </c>
      <c r="J267" t="str">
        <f>_xlfn.XLOOKUP($A267,Map!$A:$A,Map!F:F)</f>
        <v>Medical insurance</v>
      </c>
    </row>
    <row r="268" spans="1:10" x14ac:dyDescent="0.25">
      <c r="A268" s="90">
        <v>600003</v>
      </c>
      <c r="B268" s="90" t="s">
        <v>139</v>
      </c>
      <c r="D268" s="91">
        <v>1039923.953</v>
      </c>
      <c r="E268" s="91">
        <v>0</v>
      </c>
      <c r="F268" s="91">
        <f t="shared" si="0"/>
        <v>1039923.953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Overhead - Labor Cost</v>
      </c>
      <c r="J268" t="str">
        <f>_xlfn.XLOOKUP($A268,Map!$A:$A,Map!F:F)</f>
        <v xml:space="preserve">Food &amp; Housing </v>
      </c>
    </row>
    <row r="269" spans="1:10" x14ac:dyDescent="0.25">
      <c r="A269" s="90">
        <v>600002</v>
      </c>
      <c r="B269" s="90" t="s">
        <v>138</v>
      </c>
      <c r="D269" s="91">
        <v>586164</v>
      </c>
      <c r="E269" s="91">
        <v>0</v>
      </c>
      <c r="F269" s="91">
        <f t="shared" si="0"/>
        <v>586164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Overhead - Labor Cost</v>
      </c>
      <c r="J269" t="str">
        <f>_xlfn.XLOOKUP($A269,Map!$A:$A,Map!F:F)</f>
        <v>Overtime pay</v>
      </c>
    </row>
    <row r="270" spans="1:10" x14ac:dyDescent="0.25">
      <c r="A270" s="90">
        <v>600001</v>
      </c>
      <c r="B270" s="90" t="s">
        <v>137</v>
      </c>
      <c r="D270" s="91">
        <v>2864841</v>
      </c>
      <c r="E270" s="91">
        <v>0</v>
      </c>
      <c r="F270" s="91">
        <f t="shared" si="0"/>
        <v>2864841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Overhead - Labor Cost</v>
      </c>
      <c r="J270" t="str">
        <f>_xlfn.XLOOKUP($A270,Map!$A:$A,Map!F:F)</f>
        <v>Salaries and wages</v>
      </c>
    </row>
    <row r="271" spans="1:10" x14ac:dyDescent="0.25">
      <c r="A271" s="90">
        <v>520042</v>
      </c>
      <c r="B271" s="90" t="s">
        <v>136</v>
      </c>
      <c r="D271" s="91">
        <v>0</v>
      </c>
      <c r="E271" s="91">
        <v>1093533.372</v>
      </c>
      <c r="F271" s="91">
        <f t="shared" si="0"/>
        <v>-1093533.372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Raw materials</v>
      </c>
      <c r="J271" t="str">
        <f>_xlfn.XLOOKUP($A271,Map!$A:$A,Map!F:F)</f>
        <v>Inventory Adjustment</v>
      </c>
    </row>
    <row r="272" spans="1:10" x14ac:dyDescent="0.25">
      <c r="A272" s="90">
        <v>520041</v>
      </c>
      <c r="B272" s="90" t="s">
        <v>135</v>
      </c>
      <c r="D272" s="91">
        <v>0</v>
      </c>
      <c r="E272" s="91">
        <v>10520550.005000001</v>
      </c>
      <c r="F272" s="91">
        <f t="shared" si="0"/>
        <v>-10520550.005000001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Raw materials</v>
      </c>
      <c r="J272" t="str">
        <f>_xlfn.XLOOKUP($A272,Map!$A:$A,Map!F:F)</f>
        <v>Other expenses</v>
      </c>
    </row>
    <row r="273" spans="1:10" x14ac:dyDescent="0.25">
      <c r="A273" s="90">
        <v>520040</v>
      </c>
      <c r="B273" s="90" t="s">
        <v>134</v>
      </c>
      <c r="D273" s="91">
        <v>126.342</v>
      </c>
      <c r="E273" s="91">
        <v>0</v>
      </c>
      <c r="F273" s="91">
        <f t="shared" si="0"/>
        <v>126.342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Raw materials</v>
      </c>
      <c r="J273" t="str">
        <f>_xlfn.XLOOKUP($A273,Map!$A:$A,Map!F:F)</f>
        <v>Other expenses</v>
      </c>
    </row>
    <row r="274" spans="1:10" x14ac:dyDescent="0.25">
      <c r="A274" s="90">
        <v>520037</v>
      </c>
      <c r="B274" s="90" t="s">
        <v>133</v>
      </c>
      <c r="D274" s="91">
        <v>0</v>
      </c>
      <c r="E274" s="91">
        <v>3705.01</v>
      </c>
      <c r="F274" s="91">
        <f t="shared" si="0"/>
        <v>-3705.01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Raw materials</v>
      </c>
      <c r="J274" t="str">
        <f>_xlfn.XLOOKUP($A274,Map!$A:$A,Map!F:F)</f>
        <v>Raw materials</v>
      </c>
    </row>
    <row r="275" spans="1:10" x14ac:dyDescent="0.25">
      <c r="A275" s="90">
        <v>520036</v>
      </c>
      <c r="B275" s="90" t="s">
        <v>132</v>
      </c>
      <c r="D275" s="91">
        <v>0</v>
      </c>
      <c r="E275" s="91">
        <v>3.7999999999999999E-2</v>
      </c>
      <c r="F275" s="91">
        <f t="shared" si="0"/>
        <v>-3.7999999999999999E-2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Raw materials</v>
      </c>
      <c r="J275" t="str">
        <f>_xlfn.XLOOKUP($A275,Map!$A:$A,Map!F:F)</f>
        <v>Raw materials</v>
      </c>
    </row>
    <row r="276" spans="1:10" x14ac:dyDescent="0.25">
      <c r="A276" s="90">
        <v>520021</v>
      </c>
      <c r="B276" s="90" t="s">
        <v>129</v>
      </c>
      <c r="D276" s="91">
        <v>8608.1190000000006</v>
      </c>
      <c r="E276" s="91">
        <v>0</v>
      </c>
      <c r="F276" s="91">
        <f t="shared" si="0"/>
        <v>8608.1190000000006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Direct Labor</v>
      </c>
      <c r="J276" t="str">
        <f>_xlfn.XLOOKUP($A276,Map!$A:$A,Map!F:F)</f>
        <v>Medical insurance</v>
      </c>
    </row>
    <row r="277" spans="1:10" x14ac:dyDescent="0.25">
      <c r="A277" s="90">
        <v>520015</v>
      </c>
      <c r="B277" s="90" t="s">
        <v>128</v>
      </c>
      <c r="D277" s="91">
        <v>119478</v>
      </c>
      <c r="E277" s="91">
        <v>0</v>
      </c>
      <c r="F277" s="91">
        <f t="shared" si="0"/>
        <v>119478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Direct Labor</v>
      </c>
      <c r="J277" t="str">
        <f>_xlfn.XLOOKUP($A277,Map!$A:$A,Map!F:F)</f>
        <v>Food and housing</v>
      </c>
    </row>
    <row r="278" spans="1:10" x14ac:dyDescent="0.25">
      <c r="A278" s="90">
        <v>520011</v>
      </c>
      <c r="B278" s="90" t="s">
        <v>122</v>
      </c>
      <c r="D278" s="91">
        <v>1213529</v>
      </c>
      <c r="E278" s="91">
        <v>0</v>
      </c>
      <c r="F278" s="91">
        <f t="shared" si="0"/>
        <v>1213529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Direct Labor</v>
      </c>
      <c r="J278" t="str">
        <f>_xlfn.XLOOKUP($A278,Map!$A:$A,Map!F:F)</f>
        <v>Overtime pay</v>
      </c>
    </row>
    <row r="279" spans="1:10" x14ac:dyDescent="0.25">
      <c r="A279" s="90">
        <v>520006</v>
      </c>
      <c r="B279" s="90" t="s">
        <v>126</v>
      </c>
      <c r="D279" s="91">
        <v>260976.54699999999</v>
      </c>
      <c r="E279" s="91">
        <v>0</v>
      </c>
      <c r="F279" s="91">
        <f t="shared" si="0"/>
        <v>260976.54699999999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Direct Labor</v>
      </c>
      <c r="J279" t="str">
        <f>_xlfn.XLOOKUP($A279,Map!$A:$A,Map!F:F)</f>
        <v>Medical insurance</v>
      </c>
    </row>
    <row r="280" spans="1:10" x14ac:dyDescent="0.25">
      <c r="A280" s="90">
        <v>520005</v>
      </c>
      <c r="B280" s="90" t="s">
        <v>125</v>
      </c>
      <c r="D280" s="91">
        <v>185417</v>
      </c>
      <c r="E280" s="91">
        <v>0</v>
      </c>
      <c r="F280" s="91">
        <f t="shared" si="0"/>
        <v>185417</v>
      </c>
      <c r="G280" t="str">
        <f>_xlfn.XLOOKUP($A280,Map!$A:$A,Map!C:C)</f>
        <v>IS</v>
      </c>
      <c r="H280" t="str">
        <f>_xlfn.XLOOKUP($A280,Map!$A:$A,Map!D:D)</f>
        <v>Cost of sales</v>
      </c>
      <c r="I280" t="str">
        <f>_xlfn.XLOOKUP($A280,Map!$A:$A,Map!E:E)</f>
        <v>Direct Labor</v>
      </c>
      <c r="J280" t="str">
        <f>_xlfn.XLOOKUP($A280,Map!$A:$A,Map!F:F)</f>
        <v>Leave pay</v>
      </c>
    </row>
    <row r="281" spans="1:10" x14ac:dyDescent="0.25">
      <c r="A281" s="90">
        <v>520003</v>
      </c>
      <c r="B281" s="90" t="s">
        <v>123</v>
      </c>
      <c r="D281" s="91">
        <v>344503</v>
      </c>
      <c r="E281" s="91">
        <v>0</v>
      </c>
      <c r="F281" s="91">
        <f t="shared" si="0"/>
        <v>344503</v>
      </c>
      <c r="G281" t="str">
        <f>_xlfn.XLOOKUP($A281,Map!$A:$A,Map!C:C)</f>
        <v>IS</v>
      </c>
      <c r="H281" t="str">
        <f>_xlfn.XLOOKUP($A281,Map!$A:$A,Map!D:D)</f>
        <v>Cost of sales</v>
      </c>
      <c r="I281" t="str">
        <f>_xlfn.XLOOKUP($A281,Map!$A:$A,Map!E:E)</f>
        <v>Direct Labor</v>
      </c>
      <c r="J281" t="str">
        <f>_xlfn.XLOOKUP($A281,Map!$A:$A,Map!F:F)</f>
        <v>Transportation allowance</v>
      </c>
    </row>
    <row r="282" spans="1:10" x14ac:dyDescent="0.25">
      <c r="A282" s="90">
        <v>520001</v>
      </c>
      <c r="B282" s="90" t="s">
        <v>121</v>
      </c>
      <c r="D282" s="91">
        <v>3868161</v>
      </c>
      <c r="E282" s="91">
        <v>0</v>
      </c>
      <c r="F282" s="91">
        <f t="shared" si="0"/>
        <v>3868161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Direct Labor</v>
      </c>
      <c r="J282" t="str">
        <f>_xlfn.XLOOKUP($A282,Map!$A:$A,Map!F:F)</f>
        <v>Salaries and wages</v>
      </c>
    </row>
    <row r="283" spans="1:10" x14ac:dyDescent="0.25">
      <c r="A283" s="90">
        <v>510005</v>
      </c>
      <c r="B283" s="90" t="s">
        <v>120</v>
      </c>
      <c r="D283" s="91">
        <v>39483.442999999999</v>
      </c>
      <c r="E283" s="91">
        <v>0</v>
      </c>
      <c r="F283" s="91">
        <f t="shared" si="0"/>
        <v>39483.442999999999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Raw materials</v>
      </c>
      <c r="J283" t="str">
        <f>_xlfn.XLOOKUP($A283,Map!$A:$A,Map!F:F)</f>
        <v>Other expenses</v>
      </c>
    </row>
    <row r="284" spans="1:10" x14ac:dyDescent="0.25">
      <c r="A284" s="90">
        <v>510004</v>
      </c>
      <c r="B284" s="90" t="s">
        <v>119</v>
      </c>
      <c r="D284" s="91">
        <v>6282579.5109999999</v>
      </c>
      <c r="E284" s="91">
        <v>0</v>
      </c>
      <c r="F284" s="91">
        <f t="shared" si="0"/>
        <v>6282579.5109999999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Raw materials</v>
      </c>
      <c r="J284" t="str">
        <f>_xlfn.XLOOKUP($A284,Map!$A:$A,Map!F:F)</f>
        <v>Other expenses</v>
      </c>
    </row>
    <row r="285" spans="1:10" x14ac:dyDescent="0.25">
      <c r="A285" s="90">
        <v>510004</v>
      </c>
      <c r="B285" s="90" t="s">
        <v>119</v>
      </c>
      <c r="D285" s="91">
        <v>0</v>
      </c>
      <c r="E285" s="91">
        <v>19674559.010000002</v>
      </c>
      <c r="F285" s="91">
        <f t="shared" si="0"/>
        <v>-19674559.010000002</v>
      </c>
      <c r="G285" t="str">
        <f>_xlfn.XLOOKUP($A285,Map!$A:$A,Map!C:C)</f>
        <v>IS</v>
      </c>
      <c r="H285" t="str">
        <f>_xlfn.XLOOKUP($A285,Map!$A:$A,Map!D:D)</f>
        <v>Cost of sales</v>
      </c>
      <c r="I285" t="str">
        <f>_xlfn.XLOOKUP($A285,Map!$A:$A,Map!E:E)</f>
        <v>Raw materials</v>
      </c>
      <c r="J285" t="str">
        <f>_xlfn.XLOOKUP($A285,Map!$A:$A,Map!F:F)</f>
        <v>Other expenses</v>
      </c>
    </row>
    <row r="286" spans="1:10" x14ac:dyDescent="0.25">
      <c r="A286" s="90">
        <v>510003</v>
      </c>
      <c r="B286" s="90" t="s">
        <v>118</v>
      </c>
      <c r="D286" s="91">
        <v>4048629.3169999998</v>
      </c>
      <c r="E286" s="91">
        <v>0</v>
      </c>
      <c r="F286" s="91">
        <f t="shared" si="0"/>
        <v>4048629.3169999998</v>
      </c>
      <c r="G286" t="str">
        <f>_xlfn.XLOOKUP($A286,Map!$A:$A,Map!C:C)</f>
        <v>IS</v>
      </c>
      <c r="H286" t="str">
        <f>_xlfn.XLOOKUP($A286,Map!$A:$A,Map!D:D)</f>
        <v>Cost of sales</v>
      </c>
      <c r="I286" t="str">
        <f>_xlfn.XLOOKUP($A286,Map!$A:$A,Map!E:E)</f>
        <v>Raw materials</v>
      </c>
      <c r="J286" t="str">
        <f>_xlfn.XLOOKUP($A286,Map!$A:$A,Map!F:F)</f>
        <v>Raw materials</v>
      </c>
    </row>
    <row r="287" spans="1:10" x14ac:dyDescent="0.25">
      <c r="A287" s="90">
        <v>510003</v>
      </c>
      <c r="B287" s="90" t="s">
        <v>118</v>
      </c>
      <c r="D287" s="91">
        <v>0</v>
      </c>
      <c r="E287" s="91">
        <v>6132052.9100000001</v>
      </c>
      <c r="F287" s="91">
        <f t="shared" si="0"/>
        <v>-6132052.9100000001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Raw materials</v>
      </c>
      <c r="J287" t="str">
        <f>_xlfn.XLOOKUP($A287,Map!$A:$A,Map!F:F)</f>
        <v>Raw materials</v>
      </c>
    </row>
    <row r="288" spans="1:10" x14ac:dyDescent="0.25">
      <c r="A288" s="90">
        <v>510002</v>
      </c>
      <c r="B288" s="90" t="s">
        <v>117</v>
      </c>
      <c r="D288" s="91">
        <v>55838.237000000001</v>
      </c>
      <c r="E288" s="91">
        <v>0</v>
      </c>
      <c r="F288" s="91">
        <f t="shared" si="0"/>
        <v>55838.237000000001</v>
      </c>
      <c r="G288" t="str">
        <f>_xlfn.XLOOKUP($A288,Map!$A:$A,Map!C:C)</f>
        <v>IS</v>
      </c>
      <c r="H288" t="str">
        <f>_xlfn.XLOOKUP($A288,Map!$A:$A,Map!D:D)</f>
        <v>Cost of sales</v>
      </c>
      <c r="I288" t="str">
        <f>_xlfn.XLOOKUP($A288,Map!$A:$A,Map!E:E)</f>
        <v>Direct Labor</v>
      </c>
      <c r="J288" t="str">
        <f>_xlfn.XLOOKUP($A288,Map!$A:$A,Map!F:F)</f>
        <v>Direct Labor</v>
      </c>
    </row>
    <row r="289" spans="1:10" x14ac:dyDescent="0.25">
      <c r="A289" s="90">
        <v>510002</v>
      </c>
      <c r="B289" s="90" t="s">
        <v>117</v>
      </c>
      <c r="D289" s="91">
        <v>0</v>
      </c>
      <c r="E289" s="91">
        <v>10970800.109999999</v>
      </c>
      <c r="F289" s="91">
        <f t="shared" si="0"/>
        <v>-10970800.109999999</v>
      </c>
      <c r="G289" t="str">
        <f>_xlfn.XLOOKUP($A289,Map!$A:$A,Map!C:C)</f>
        <v>IS</v>
      </c>
      <c r="H289" t="str">
        <f>_xlfn.XLOOKUP($A289,Map!$A:$A,Map!D:D)</f>
        <v>Cost of sales</v>
      </c>
      <c r="I289" t="str">
        <f>_xlfn.XLOOKUP($A289,Map!$A:$A,Map!E:E)</f>
        <v>Direct Labor</v>
      </c>
      <c r="J289" t="str">
        <f>_xlfn.XLOOKUP($A289,Map!$A:$A,Map!F:F)</f>
        <v>Direct Labor</v>
      </c>
    </row>
    <row r="290" spans="1:10" x14ac:dyDescent="0.25">
      <c r="A290" s="90">
        <v>510001</v>
      </c>
      <c r="B290" s="90" t="s">
        <v>116</v>
      </c>
      <c r="D290" s="91">
        <v>147593171.801</v>
      </c>
      <c r="E290" s="91">
        <v>0</v>
      </c>
      <c r="F290" s="91">
        <f t="shared" si="0"/>
        <v>147593171.801</v>
      </c>
      <c r="G290" t="str">
        <f>_xlfn.XLOOKUP($A290,Map!$A:$A,Map!C:C)</f>
        <v>IS</v>
      </c>
      <c r="H290" t="str">
        <f>_xlfn.XLOOKUP($A290,Map!$A:$A,Map!D:D)</f>
        <v>Cost of sales</v>
      </c>
      <c r="I290" t="str">
        <f>_xlfn.XLOOKUP($A290,Map!$A:$A,Map!E:E)</f>
        <v>Raw materials</v>
      </c>
      <c r="J290" t="str">
        <f>_xlfn.XLOOKUP($A290,Map!$A:$A,Map!F:F)</f>
        <v>Raw materials</v>
      </c>
    </row>
    <row r="291" spans="1:10" x14ac:dyDescent="0.25">
      <c r="A291" s="90">
        <v>510001</v>
      </c>
      <c r="B291" s="90" t="s">
        <v>116</v>
      </c>
      <c r="D291" s="91">
        <v>0</v>
      </c>
      <c r="E291" s="91">
        <v>138353121.5</v>
      </c>
      <c r="F291" s="91">
        <f t="shared" si="0"/>
        <v>-138353121.5</v>
      </c>
      <c r="G291" t="str">
        <f>_xlfn.XLOOKUP($A291,Map!$A:$A,Map!C:C)</f>
        <v>IS</v>
      </c>
      <c r="H291" t="str">
        <f>_xlfn.XLOOKUP($A291,Map!$A:$A,Map!D:D)</f>
        <v>Cost of sales</v>
      </c>
      <c r="I291" t="str">
        <f>_xlfn.XLOOKUP($A291,Map!$A:$A,Map!E:E)</f>
        <v>Raw materials</v>
      </c>
      <c r="J291" t="str">
        <f>_xlfn.XLOOKUP($A291,Map!$A:$A,Map!F:F)</f>
        <v>Raw materials</v>
      </c>
    </row>
    <row r="294" spans="1:10" s="1" customFormat="1" x14ac:dyDescent="0.25">
      <c r="A294" s="90">
        <v>170021</v>
      </c>
      <c r="B294" s="90" t="s">
        <v>535</v>
      </c>
      <c r="D294" s="161">
        <v>2935982.66</v>
      </c>
      <c r="F294" s="3">
        <f t="shared" ref="F294:F295" si="1">D294-E294</f>
        <v>2935982.66</v>
      </c>
      <c r="G294" t="str">
        <f>_xlfn.XLOOKUP($A294,Map!$A:$A,Map!C:C)</f>
        <v>BS</v>
      </c>
      <c r="H294" t="str">
        <f>_xlfn.XLOOKUP($A294,Map!$A:$A,Map!D:D)</f>
        <v>Current Assets</v>
      </c>
      <c r="I294" t="str">
        <f>_xlfn.XLOOKUP($A294,Map!$A:$A,Map!E:E)</f>
        <v>Prepaid expenses</v>
      </c>
      <c r="J294" t="str">
        <f>_xlfn.XLOOKUP($A294,Map!$A:$A,Map!F:F)</f>
        <v>Prepaid expense</v>
      </c>
    </row>
    <row r="295" spans="1:10" s="1" customFormat="1" x14ac:dyDescent="0.25">
      <c r="A295" s="1">
        <v>210001</v>
      </c>
      <c r="B295" s="1" t="s">
        <v>78</v>
      </c>
      <c r="E295" s="161">
        <f>D294</f>
        <v>2935982.66</v>
      </c>
      <c r="F295" s="3">
        <f t="shared" si="1"/>
        <v>-2935982.66</v>
      </c>
      <c r="G295" t="str">
        <f>_xlfn.XLOOKUP($A295,Map!$A:$A,Map!C:C)</f>
        <v>BS</v>
      </c>
      <c r="H295" t="str">
        <f>_xlfn.XLOOKUP($A295,Map!$A:$A,Map!D:D)</f>
        <v>Current Liabilities</v>
      </c>
      <c r="I295" t="str">
        <f>_xlfn.XLOOKUP($A295,Map!$A:$A,Map!E:E)</f>
        <v>Tade payables and Accuals &amp; other credit balances</v>
      </c>
      <c r="J295" t="str">
        <f>_xlfn.XLOOKUP($A295,Map!$A:$A,Map!F:F)</f>
        <v>Trade payables - Foreign</v>
      </c>
    </row>
    <row r="298" spans="1:10" s="1" customFormat="1" x14ac:dyDescent="0.25">
      <c r="A298" s="1">
        <v>410001</v>
      </c>
      <c r="B298" s="163" t="s">
        <v>737</v>
      </c>
      <c r="D298" s="164">
        <v>20210817.529000998</v>
      </c>
      <c r="E298" s="164"/>
      <c r="F298" s="3">
        <f t="shared" ref="F298:F299" si="2">D298-E298</f>
        <v>20210817.529000998</v>
      </c>
      <c r="G298" t="str">
        <f>_xlfn.XLOOKUP($A298,Map!$A:$A,Map!C:C)</f>
        <v>IS</v>
      </c>
      <c r="H298" t="str">
        <f>_xlfn.XLOOKUP($A298,Map!$A:$A,Map!D:D)</f>
        <v>Sales</v>
      </c>
      <c r="I298" t="str">
        <f>_xlfn.XLOOKUP($A298,Map!$A:$A,Map!E:E)</f>
        <v>Sales</v>
      </c>
      <c r="J298" t="str">
        <f>_xlfn.XLOOKUP($A298,Map!$A:$A,Map!F:F)</f>
        <v>Trading revenue</v>
      </c>
    </row>
    <row r="299" spans="1:10" s="1" customFormat="1" x14ac:dyDescent="0.25">
      <c r="A299" s="1">
        <v>510001</v>
      </c>
      <c r="B299" s="163" t="s">
        <v>738</v>
      </c>
      <c r="D299" s="164"/>
      <c r="E299" s="164">
        <v>18871437.281547964</v>
      </c>
      <c r="F299" s="3">
        <f t="shared" si="2"/>
        <v>-18871437.281547964</v>
      </c>
      <c r="G299" t="str">
        <f>_xlfn.XLOOKUP($A299,Map!$A:$A,Map!C:C)</f>
        <v>IS</v>
      </c>
      <c r="H299" t="str">
        <f>_xlfn.XLOOKUP($A299,Map!$A:$A,Map!D:D)</f>
        <v>Cost of sales</v>
      </c>
      <c r="I299" t="str">
        <f>_xlfn.XLOOKUP($A299,Map!$A:$A,Map!E:E)</f>
        <v>Raw materials</v>
      </c>
      <c r="J299" t="str">
        <f>_xlfn.XLOOKUP($A299,Map!$A:$A,Map!F:F)</f>
        <v>Raw materials</v>
      </c>
    </row>
  </sheetData>
  <autoFilter ref="A4:K243" xr:uid="{0BFDDC72-FCB1-4264-9201-3053A6837B77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46E2-1835-4B54-82A6-702BC9E20E50}">
  <dimension ref="A1:K376"/>
  <sheetViews>
    <sheetView zoomScale="90" zoomScaleNormal="90" workbookViewId="0">
      <pane ySplit="4" topLeftCell="A351" activePane="bottomLeft" state="frozen"/>
      <selection activeCell="F128" sqref="F128:F130"/>
      <selection pane="bottomLeft" activeCell="D364" sqref="D364:D368"/>
    </sheetView>
  </sheetViews>
  <sheetFormatPr defaultColWidth="8.85546875" defaultRowHeight="15" x14ac:dyDescent="0.25"/>
  <cols>
    <col min="1" max="1" width="13.42578125" style="90" bestFit="1" customWidth="1"/>
    <col min="2" max="2" width="35.85546875" style="90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30.7109375" style="90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584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x14ac:dyDescent="0.25">
      <c r="A5" s="90">
        <v>110001</v>
      </c>
      <c r="B5" s="90" t="s">
        <v>0</v>
      </c>
      <c r="C5" s="91">
        <v>0</v>
      </c>
      <c r="D5" s="91">
        <v>0</v>
      </c>
      <c r="E5" s="91">
        <v>0</v>
      </c>
      <c r="F5" s="91">
        <v>0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x14ac:dyDescent="0.25">
      <c r="A6" s="90">
        <v>110002</v>
      </c>
      <c r="B6" s="90" t="s">
        <v>1</v>
      </c>
      <c r="C6" s="91">
        <v>106504996.56999999</v>
      </c>
      <c r="D6" s="91">
        <v>0</v>
      </c>
      <c r="E6" s="91">
        <v>0</v>
      </c>
      <c r="F6" s="91">
        <v>106504996.56999999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x14ac:dyDescent="0.25">
      <c r="A7" s="90">
        <v>110003</v>
      </c>
      <c r="B7" s="90" t="s">
        <v>2</v>
      </c>
      <c r="C7" s="91">
        <v>1765393.75</v>
      </c>
      <c r="D7" s="91">
        <v>0</v>
      </c>
      <c r="E7" s="91">
        <v>0</v>
      </c>
      <c r="F7" s="91">
        <v>1765393.75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x14ac:dyDescent="0.25">
      <c r="A8" s="90">
        <v>110004</v>
      </c>
      <c r="B8" s="90" t="s">
        <v>3</v>
      </c>
      <c r="C8" s="91">
        <v>72216302.398000002</v>
      </c>
      <c r="D8" s="91">
        <v>17440965.057999998</v>
      </c>
      <c r="E8" s="91">
        <v>9374395.4059999995</v>
      </c>
      <c r="F8" s="91">
        <v>80282872.049999997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x14ac:dyDescent="0.25">
      <c r="A9" s="90">
        <v>110006</v>
      </c>
      <c r="B9" s="90" t="s">
        <v>4</v>
      </c>
      <c r="C9" s="91">
        <v>2675451.003</v>
      </c>
      <c r="D9" s="91">
        <v>358008.7</v>
      </c>
      <c r="E9" s="91">
        <v>4.0000000000000001E-3</v>
      </c>
      <c r="F9" s="91">
        <v>3033459.699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x14ac:dyDescent="0.25">
      <c r="A10" s="90">
        <v>110007</v>
      </c>
      <c r="B10" s="90" t="s">
        <v>5</v>
      </c>
      <c r="C10" s="91">
        <v>2056841.15</v>
      </c>
      <c r="D10" s="91">
        <v>43446.748</v>
      </c>
      <c r="E10" s="91">
        <v>0</v>
      </c>
      <c r="F10" s="91">
        <v>2100287.898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x14ac:dyDescent="0.25">
      <c r="A11" s="90">
        <v>110008</v>
      </c>
      <c r="B11" s="90" t="s">
        <v>6</v>
      </c>
      <c r="C11" s="91">
        <v>1015678.496</v>
      </c>
      <c r="D11" s="91">
        <v>86974</v>
      </c>
      <c r="E11" s="91">
        <v>851.49599999999998</v>
      </c>
      <c r="F11" s="91">
        <v>1101801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</v>
      </c>
    </row>
    <row r="12" spans="1:10" x14ac:dyDescent="0.25">
      <c r="A12" s="90">
        <v>111009</v>
      </c>
      <c r="B12" s="90" t="s">
        <v>7</v>
      </c>
      <c r="C12" s="91">
        <v>2020135</v>
      </c>
      <c r="D12" s="91">
        <v>0</v>
      </c>
      <c r="E12" s="91">
        <v>0</v>
      </c>
      <c r="F12" s="91">
        <v>2020135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Right of use</v>
      </c>
      <c r="J12" t="str">
        <f>_xlfn.XLOOKUP($A12,Map!$A:$A,Map!F:F)</f>
        <v>Leases - right of use assets</v>
      </c>
    </row>
    <row r="13" spans="1:10" x14ac:dyDescent="0.25">
      <c r="A13" s="90">
        <v>111010</v>
      </c>
      <c r="B13" s="90" t="s">
        <v>8</v>
      </c>
      <c r="C13" s="91">
        <v>0</v>
      </c>
      <c r="D13" s="91">
        <v>99000</v>
      </c>
      <c r="E13" s="91">
        <v>99000</v>
      </c>
      <c r="F13" s="91">
        <v>0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x14ac:dyDescent="0.25">
      <c r="A14" s="90">
        <v>111013</v>
      </c>
      <c r="B14" s="90" t="s">
        <v>9</v>
      </c>
      <c r="C14" s="91">
        <v>0</v>
      </c>
      <c r="D14" s="91">
        <v>9300</v>
      </c>
      <c r="E14" s="91">
        <v>9300</v>
      </c>
      <c r="F14" s="91">
        <v>0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x14ac:dyDescent="0.25">
      <c r="A15" s="90">
        <v>111099</v>
      </c>
      <c r="B15" s="90" t="s">
        <v>10</v>
      </c>
      <c r="C15" s="91">
        <v>0</v>
      </c>
      <c r="D15" s="91">
        <v>6215</v>
      </c>
      <c r="E15" s="91">
        <v>6215</v>
      </c>
      <c r="F15" s="91">
        <v>0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x14ac:dyDescent="0.25">
      <c r="A16" s="90">
        <v>120001</v>
      </c>
      <c r="B16" s="90" t="s">
        <v>11</v>
      </c>
      <c r="C16" s="91">
        <v>-5320134.68</v>
      </c>
      <c r="D16" s="91">
        <v>0</v>
      </c>
      <c r="E16" s="91">
        <v>1566844.2</v>
      </c>
      <c r="F16" s="91">
        <v>-6886978.8799999999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x14ac:dyDescent="0.25">
      <c r="A17" s="90">
        <v>120002</v>
      </c>
      <c r="B17" s="90" t="s">
        <v>12</v>
      </c>
      <c r="C17" s="91">
        <v>-1765393.774</v>
      </c>
      <c r="D17" s="91">
        <v>0</v>
      </c>
      <c r="E17" s="91">
        <v>0</v>
      </c>
      <c r="F17" s="91">
        <v>-1765393.774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x14ac:dyDescent="0.25">
      <c r="A18" s="90">
        <v>120003</v>
      </c>
      <c r="B18" s="90" t="s">
        <v>13</v>
      </c>
      <c r="C18" s="91">
        <v>-40039866.482000001</v>
      </c>
      <c r="D18" s="91">
        <v>6190804.6210000003</v>
      </c>
      <c r="E18" s="91">
        <v>10021386.022</v>
      </c>
      <c r="F18" s="91">
        <v>-43870447.883000001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x14ac:dyDescent="0.25">
      <c r="A19" s="90">
        <v>120005</v>
      </c>
      <c r="B19" s="90" t="s">
        <v>14</v>
      </c>
      <c r="C19" s="91">
        <v>-2024836.368</v>
      </c>
      <c r="D19" s="91">
        <v>0</v>
      </c>
      <c r="E19" s="91">
        <v>160023.08199999999</v>
      </c>
      <c r="F19" s="91">
        <v>-2184859.4500000002</v>
      </c>
      <c r="G19" t="str">
        <f>_xlfn.XLOOKUP($A19,Map!$A:$A,Map!C:C)</f>
        <v>BS</v>
      </c>
      <c r="H19" t="str">
        <f>_xlfn.XLOOKUP($A19,Map!$A:$A,Map!D:D)</f>
        <v>Non-Current Assets</v>
      </c>
      <c r="I19" t="str">
        <f>_xlfn.XLOOKUP($A19,Map!$A:$A,Map!E:E)</f>
        <v>Property, plant and equipment</v>
      </c>
      <c r="J19" t="str">
        <f>_xlfn.XLOOKUP($A19,Map!$A:$A,Map!F:F)</f>
        <v>Property, plant and equipment - Accumulated depreciation</v>
      </c>
    </row>
    <row r="20" spans="1:10" x14ac:dyDescent="0.25">
      <c r="A20" s="90">
        <v>120006</v>
      </c>
      <c r="B20" s="90" t="s">
        <v>15</v>
      </c>
      <c r="C20" s="91">
        <v>-1048090.056</v>
      </c>
      <c r="D20" s="91">
        <v>0</v>
      </c>
      <c r="E20" s="91">
        <v>290261.74900000001</v>
      </c>
      <c r="F20" s="91">
        <v>-1338351.8049999999</v>
      </c>
      <c r="G20" t="str">
        <f>_xlfn.XLOOKUP($A20,Map!$A:$A,Map!C:C)</f>
        <v>BS</v>
      </c>
      <c r="H20" t="str">
        <f>_xlfn.XLOOKUP($A20,Map!$A:$A,Map!D:D)</f>
        <v>Non-Current Assets</v>
      </c>
      <c r="I20" t="str">
        <f>_xlfn.XLOOKUP($A20,Map!$A:$A,Map!E:E)</f>
        <v>Property, plant and equipment</v>
      </c>
      <c r="J20" t="str">
        <f>_xlfn.XLOOKUP($A20,Map!$A:$A,Map!F:F)</f>
        <v>Property, plant and equipment - Accumulated depreciation</v>
      </c>
    </row>
    <row r="21" spans="1:10" x14ac:dyDescent="0.25">
      <c r="A21" s="90">
        <v>120007</v>
      </c>
      <c r="B21" s="90" t="s">
        <v>16</v>
      </c>
      <c r="C21" s="91">
        <v>-396808.4</v>
      </c>
      <c r="D21" s="91">
        <v>0</v>
      </c>
      <c r="E21" s="91">
        <v>82730.331999999995</v>
      </c>
      <c r="F21" s="91">
        <v>-479538.73200000002</v>
      </c>
      <c r="G21" t="str">
        <f>_xlfn.XLOOKUP($A21,Map!$A:$A,Map!C:C)</f>
        <v>BS</v>
      </c>
      <c r="H21" t="str">
        <f>_xlfn.XLOOKUP($A21,Map!$A:$A,Map!D:D)</f>
        <v>Non-Current Assets</v>
      </c>
      <c r="I21" t="str">
        <f>_xlfn.XLOOKUP($A21,Map!$A:$A,Map!E:E)</f>
        <v>Property, plant and equipment</v>
      </c>
      <c r="J21" t="str">
        <f>_xlfn.XLOOKUP($A21,Map!$A:$A,Map!F:F)</f>
        <v>Property, plant and equipment - Accumulated depreciation</v>
      </c>
    </row>
    <row r="22" spans="1:10" x14ac:dyDescent="0.25">
      <c r="A22" s="90">
        <v>120008</v>
      </c>
      <c r="B22" s="90" t="s">
        <v>17</v>
      </c>
      <c r="C22" s="91">
        <v>-333622.50799999997</v>
      </c>
      <c r="D22" s="91">
        <v>0</v>
      </c>
      <c r="E22" s="91">
        <v>149331.413</v>
      </c>
      <c r="F22" s="91">
        <v>-482953.92099999997</v>
      </c>
      <c r="G22" t="str">
        <f>_xlfn.XLOOKUP($A22,Map!$A:$A,Map!C:C)</f>
        <v>BS</v>
      </c>
      <c r="H22" t="str">
        <f>_xlfn.XLOOKUP($A22,Map!$A:$A,Map!D:D)</f>
        <v>Non-Current Assets</v>
      </c>
      <c r="I22" t="str">
        <f>_xlfn.XLOOKUP($A22,Map!$A:$A,Map!E:E)</f>
        <v>Right of use</v>
      </c>
      <c r="J22" t="str">
        <f>_xlfn.XLOOKUP($A22,Map!$A:$A,Map!F:F)</f>
        <v>Depreciation/amortization of rights of use assets</v>
      </c>
    </row>
    <row r="23" spans="1:10" x14ac:dyDescent="0.25">
      <c r="A23" s="90">
        <v>121001</v>
      </c>
      <c r="B23" s="90" t="s">
        <v>18</v>
      </c>
      <c r="C23" s="91">
        <v>13762616.130000001</v>
      </c>
      <c r="D23" s="91">
        <v>0</v>
      </c>
      <c r="E23" s="91">
        <v>0</v>
      </c>
      <c r="F23" s="91">
        <v>13762616.130000001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Prepaid expenses</v>
      </c>
      <c r="J23" t="str">
        <f>_xlfn.XLOOKUP($A23,Map!$A:$A,Map!F:F)</f>
        <v>Pre Operating Exps</v>
      </c>
    </row>
    <row r="24" spans="1:10" x14ac:dyDescent="0.25">
      <c r="A24" s="90">
        <v>121002</v>
      </c>
      <c r="B24" s="90" t="s">
        <v>19</v>
      </c>
      <c r="C24" s="91">
        <v>-13762616.130000001</v>
      </c>
      <c r="D24" s="91">
        <v>0</v>
      </c>
      <c r="E24" s="91">
        <v>0</v>
      </c>
      <c r="F24" s="91">
        <v>-13762616.130000001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Prepaid expenses</v>
      </c>
      <c r="J24" t="str">
        <f>_xlfn.XLOOKUP($A24,Map!$A:$A,Map!F:F)</f>
        <v>Amortization Of Pre Operating Exps</v>
      </c>
    </row>
    <row r="25" spans="1:10" x14ac:dyDescent="0.25">
      <c r="A25" s="90">
        <v>130001</v>
      </c>
      <c r="B25" s="90" t="s">
        <v>20</v>
      </c>
      <c r="C25" s="91">
        <v>254890.07</v>
      </c>
      <c r="D25" s="91">
        <v>565037.44999999995</v>
      </c>
      <c r="E25" s="91">
        <v>819927.52</v>
      </c>
      <c r="F25" s="91">
        <v>0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x14ac:dyDescent="0.25">
      <c r="A26" s="90">
        <v>130002</v>
      </c>
      <c r="B26" s="90" t="s">
        <v>21</v>
      </c>
      <c r="C26" s="91">
        <v>0</v>
      </c>
      <c r="D26" s="91">
        <v>1355240.32</v>
      </c>
      <c r="E26" s="91">
        <v>1355240.32</v>
      </c>
      <c r="F26" s="91">
        <v>0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x14ac:dyDescent="0.25">
      <c r="A27" s="90">
        <v>130003</v>
      </c>
      <c r="B27" s="90" t="s">
        <v>22</v>
      </c>
      <c r="C27" s="91">
        <v>0</v>
      </c>
      <c r="D27" s="91">
        <v>0</v>
      </c>
      <c r="E27" s="91">
        <v>0</v>
      </c>
      <c r="F27" s="91">
        <v>0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x14ac:dyDescent="0.25">
      <c r="A28" s="90">
        <v>130004</v>
      </c>
      <c r="B28" s="90" t="s">
        <v>23</v>
      </c>
      <c r="C28" s="91">
        <v>31128.799999999999</v>
      </c>
      <c r="D28" s="91">
        <v>645348.75</v>
      </c>
      <c r="E28" s="91">
        <v>661448.75</v>
      </c>
      <c r="F28" s="91">
        <v>15028.8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x14ac:dyDescent="0.25">
      <c r="A29" s="90">
        <v>130005</v>
      </c>
      <c r="B29" s="90" t="s">
        <v>24</v>
      </c>
      <c r="C29" s="91">
        <v>0</v>
      </c>
      <c r="D29" s="91">
        <v>27528.7</v>
      </c>
      <c r="E29" s="91">
        <v>27528.7</v>
      </c>
      <c r="F29" s="91">
        <v>0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x14ac:dyDescent="0.25">
      <c r="A30" s="90">
        <v>130006</v>
      </c>
      <c r="B30" s="90" t="s">
        <v>25</v>
      </c>
      <c r="C30" s="91">
        <v>221073.65</v>
      </c>
      <c r="D30" s="91">
        <v>345</v>
      </c>
      <c r="E30" s="91">
        <v>221418.65</v>
      </c>
      <c r="F30" s="91">
        <v>0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Bank balances</v>
      </c>
    </row>
    <row r="31" spans="1:10" x14ac:dyDescent="0.25">
      <c r="A31" s="90">
        <v>130007</v>
      </c>
      <c r="B31" s="90" t="s">
        <v>26</v>
      </c>
      <c r="C31" s="91">
        <v>975113.48</v>
      </c>
      <c r="D31" s="91">
        <v>422028.51</v>
      </c>
      <c r="E31" s="91">
        <v>0</v>
      </c>
      <c r="F31" s="91">
        <v>1397141.99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Cash and cash equivalents</v>
      </c>
      <c r="J31" t="str">
        <f>_xlfn.XLOOKUP($A31,Map!$A:$A,Map!F:F)</f>
        <v>Bank balances</v>
      </c>
    </row>
    <row r="32" spans="1:10" x14ac:dyDescent="0.25">
      <c r="A32" s="90">
        <v>130008</v>
      </c>
      <c r="B32" s="90" t="s">
        <v>247</v>
      </c>
      <c r="C32" s="91">
        <v>563831.72</v>
      </c>
      <c r="D32" s="91">
        <v>52934470.100000001</v>
      </c>
      <c r="E32" s="91">
        <v>53372955.759000003</v>
      </c>
      <c r="F32" s="91">
        <v>125346.061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Bank balances</v>
      </c>
    </row>
    <row r="33" spans="1:10" x14ac:dyDescent="0.25">
      <c r="A33" s="90">
        <v>130009</v>
      </c>
      <c r="B33" s="90" t="s">
        <v>27</v>
      </c>
      <c r="C33" s="91">
        <v>752895.54099999997</v>
      </c>
      <c r="D33" s="91">
        <v>58305316.412</v>
      </c>
      <c r="E33" s="91">
        <v>54634096.954000004</v>
      </c>
      <c r="F33" s="91">
        <v>4424114.9989999998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Bank balances</v>
      </c>
    </row>
    <row r="34" spans="1:10" x14ac:dyDescent="0.25">
      <c r="A34" s="90">
        <v>130010</v>
      </c>
      <c r="B34" s="90" t="s">
        <v>28</v>
      </c>
      <c r="C34" s="91">
        <v>728505.90399999998</v>
      </c>
      <c r="D34" s="91">
        <v>196565862.69</v>
      </c>
      <c r="E34" s="91">
        <v>192436283.208</v>
      </c>
      <c r="F34" s="91">
        <v>4858085.3859999999</v>
      </c>
      <c r="G34" t="str">
        <f>_xlfn.XLOOKUP($A34,Map!$A:$A,Map!C:C)</f>
        <v>BS</v>
      </c>
      <c r="H34" t="str">
        <f>_xlfn.XLOOKUP($A34,Map!$A:$A,Map!D:D)</f>
        <v>Current Assets</v>
      </c>
      <c r="I34" t="str">
        <f>_xlfn.XLOOKUP($A34,Map!$A:$A,Map!E:E)</f>
        <v>Cash and cash equivalents</v>
      </c>
      <c r="J34" t="str">
        <f>_xlfn.XLOOKUP($A34,Map!$A:$A,Map!F:F)</f>
        <v>Bank balances</v>
      </c>
    </row>
    <row r="35" spans="1:10" x14ac:dyDescent="0.25">
      <c r="A35" s="90">
        <v>130011</v>
      </c>
      <c r="B35" s="90" t="s">
        <v>29</v>
      </c>
      <c r="C35" s="91">
        <v>1837850.2420000001</v>
      </c>
      <c r="D35" s="91">
        <v>101389074.10699999</v>
      </c>
      <c r="E35" s="91">
        <v>102197771.469</v>
      </c>
      <c r="F35" s="91">
        <v>1029152.88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Cash and cash equivalents</v>
      </c>
      <c r="J35" t="str">
        <f>_xlfn.XLOOKUP($A35,Map!$A:$A,Map!F:F)</f>
        <v>Bank balances</v>
      </c>
    </row>
    <row r="36" spans="1:10" x14ac:dyDescent="0.25">
      <c r="A36" s="90">
        <v>130012</v>
      </c>
      <c r="B36" s="90" t="s">
        <v>248</v>
      </c>
      <c r="C36" s="91">
        <v>2278838.6170000001</v>
      </c>
      <c r="D36" s="91">
        <v>58887852.167999998</v>
      </c>
      <c r="E36" s="91">
        <v>59914251.248000003</v>
      </c>
      <c r="F36" s="91">
        <v>1252439.537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Cash and cash equivalents</v>
      </c>
      <c r="J36" t="str">
        <f>_xlfn.XLOOKUP($A36,Map!$A:$A,Map!F:F)</f>
        <v>Bank balances</v>
      </c>
    </row>
    <row r="37" spans="1:10" x14ac:dyDescent="0.25">
      <c r="A37" s="90">
        <v>130013</v>
      </c>
      <c r="B37" s="90" t="s">
        <v>30</v>
      </c>
      <c r="C37" s="91">
        <v>2979550.361</v>
      </c>
      <c r="D37" s="91">
        <v>70896318.189999998</v>
      </c>
      <c r="E37" s="91">
        <v>73574930.713</v>
      </c>
      <c r="F37" s="91">
        <v>300937.83799999999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Cash and cash equivalents</v>
      </c>
      <c r="J37" t="str">
        <f>_xlfn.XLOOKUP($A37,Map!$A:$A,Map!F:F)</f>
        <v>Bank balances</v>
      </c>
    </row>
    <row r="38" spans="1:10" x14ac:dyDescent="0.25">
      <c r="A38" s="90">
        <v>130014</v>
      </c>
      <c r="B38" s="90" t="s">
        <v>31</v>
      </c>
      <c r="C38" s="91">
        <v>18749.75</v>
      </c>
      <c r="D38" s="91">
        <v>2906165</v>
      </c>
      <c r="E38" s="91">
        <v>2649183</v>
      </c>
      <c r="F38" s="91">
        <v>275731.75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Cash and cash equivalents</v>
      </c>
      <c r="J38" t="str">
        <f>_xlfn.XLOOKUP($A38,Map!$A:$A,Map!F:F)</f>
        <v>Bank balances</v>
      </c>
    </row>
    <row r="39" spans="1:10" x14ac:dyDescent="0.25">
      <c r="A39" s="90">
        <v>130099</v>
      </c>
      <c r="B39" s="90" t="s">
        <v>34</v>
      </c>
      <c r="C39" s="91">
        <v>0</v>
      </c>
      <c r="D39" s="91">
        <v>227157270.28999999</v>
      </c>
      <c r="E39" s="91">
        <v>227157270.28999999</v>
      </c>
      <c r="F39" s="91">
        <v>0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Cash and cash equivalents</v>
      </c>
      <c r="J39" t="str">
        <f>_xlfn.XLOOKUP($A39,Map!$A:$A,Map!F:F)</f>
        <v>Bank balances</v>
      </c>
    </row>
    <row r="40" spans="1:10" x14ac:dyDescent="0.25">
      <c r="A40" s="90">
        <v>140001</v>
      </c>
      <c r="B40" s="90" t="s">
        <v>35</v>
      </c>
      <c r="C40" s="91">
        <v>63268299.509000003</v>
      </c>
      <c r="D40" s="91">
        <v>348458694.40799999</v>
      </c>
      <c r="E40" s="91">
        <v>338725133.49800003</v>
      </c>
      <c r="F40" s="91">
        <v>73001860.419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Trade receivables</v>
      </c>
      <c r="J40" t="str">
        <f>_xlfn.XLOOKUP($A40,Map!$A:$A,Map!F:F)</f>
        <v>Trade receivables - current</v>
      </c>
    </row>
    <row r="41" spans="1:10" x14ac:dyDescent="0.25">
      <c r="A41" s="90">
        <v>140010</v>
      </c>
      <c r="B41" s="90" t="s">
        <v>36</v>
      </c>
      <c r="C41" s="91">
        <v>0</v>
      </c>
      <c r="D41" s="91">
        <v>0</v>
      </c>
      <c r="E41" s="91">
        <v>0</v>
      </c>
      <c r="F41" s="91">
        <v>0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Trade receivables</v>
      </c>
      <c r="J41" t="str">
        <f>_xlfn.XLOOKUP($A41,Map!$A:$A,Map!F:F)</f>
        <v>Trade receivables - current</v>
      </c>
    </row>
    <row r="42" spans="1:10" x14ac:dyDescent="0.25">
      <c r="A42" s="90">
        <v>150001</v>
      </c>
      <c r="B42" s="90" t="s">
        <v>37</v>
      </c>
      <c r="C42" s="91">
        <v>37250</v>
      </c>
      <c r="D42" s="91">
        <v>52923.5</v>
      </c>
      <c r="E42" s="91">
        <v>71173</v>
      </c>
      <c r="F42" s="91">
        <v>19000.5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Prepaid expenses</v>
      </c>
      <c r="J42" t="str">
        <f>_xlfn.XLOOKUP($A42,Map!$A:$A,Map!F:F)</f>
        <v>Advances - current</v>
      </c>
    </row>
    <row r="43" spans="1:10" x14ac:dyDescent="0.25">
      <c r="A43" s="90">
        <v>150002</v>
      </c>
      <c r="B43" s="90" t="s">
        <v>38</v>
      </c>
      <c r="C43" s="91">
        <v>2388782</v>
      </c>
      <c r="D43" s="91">
        <v>60691</v>
      </c>
      <c r="E43" s="91">
        <v>75235</v>
      </c>
      <c r="F43" s="91">
        <v>2374238</v>
      </c>
      <c r="G43" t="str">
        <f>_xlfn.XLOOKUP($A43,Map!$A:$A,Map!C:C)</f>
        <v>BS</v>
      </c>
      <c r="H43" t="str">
        <f>_xlfn.XLOOKUP($A43,Map!$A:$A,Map!D:D)</f>
        <v>Non-Current Liabilities</v>
      </c>
      <c r="I43" t="str">
        <f>_xlfn.XLOOKUP($A43,Map!$A:$A,Map!E:E)</f>
        <v xml:space="preserve">End-of-service indemnities </v>
      </c>
      <c r="J43" t="str">
        <f>_xlfn.XLOOKUP($A43,Map!$A:$A,Map!F:F)</f>
        <v xml:space="preserve">End-of-service indemnities </v>
      </c>
    </row>
    <row r="44" spans="1:10" x14ac:dyDescent="0.25">
      <c r="A44" s="90">
        <v>160001</v>
      </c>
      <c r="B44" s="90" t="s">
        <v>39</v>
      </c>
      <c r="C44" s="91">
        <v>8703.91</v>
      </c>
      <c r="D44" s="91">
        <v>238666</v>
      </c>
      <c r="E44" s="91">
        <v>230320.22</v>
      </c>
      <c r="F44" s="91">
        <v>17049.689999999999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Cash and cash equivalents</v>
      </c>
      <c r="J44" t="str">
        <f>_xlfn.XLOOKUP($A44,Map!$A:$A,Map!F:F)</f>
        <v>Petty cash</v>
      </c>
    </row>
    <row r="45" spans="1:10" x14ac:dyDescent="0.25">
      <c r="A45" s="90">
        <v>170000</v>
      </c>
      <c r="B45" s="90" t="s">
        <v>40</v>
      </c>
      <c r="C45" s="91">
        <v>0</v>
      </c>
      <c r="D45" s="91">
        <v>1505659.591</v>
      </c>
      <c r="E45" s="91">
        <v>788311.51</v>
      </c>
      <c r="F45" s="91">
        <v>717348.08100000001</v>
      </c>
      <c r="G45" t="str">
        <f>_xlfn.XLOOKUP($A45,Map!$A:$A,Map!C:C)</f>
        <v>BS</v>
      </c>
      <c r="H45" t="str">
        <f>_xlfn.XLOOKUP($A45,Map!$A:$A,Map!D:D)</f>
        <v>Current Liabilities</v>
      </c>
      <c r="I45" t="str">
        <f>_xlfn.XLOOKUP($A45,Map!$A:$A,Map!E:E)</f>
        <v>Short-term Murabaha loans</v>
      </c>
      <c r="J45" t="str">
        <f>_xlfn.XLOOKUP($A45,Map!$A:$A,Map!F:F)</f>
        <v>Prepayments - current</v>
      </c>
    </row>
    <row r="46" spans="1:10" x14ac:dyDescent="0.25">
      <c r="A46" s="90">
        <v>170001</v>
      </c>
      <c r="B46" s="90" t="s">
        <v>41</v>
      </c>
      <c r="C46" s="91">
        <v>0</v>
      </c>
      <c r="D46" s="91">
        <v>2355093.8050000002</v>
      </c>
      <c r="E46" s="91">
        <v>1166259.8289999999</v>
      </c>
      <c r="F46" s="91">
        <v>1188833.976</v>
      </c>
      <c r="G46" t="str">
        <f>_xlfn.XLOOKUP($A46,Map!$A:$A,Map!C:C)</f>
        <v>BS</v>
      </c>
      <c r="H46" t="str">
        <f>_xlfn.XLOOKUP($A46,Map!$A:$A,Map!D:D)</f>
        <v>Current Liabilities</v>
      </c>
      <c r="I46" t="str">
        <f>_xlfn.XLOOKUP($A46,Map!$A:$A,Map!E:E)</f>
        <v>Short-term Murabaha loans</v>
      </c>
      <c r="J46" t="str">
        <f>_xlfn.XLOOKUP($A46,Map!$A:$A,Map!F:F)</f>
        <v>Prepayments - current</v>
      </c>
    </row>
    <row r="47" spans="1:10" x14ac:dyDescent="0.25">
      <c r="A47" s="90">
        <v>170002</v>
      </c>
      <c r="B47" s="90" t="s">
        <v>42</v>
      </c>
      <c r="C47" s="91">
        <v>0</v>
      </c>
      <c r="D47" s="91">
        <v>2590543.906</v>
      </c>
      <c r="E47" s="91">
        <v>1907884.5430000001</v>
      </c>
      <c r="F47" s="91">
        <v>682659.36300000001</v>
      </c>
      <c r="G47" t="str">
        <f>_xlfn.XLOOKUP($A47,Map!$A:$A,Map!C:C)</f>
        <v>BS</v>
      </c>
      <c r="H47" t="str">
        <f>_xlfn.XLOOKUP($A47,Map!$A:$A,Map!D:D)</f>
        <v>Current Liabilities</v>
      </c>
      <c r="I47" t="str">
        <f>_xlfn.XLOOKUP($A47,Map!$A:$A,Map!E:E)</f>
        <v>Short-term Murabaha loans</v>
      </c>
      <c r="J47" t="str">
        <f>_xlfn.XLOOKUP($A47,Map!$A:$A,Map!F:F)</f>
        <v>Prepayments - current</v>
      </c>
    </row>
    <row r="48" spans="1:10" x14ac:dyDescent="0.25">
      <c r="A48" s="90">
        <v>170003</v>
      </c>
      <c r="B48" s="90" t="s">
        <v>43</v>
      </c>
      <c r="C48" s="91">
        <v>0</v>
      </c>
      <c r="D48" s="91">
        <v>0</v>
      </c>
      <c r="E48" s="91">
        <v>0</v>
      </c>
      <c r="F48" s="91">
        <v>0</v>
      </c>
      <c r="G48" t="str">
        <f>_xlfn.XLOOKUP($A48,Map!$A:$A,Map!C:C)</f>
        <v>BS</v>
      </c>
      <c r="H48" t="str">
        <f>_xlfn.XLOOKUP($A48,Map!$A:$A,Map!D:D)</f>
        <v>Current Liabilities</v>
      </c>
      <c r="I48" t="str">
        <f>_xlfn.XLOOKUP($A48,Map!$A:$A,Map!E:E)</f>
        <v>Short-term Murabaha loans</v>
      </c>
      <c r="J48" t="str">
        <f>_xlfn.XLOOKUP($A48,Map!$A:$A,Map!F:F)</f>
        <v>Prepayments - current</v>
      </c>
    </row>
    <row r="49" spans="1:10" x14ac:dyDescent="0.25">
      <c r="A49" s="90">
        <v>170004</v>
      </c>
      <c r="B49" s="90" t="s">
        <v>244</v>
      </c>
      <c r="C49" s="91">
        <v>0</v>
      </c>
      <c r="D49" s="91">
        <v>0</v>
      </c>
      <c r="E49" s="91">
        <v>0</v>
      </c>
      <c r="F49" s="91">
        <v>0</v>
      </c>
      <c r="G49" t="str">
        <f>_xlfn.XLOOKUP($A49,Map!$A:$A,Map!C:C)</f>
        <v>BS</v>
      </c>
      <c r="H49" t="str">
        <f>_xlfn.XLOOKUP($A49,Map!$A:$A,Map!D:D)</f>
        <v>Current Liabilities</v>
      </c>
      <c r="I49" t="str">
        <f>_xlfn.XLOOKUP($A49,Map!$A:$A,Map!E:E)</f>
        <v>Short-term Murabaha loans</v>
      </c>
      <c r="J49" t="str">
        <f>_xlfn.XLOOKUP($A49,Map!$A:$A,Map!F:F)</f>
        <v>Prepayments - current</v>
      </c>
    </row>
    <row r="50" spans="1:10" x14ac:dyDescent="0.25">
      <c r="A50" s="90">
        <v>170005</v>
      </c>
      <c r="B50" s="90" t="s">
        <v>44</v>
      </c>
      <c r="C50" s="91">
        <v>0</v>
      </c>
      <c r="D50" s="91">
        <v>0</v>
      </c>
      <c r="E50" s="91">
        <v>0</v>
      </c>
      <c r="F50" s="91">
        <v>0</v>
      </c>
      <c r="G50" t="str">
        <f>_xlfn.XLOOKUP($A50,Map!$A:$A,Map!C:C)</f>
        <v>BS</v>
      </c>
      <c r="H50" t="str">
        <f>_xlfn.XLOOKUP($A50,Map!$A:$A,Map!D:D)</f>
        <v>Current Assets</v>
      </c>
      <c r="I50" t="str">
        <f>_xlfn.XLOOKUP($A50,Map!$A:$A,Map!E:E)</f>
        <v>Prepaid expenses</v>
      </c>
      <c r="J50" t="str">
        <f>_xlfn.XLOOKUP($A50,Map!$A:$A,Map!F:F)</f>
        <v>Deposits - current</v>
      </c>
    </row>
    <row r="51" spans="1:10" x14ac:dyDescent="0.25">
      <c r="A51" s="90">
        <v>170006</v>
      </c>
      <c r="B51" s="90" t="s">
        <v>45</v>
      </c>
      <c r="C51" s="91">
        <v>1240226.54</v>
      </c>
      <c r="D51" s="91">
        <v>2309689.267</v>
      </c>
      <c r="E51" s="91">
        <v>3531586.3870000001</v>
      </c>
      <c r="F51" s="91">
        <v>18329.419999999998</v>
      </c>
      <c r="G51" t="str">
        <f>_xlfn.XLOOKUP($A51,Map!$A:$A,Map!C:C)</f>
        <v>BS</v>
      </c>
      <c r="H51" t="str">
        <f>_xlfn.XLOOKUP($A51,Map!$A:$A,Map!D:D)</f>
        <v>Current Assets</v>
      </c>
      <c r="I51" t="str">
        <f>_xlfn.XLOOKUP($A51,Map!$A:$A,Map!E:E)</f>
        <v>Prepaid expenses</v>
      </c>
      <c r="J51" t="str">
        <f>_xlfn.XLOOKUP($A51,Map!$A:$A,Map!F:F)</f>
        <v>Deposits - current</v>
      </c>
    </row>
    <row r="52" spans="1:10" x14ac:dyDescent="0.25">
      <c r="A52" s="90">
        <v>170007</v>
      </c>
      <c r="B52" s="90" t="s">
        <v>46</v>
      </c>
      <c r="C52" s="91">
        <v>0</v>
      </c>
      <c r="D52" s="91">
        <v>0</v>
      </c>
      <c r="E52" s="91">
        <v>0</v>
      </c>
      <c r="F52" s="91">
        <v>0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Prepaid expenses</v>
      </c>
      <c r="J52" t="str">
        <f>_xlfn.XLOOKUP($A52,Map!$A:$A,Map!F:F)</f>
        <v>Deposits - current</v>
      </c>
    </row>
    <row r="53" spans="1:10" x14ac:dyDescent="0.25">
      <c r="A53" s="90">
        <v>170008</v>
      </c>
      <c r="B53" s="90" t="s">
        <v>47</v>
      </c>
      <c r="C53" s="91">
        <v>402889.63</v>
      </c>
      <c r="D53" s="91">
        <v>662111.29</v>
      </c>
      <c r="E53" s="91">
        <v>1065000.92</v>
      </c>
      <c r="F53" s="91">
        <v>0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Prepaid expenses</v>
      </c>
      <c r="J53" t="str">
        <f>_xlfn.XLOOKUP($A53,Map!$A:$A,Map!F:F)</f>
        <v>Deposits - current</v>
      </c>
    </row>
    <row r="54" spans="1:10" x14ac:dyDescent="0.25">
      <c r="A54" s="90">
        <v>170009</v>
      </c>
      <c r="B54" s="90" t="s">
        <v>48</v>
      </c>
      <c r="C54" s="91">
        <v>33000</v>
      </c>
      <c r="D54" s="91">
        <v>266540</v>
      </c>
      <c r="E54" s="91">
        <v>236763</v>
      </c>
      <c r="F54" s="91">
        <v>62777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Prepaid expenses</v>
      </c>
      <c r="J54" t="str">
        <f>_xlfn.XLOOKUP($A54,Map!$A:$A,Map!F:F)</f>
        <v>Rent</v>
      </c>
    </row>
    <row r="55" spans="1:10" x14ac:dyDescent="0.25">
      <c r="A55" s="90">
        <v>170010</v>
      </c>
      <c r="B55" s="90" t="s">
        <v>49</v>
      </c>
      <c r="C55" s="91">
        <v>0</v>
      </c>
      <c r="D55" s="91">
        <v>798321</v>
      </c>
      <c r="E55" s="91">
        <v>798321</v>
      </c>
      <c r="F55" s="91">
        <v>0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Prepaid expenses</v>
      </c>
      <c r="J55" t="str">
        <f>_xlfn.XLOOKUP($A55,Map!$A:$A,Map!F:F)</f>
        <v>Housing allowance</v>
      </c>
    </row>
    <row r="56" spans="1:10" x14ac:dyDescent="0.25">
      <c r="A56" s="90">
        <v>170011</v>
      </c>
      <c r="B56" s="90" t="s">
        <v>50</v>
      </c>
      <c r="C56" s="91">
        <v>0</v>
      </c>
      <c r="D56" s="91">
        <v>78000</v>
      </c>
      <c r="E56" s="91">
        <v>78000</v>
      </c>
      <c r="F56" s="91">
        <v>0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Prepaid expenses</v>
      </c>
      <c r="J56" t="str">
        <f>_xlfn.XLOOKUP($A56,Map!$A:$A,Map!F:F)</f>
        <v>Air tickets</v>
      </c>
    </row>
    <row r="57" spans="1:10" x14ac:dyDescent="0.25">
      <c r="A57" s="90">
        <v>170012</v>
      </c>
      <c r="B57" s="90" t="s">
        <v>51</v>
      </c>
      <c r="C57" s="91">
        <v>128580</v>
      </c>
      <c r="D57" s="91">
        <v>0</v>
      </c>
      <c r="E57" s="91">
        <v>128580.00599999999</v>
      </c>
      <c r="F57" s="91">
        <v>-6.0000000000000001E-3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Prepaid expenses</v>
      </c>
      <c r="J57" t="str">
        <f>_xlfn.XLOOKUP($A57,Map!$A:$A,Map!F:F)</f>
        <v>Furniture allowance</v>
      </c>
    </row>
    <row r="58" spans="1:10" x14ac:dyDescent="0.25">
      <c r="A58" s="90">
        <v>170013</v>
      </c>
      <c r="B58" s="90" t="s">
        <v>52</v>
      </c>
      <c r="C58" s="91">
        <v>67999.599000000002</v>
      </c>
      <c r="D58" s="91">
        <v>0</v>
      </c>
      <c r="E58" s="91">
        <v>67999.599000000002</v>
      </c>
      <c r="F58" s="91">
        <v>0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Prepaid expenses</v>
      </c>
      <c r="J58" t="str">
        <f>_xlfn.XLOOKUP($A58,Map!$A:$A,Map!F:F)</f>
        <v>Insurance</v>
      </c>
    </row>
    <row r="59" spans="1:10" x14ac:dyDescent="0.25">
      <c r="A59" s="90">
        <v>170014</v>
      </c>
      <c r="B59" s="90" t="s">
        <v>53</v>
      </c>
      <c r="C59" s="91">
        <v>364209.5</v>
      </c>
      <c r="D59" s="91">
        <v>1139321.0160000001</v>
      </c>
      <c r="E59" s="91">
        <v>933870.00600000005</v>
      </c>
      <c r="F59" s="91">
        <v>569660.51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Prepaid expenses</v>
      </c>
      <c r="J59" t="str">
        <f>_xlfn.XLOOKUP($A59,Map!$A:$A,Map!F:F)</f>
        <v>Insurance</v>
      </c>
    </row>
    <row r="60" spans="1:10" x14ac:dyDescent="0.25">
      <c r="A60" s="90">
        <v>170015</v>
      </c>
      <c r="B60" s="90" t="s">
        <v>54</v>
      </c>
      <c r="C60" s="91">
        <v>0</v>
      </c>
      <c r="D60" s="91">
        <v>0</v>
      </c>
      <c r="E60" s="91">
        <v>0</v>
      </c>
      <c r="F60" s="91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Prepaid expenses</v>
      </c>
      <c r="J60" t="str">
        <f>_xlfn.XLOOKUP($A60,Map!$A:$A,Map!F:F)</f>
        <v>Salaries and wages</v>
      </c>
    </row>
    <row r="61" spans="1:10" x14ac:dyDescent="0.25">
      <c r="A61" s="90">
        <v>170016</v>
      </c>
      <c r="B61" s="90" t="s">
        <v>55</v>
      </c>
      <c r="C61" s="91">
        <v>0</v>
      </c>
      <c r="D61" s="91">
        <v>437398.6</v>
      </c>
      <c r="E61" s="91">
        <v>0</v>
      </c>
      <c r="F61" s="91">
        <v>437398.6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Prepaid expenses</v>
      </c>
      <c r="J61" t="str">
        <f>_xlfn.XLOOKUP($A61,Map!$A:$A,Map!F:F)</f>
        <v>Other receivables - current</v>
      </c>
    </row>
    <row r="62" spans="1:10" x14ac:dyDescent="0.25">
      <c r="A62" s="90">
        <v>170017</v>
      </c>
      <c r="B62" s="90" t="s">
        <v>56</v>
      </c>
      <c r="C62" s="91">
        <v>0</v>
      </c>
      <c r="D62" s="91">
        <v>0</v>
      </c>
      <c r="E62" s="91">
        <v>0</v>
      </c>
      <c r="F62" s="91">
        <v>0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Prepaid expenses</v>
      </c>
      <c r="J62" t="str">
        <f>_xlfn.XLOOKUP($A62,Map!$A:$A,Map!F:F)</f>
        <v>Family allowance</v>
      </c>
    </row>
    <row r="63" spans="1:10" x14ac:dyDescent="0.25">
      <c r="A63" s="90">
        <v>180001</v>
      </c>
      <c r="B63" s="90" t="s">
        <v>60</v>
      </c>
      <c r="C63" s="91">
        <v>472084.609</v>
      </c>
      <c r="D63" s="91">
        <v>3514031.7039999999</v>
      </c>
      <c r="E63" s="91">
        <v>3406401.219</v>
      </c>
      <c r="F63" s="91">
        <v>579715.09400000004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Inventories</v>
      </c>
      <c r="J63" t="str">
        <f>_xlfn.XLOOKUP($A63,Map!$A:$A,Map!F:F)</f>
        <v>Raw materials - Inventory</v>
      </c>
    </row>
    <row r="64" spans="1:10" x14ac:dyDescent="0.25">
      <c r="A64" s="90">
        <v>180002</v>
      </c>
      <c r="B64" s="90" t="s">
        <v>61</v>
      </c>
      <c r="C64" s="91">
        <v>0</v>
      </c>
      <c r="D64" s="91">
        <v>0</v>
      </c>
      <c r="E64" s="91">
        <v>0</v>
      </c>
      <c r="F64" s="91">
        <v>0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Inventories</v>
      </c>
      <c r="J64" t="str">
        <f>_xlfn.XLOOKUP($A64,Map!$A:$A,Map!F:F)</f>
        <v>Raw materials - Inventory</v>
      </c>
    </row>
    <row r="65" spans="1:10" x14ac:dyDescent="0.25">
      <c r="A65" s="90">
        <v>180003</v>
      </c>
      <c r="B65" s="90" t="s">
        <v>62</v>
      </c>
      <c r="C65" s="91">
        <v>8204122.3789999997</v>
      </c>
      <c r="D65" s="91">
        <v>6041789</v>
      </c>
      <c r="E65" s="91">
        <v>5792732.0159999998</v>
      </c>
      <c r="F65" s="91">
        <v>8453179.3629999999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Inventories</v>
      </c>
      <c r="J65" t="str">
        <f>_xlfn.XLOOKUP($A65,Map!$A:$A,Map!F:F)</f>
        <v>Spare parts - Inventory</v>
      </c>
    </row>
    <row r="66" spans="1:10" x14ac:dyDescent="0.25">
      <c r="A66" s="90">
        <v>180004</v>
      </c>
      <c r="B66" s="90" t="s">
        <v>63</v>
      </c>
      <c r="C66" s="91">
        <v>21414671.879000001</v>
      </c>
      <c r="D66" s="91">
        <v>71881423.789000005</v>
      </c>
      <c r="E66" s="91">
        <v>68667286.877000004</v>
      </c>
      <c r="F66" s="91">
        <v>24628808.791000001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Inventories</v>
      </c>
      <c r="J66" t="str">
        <f>_xlfn.XLOOKUP($A66,Map!$A:$A,Map!F:F)</f>
        <v>Raw materials - Inventory</v>
      </c>
    </row>
    <row r="67" spans="1:10" x14ac:dyDescent="0.25">
      <c r="A67" s="90">
        <v>180005</v>
      </c>
      <c r="B67" s="90" t="s">
        <v>64</v>
      </c>
      <c r="C67" s="91">
        <v>10850303.380999999</v>
      </c>
      <c r="D67" s="91">
        <v>101529980.373</v>
      </c>
      <c r="E67" s="91">
        <v>90056629.711999997</v>
      </c>
      <c r="F67" s="91">
        <v>22323654.041999999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Inventories</v>
      </c>
      <c r="J67" t="str">
        <f>_xlfn.XLOOKUP($A67,Map!$A:$A,Map!F:F)</f>
        <v>Raw materials - Inventory</v>
      </c>
    </row>
    <row r="68" spans="1:10" x14ac:dyDescent="0.25">
      <c r="A68" s="90">
        <v>180006</v>
      </c>
      <c r="B68" s="90" t="s">
        <v>65</v>
      </c>
      <c r="C68" s="91">
        <v>606028.99699999997</v>
      </c>
      <c r="D68" s="91">
        <v>5222066.0729999999</v>
      </c>
      <c r="E68" s="91">
        <v>4527732.2949999999</v>
      </c>
      <c r="F68" s="91">
        <v>1300362.7749999999</v>
      </c>
      <c r="G68" t="str">
        <f>_xlfn.XLOOKUP($A68,Map!$A:$A,Map!C:C)</f>
        <v>BS</v>
      </c>
      <c r="H68" t="str">
        <f>_xlfn.XLOOKUP($A68,Map!$A:$A,Map!D:D)</f>
        <v>Current Assets</v>
      </c>
      <c r="I68" t="str">
        <f>_xlfn.XLOOKUP($A68,Map!$A:$A,Map!E:E)</f>
        <v>Inventories</v>
      </c>
      <c r="J68" t="str">
        <f>_xlfn.XLOOKUP($A68,Map!$A:$A,Map!F:F)</f>
        <v>Raw materials - Inventory</v>
      </c>
    </row>
    <row r="69" spans="1:10" x14ac:dyDescent="0.25">
      <c r="A69" s="90">
        <v>180007</v>
      </c>
      <c r="B69" s="90" t="s">
        <v>66</v>
      </c>
      <c r="C69" s="91">
        <v>2466116.929</v>
      </c>
      <c r="D69" s="91">
        <v>37047270.648000002</v>
      </c>
      <c r="E69" s="91">
        <v>32929547.640000001</v>
      </c>
      <c r="F69" s="91">
        <v>6583839.9369999999</v>
      </c>
      <c r="G69" t="str">
        <f>_xlfn.XLOOKUP($A69,Map!$A:$A,Map!C:C)</f>
        <v>BS</v>
      </c>
      <c r="H69" t="str">
        <f>_xlfn.XLOOKUP($A69,Map!$A:$A,Map!D:D)</f>
        <v>Current Assets</v>
      </c>
      <c r="I69" t="str">
        <f>_xlfn.XLOOKUP($A69,Map!$A:$A,Map!E:E)</f>
        <v>Inventories</v>
      </c>
      <c r="J69" t="str">
        <f>_xlfn.XLOOKUP($A69,Map!$A:$A,Map!F:F)</f>
        <v>Raw materials - Inventory</v>
      </c>
    </row>
    <row r="70" spans="1:10" x14ac:dyDescent="0.25">
      <c r="A70" s="90">
        <v>180008</v>
      </c>
      <c r="B70" s="90" t="s">
        <v>67</v>
      </c>
      <c r="C70" s="91">
        <v>0</v>
      </c>
      <c r="D70" s="91">
        <v>0</v>
      </c>
      <c r="E70" s="91">
        <v>0</v>
      </c>
      <c r="F70" s="91">
        <v>0</v>
      </c>
      <c r="G70" t="str">
        <f>_xlfn.XLOOKUP($A70,Map!$A:$A,Map!C:C)</f>
        <v>BS</v>
      </c>
      <c r="H70" t="str">
        <f>_xlfn.XLOOKUP($A70,Map!$A:$A,Map!D:D)</f>
        <v>Current Assets</v>
      </c>
      <c r="I70" t="str">
        <f>_xlfn.XLOOKUP($A70,Map!$A:$A,Map!E:E)</f>
        <v>Inventories</v>
      </c>
      <c r="J70" t="str">
        <f>_xlfn.XLOOKUP($A70,Map!$A:$A,Map!F:F)</f>
        <v>Raw materials - Inventory</v>
      </c>
    </row>
    <row r="71" spans="1:10" x14ac:dyDescent="0.25">
      <c r="A71" s="90">
        <v>180009</v>
      </c>
      <c r="B71" s="90" t="s">
        <v>68</v>
      </c>
      <c r="C71" s="91">
        <v>0</v>
      </c>
      <c r="D71" s="91">
        <v>0</v>
      </c>
      <c r="E71" s="91">
        <v>0</v>
      </c>
      <c r="F71" s="91">
        <v>0</v>
      </c>
      <c r="G71" t="str">
        <f>_xlfn.XLOOKUP($A71,Map!$A:$A,Map!C:C)</f>
        <v>BS</v>
      </c>
      <c r="H71" t="str">
        <f>_xlfn.XLOOKUP($A71,Map!$A:$A,Map!D:D)</f>
        <v>Current Assets</v>
      </c>
      <c r="I71" t="str">
        <f>_xlfn.XLOOKUP($A71,Map!$A:$A,Map!E:E)</f>
        <v>Inventories</v>
      </c>
      <c r="J71" t="str">
        <f>_xlfn.XLOOKUP($A71,Map!$A:$A,Map!F:F)</f>
        <v>Raw materials - Inventory</v>
      </c>
    </row>
    <row r="72" spans="1:10" x14ac:dyDescent="0.25">
      <c r="A72" s="90">
        <v>180010</v>
      </c>
      <c r="B72" s="90" t="s">
        <v>69</v>
      </c>
      <c r="C72" s="91">
        <v>3671446.071</v>
      </c>
      <c r="D72" s="91">
        <v>8437155.773</v>
      </c>
      <c r="E72" s="91">
        <v>8304463.5549999997</v>
      </c>
      <c r="F72" s="91">
        <v>3804138.2889999999</v>
      </c>
      <c r="G72" t="str">
        <f>_xlfn.XLOOKUP($A72,Map!$A:$A,Map!C:C)</f>
        <v>BS</v>
      </c>
      <c r="H72" t="str">
        <f>_xlfn.XLOOKUP($A72,Map!$A:$A,Map!D:D)</f>
        <v>Current Assets</v>
      </c>
      <c r="I72" t="str">
        <f>_xlfn.XLOOKUP($A72,Map!$A:$A,Map!E:E)</f>
        <v>Inventories</v>
      </c>
      <c r="J72" t="str">
        <f>_xlfn.XLOOKUP($A72,Map!$A:$A,Map!F:F)</f>
        <v>Packaging materials - Inventory</v>
      </c>
    </row>
    <row r="73" spans="1:10" x14ac:dyDescent="0.25">
      <c r="A73" s="90">
        <v>180011</v>
      </c>
      <c r="B73" s="90" t="s">
        <v>70</v>
      </c>
      <c r="C73" s="91">
        <v>4353614.0590000004</v>
      </c>
      <c r="D73" s="91">
        <v>98474647.379999995</v>
      </c>
      <c r="E73" s="91">
        <v>87770522.856999993</v>
      </c>
      <c r="F73" s="91">
        <v>15057738.582</v>
      </c>
      <c r="G73" t="str">
        <f>_xlfn.XLOOKUP($A73,Map!$A:$A,Map!C:C)</f>
        <v>BS</v>
      </c>
      <c r="H73" t="str">
        <f>_xlfn.XLOOKUP($A73,Map!$A:$A,Map!D:D)</f>
        <v>Current Assets</v>
      </c>
      <c r="I73" t="str">
        <f>_xlfn.XLOOKUP($A73,Map!$A:$A,Map!E:E)</f>
        <v>Inventories</v>
      </c>
      <c r="J73" t="str">
        <f>_xlfn.XLOOKUP($A73,Map!$A:$A,Map!F:F)</f>
        <v>Finished goods - Inventory</v>
      </c>
    </row>
    <row r="74" spans="1:10" x14ac:dyDescent="0.25">
      <c r="A74" s="90">
        <v>180012</v>
      </c>
      <c r="B74" s="90" t="s">
        <v>71</v>
      </c>
      <c r="C74" s="91">
        <v>3568332.1370000001</v>
      </c>
      <c r="D74" s="91">
        <v>58000324.568000004</v>
      </c>
      <c r="E74" s="91">
        <v>56541264.844999999</v>
      </c>
      <c r="F74" s="91">
        <v>5027391.8600000003</v>
      </c>
      <c r="G74" t="str">
        <f>_xlfn.XLOOKUP($A74,Map!$A:$A,Map!C:C)</f>
        <v>BS</v>
      </c>
      <c r="H74" t="str">
        <f>_xlfn.XLOOKUP($A74,Map!$A:$A,Map!D:D)</f>
        <v>Current Assets</v>
      </c>
      <c r="I74" t="str">
        <f>_xlfn.XLOOKUP($A74,Map!$A:$A,Map!E:E)</f>
        <v>Inventories</v>
      </c>
      <c r="J74" t="str">
        <f>_xlfn.XLOOKUP($A74,Map!$A:$A,Map!F:F)</f>
        <v>Work in progress - Inventory</v>
      </c>
    </row>
    <row r="75" spans="1:10" x14ac:dyDescent="0.25">
      <c r="A75" s="90">
        <v>180013</v>
      </c>
      <c r="B75" s="90" t="s">
        <v>72</v>
      </c>
      <c r="C75" s="91">
        <v>5032954.7170000002</v>
      </c>
      <c r="D75" s="91">
        <v>11003940.595000001</v>
      </c>
      <c r="E75" s="91">
        <v>10380258.889</v>
      </c>
      <c r="F75" s="91">
        <v>5656636.4230000004</v>
      </c>
      <c r="G75" t="str">
        <f>_xlfn.XLOOKUP($A75,Map!$A:$A,Map!C:C)</f>
        <v>BS</v>
      </c>
      <c r="H75" t="str">
        <f>_xlfn.XLOOKUP($A75,Map!$A:$A,Map!D:D)</f>
        <v>Current Assets</v>
      </c>
      <c r="I75" t="str">
        <f>_xlfn.XLOOKUP($A75,Map!$A:$A,Map!E:E)</f>
        <v>Inventories</v>
      </c>
      <c r="J75" t="str">
        <f>_xlfn.XLOOKUP($A75,Map!$A:$A,Map!F:F)</f>
        <v>Finished goods - Inventory</v>
      </c>
    </row>
    <row r="76" spans="1:10" x14ac:dyDescent="0.25">
      <c r="A76" s="90">
        <v>180014</v>
      </c>
      <c r="B76" s="90" t="s">
        <v>73</v>
      </c>
      <c r="C76" s="91">
        <v>0</v>
      </c>
      <c r="D76" s="91">
        <v>138414708.59099999</v>
      </c>
      <c r="E76" s="91">
        <v>138414708.60100001</v>
      </c>
      <c r="F76" s="91">
        <v>-0.01</v>
      </c>
      <c r="G76" t="str">
        <f>_xlfn.XLOOKUP($A76,Map!$A:$A,Map!C:C)</f>
        <v>BS</v>
      </c>
      <c r="H76" t="str">
        <f>_xlfn.XLOOKUP($A76,Map!$A:$A,Map!D:D)</f>
        <v>Current Assets</v>
      </c>
      <c r="I76" t="str">
        <f>_xlfn.XLOOKUP($A76,Map!$A:$A,Map!E:E)</f>
        <v>Inventories</v>
      </c>
      <c r="J76" t="str">
        <f>_xlfn.XLOOKUP($A76,Map!$A:$A,Map!F:F)</f>
        <v>Work in progress - Inventory</v>
      </c>
    </row>
    <row r="77" spans="1:10" x14ac:dyDescent="0.25">
      <c r="A77" s="90">
        <v>180096</v>
      </c>
      <c r="B77" s="90" t="s">
        <v>74</v>
      </c>
      <c r="C77" s="91">
        <v>0</v>
      </c>
      <c r="D77" s="91">
        <v>19199994.844999999</v>
      </c>
      <c r="E77" s="91">
        <v>19199994.844999999</v>
      </c>
      <c r="F77" s="91">
        <v>0</v>
      </c>
      <c r="G77" t="str">
        <f>_xlfn.XLOOKUP($A77,Map!$A:$A,Map!C:C)</f>
        <v>BS</v>
      </c>
      <c r="H77" t="str">
        <f>_xlfn.XLOOKUP($A77,Map!$A:$A,Map!D:D)</f>
        <v>Current Assets</v>
      </c>
      <c r="I77" t="str">
        <f>_xlfn.XLOOKUP($A77,Map!$A:$A,Map!E:E)</f>
        <v>Inventories</v>
      </c>
      <c r="J77" t="str">
        <f>_xlfn.XLOOKUP($A77,Map!$A:$A,Map!F:F)</f>
        <v>Work in progress - Inventory</v>
      </c>
    </row>
    <row r="78" spans="1:10" x14ac:dyDescent="0.25">
      <c r="A78" s="90">
        <v>180097</v>
      </c>
      <c r="B78" s="90" t="s">
        <v>75</v>
      </c>
      <c r="C78" s="91">
        <v>0</v>
      </c>
      <c r="D78" s="91">
        <v>0</v>
      </c>
      <c r="E78" s="91">
        <v>0</v>
      </c>
      <c r="F78" s="91">
        <v>0</v>
      </c>
      <c r="G78" t="str">
        <f>_xlfn.XLOOKUP($A78,Map!$A:$A,Map!C:C)</f>
        <v>BS</v>
      </c>
      <c r="H78" t="str">
        <f>_xlfn.XLOOKUP($A78,Map!$A:$A,Map!D:D)</f>
        <v>Current Assets</v>
      </c>
      <c r="I78" t="str">
        <f>_xlfn.XLOOKUP($A78,Map!$A:$A,Map!E:E)</f>
        <v>Inventories</v>
      </c>
      <c r="J78" t="str">
        <f>_xlfn.XLOOKUP($A78,Map!$A:$A,Map!F:F)</f>
        <v>Work in progress - Inventory</v>
      </c>
    </row>
    <row r="79" spans="1:10" x14ac:dyDescent="0.25">
      <c r="A79" s="90">
        <v>180098</v>
      </c>
      <c r="B79" s="90" t="s">
        <v>76</v>
      </c>
      <c r="C79" s="91">
        <v>0</v>
      </c>
      <c r="D79" s="91">
        <v>15448887.885</v>
      </c>
      <c r="E79" s="91">
        <v>15448887.884</v>
      </c>
      <c r="F79" s="91">
        <v>1E-3</v>
      </c>
      <c r="G79" t="str">
        <f>_xlfn.XLOOKUP($A79,Map!$A:$A,Map!C:C)</f>
        <v>BS</v>
      </c>
      <c r="H79" t="str">
        <f>_xlfn.XLOOKUP($A79,Map!$A:$A,Map!D:D)</f>
        <v>Current Assets</v>
      </c>
      <c r="I79" t="str">
        <f>_xlfn.XLOOKUP($A79,Map!$A:$A,Map!E:E)</f>
        <v>Inventories</v>
      </c>
      <c r="J79" t="str">
        <f>_xlfn.XLOOKUP($A79,Map!$A:$A,Map!F:F)</f>
        <v>Work in progress - Inventory</v>
      </c>
    </row>
    <row r="80" spans="1:10" x14ac:dyDescent="0.25">
      <c r="A80" s="90">
        <v>180099</v>
      </c>
      <c r="B80" s="90" t="s">
        <v>77</v>
      </c>
      <c r="C80" s="91">
        <v>0</v>
      </c>
      <c r="D80" s="91">
        <v>0</v>
      </c>
      <c r="E80" s="91">
        <v>0</v>
      </c>
      <c r="F80" s="91">
        <v>0</v>
      </c>
      <c r="G80" t="str">
        <f>_xlfn.XLOOKUP($A80,Map!$A:$A,Map!C:C)</f>
        <v>BS</v>
      </c>
      <c r="H80" t="str">
        <f>_xlfn.XLOOKUP($A80,Map!$A:$A,Map!D:D)</f>
        <v>Current Assets</v>
      </c>
      <c r="I80" t="str">
        <f>_xlfn.XLOOKUP($A80,Map!$A:$A,Map!E:E)</f>
        <v>Inventories</v>
      </c>
      <c r="J80" t="str">
        <f>_xlfn.XLOOKUP($A80,Map!$A:$A,Map!F:F)</f>
        <v>Goods in transit - Inventory</v>
      </c>
    </row>
    <row r="81" spans="1:10" x14ac:dyDescent="0.25">
      <c r="A81" s="90">
        <v>210001</v>
      </c>
      <c r="B81" s="90" t="s">
        <v>78</v>
      </c>
      <c r="C81" s="91">
        <v>4927938.199</v>
      </c>
      <c r="D81" s="91">
        <v>188970081.49399999</v>
      </c>
      <c r="E81" s="91">
        <v>193570072.11700001</v>
      </c>
      <c r="F81" s="91">
        <v>327947.576</v>
      </c>
      <c r="G81" t="str">
        <f>_xlfn.XLOOKUP($A81,Map!$A:$A,Map!C:C)</f>
        <v>BS</v>
      </c>
      <c r="H81" t="str">
        <f>_xlfn.XLOOKUP($A81,Map!$A:$A,Map!D:D)</f>
        <v>Current Liabilities</v>
      </c>
      <c r="I81" t="str">
        <f>_xlfn.XLOOKUP($A81,Map!$A:$A,Map!E:E)</f>
        <v>Tade payables and Accuals &amp; other credit balances</v>
      </c>
      <c r="J81" t="str">
        <f>_xlfn.XLOOKUP($A81,Map!$A:$A,Map!F:F)</f>
        <v>Trade payables - Foreign</v>
      </c>
    </row>
    <row r="82" spans="1:10" x14ac:dyDescent="0.25">
      <c r="A82" s="90">
        <v>210002</v>
      </c>
      <c r="B82" s="90" t="s">
        <v>79</v>
      </c>
      <c r="C82" s="91">
        <v>-3053002.9160000002</v>
      </c>
      <c r="D82" s="91">
        <v>132660847.824</v>
      </c>
      <c r="E82" s="91">
        <v>135212349.44100001</v>
      </c>
      <c r="F82" s="91">
        <v>-5604504.5329999998</v>
      </c>
      <c r="G82" t="str">
        <f>_xlfn.XLOOKUP($A82,Map!$A:$A,Map!C:C)</f>
        <v>BS</v>
      </c>
      <c r="H82" t="str">
        <f>_xlfn.XLOOKUP($A82,Map!$A:$A,Map!D:D)</f>
        <v>Current Liabilities</v>
      </c>
      <c r="I82" t="str">
        <f>_xlfn.XLOOKUP($A82,Map!$A:$A,Map!E:E)</f>
        <v>Tade payables and Accuals &amp; other credit balances</v>
      </c>
      <c r="J82" t="str">
        <f>_xlfn.XLOOKUP($A82,Map!$A:$A,Map!F:F)</f>
        <v>Trade payables - Local</v>
      </c>
    </row>
    <row r="83" spans="1:10" x14ac:dyDescent="0.25">
      <c r="A83" s="90">
        <v>220001</v>
      </c>
      <c r="B83" s="90" t="s">
        <v>80</v>
      </c>
      <c r="C83" s="91">
        <v>0</v>
      </c>
      <c r="D83" s="91">
        <v>0</v>
      </c>
      <c r="E83" s="91">
        <v>0</v>
      </c>
      <c r="F83" s="91">
        <v>0</v>
      </c>
      <c r="G83" t="str">
        <f>_xlfn.XLOOKUP($A83,Map!$A:$A,Map!C:C)</f>
        <v>BS</v>
      </c>
      <c r="H83" t="str">
        <f>_xlfn.XLOOKUP($A83,Map!$A:$A,Map!D:D)</f>
        <v>Current Liabilities</v>
      </c>
      <c r="I83" t="str">
        <f>_xlfn.XLOOKUP($A83,Map!$A:$A,Map!E:E)</f>
        <v>Short-term Murabaha loans</v>
      </c>
      <c r="J83" t="str">
        <f>_xlfn.XLOOKUP($A83,Map!$A:$A,Map!F:F)</f>
        <v>Other loans - current</v>
      </c>
    </row>
    <row r="84" spans="1:10" x14ac:dyDescent="0.25">
      <c r="A84" s="90">
        <v>220002</v>
      </c>
      <c r="B84" s="90" t="s">
        <v>81</v>
      </c>
      <c r="C84" s="91">
        <v>0</v>
      </c>
      <c r="D84" s="91">
        <v>0</v>
      </c>
      <c r="E84" s="91">
        <v>0</v>
      </c>
      <c r="F84" s="91">
        <v>0</v>
      </c>
      <c r="G84" t="str">
        <f>_xlfn.XLOOKUP($A84,Map!$A:$A,Map!C:C)</f>
        <v>BS</v>
      </c>
      <c r="H84" t="str">
        <f>_xlfn.XLOOKUP($A84,Map!$A:$A,Map!D:D)</f>
        <v>Current Liabilities</v>
      </c>
      <c r="I84" t="str">
        <f>_xlfn.XLOOKUP($A84,Map!$A:$A,Map!E:E)</f>
        <v>Short-term Murabaha loans</v>
      </c>
      <c r="J84" t="str">
        <f>_xlfn.XLOOKUP($A84,Map!$A:$A,Map!F:F)</f>
        <v>Other loans - current</v>
      </c>
    </row>
    <row r="85" spans="1:10" x14ac:dyDescent="0.25">
      <c r="A85" s="90">
        <v>220003</v>
      </c>
      <c r="B85" s="90" t="s">
        <v>82</v>
      </c>
      <c r="C85" s="91">
        <v>0</v>
      </c>
      <c r="D85" s="91">
        <v>0</v>
      </c>
      <c r="E85" s="91">
        <v>0</v>
      </c>
      <c r="F85" s="91">
        <v>0</v>
      </c>
      <c r="G85" t="str">
        <f>_xlfn.XLOOKUP($A85,Map!$A:$A,Map!C:C)</f>
        <v>BS</v>
      </c>
      <c r="H85" t="str">
        <f>_xlfn.XLOOKUP($A85,Map!$A:$A,Map!D:D)</f>
        <v>Current Liabilities</v>
      </c>
      <c r="I85" t="str">
        <f>_xlfn.XLOOKUP($A85,Map!$A:$A,Map!E:E)</f>
        <v>Short-term Murabaha loans</v>
      </c>
      <c r="J85" t="str">
        <f>_xlfn.XLOOKUP($A85,Map!$A:$A,Map!F:F)</f>
        <v>Other loans - current</v>
      </c>
    </row>
    <row r="86" spans="1:10" x14ac:dyDescent="0.25">
      <c r="A86" s="90">
        <v>220004</v>
      </c>
      <c r="B86" s="90" t="s">
        <v>83</v>
      </c>
      <c r="C86" s="91">
        <v>-34821818.277000003</v>
      </c>
      <c r="D86" s="91">
        <v>37838303.755999997</v>
      </c>
      <c r="E86" s="91">
        <v>39628003.359999999</v>
      </c>
      <c r="F86" s="91">
        <v>-36611517.880999997</v>
      </c>
      <c r="G86" t="str">
        <f>_xlfn.XLOOKUP($A86,Map!$A:$A,Map!C:C)</f>
        <v>BS</v>
      </c>
      <c r="H86" t="str">
        <f>_xlfn.XLOOKUP($A86,Map!$A:$A,Map!D:D)</f>
        <v>Current Liabilities</v>
      </c>
      <c r="I86" t="str">
        <f>_xlfn.XLOOKUP($A86,Map!$A:$A,Map!E:E)</f>
        <v>Short-term Murabaha loans</v>
      </c>
      <c r="J86" t="str">
        <f>_xlfn.XLOOKUP($A86,Map!$A:$A,Map!F:F)</f>
        <v>Other loans - current</v>
      </c>
    </row>
    <row r="87" spans="1:10" x14ac:dyDescent="0.25">
      <c r="A87" s="90">
        <v>220005</v>
      </c>
      <c r="B87" s="90" t="s">
        <v>84</v>
      </c>
      <c r="C87" s="91">
        <v>-26738909.774</v>
      </c>
      <c r="D87" s="91">
        <v>36225309.560000002</v>
      </c>
      <c r="E87" s="91">
        <v>68575778.289000005</v>
      </c>
      <c r="F87" s="91">
        <v>-59089378.502999999</v>
      </c>
      <c r="G87" t="str">
        <f>_xlfn.XLOOKUP($A87,Map!$A:$A,Map!C:C)</f>
        <v>BS</v>
      </c>
      <c r="H87" t="str">
        <f>_xlfn.XLOOKUP($A87,Map!$A:$A,Map!D:D)</f>
        <v>Current Liabilities</v>
      </c>
      <c r="I87" t="str">
        <f>_xlfn.XLOOKUP($A87,Map!$A:$A,Map!E:E)</f>
        <v>Short-term Murabaha loans</v>
      </c>
      <c r="J87" t="str">
        <f>_xlfn.XLOOKUP($A87,Map!$A:$A,Map!F:F)</f>
        <v>Other loans - current</v>
      </c>
    </row>
    <row r="88" spans="1:10" x14ac:dyDescent="0.25">
      <c r="A88" s="90">
        <v>220006</v>
      </c>
      <c r="B88" s="90" t="s">
        <v>85</v>
      </c>
      <c r="C88" s="91">
        <v>-31884129.958000001</v>
      </c>
      <c r="D88" s="91">
        <v>68733951.579999998</v>
      </c>
      <c r="E88" s="91">
        <v>72918929.588</v>
      </c>
      <c r="F88" s="91">
        <v>-36069107.965999998</v>
      </c>
      <c r="G88" t="str">
        <f>_xlfn.XLOOKUP($A88,Map!$A:$A,Map!C:C)</f>
        <v>BS</v>
      </c>
      <c r="H88" t="str">
        <f>_xlfn.XLOOKUP($A88,Map!$A:$A,Map!D:D)</f>
        <v>Current Liabilities</v>
      </c>
      <c r="I88" t="str">
        <f>_xlfn.XLOOKUP($A88,Map!$A:$A,Map!E:E)</f>
        <v>Short-term Murabaha loans</v>
      </c>
      <c r="J88" t="str">
        <f>_xlfn.XLOOKUP($A88,Map!$A:$A,Map!F:F)</f>
        <v>Other loans - current</v>
      </c>
    </row>
    <row r="89" spans="1:10" x14ac:dyDescent="0.25">
      <c r="A89" s="90">
        <v>230001</v>
      </c>
      <c r="B89" s="90" t="s">
        <v>86</v>
      </c>
      <c r="C89" s="91">
        <v>0</v>
      </c>
      <c r="D89" s="91">
        <v>229840993.52399999</v>
      </c>
      <c r="E89" s="91">
        <v>229840993.52399999</v>
      </c>
      <c r="F89" s="91">
        <v>0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Tade payables and Accuals &amp; other credit balances</v>
      </c>
      <c r="J89" t="str">
        <f>_xlfn.XLOOKUP($A89,Map!$A:$A,Map!F:F)</f>
        <v>Clearing account</v>
      </c>
    </row>
    <row r="90" spans="1:10" x14ac:dyDescent="0.25">
      <c r="A90" s="90">
        <v>240001</v>
      </c>
      <c r="B90" s="90" t="s">
        <v>87</v>
      </c>
      <c r="C90" s="91">
        <v>0</v>
      </c>
      <c r="D90" s="91">
        <v>5609205.2649999997</v>
      </c>
      <c r="E90" s="91">
        <v>5609205.2649999997</v>
      </c>
      <c r="F90" s="91">
        <v>0</v>
      </c>
      <c r="G90" t="str">
        <f>_xlfn.XLOOKUP($A90,Map!$A:$A,Map!C:C)</f>
        <v>BS</v>
      </c>
      <c r="H90" t="str">
        <f>_xlfn.XLOOKUP($A90,Map!$A:$A,Map!D:D)</f>
        <v>Current Liabilities</v>
      </c>
      <c r="I90" t="str">
        <f>_xlfn.XLOOKUP($A90,Map!$A:$A,Map!E:E)</f>
        <v>Tade payables and Accuals &amp; other credit balances</v>
      </c>
      <c r="J90" t="str">
        <f>_xlfn.XLOOKUP($A90,Map!$A:$A,Map!F:F)</f>
        <v>Overhead</v>
      </c>
    </row>
    <row r="91" spans="1:10" x14ac:dyDescent="0.25">
      <c r="A91" s="90">
        <v>240002</v>
      </c>
      <c r="B91" s="90" t="s">
        <v>88</v>
      </c>
      <c r="C91" s="91">
        <v>0</v>
      </c>
      <c r="D91" s="91">
        <v>5805307.2450000001</v>
      </c>
      <c r="E91" s="91">
        <v>5805307.2450000001</v>
      </c>
      <c r="F91" s="91">
        <v>0</v>
      </c>
      <c r="G91" t="str">
        <f>_xlfn.XLOOKUP($A91,Map!$A:$A,Map!C:C)</f>
        <v>BS</v>
      </c>
      <c r="H91" t="str">
        <f>_xlfn.XLOOKUP($A91,Map!$A:$A,Map!D:D)</f>
        <v>Current Liabilities</v>
      </c>
      <c r="I91" t="str">
        <f>_xlfn.XLOOKUP($A91,Map!$A:$A,Map!E:E)</f>
        <v>Tade payables and Accuals &amp; other credit balances</v>
      </c>
      <c r="J91" t="str">
        <f>_xlfn.XLOOKUP($A91,Map!$A:$A,Map!F:F)</f>
        <v>Landed Cost - Customs</v>
      </c>
    </row>
    <row r="92" spans="1:10" x14ac:dyDescent="0.25">
      <c r="A92" s="90">
        <v>240003</v>
      </c>
      <c r="B92" s="90" t="s">
        <v>89</v>
      </c>
      <c r="C92" s="91">
        <v>-1711827.0260000001</v>
      </c>
      <c r="D92" s="91">
        <v>150714</v>
      </c>
      <c r="E92" s="91">
        <v>35684</v>
      </c>
      <c r="F92" s="91">
        <v>-1596797.0260000001</v>
      </c>
      <c r="G92" t="str">
        <f>_xlfn.XLOOKUP($A92,Map!$A:$A,Map!C:C)</f>
        <v>BS</v>
      </c>
      <c r="H92" t="str">
        <f>_xlfn.XLOOKUP($A92,Map!$A:$A,Map!D:D)</f>
        <v>Non-Current Liabilities</v>
      </c>
      <c r="I92" t="str">
        <f>_xlfn.XLOOKUP($A92,Map!$A:$A,Map!E:E)</f>
        <v xml:space="preserve">Lease liabilities non-current </v>
      </c>
      <c r="J92" t="str">
        <f>_xlfn.XLOOKUP($A92,Map!$A:$A,Map!F:F)</f>
        <v xml:space="preserve"> Lease Obligation</v>
      </c>
    </row>
    <row r="93" spans="1:10" x14ac:dyDescent="0.25">
      <c r="A93" s="90">
        <v>250001</v>
      </c>
      <c r="B93" s="90" t="s">
        <v>90</v>
      </c>
      <c r="C93" s="91">
        <v>0</v>
      </c>
      <c r="D93" s="91">
        <v>18064217.16</v>
      </c>
      <c r="E93" s="91">
        <v>18064217.16</v>
      </c>
      <c r="F93" s="91">
        <v>0</v>
      </c>
      <c r="G93" t="str">
        <f>_xlfn.XLOOKUP($A93,Map!$A:$A,Map!C:C)</f>
        <v>BS</v>
      </c>
      <c r="H93" t="str">
        <f>_xlfn.XLOOKUP($A93,Map!$A:$A,Map!D:D)</f>
        <v>Current Liabilities</v>
      </c>
      <c r="I93" t="str">
        <f>_xlfn.XLOOKUP($A93,Map!$A:$A,Map!E:E)</f>
        <v>Tade payables and Accuals &amp; other credit balances</v>
      </c>
      <c r="J93" t="str">
        <f>_xlfn.XLOOKUP($A93,Map!$A:$A,Map!F:F)</f>
        <v>Accrued salaries and wages</v>
      </c>
    </row>
    <row r="94" spans="1:10" x14ac:dyDescent="0.25">
      <c r="A94" s="90">
        <v>250002</v>
      </c>
      <c r="B94" s="90" t="s">
        <v>91</v>
      </c>
      <c r="C94" s="91">
        <v>0</v>
      </c>
      <c r="D94" s="91">
        <v>0</v>
      </c>
      <c r="E94" s="91">
        <v>0</v>
      </c>
      <c r="F94" s="91">
        <v>0</v>
      </c>
      <c r="G94" t="str">
        <f>_xlfn.XLOOKUP($A94,Map!$A:$A,Map!C:C)</f>
        <v>BS</v>
      </c>
      <c r="H94" t="str">
        <f>_xlfn.XLOOKUP($A94,Map!$A:$A,Map!D:D)</f>
        <v>Current Liabilities</v>
      </c>
      <c r="I94" t="str">
        <f>_xlfn.XLOOKUP($A94,Map!$A:$A,Map!E:E)</f>
        <v>Tade payables and Accuals &amp; other credit balances</v>
      </c>
      <c r="J94" t="str">
        <f>_xlfn.XLOOKUP($A94,Map!$A:$A,Map!F:F)</f>
        <v>Accrued utilities</v>
      </c>
    </row>
    <row r="95" spans="1:10" x14ac:dyDescent="0.25">
      <c r="A95" s="90">
        <v>250003</v>
      </c>
      <c r="B95" s="90" t="s">
        <v>92</v>
      </c>
      <c r="C95" s="91">
        <v>0</v>
      </c>
      <c r="D95" s="91">
        <v>193826.13</v>
      </c>
      <c r="E95" s="91">
        <v>193826.13</v>
      </c>
      <c r="F95" s="91">
        <v>0</v>
      </c>
      <c r="G95" t="str">
        <f>_xlfn.XLOOKUP($A95,Map!$A:$A,Map!C:C)</f>
        <v>BS</v>
      </c>
      <c r="H95" t="str">
        <f>_xlfn.XLOOKUP($A95,Map!$A:$A,Map!D:D)</f>
        <v>Current Liabilities</v>
      </c>
      <c r="I95" t="str">
        <f>_xlfn.XLOOKUP($A95,Map!$A:$A,Map!E:E)</f>
        <v>Zakat provision</v>
      </c>
      <c r="J95" t="str">
        <f>_xlfn.XLOOKUP($A95,Map!$A:$A,Map!F:F)</f>
        <v>Zakat provision</v>
      </c>
    </row>
    <row r="96" spans="1:10" x14ac:dyDescent="0.25">
      <c r="A96" s="90">
        <v>250004</v>
      </c>
      <c r="B96" s="90" t="s">
        <v>93</v>
      </c>
      <c r="C96" s="91">
        <v>-1108800</v>
      </c>
      <c r="D96" s="91">
        <v>2023800</v>
      </c>
      <c r="E96" s="91">
        <v>915000</v>
      </c>
      <c r="F96" s="91">
        <v>0</v>
      </c>
      <c r="G96" t="str">
        <f>_xlfn.XLOOKUP($A96,Map!$A:$A,Map!C:C)</f>
        <v>BS</v>
      </c>
      <c r="H96" t="str">
        <f>_xlfn.XLOOKUP($A96,Map!$A:$A,Map!D:D)</f>
        <v>Current Liabilities</v>
      </c>
      <c r="I96" t="str">
        <f>_xlfn.XLOOKUP($A96,Map!$A:$A,Map!E:E)</f>
        <v>Tade payables and Accuals &amp; other credit balances</v>
      </c>
      <c r="J96" t="str">
        <f>_xlfn.XLOOKUP($A96,Map!$A:$A,Map!F:F)</f>
        <v>Accrued bonus</v>
      </c>
    </row>
    <row r="97" spans="1:10" x14ac:dyDescent="0.25">
      <c r="A97" s="90">
        <v>250005</v>
      </c>
      <c r="B97" s="90" t="s">
        <v>94</v>
      </c>
      <c r="C97" s="91">
        <v>-2673047.75</v>
      </c>
      <c r="D97" s="91">
        <v>28377403.300000001</v>
      </c>
      <c r="E97" s="91">
        <v>25704355.550000001</v>
      </c>
      <c r="F97" s="91">
        <v>0</v>
      </c>
      <c r="G97" t="str">
        <f>_xlfn.XLOOKUP($A97,Map!$A:$A,Map!C:C)</f>
        <v>BS</v>
      </c>
      <c r="H97" t="str">
        <f>_xlfn.XLOOKUP($A97,Map!$A:$A,Map!D:D)</f>
        <v>Current Liabilities</v>
      </c>
      <c r="I97" t="str">
        <f>_xlfn.XLOOKUP($A97,Map!$A:$A,Map!E:E)</f>
        <v>Tade payables and Accuals &amp; other credit balances</v>
      </c>
      <c r="J97" t="str">
        <f>_xlfn.XLOOKUP($A97,Map!$A:$A,Map!F:F)</f>
        <v>Accrued expenses</v>
      </c>
    </row>
    <row r="98" spans="1:10" x14ac:dyDescent="0.25">
      <c r="A98" s="90">
        <v>250006</v>
      </c>
      <c r="B98" s="90" t="s">
        <v>95</v>
      </c>
      <c r="C98" s="91">
        <v>-449149.70500000002</v>
      </c>
      <c r="D98" s="91">
        <v>1153274.7050000001</v>
      </c>
      <c r="E98" s="91">
        <v>704125</v>
      </c>
      <c r="F98" s="91">
        <v>0</v>
      </c>
      <c r="G98" t="str">
        <f>_xlfn.XLOOKUP($A98,Map!$A:$A,Map!C:C)</f>
        <v>BS</v>
      </c>
      <c r="H98" t="str">
        <f>_xlfn.XLOOKUP($A98,Map!$A:$A,Map!D:D)</f>
        <v>Current Liabilities</v>
      </c>
      <c r="I98" t="str">
        <f>_xlfn.XLOOKUP($A98,Map!$A:$A,Map!E:E)</f>
        <v>Tade payables and Accuals &amp; other credit balances</v>
      </c>
      <c r="J98" t="str">
        <f>_xlfn.XLOOKUP($A98,Map!$A:$A,Map!F:F)</f>
        <v>Accrued leave</v>
      </c>
    </row>
    <row r="99" spans="1:10" x14ac:dyDescent="0.25">
      <c r="A99" s="90">
        <v>260001</v>
      </c>
      <c r="B99" s="90" t="s">
        <v>96</v>
      </c>
      <c r="C99" s="91">
        <v>-7202958</v>
      </c>
      <c r="D99" s="91">
        <v>2592.5</v>
      </c>
      <c r="E99" s="91">
        <v>645771.5</v>
      </c>
      <c r="F99" s="91">
        <v>-7846137</v>
      </c>
      <c r="G99" t="str">
        <f>_xlfn.XLOOKUP($A99,Map!$A:$A,Map!C:C)</f>
        <v>BS</v>
      </c>
      <c r="H99" t="str">
        <f>_xlfn.XLOOKUP($A99,Map!$A:$A,Map!D:D)</f>
        <v>Stockholder's equity</v>
      </c>
      <c r="I99" t="str">
        <f>_xlfn.XLOOKUP($A99,Map!$A:$A,Map!E:E)</f>
        <v>Statutory reserve</v>
      </c>
      <c r="J99" t="str">
        <f>_xlfn.XLOOKUP($A99,Map!$A:$A,Map!F:F)</f>
        <v>Statutory reserve</v>
      </c>
    </row>
    <row r="100" spans="1:10" x14ac:dyDescent="0.25">
      <c r="A100" s="90">
        <v>260002</v>
      </c>
      <c r="B100" s="90" t="s">
        <v>97</v>
      </c>
      <c r="C100" s="91">
        <v>-6280744</v>
      </c>
      <c r="D100" s="91">
        <v>1190242</v>
      </c>
      <c r="E100" s="91">
        <v>1718503</v>
      </c>
      <c r="F100" s="91">
        <v>-6809005</v>
      </c>
      <c r="G100" t="str">
        <f>_xlfn.XLOOKUP($A100,Map!$A:$A,Map!C:C)</f>
        <v>BS</v>
      </c>
      <c r="H100" t="str">
        <f>_xlfn.XLOOKUP($A100,Map!$A:$A,Map!D:D)</f>
        <v>Non-Current Liabilities</v>
      </c>
      <c r="I100" t="str">
        <f>_xlfn.XLOOKUP($A100,Map!$A:$A,Map!E:E)</f>
        <v xml:space="preserve">End-of-service indemnities </v>
      </c>
      <c r="J100" t="str">
        <f>_xlfn.XLOOKUP($A100,Map!$A:$A,Map!F:F)</f>
        <v xml:space="preserve">End-of-service indemnities </v>
      </c>
    </row>
    <row r="101" spans="1:10" x14ac:dyDescent="0.25">
      <c r="A101" s="90">
        <v>260003</v>
      </c>
      <c r="B101" s="90" t="s">
        <v>98</v>
      </c>
      <c r="C101" s="91">
        <v>-3454104.6740000001</v>
      </c>
      <c r="D101" s="91">
        <v>14474</v>
      </c>
      <c r="E101" s="91">
        <v>117807.326</v>
      </c>
      <c r="F101" s="91">
        <v>-3557438</v>
      </c>
      <c r="G101" t="str">
        <f>_xlfn.XLOOKUP($A101,Map!$A:$A,Map!C:C)</f>
        <v>BS</v>
      </c>
      <c r="H101" t="str">
        <f>_xlfn.XLOOKUP($A101,Map!$A:$A,Map!D:D)</f>
        <v>Current Assets</v>
      </c>
      <c r="I101" t="str">
        <f>_xlfn.XLOOKUP($A101,Map!$A:$A,Map!E:E)</f>
        <v>Trade receivables</v>
      </c>
      <c r="J101" t="str">
        <f>_xlfn.XLOOKUP($A101,Map!$A:$A,Map!F:F)</f>
        <v>Provisions</v>
      </c>
    </row>
    <row r="102" spans="1:10" x14ac:dyDescent="0.25">
      <c r="A102" s="90">
        <v>260004</v>
      </c>
      <c r="B102" s="90" t="s">
        <v>99</v>
      </c>
      <c r="C102" s="91">
        <v>0</v>
      </c>
      <c r="D102" s="91">
        <v>158333.32999999999</v>
      </c>
      <c r="E102" s="91">
        <v>158333.32999999999</v>
      </c>
      <c r="F102" s="91">
        <v>0</v>
      </c>
      <c r="G102" t="str">
        <f>_xlfn.XLOOKUP($A102,Map!$A:$A,Map!C:C)</f>
        <v>BS</v>
      </c>
      <c r="H102" t="str">
        <f>_xlfn.XLOOKUP($A102,Map!$A:$A,Map!D:D)</f>
        <v>Current Assets</v>
      </c>
      <c r="I102" t="str">
        <f>_xlfn.XLOOKUP($A102,Map!$A:$A,Map!E:E)</f>
        <v>Inventories</v>
      </c>
      <c r="J102" t="str">
        <f>_xlfn.XLOOKUP($A102,Map!$A:$A,Map!F:F)</f>
        <v>Allowance for slow moving/obsolete inventories - Inventory</v>
      </c>
    </row>
    <row r="103" spans="1:10" x14ac:dyDescent="0.25">
      <c r="A103" s="90">
        <v>260005</v>
      </c>
      <c r="B103" s="90" t="s">
        <v>100</v>
      </c>
      <c r="C103" s="91">
        <v>-4329893.1940000001</v>
      </c>
      <c r="D103" s="91">
        <v>0</v>
      </c>
      <c r="E103" s="91">
        <v>96686.520999999993</v>
      </c>
      <c r="F103" s="91">
        <v>-4426579.7149999999</v>
      </c>
      <c r="G103" t="str">
        <f>_xlfn.XLOOKUP($A103,Map!$A:$A,Map!C:C)</f>
        <v>BS</v>
      </c>
      <c r="H103" t="str">
        <f>_xlfn.XLOOKUP($A103,Map!$A:$A,Map!D:D)</f>
        <v>Non-Current Liabilities</v>
      </c>
      <c r="I103" t="str">
        <f>_xlfn.XLOOKUP($A103,Map!$A:$A,Map!E:E)</f>
        <v>Provision for evacuation</v>
      </c>
      <c r="J103" t="str">
        <f>_xlfn.XLOOKUP($A103,Map!$A:$A,Map!F:F)</f>
        <v>Provision for evacuation</v>
      </c>
    </row>
    <row r="104" spans="1:10" x14ac:dyDescent="0.25">
      <c r="A104" s="90">
        <v>270001</v>
      </c>
      <c r="B104" s="90" t="s">
        <v>101</v>
      </c>
      <c r="C104" s="91">
        <v>146154.65599999999</v>
      </c>
      <c r="D104" s="91">
        <v>0</v>
      </c>
      <c r="E104" s="91">
        <v>1245151.26</v>
      </c>
      <c r="F104" s="91">
        <v>-1098996.6040000001</v>
      </c>
      <c r="G104" t="str">
        <f>_xlfn.XLOOKUP($A104,Map!$A:$A,Map!C:C)</f>
        <v>BS</v>
      </c>
      <c r="H104" t="str">
        <f>_xlfn.XLOOKUP($A104,Map!$A:$A,Map!D:D)</f>
        <v>Non-Current Liabilities</v>
      </c>
      <c r="I104" t="str">
        <f>_xlfn.XLOOKUP($A104,Map!$A:$A,Map!E:E)</f>
        <v xml:space="preserve">Due to related parties </v>
      </c>
      <c r="J104" t="str">
        <f>_xlfn.XLOOKUP($A104,Map!$A:$A,Map!F:F)</f>
        <v>Aims Holding  Current Acc</v>
      </c>
    </row>
    <row r="105" spans="1:10" x14ac:dyDescent="0.25">
      <c r="A105" s="90">
        <v>270002</v>
      </c>
      <c r="B105" s="90" t="s">
        <v>102</v>
      </c>
      <c r="C105" s="91">
        <v>0</v>
      </c>
      <c r="D105" s="91">
        <v>21790152.028000001</v>
      </c>
      <c r="E105" s="91">
        <v>21790152.028000001</v>
      </c>
      <c r="F105" s="91">
        <v>0</v>
      </c>
      <c r="G105" t="str">
        <f>_xlfn.XLOOKUP($A105,Map!$A:$A,Map!C:C)</f>
        <v>BS</v>
      </c>
      <c r="H105" t="str">
        <f>_xlfn.XLOOKUP($A105,Map!$A:$A,Map!D:D)</f>
        <v>Current Liabilities</v>
      </c>
      <c r="I105" t="str">
        <f>_xlfn.XLOOKUP($A105,Map!$A:$A,Map!E:E)</f>
        <v>Tade payables and Accuals &amp; other credit balances</v>
      </c>
      <c r="J105" t="str">
        <f>_xlfn.XLOOKUP($A105,Map!$A:$A,Map!F:F)</f>
        <v>VAT payables</v>
      </c>
    </row>
    <row r="106" spans="1:10" x14ac:dyDescent="0.25">
      <c r="A106" s="90">
        <v>270003</v>
      </c>
      <c r="B106" s="90" t="s">
        <v>103</v>
      </c>
      <c r="C106" s="91">
        <v>0</v>
      </c>
      <c r="D106" s="91">
        <v>10890322.437999999</v>
      </c>
      <c r="E106" s="91">
        <v>10890322.437999999</v>
      </c>
      <c r="F106" s="91">
        <v>0</v>
      </c>
      <c r="G106" t="str">
        <f>_xlfn.XLOOKUP($A106,Map!$A:$A,Map!C:C)</f>
        <v>BS</v>
      </c>
      <c r="H106" t="str">
        <f>_xlfn.XLOOKUP($A106,Map!$A:$A,Map!D:D)</f>
        <v>Current Liabilities</v>
      </c>
      <c r="I106" t="str">
        <f>_xlfn.XLOOKUP($A106,Map!$A:$A,Map!E:E)</f>
        <v>Tade payables and Accuals &amp; other credit balances</v>
      </c>
      <c r="J106" t="str">
        <f>_xlfn.XLOOKUP($A106,Map!$A:$A,Map!F:F)</f>
        <v>VAT payables</v>
      </c>
    </row>
    <row r="107" spans="1:10" x14ac:dyDescent="0.25">
      <c r="A107" s="90">
        <v>270004</v>
      </c>
      <c r="B107" s="90" t="s">
        <v>104</v>
      </c>
      <c r="C107" s="91">
        <v>-1225557.3500000001</v>
      </c>
      <c r="D107" s="91">
        <v>10109504.08</v>
      </c>
      <c r="E107" s="91">
        <v>10044224.689999999</v>
      </c>
      <c r="F107" s="91">
        <v>-1160277.96</v>
      </c>
      <c r="G107" t="str">
        <f>_xlfn.XLOOKUP($A107,Map!$A:$A,Map!C:C)</f>
        <v>BS</v>
      </c>
      <c r="H107" t="str">
        <f>_xlfn.XLOOKUP($A107,Map!$A:$A,Map!D:D)</f>
        <v>Current Liabilities</v>
      </c>
      <c r="I107" t="str">
        <f>_xlfn.XLOOKUP($A107,Map!$A:$A,Map!E:E)</f>
        <v>Tade payables and Accuals &amp; other credit balances</v>
      </c>
      <c r="J107" t="str">
        <f>_xlfn.XLOOKUP($A107,Map!$A:$A,Map!F:F)</f>
        <v>VAT payables</v>
      </c>
    </row>
    <row r="108" spans="1:10" x14ac:dyDescent="0.25">
      <c r="A108" s="90">
        <v>310001</v>
      </c>
      <c r="B108" s="90" t="s">
        <v>106</v>
      </c>
      <c r="C108" s="91">
        <v>-19097925.300999999</v>
      </c>
      <c r="D108" s="91">
        <v>3676320.6669999999</v>
      </c>
      <c r="E108" s="91">
        <v>3033141.6669999999</v>
      </c>
      <c r="F108" s="91">
        <v>-18454746.300999999</v>
      </c>
      <c r="G108" t="str">
        <f>_xlfn.XLOOKUP($A108,Map!$A:$A,Map!C:C)</f>
        <v>BS</v>
      </c>
      <c r="H108" t="str">
        <f>_xlfn.XLOOKUP($A108,Map!$A:$A,Map!D:D)</f>
        <v>Stockholder's equity</v>
      </c>
      <c r="I108" t="str">
        <f>_xlfn.XLOOKUP($A108,Map!$A:$A,Map!E:E)</f>
        <v>Retained earnings</v>
      </c>
      <c r="J108" t="str">
        <f>_xlfn.XLOOKUP($A108,Map!$A:$A,Map!F:F)</f>
        <v>Retained earnings</v>
      </c>
    </row>
    <row r="109" spans="1:10" x14ac:dyDescent="0.25">
      <c r="A109" s="90">
        <v>330001</v>
      </c>
      <c r="B109" s="90" t="s">
        <v>107</v>
      </c>
      <c r="C109" s="91">
        <v>0</v>
      </c>
      <c r="D109" s="91">
        <v>0</v>
      </c>
      <c r="E109" s="91">
        <v>0</v>
      </c>
      <c r="F109" s="91">
        <v>0</v>
      </c>
      <c r="G109" t="str">
        <f>_xlfn.XLOOKUP($A109,Map!$A:$A,Map!C:C)</f>
        <v>BS</v>
      </c>
      <c r="H109" t="str">
        <f>_xlfn.XLOOKUP($A109,Map!$A:$A,Map!D:D)</f>
        <v>Stockholder's equity</v>
      </c>
      <c r="I109" t="str">
        <f>_xlfn.XLOOKUP($A109,Map!$A:$A,Map!E:E)</f>
        <v>Retained earnings</v>
      </c>
      <c r="J109" t="str">
        <f>_xlfn.XLOOKUP($A109,Map!$A:$A,Map!F:F)</f>
        <v>Retained earnings</v>
      </c>
    </row>
    <row r="110" spans="1:10" x14ac:dyDescent="0.25">
      <c r="A110" s="90">
        <v>330002</v>
      </c>
      <c r="B110" s="90" t="s">
        <v>108</v>
      </c>
      <c r="C110" s="91">
        <v>-35335000</v>
      </c>
      <c r="D110" s="91">
        <v>0</v>
      </c>
      <c r="E110" s="91">
        <v>0</v>
      </c>
      <c r="F110" s="91">
        <v>-35335000</v>
      </c>
      <c r="G110" t="str">
        <f>_xlfn.XLOOKUP($A110,Map!$A:$A,Map!C:C)</f>
        <v>BS</v>
      </c>
      <c r="H110" t="str">
        <f>_xlfn.XLOOKUP($A110,Map!$A:$A,Map!D:D)</f>
        <v>Stockholder's equity</v>
      </c>
      <c r="I110" t="str">
        <f>_xlfn.XLOOKUP($A110,Map!$A:$A,Map!E:E)</f>
        <v>Share capital</v>
      </c>
      <c r="J110" t="str">
        <f>_xlfn.XLOOKUP($A110,Map!$A:$A,Map!F:F)</f>
        <v>Share capital</v>
      </c>
    </row>
    <row r="111" spans="1:10" x14ac:dyDescent="0.25">
      <c r="A111" s="90">
        <v>330003</v>
      </c>
      <c r="B111" s="90" t="s">
        <v>109</v>
      </c>
      <c r="C111" s="91">
        <v>-102255315.01000001</v>
      </c>
      <c r="D111" s="91">
        <v>0</v>
      </c>
      <c r="E111" s="91">
        <v>0</v>
      </c>
      <c r="F111" s="91">
        <v>-102255315.01000001</v>
      </c>
      <c r="G111" t="str">
        <f>_xlfn.XLOOKUP($A111,Map!$A:$A,Map!C:C)</f>
        <v>BS</v>
      </c>
      <c r="H111" t="str">
        <f>_xlfn.XLOOKUP($A111,Map!$A:$A,Map!D:D)</f>
        <v>Stockholder's equity</v>
      </c>
      <c r="I111" t="str">
        <f>_xlfn.XLOOKUP($A111,Map!$A:$A,Map!E:E)</f>
        <v>Additional contribution from shareholders</v>
      </c>
      <c r="J111" t="str">
        <f>_xlfn.XLOOKUP($A111,Map!$A:$A,Map!F:F)</f>
        <v>Additional contribution from shareholders</v>
      </c>
    </row>
    <row r="112" spans="1:10" x14ac:dyDescent="0.25">
      <c r="A112" s="90">
        <v>410001</v>
      </c>
      <c r="B112" s="90" t="s">
        <v>110</v>
      </c>
      <c r="C112" s="91">
        <v>0</v>
      </c>
      <c r="D112" s="91">
        <v>23723394.247000001</v>
      </c>
      <c r="E112" s="91">
        <v>258169849.63699999</v>
      </c>
      <c r="F112" s="91">
        <v>-234446455.38999999</v>
      </c>
      <c r="G112" t="str">
        <f>_xlfn.XLOOKUP($A112,Map!$A:$A,Map!C:C)</f>
        <v>IS</v>
      </c>
      <c r="H112" t="str">
        <f>_xlfn.XLOOKUP($A112,Map!$A:$A,Map!D:D)</f>
        <v>Sales</v>
      </c>
      <c r="I112" t="str">
        <f>_xlfn.XLOOKUP($A112,Map!$A:$A,Map!E:E)</f>
        <v>Sales</v>
      </c>
      <c r="J112" t="str">
        <f>_xlfn.XLOOKUP($A112,Map!$A:$A,Map!F:F)</f>
        <v>Trading revenue</v>
      </c>
    </row>
    <row r="113" spans="1:10" x14ac:dyDescent="0.25">
      <c r="A113" s="90">
        <v>410002</v>
      </c>
      <c r="B113" s="90" t="s">
        <v>111</v>
      </c>
      <c r="C113" s="91">
        <v>0</v>
      </c>
      <c r="D113" s="91">
        <v>957497.96</v>
      </c>
      <c r="E113" s="91">
        <v>0</v>
      </c>
      <c r="F113" s="91">
        <v>957497.96</v>
      </c>
      <c r="G113" t="str">
        <f>_xlfn.XLOOKUP($A113,Map!$A:$A,Map!C:C)</f>
        <v>IS</v>
      </c>
      <c r="H113" t="str">
        <f>_xlfn.XLOOKUP($A113,Map!$A:$A,Map!D:D)</f>
        <v>Sales</v>
      </c>
      <c r="I113" t="str">
        <f>_xlfn.XLOOKUP($A113,Map!$A:$A,Map!E:E)</f>
        <v>Sales</v>
      </c>
      <c r="J113" t="str">
        <f>_xlfn.XLOOKUP($A113,Map!$A:$A,Map!F:F)</f>
        <v>Trading revenue</v>
      </c>
    </row>
    <row r="114" spans="1:10" x14ac:dyDescent="0.25">
      <c r="A114" s="90">
        <v>410003</v>
      </c>
      <c r="B114" s="90" t="s">
        <v>112</v>
      </c>
      <c r="C114" s="91">
        <v>0</v>
      </c>
      <c r="D114" s="91">
        <v>51127.25</v>
      </c>
      <c r="E114" s="91">
        <v>50000</v>
      </c>
      <c r="F114" s="91">
        <v>1127.25</v>
      </c>
      <c r="G114" t="str">
        <f>_xlfn.XLOOKUP($A114,Map!$A:$A,Map!C:C)</f>
        <v>IS</v>
      </c>
      <c r="H114" t="str">
        <f>_xlfn.XLOOKUP($A114,Map!$A:$A,Map!D:D)</f>
        <v>Sales</v>
      </c>
      <c r="I114" t="str">
        <f>_xlfn.XLOOKUP($A114,Map!$A:$A,Map!E:E)</f>
        <v>Sales</v>
      </c>
      <c r="J114" t="str">
        <f>_xlfn.XLOOKUP($A114,Map!$A:$A,Map!F:F)</f>
        <v>Trading revenue</v>
      </c>
    </row>
    <row r="115" spans="1:10" x14ac:dyDescent="0.25">
      <c r="A115" s="90">
        <v>410004</v>
      </c>
      <c r="B115" s="90" t="s">
        <v>113</v>
      </c>
      <c r="C115" s="91">
        <v>0</v>
      </c>
      <c r="D115" s="91">
        <v>113065.02499999999</v>
      </c>
      <c r="E115" s="91">
        <v>1430694.578</v>
      </c>
      <c r="F115" s="91">
        <v>-1317629.5530000001</v>
      </c>
      <c r="G115" t="str">
        <f>_xlfn.XLOOKUP($A115,Map!$A:$A,Map!C:C)</f>
        <v>IS</v>
      </c>
      <c r="H115" t="str">
        <f>_xlfn.XLOOKUP($A115,Map!$A:$A,Map!D:D)</f>
        <v>Sales</v>
      </c>
      <c r="I115" t="str">
        <f>_xlfn.XLOOKUP($A115,Map!$A:$A,Map!E:E)</f>
        <v>Sales</v>
      </c>
      <c r="J115" t="str">
        <f>_xlfn.XLOOKUP($A115,Map!$A:$A,Map!F:F)</f>
        <v>Scrap sales</v>
      </c>
    </row>
    <row r="116" spans="1:10" x14ac:dyDescent="0.25">
      <c r="A116" s="90">
        <v>420001</v>
      </c>
      <c r="B116" s="90" t="s">
        <v>114</v>
      </c>
      <c r="C116" s="91">
        <v>0</v>
      </c>
      <c r="D116" s="91">
        <v>0</v>
      </c>
      <c r="E116" s="91">
        <v>0</v>
      </c>
      <c r="F116" s="91">
        <v>0</v>
      </c>
      <c r="G116" t="str">
        <f>_xlfn.XLOOKUP($A116,Map!$A:$A,Map!C:C)</f>
        <v>IS</v>
      </c>
      <c r="H116" t="str">
        <f>_xlfn.XLOOKUP($A116,Map!$A:$A,Map!D:D)</f>
        <v>Sales</v>
      </c>
      <c r="I116" t="str">
        <f>_xlfn.XLOOKUP($A116,Map!$A:$A,Map!E:E)</f>
        <v>Sales</v>
      </c>
      <c r="J116" t="str">
        <f>_xlfn.XLOOKUP($A116,Map!$A:$A,Map!F:F)</f>
        <v>Other income</v>
      </c>
    </row>
    <row r="117" spans="1:10" x14ac:dyDescent="0.25">
      <c r="A117" s="90">
        <v>420003</v>
      </c>
      <c r="B117" s="90" t="s">
        <v>115</v>
      </c>
      <c r="C117" s="91">
        <v>0</v>
      </c>
      <c r="D117" s="91">
        <v>193.53</v>
      </c>
      <c r="E117" s="91">
        <v>193.53</v>
      </c>
      <c r="F117" s="91">
        <v>0</v>
      </c>
      <c r="G117" t="str">
        <f>_xlfn.XLOOKUP($A117,Map!$A:$A,Map!C:C)</f>
        <v>IS</v>
      </c>
      <c r="H117" t="str">
        <f>_xlfn.XLOOKUP($A117,Map!$A:$A,Map!D:D)</f>
        <v>Sales</v>
      </c>
      <c r="I117" t="str">
        <f>_xlfn.XLOOKUP($A117,Map!$A:$A,Map!E:E)</f>
        <v>Sales</v>
      </c>
      <c r="J117" t="str">
        <f>_xlfn.XLOOKUP($A117,Map!$A:$A,Map!F:F)</f>
        <v>Scrap sales</v>
      </c>
    </row>
    <row r="118" spans="1:10" x14ac:dyDescent="0.25">
      <c r="A118" s="90">
        <v>510001</v>
      </c>
      <c r="B118" s="90" t="s">
        <v>116</v>
      </c>
      <c r="C118" s="91">
        <v>0</v>
      </c>
      <c r="D118" s="91">
        <v>372404169.87800002</v>
      </c>
      <c r="E118" s="91">
        <v>181638172.877</v>
      </c>
      <c r="F118" s="91">
        <v>190765997.00099999</v>
      </c>
      <c r="G118" t="str">
        <f>_xlfn.XLOOKUP($A118,Map!$A:$A,Map!C:C)</f>
        <v>IS</v>
      </c>
      <c r="H118" t="str">
        <f>_xlfn.XLOOKUP($A118,Map!$A:$A,Map!D:D)</f>
        <v>Cost of sales</v>
      </c>
      <c r="I118" t="str">
        <f>_xlfn.XLOOKUP($A118,Map!$A:$A,Map!E:E)</f>
        <v>Raw materials</v>
      </c>
      <c r="J118" t="str">
        <f>_xlfn.XLOOKUP($A118,Map!$A:$A,Map!F:F)</f>
        <v>Raw materials</v>
      </c>
    </row>
    <row r="119" spans="1:10" x14ac:dyDescent="0.25">
      <c r="A119" s="90">
        <v>510002</v>
      </c>
      <c r="B119" s="90" t="s">
        <v>117</v>
      </c>
      <c r="C119" s="91">
        <v>0</v>
      </c>
      <c r="D119" s="91">
        <v>14104522.117000001</v>
      </c>
      <c r="E119" s="91">
        <v>8624365.1170000006</v>
      </c>
      <c r="F119" s="91">
        <v>5480157</v>
      </c>
      <c r="G119" t="str">
        <f>_xlfn.XLOOKUP($A119,Map!$A:$A,Map!C:C)</f>
        <v>IS</v>
      </c>
      <c r="H119" t="str">
        <f>_xlfn.XLOOKUP($A119,Map!$A:$A,Map!D:D)</f>
        <v>Cost of sales</v>
      </c>
      <c r="I119" t="str">
        <f>_xlfn.XLOOKUP($A119,Map!$A:$A,Map!E:E)</f>
        <v>Direct Labor</v>
      </c>
      <c r="J119" t="str">
        <f>_xlfn.XLOOKUP($A119,Map!$A:$A,Map!F:F)</f>
        <v>Direct Labor</v>
      </c>
    </row>
    <row r="120" spans="1:10" x14ac:dyDescent="0.25">
      <c r="A120" s="90">
        <v>510003</v>
      </c>
      <c r="B120" s="90" t="s">
        <v>118</v>
      </c>
      <c r="C120" s="91">
        <v>0</v>
      </c>
      <c r="D120" s="91">
        <v>13455958.67</v>
      </c>
      <c r="E120" s="91">
        <v>5022419.67</v>
      </c>
      <c r="F120" s="91">
        <v>8433539</v>
      </c>
      <c r="G120" t="str">
        <f>_xlfn.XLOOKUP($A120,Map!$A:$A,Map!C:C)</f>
        <v>IS</v>
      </c>
      <c r="H120" t="str">
        <f>_xlfn.XLOOKUP($A120,Map!$A:$A,Map!D:D)</f>
        <v>Cost of sales</v>
      </c>
      <c r="I120" t="str">
        <f>_xlfn.XLOOKUP($A120,Map!$A:$A,Map!E:E)</f>
        <v>Raw materials</v>
      </c>
      <c r="J120" t="str">
        <f>_xlfn.XLOOKUP($A120,Map!$A:$A,Map!F:F)</f>
        <v>Raw materials</v>
      </c>
    </row>
    <row r="121" spans="1:10" x14ac:dyDescent="0.25">
      <c r="A121" s="90">
        <v>510004</v>
      </c>
      <c r="B121" s="90" t="s">
        <v>119</v>
      </c>
      <c r="C121" s="91">
        <v>0</v>
      </c>
      <c r="D121" s="91">
        <v>27818228.526999999</v>
      </c>
      <c r="E121" s="91">
        <v>27668897.532000002</v>
      </c>
      <c r="F121" s="91">
        <v>149330.995</v>
      </c>
      <c r="G121" t="str">
        <f>_xlfn.XLOOKUP($A121,Map!$A:$A,Map!C:C)</f>
        <v>IS</v>
      </c>
      <c r="H121" t="str">
        <f>_xlfn.XLOOKUP($A121,Map!$A:$A,Map!D:D)</f>
        <v>Cost of sales</v>
      </c>
      <c r="I121" t="str">
        <f>_xlfn.XLOOKUP($A121,Map!$A:$A,Map!E:E)</f>
        <v>Raw materials</v>
      </c>
      <c r="J121" t="str">
        <f>_xlfn.XLOOKUP($A121,Map!$A:$A,Map!F:F)</f>
        <v>Other expenses</v>
      </c>
    </row>
    <row r="122" spans="1:10" x14ac:dyDescent="0.25">
      <c r="A122" s="90">
        <v>510005</v>
      </c>
      <c r="B122" s="90" t="s">
        <v>120</v>
      </c>
      <c r="C122" s="91">
        <v>0</v>
      </c>
      <c r="D122" s="91">
        <v>400000</v>
      </c>
      <c r="E122" s="91">
        <v>400000</v>
      </c>
      <c r="F122" s="91">
        <v>0</v>
      </c>
      <c r="G122" t="str">
        <f>_xlfn.XLOOKUP($A122,Map!$A:$A,Map!C:C)</f>
        <v>IS</v>
      </c>
      <c r="H122" t="str">
        <f>_xlfn.XLOOKUP($A122,Map!$A:$A,Map!D:D)</f>
        <v>Cost of sales</v>
      </c>
      <c r="I122" t="str">
        <f>_xlfn.XLOOKUP($A122,Map!$A:$A,Map!E:E)</f>
        <v>Raw materials</v>
      </c>
      <c r="J122" t="str">
        <f>_xlfn.XLOOKUP($A122,Map!$A:$A,Map!F:F)</f>
        <v>Other expenses</v>
      </c>
    </row>
    <row r="123" spans="1:10" x14ac:dyDescent="0.25">
      <c r="A123" s="90">
        <v>520001</v>
      </c>
      <c r="B123" s="90" t="s">
        <v>121</v>
      </c>
      <c r="C123" s="91">
        <v>0</v>
      </c>
      <c r="D123" s="91">
        <v>5573214.7599999998</v>
      </c>
      <c r="E123" s="91">
        <v>5573214.7599999998</v>
      </c>
      <c r="F123" s="91">
        <v>0</v>
      </c>
      <c r="G123" t="str">
        <f>_xlfn.XLOOKUP($A123,Map!$A:$A,Map!C:C)</f>
        <v>IS</v>
      </c>
      <c r="H123" t="str">
        <f>_xlfn.XLOOKUP($A123,Map!$A:$A,Map!D:D)</f>
        <v>Cost of sales</v>
      </c>
      <c r="I123" t="str">
        <f>_xlfn.XLOOKUP($A123,Map!$A:$A,Map!E:E)</f>
        <v>Direct Labor</v>
      </c>
      <c r="J123" t="str">
        <f>_xlfn.XLOOKUP($A123,Map!$A:$A,Map!F:F)</f>
        <v>Salaries and wages</v>
      </c>
    </row>
    <row r="124" spans="1:10" x14ac:dyDescent="0.25">
      <c r="A124" s="90">
        <v>520002</v>
      </c>
      <c r="B124" s="90" t="s">
        <v>122</v>
      </c>
      <c r="C124" s="91">
        <v>0</v>
      </c>
      <c r="D124" s="91">
        <v>0</v>
      </c>
      <c r="E124" s="91">
        <v>0</v>
      </c>
      <c r="F124" s="91">
        <v>0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Direct Labor</v>
      </c>
      <c r="J124" t="str">
        <f>_xlfn.XLOOKUP($A124,Map!$A:$A,Map!F:F)</f>
        <v>Overtime pay</v>
      </c>
    </row>
    <row r="125" spans="1:10" x14ac:dyDescent="0.25">
      <c r="A125" s="90">
        <v>520003</v>
      </c>
      <c r="B125" s="90" t="s">
        <v>123</v>
      </c>
      <c r="C125" s="91">
        <v>0</v>
      </c>
      <c r="D125" s="91">
        <v>513869.97</v>
      </c>
      <c r="E125" s="91">
        <v>513869.97</v>
      </c>
      <c r="F125" s="91">
        <v>0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Direct Labor</v>
      </c>
      <c r="J125" t="str">
        <f>_xlfn.XLOOKUP($A125,Map!$A:$A,Map!F:F)</f>
        <v>Transportation allowance</v>
      </c>
    </row>
    <row r="126" spans="1:10" x14ac:dyDescent="0.25">
      <c r="A126" s="90">
        <v>520004</v>
      </c>
      <c r="B126" s="90" t="s">
        <v>124</v>
      </c>
      <c r="C126" s="91">
        <v>0</v>
      </c>
      <c r="D126" s="91">
        <v>0</v>
      </c>
      <c r="E126" s="91">
        <v>0</v>
      </c>
      <c r="F126" s="91">
        <v>0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Direct Labor</v>
      </c>
      <c r="J126" t="str">
        <f>_xlfn.XLOOKUP($A126,Map!$A:$A,Map!F:F)</f>
        <v>Food and housing</v>
      </c>
    </row>
    <row r="127" spans="1:10" x14ac:dyDescent="0.25">
      <c r="A127" s="90">
        <v>520005</v>
      </c>
      <c r="B127" s="90" t="s">
        <v>125</v>
      </c>
      <c r="C127" s="91">
        <v>0</v>
      </c>
      <c r="D127" s="91">
        <v>490973.72</v>
      </c>
      <c r="E127" s="91">
        <v>490973.72</v>
      </c>
      <c r="F127" s="91">
        <v>0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Direct Labor</v>
      </c>
      <c r="J127" t="str">
        <f>_xlfn.XLOOKUP($A127,Map!$A:$A,Map!F:F)</f>
        <v>Leave pay</v>
      </c>
    </row>
    <row r="128" spans="1:10" x14ac:dyDescent="0.25">
      <c r="A128" s="90">
        <v>520006</v>
      </c>
      <c r="B128" s="90" t="s">
        <v>126</v>
      </c>
      <c r="C128" s="91">
        <v>0</v>
      </c>
      <c r="D128" s="91">
        <v>334585.158</v>
      </c>
      <c r="E128" s="91">
        <v>334585.158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Direct Labor</v>
      </c>
      <c r="J128" t="str">
        <f>_xlfn.XLOOKUP($A128,Map!$A:$A,Map!F:F)</f>
        <v>Medical insurance</v>
      </c>
    </row>
    <row r="129" spans="1:10" x14ac:dyDescent="0.25">
      <c r="A129" s="90">
        <v>520010</v>
      </c>
      <c r="B129" s="90" t="s">
        <v>127</v>
      </c>
      <c r="C129" s="91">
        <v>0</v>
      </c>
      <c r="D129" s="91">
        <v>0</v>
      </c>
      <c r="E129" s="91">
        <v>0</v>
      </c>
      <c r="F129" s="91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Direct Labor</v>
      </c>
      <c r="J129" t="str">
        <f>_xlfn.XLOOKUP($A129,Map!$A:$A,Map!F:F)</f>
        <v>Salaries and wages</v>
      </c>
    </row>
    <row r="130" spans="1:10" x14ac:dyDescent="0.25">
      <c r="A130" s="90">
        <v>520011</v>
      </c>
      <c r="B130" s="90" t="s">
        <v>122</v>
      </c>
      <c r="C130" s="91">
        <v>0</v>
      </c>
      <c r="D130" s="91">
        <v>1189797.2</v>
      </c>
      <c r="E130" s="91">
        <v>1189797.2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Direct Labor</v>
      </c>
      <c r="J130" t="str">
        <f>_xlfn.XLOOKUP($A130,Map!$A:$A,Map!F:F)</f>
        <v>Overtime pay</v>
      </c>
    </row>
    <row r="131" spans="1:10" x14ac:dyDescent="0.25">
      <c r="A131" s="90">
        <v>520013</v>
      </c>
      <c r="B131" s="90" t="s">
        <v>124</v>
      </c>
      <c r="C131" s="91">
        <v>0</v>
      </c>
      <c r="D131" s="91">
        <v>0</v>
      </c>
      <c r="E131" s="91">
        <v>0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Direct Labor</v>
      </c>
      <c r="J131" t="str">
        <f>_xlfn.XLOOKUP($A131,Map!$A:$A,Map!F:F)</f>
        <v>Food and housing</v>
      </c>
    </row>
    <row r="132" spans="1:10" x14ac:dyDescent="0.25">
      <c r="A132" s="90">
        <v>520014</v>
      </c>
      <c r="B132" s="90" t="s">
        <v>125</v>
      </c>
      <c r="C132" s="91">
        <v>0</v>
      </c>
      <c r="D132" s="91">
        <v>0</v>
      </c>
      <c r="E132" s="91">
        <v>0</v>
      </c>
      <c r="F132" s="4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Direct Labor</v>
      </c>
      <c r="J132" t="str">
        <f>_xlfn.XLOOKUP($A132,Map!$A:$A,Map!F:F)</f>
        <v>Leave pay</v>
      </c>
    </row>
    <row r="133" spans="1:10" x14ac:dyDescent="0.25">
      <c r="A133" s="90">
        <v>520015</v>
      </c>
      <c r="B133" s="90" t="s">
        <v>128</v>
      </c>
      <c r="C133" s="91">
        <v>0</v>
      </c>
      <c r="D133" s="91">
        <v>0</v>
      </c>
      <c r="E133" s="91">
        <v>0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Direct Labor</v>
      </c>
      <c r="J133" t="str">
        <f>_xlfn.XLOOKUP($A133,Map!$A:$A,Map!F:F)</f>
        <v>Food and housing</v>
      </c>
    </row>
    <row r="134" spans="1:10" x14ac:dyDescent="0.25">
      <c r="A134" s="90">
        <v>520021</v>
      </c>
      <c r="B134" s="90" t="s">
        <v>129</v>
      </c>
      <c r="C134" s="91">
        <v>0</v>
      </c>
      <c r="D134" s="91">
        <v>5404.2979999999998</v>
      </c>
      <c r="E134" s="91">
        <v>5404.2979999999998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Direct Labor</v>
      </c>
      <c r="J134" t="str">
        <f>_xlfn.XLOOKUP($A134,Map!$A:$A,Map!F:F)</f>
        <v>Medical insurance</v>
      </c>
    </row>
    <row r="135" spans="1:10" x14ac:dyDescent="0.25">
      <c r="A135" s="90">
        <v>520022</v>
      </c>
      <c r="B135" s="90" t="s">
        <v>130</v>
      </c>
      <c r="C135" s="91">
        <v>0</v>
      </c>
      <c r="D135" s="91">
        <v>0</v>
      </c>
      <c r="E135" s="91">
        <v>0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Direct Labor</v>
      </c>
      <c r="J135" t="str">
        <f>_xlfn.XLOOKUP($A135,Map!$A:$A,Map!F:F)</f>
        <v>Iqama renewal</v>
      </c>
    </row>
    <row r="136" spans="1:10" x14ac:dyDescent="0.25">
      <c r="A136" s="90">
        <v>520023</v>
      </c>
      <c r="B136" s="90" t="s">
        <v>255</v>
      </c>
      <c r="C136" s="91">
        <v>0</v>
      </c>
      <c r="D136" s="91">
        <v>0</v>
      </c>
      <c r="E136" s="91">
        <v>0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Direct Labor</v>
      </c>
      <c r="J136" t="str">
        <f>_xlfn.XLOOKUP($A136,Map!$A:$A,Map!F:F)</f>
        <v>Medical insurance</v>
      </c>
    </row>
    <row r="137" spans="1:10" x14ac:dyDescent="0.25">
      <c r="A137" s="90">
        <v>520032</v>
      </c>
      <c r="B137" s="90" t="s">
        <v>131</v>
      </c>
      <c r="C137" s="91">
        <v>0</v>
      </c>
      <c r="D137" s="91">
        <v>0</v>
      </c>
      <c r="E137" s="91">
        <v>0</v>
      </c>
      <c r="F137" s="91">
        <v>0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Raw materials</v>
      </c>
      <c r="J137" t="str">
        <f>_xlfn.XLOOKUP($A137,Map!$A:$A,Map!F:F)</f>
        <v>Consumables</v>
      </c>
    </row>
    <row r="138" spans="1:10" x14ac:dyDescent="0.25">
      <c r="A138" s="90">
        <v>520036</v>
      </c>
      <c r="B138" s="90" t="s">
        <v>132</v>
      </c>
      <c r="C138" s="91">
        <v>0</v>
      </c>
      <c r="D138" s="91">
        <v>0.20200000000000001</v>
      </c>
      <c r="E138" s="91">
        <v>0.20200000000000001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Raw materials</v>
      </c>
      <c r="J138" t="str">
        <f>_xlfn.XLOOKUP($A138,Map!$A:$A,Map!F:F)</f>
        <v>Raw materials</v>
      </c>
    </row>
    <row r="139" spans="1:10" x14ac:dyDescent="0.25">
      <c r="A139" s="90">
        <v>520037</v>
      </c>
      <c r="B139" s="90" t="s">
        <v>133</v>
      </c>
      <c r="C139" s="91">
        <v>0</v>
      </c>
      <c r="D139" s="91">
        <v>886940.70799999998</v>
      </c>
      <c r="E139" s="91">
        <v>886940.70799999998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Raw materials</v>
      </c>
      <c r="J139" t="str">
        <f>_xlfn.XLOOKUP($A139,Map!$A:$A,Map!F:F)</f>
        <v>Raw materials</v>
      </c>
    </row>
    <row r="140" spans="1:10" x14ac:dyDescent="0.25">
      <c r="A140" s="90">
        <v>520040</v>
      </c>
      <c r="B140" s="90" t="s">
        <v>134</v>
      </c>
      <c r="C140" s="91">
        <v>0</v>
      </c>
      <c r="D140" s="91">
        <v>462.22</v>
      </c>
      <c r="E140" s="91">
        <v>462.22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Raw materials</v>
      </c>
      <c r="J140" t="str">
        <f>_xlfn.XLOOKUP($A140,Map!$A:$A,Map!F:F)</f>
        <v>Other expenses</v>
      </c>
    </row>
    <row r="141" spans="1:10" x14ac:dyDescent="0.25">
      <c r="A141" s="90">
        <v>520041</v>
      </c>
      <c r="B141" s="90" t="s">
        <v>135</v>
      </c>
      <c r="C141" s="91">
        <v>0</v>
      </c>
      <c r="D141" s="91">
        <v>14000088.23</v>
      </c>
      <c r="E141" s="91">
        <v>14000088.23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Raw materials</v>
      </c>
      <c r="J141" t="str">
        <f>_xlfn.XLOOKUP($A141,Map!$A:$A,Map!F:F)</f>
        <v>Other expenses</v>
      </c>
    </row>
    <row r="142" spans="1:10" x14ac:dyDescent="0.25">
      <c r="A142" s="90">
        <v>520042</v>
      </c>
      <c r="B142" s="90" t="s">
        <v>136</v>
      </c>
      <c r="C142" s="91">
        <v>0</v>
      </c>
      <c r="D142" s="91">
        <v>9734018.193</v>
      </c>
      <c r="E142" s="91">
        <v>9734018.193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Raw materials</v>
      </c>
      <c r="J142" t="str">
        <f>_xlfn.XLOOKUP($A142,Map!$A:$A,Map!F:F)</f>
        <v>Inventory Adjustment</v>
      </c>
    </row>
    <row r="143" spans="1:10" x14ac:dyDescent="0.25">
      <c r="A143" s="90">
        <v>600001</v>
      </c>
      <c r="B143" s="90" t="s">
        <v>137</v>
      </c>
      <c r="C143" s="91">
        <v>0</v>
      </c>
      <c r="D143" s="91">
        <v>3165711.25</v>
      </c>
      <c r="E143" s="91">
        <v>3165711.25</v>
      </c>
      <c r="F143" s="91">
        <v>0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Overhead - Labor Cost</v>
      </c>
      <c r="J143" t="str">
        <f>_xlfn.XLOOKUP($A143,Map!$A:$A,Map!F:F)</f>
        <v>Salaries and wages</v>
      </c>
    </row>
    <row r="144" spans="1:10" x14ac:dyDescent="0.25">
      <c r="A144" s="90">
        <v>600002</v>
      </c>
      <c r="B144" s="90" t="s">
        <v>138</v>
      </c>
      <c r="C144" s="91">
        <v>0</v>
      </c>
      <c r="D144" s="91">
        <v>399808.31</v>
      </c>
      <c r="E144" s="91">
        <v>399808.31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Overhead - Labor Cost</v>
      </c>
      <c r="J144" t="str">
        <f>_xlfn.XLOOKUP($A144,Map!$A:$A,Map!F:F)</f>
        <v>Overtime pay</v>
      </c>
    </row>
    <row r="145" spans="1:11" x14ac:dyDescent="0.25">
      <c r="A145" s="90">
        <v>600003</v>
      </c>
      <c r="B145" s="90" t="s">
        <v>139</v>
      </c>
      <c r="C145" s="91">
        <v>0</v>
      </c>
      <c r="D145" s="91">
        <v>941816.5</v>
      </c>
      <c r="E145" s="91">
        <v>941816.5</v>
      </c>
      <c r="F145" s="91">
        <v>0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Overhead - Labor Cost</v>
      </c>
      <c r="J145" t="str">
        <f>_xlfn.XLOOKUP($A145,Map!$A:$A,Map!F:F)</f>
        <v xml:space="preserve">Food &amp; Housing </v>
      </c>
    </row>
    <row r="146" spans="1:11" x14ac:dyDescent="0.25">
      <c r="A146" s="90">
        <v>600004</v>
      </c>
      <c r="B146" s="90" t="s">
        <v>140</v>
      </c>
      <c r="C146" s="91">
        <v>0</v>
      </c>
      <c r="D146" s="91">
        <v>741268.83400000003</v>
      </c>
      <c r="E146" s="91">
        <v>741268.83400000003</v>
      </c>
      <c r="F146" s="91">
        <v>0</v>
      </c>
      <c r="G146" t="str">
        <f>_xlfn.XLOOKUP($A146,Map!$A:$A,Map!C:C)</f>
        <v>IS</v>
      </c>
      <c r="H146" t="str">
        <f>_xlfn.XLOOKUP($A146,Map!$A:$A,Map!D:D)</f>
        <v>Cost of sales</v>
      </c>
      <c r="I146" t="str">
        <f>_xlfn.XLOOKUP($A146,Map!$A:$A,Map!E:E)</f>
        <v>Overhead - Labor Cost</v>
      </c>
      <c r="J146" t="str">
        <f>_xlfn.XLOOKUP($A146,Map!$A:$A,Map!F:F)</f>
        <v>Medical insurance</v>
      </c>
    </row>
    <row r="147" spans="1:11" x14ac:dyDescent="0.25">
      <c r="A147" s="90">
        <v>600005</v>
      </c>
      <c r="B147" s="90" t="s">
        <v>141</v>
      </c>
      <c r="C147" s="91">
        <v>0</v>
      </c>
      <c r="D147" s="91">
        <v>236068.13</v>
      </c>
      <c r="E147" s="91">
        <v>236068.13</v>
      </c>
      <c r="F147" s="91">
        <v>0</v>
      </c>
      <c r="G147" t="str">
        <f>_xlfn.XLOOKUP($A147,Map!$A:$A,Map!C:C)</f>
        <v>IS</v>
      </c>
      <c r="H147" t="str">
        <f>_xlfn.XLOOKUP($A147,Map!$A:$A,Map!D:D)</f>
        <v>General and Admin</v>
      </c>
      <c r="I147" t="str">
        <f>_xlfn.XLOOKUP($A147,Map!$A:$A,Map!E:E)</f>
        <v>Govt license and fees (including modon)</v>
      </c>
      <c r="J147" t="str">
        <f>_xlfn.XLOOKUP($A147,Map!$A:$A,Map!F:F)</f>
        <v>Government fees</v>
      </c>
      <c r="K147" s="90" t="str">
        <f>_xlfn.XLOOKUP(I147,'P&amp;L_2014-2025'!A:A,'P&amp;L_2014-2025'!A:A)</f>
        <v>Govt license and fees (including modon)</v>
      </c>
    </row>
    <row r="148" spans="1:11" x14ac:dyDescent="0.25">
      <c r="A148" s="90">
        <v>600006</v>
      </c>
      <c r="B148" s="90" t="s">
        <v>142</v>
      </c>
      <c r="C148" s="91">
        <v>0</v>
      </c>
      <c r="D148" s="91">
        <v>1786383.83</v>
      </c>
      <c r="E148" s="91">
        <v>1786383.83</v>
      </c>
      <c r="F148" s="91">
        <v>0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Overhead - Labor Cost</v>
      </c>
      <c r="J148" t="str">
        <f>_xlfn.XLOOKUP($A148,Map!$A:$A,Map!F:F)</f>
        <v xml:space="preserve">Food &amp; Housing </v>
      </c>
    </row>
    <row r="149" spans="1:11" x14ac:dyDescent="0.25">
      <c r="A149" s="90">
        <v>600007</v>
      </c>
      <c r="B149" s="90" t="s">
        <v>143</v>
      </c>
      <c r="C149" s="91">
        <v>0</v>
      </c>
      <c r="D149" s="91">
        <v>2500</v>
      </c>
      <c r="E149" s="91">
        <v>2500</v>
      </c>
      <c r="F149" s="91">
        <v>0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Overhead - Labor Cost</v>
      </c>
      <c r="J149" t="str">
        <f>_xlfn.XLOOKUP($A149,Map!$A:$A,Map!F:F)</f>
        <v>Transportation allowance</v>
      </c>
    </row>
    <row r="150" spans="1:11" x14ac:dyDescent="0.25">
      <c r="A150" s="90">
        <v>600008</v>
      </c>
      <c r="B150" s="90" t="s">
        <v>144</v>
      </c>
      <c r="C150" s="91">
        <v>0</v>
      </c>
      <c r="D150" s="91">
        <v>631090.38199999998</v>
      </c>
      <c r="E150" s="91">
        <v>631090.38199999998</v>
      </c>
      <c r="F150" s="91">
        <v>0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Overhead - Labor Cost</v>
      </c>
      <c r="J150" t="str">
        <f>_xlfn.XLOOKUP($A150,Map!$A:$A,Map!F:F)</f>
        <v>Air tickets</v>
      </c>
    </row>
    <row r="151" spans="1:11" x14ac:dyDescent="0.25">
      <c r="A151" s="90">
        <v>600009</v>
      </c>
      <c r="B151" s="90" t="s">
        <v>145</v>
      </c>
      <c r="C151" s="91">
        <v>0</v>
      </c>
      <c r="D151" s="91">
        <v>96617.77</v>
      </c>
      <c r="E151" s="91">
        <v>96617.77</v>
      </c>
      <c r="F151" s="91">
        <v>0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Overhead - Labor Cost</v>
      </c>
      <c r="J151" t="str">
        <f>_xlfn.XLOOKUP($A151,Map!$A:$A,Map!F:F)</f>
        <v>Vacation pay</v>
      </c>
    </row>
    <row r="152" spans="1:11" x14ac:dyDescent="0.25">
      <c r="A152" s="90">
        <v>600010</v>
      </c>
      <c r="B152" s="90" t="s">
        <v>146</v>
      </c>
      <c r="C152" s="91">
        <v>0</v>
      </c>
      <c r="D152" s="91">
        <v>4434</v>
      </c>
      <c r="E152" s="91">
        <v>4434</v>
      </c>
      <c r="F152" s="91">
        <v>0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Overhead - Labor Cost</v>
      </c>
      <c r="J152" t="str">
        <f>_xlfn.XLOOKUP($A152,Map!$A:$A,Map!F:F)</f>
        <v>EOS expenses</v>
      </c>
    </row>
    <row r="153" spans="1:11" x14ac:dyDescent="0.25">
      <c r="A153" s="90">
        <v>600011</v>
      </c>
      <c r="B153" s="90" t="s">
        <v>147</v>
      </c>
      <c r="C153" s="91">
        <v>0</v>
      </c>
      <c r="D153" s="91">
        <v>13251</v>
      </c>
      <c r="E153" s="91">
        <v>13251</v>
      </c>
      <c r="F153" s="91">
        <v>0</v>
      </c>
      <c r="G153" t="str">
        <f>_xlfn.XLOOKUP($A153,Map!$A:$A,Map!C:C)</f>
        <v>IS</v>
      </c>
      <c r="H153" t="str">
        <f>_xlfn.XLOOKUP($A153,Map!$A:$A,Map!D:D)</f>
        <v>Cost of sales</v>
      </c>
      <c r="I153" t="str">
        <f>_xlfn.XLOOKUP($A153,Map!$A:$A,Map!E:E)</f>
        <v>Overhead - Labor Cost</v>
      </c>
      <c r="J153" t="str">
        <f>_xlfn.XLOOKUP($A153,Map!$A:$A,Map!F:F)</f>
        <v>Air tickets</v>
      </c>
    </row>
    <row r="154" spans="1:11" x14ac:dyDescent="0.25">
      <c r="A154" s="90">
        <v>600012</v>
      </c>
      <c r="B154" s="90" t="s">
        <v>148</v>
      </c>
      <c r="C154" s="91">
        <v>0</v>
      </c>
      <c r="D154" s="91">
        <v>0</v>
      </c>
      <c r="E154" s="91">
        <v>0</v>
      </c>
      <c r="F154" s="91">
        <v>0</v>
      </c>
      <c r="G154" t="str">
        <f>_xlfn.XLOOKUP($A154,Map!$A:$A,Map!C:C)</f>
        <v>IS</v>
      </c>
      <c r="H154" t="str">
        <f>_xlfn.XLOOKUP($A154,Map!$A:$A,Map!D:D)</f>
        <v>Cost of sales</v>
      </c>
      <c r="I154" t="str">
        <f>_xlfn.XLOOKUP($A154,Map!$A:$A,Map!E:E)</f>
        <v>Overhead - Labor Cost</v>
      </c>
      <c r="J154" t="str">
        <f>_xlfn.XLOOKUP($A154,Map!$A:$A,Map!F:F)</f>
        <v xml:space="preserve">Education &amp; Furniture Allowances </v>
      </c>
    </row>
    <row r="155" spans="1:11" x14ac:dyDescent="0.25">
      <c r="A155" s="90">
        <v>600013</v>
      </c>
      <c r="B155" s="90" t="s">
        <v>149</v>
      </c>
      <c r="C155" s="91">
        <v>0</v>
      </c>
      <c r="D155" s="91">
        <v>0</v>
      </c>
      <c r="E155" s="91">
        <v>0</v>
      </c>
      <c r="F155" s="91">
        <v>0</v>
      </c>
      <c r="G155" t="str">
        <f>_xlfn.XLOOKUP($A155,Map!$A:$A,Map!C:C)</f>
        <v>IS</v>
      </c>
      <c r="H155" t="str">
        <f>_xlfn.XLOOKUP($A155,Map!$A:$A,Map!D:D)</f>
        <v>Cost of sales</v>
      </c>
      <c r="I155" t="str">
        <f>_xlfn.XLOOKUP($A155,Map!$A:$A,Map!E:E)</f>
        <v>Overhead - Labor Cost</v>
      </c>
      <c r="J155" t="str">
        <f>_xlfn.XLOOKUP($A155,Map!$A:$A,Map!F:F)</f>
        <v>Telephone allowance</v>
      </c>
    </row>
    <row r="156" spans="1:11" x14ac:dyDescent="0.25">
      <c r="A156" s="90">
        <v>600014</v>
      </c>
      <c r="B156" s="90" t="s">
        <v>60</v>
      </c>
      <c r="C156" s="91">
        <v>0</v>
      </c>
      <c r="D156" s="91">
        <v>3138365.591</v>
      </c>
      <c r="E156" s="91">
        <v>3138365.591</v>
      </c>
      <c r="F156" s="91">
        <v>0</v>
      </c>
      <c r="G156" t="str">
        <f>_xlfn.XLOOKUP($A156,Map!$A:$A,Map!C:C)</f>
        <v>IS</v>
      </c>
      <c r="H156" t="str">
        <f>_xlfn.XLOOKUP($A156,Map!$A:$A,Map!D:D)</f>
        <v>Cost of sales</v>
      </c>
      <c r="I156" t="str">
        <f>_xlfn.XLOOKUP($A156,Map!$A:$A,Map!E:E)</f>
        <v>Overhead - Consumables &amp; SP</v>
      </c>
      <c r="J156" t="str">
        <f>_xlfn.XLOOKUP($A156,Map!$A:$A,Map!F:F)</f>
        <v>Consumables</v>
      </c>
    </row>
    <row r="157" spans="1:11" x14ac:dyDescent="0.25">
      <c r="A157" s="90">
        <v>600015</v>
      </c>
      <c r="B157" s="90" t="s">
        <v>150</v>
      </c>
      <c r="C157" s="91">
        <v>0</v>
      </c>
      <c r="D157" s="91">
        <v>0</v>
      </c>
      <c r="E157" s="91">
        <v>0</v>
      </c>
      <c r="F157" s="91">
        <v>0</v>
      </c>
      <c r="G157" t="str">
        <f>_xlfn.XLOOKUP($A157,Map!$A:$A,Map!C:C)</f>
        <v>IS</v>
      </c>
      <c r="H157" t="str">
        <f>_xlfn.XLOOKUP($A157,Map!$A:$A,Map!D:D)</f>
        <v>Cost of sales</v>
      </c>
      <c r="I157" t="str">
        <f>_xlfn.XLOOKUP($A157,Map!$A:$A,Map!E:E)</f>
        <v>Overhead - Consumables &amp; SP</v>
      </c>
      <c r="J157" t="str">
        <f>_xlfn.XLOOKUP($A157,Map!$A:$A,Map!F:F)</f>
        <v>Consumables</v>
      </c>
    </row>
    <row r="158" spans="1:11" x14ac:dyDescent="0.25">
      <c r="A158" s="90">
        <v>600016</v>
      </c>
      <c r="B158" s="90" t="s">
        <v>151</v>
      </c>
      <c r="C158" s="91">
        <v>0</v>
      </c>
      <c r="D158" s="91">
        <v>6908262.074</v>
      </c>
      <c r="E158" s="91">
        <v>6908262.074</v>
      </c>
      <c r="F158" s="91">
        <v>0</v>
      </c>
      <c r="G158" t="str">
        <f>_xlfn.XLOOKUP($A158,Map!$A:$A,Map!C:C)</f>
        <v>IS</v>
      </c>
      <c r="H158" t="str">
        <f>_xlfn.XLOOKUP($A158,Map!$A:$A,Map!D:D)</f>
        <v>Cost of sales</v>
      </c>
      <c r="I158" t="str">
        <f>_xlfn.XLOOKUP($A158,Map!$A:$A,Map!E:E)</f>
        <v>Overhead - Consumables &amp; SP</v>
      </c>
      <c r="J158" t="str">
        <f>_xlfn.XLOOKUP($A158,Map!$A:$A,Map!F:F)</f>
        <v>Tools</v>
      </c>
    </row>
    <row r="159" spans="1:11" x14ac:dyDescent="0.25">
      <c r="A159" s="90">
        <v>600017</v>
      </c>
      <c r="B159" s="90" t="s">
        <v>152</v>
      </c>
      <c r="C159" s="91">
        <v>0</v>
      </c>
      <c r="D159" s="91">
        <v>2358711.4180000001</v>
      </c>
      <c r="E159" s="91">
        <v>2358711.4180000001</v>
      </c>
      <c r="F159" s="91">
        <v>0</v>
      </c>
      <c r="G159" t="str">
        <f>_xlfn.XLOOKUP($A159,Map!$A:$A,Map!C:C)</f>
        <v>IS</v>
      </c>
      <c r="H159" t="str">
        <f>_xlfn.XLOOKUP($A159,Map!$A:$A,Map!D:D)</f>
        <v>Cost of sales</v>
      </c>
      <c r="I159" t="str">
        <f>_xlfn.XLOOKUP($A159,Map!$A:$A,Map!E:E)</f>
        <v>Overhead - Utility</v>
      </c>
      <c r="J159" t="str">
        <f>_xlfn.XLOOKUP($A159,Map!$A:$A,Map!F:F)</f>
        <v>Electricity expenses</v>
      </c>
    </row>
    <row r="160" spans="1:11" x14ac:dyDescent="0.25">
      <c r="A160" s="90">
        <v>600018</v>
      </c>
      <c r="B160" s="90" t="s">
        <v>153</v>
      </c>
      <c r="C160" s="91">
        <v>0</v>
      </c>
      <c r="D160" s="91">
        <v>209580</v>
      </c>
      <c r="E160" s="91">
        <v>209580</v>
      </c>
      <c r="F160" s="91">
        <v>0</v>
      </c>
      <c r="G160" t="str">
        <f>_xlfn.XLOOKUP($A160,Map!$A:$A,Map!C:C)</f>
        <v>IS</v>
      </c>
      <c r="H160" t="str">
        <f>_xlfn.XLOOKUP($A160,Map!$A:$A,Map!D:D)</f>
        <v>Cost of sales</v>
      </c>
      <c r="I160" t="str">
        <f>_xlfn.XLOOKUP($A160,Map!$A:$A,Map!E:E)</f>
        <v>Overhead - Utility</v>
      </c>
      <c r="J160" t="str">
        <f>_xlfn.XLOOKUP($A160,Map!$A:$A,Map!F:F)</f>
        <v>Water expenses</v>
      </c>
    </row>
    <row r="161" spans="1:10" x14ac:dyDescent="0.25">
      <c r="A161" s="90">
        <v>600019</v>
      </c>
      <c r="B161" s="90" t="s">
        <v>154</v>
      </c>
      <c r="C161" s="91">
        <v>0</v>
      </c>
      <c r="D161" s="91">
        <v>42545.82</v>
      </c>
      <c r="E161" s="91">
        <v>42545.82</v>
      </c>
      <c r="F161" s="91">
        <v>0</v>
      </c>
      <c r="G161" t="str">
        <f>_xlfn.XLOOKUP($A161,Map!$A:$A,Map!C:C)</f>
        <v>IS</v>
      </c>
      <c r="H161" t="str">
        <f>_xlfn.XLOOKUP($A161,Map!$A:$A,Map!D:D)</f>
        <v>Cost of sales</v>
      </c>
      <c r="I161" t="str">
        <f>_xlfn.XLOOKUP($A161,Map!$A:$A,Map!E:E)</f>
        <v>Overhead - Utility</v>
      </c>
      <c r="J161" t="str">
        <f>_xlfn.XLOOKUP($A161,Map!$A:$A,Map!F:F)</f>
        <v>Fuel and oil</v>
      </c>
    </row>
    <row r="162" spans="1:10" x14ac:dyDescent="0.25">
      <c r="A162" s="90">
        <v>600020</v>
      </c>
      <c r="B162" s="90" t="s">
        <v>155</v>
      </c>
      <c r="C162" s="91">
        <v>0</v>
      </c>
      <c r="D162" s="91">
        <v>1797953.3829999999</v>
      </c>
      <c r="E162" s="91">
        <v>1797953.3829999999</v>
      </c>
      <c r="F162" s="91">
        <v>0</v>
      </c>
      <c r="G162" t="str">
        <f>_xlfn.XLOOKUP($A162,Map!$A:$A,Map!C:C)</f>
        <v>IS</v>
      </c>
      <c r="H162" t="str">
        <f>_xlfn.XLOOKUP($A162,Map!$A:$A,Map!D:D)</f>
        <v>Cost of sales</v>
      </c>
      <c r="I162" t="str">
        <f>_xlfn.XLOOKUP($A162,Map!$A:$A,Map!E:E)</f>
        <v>Overhead - R&amp;M</v>
      </c>
      <c r="J162" t="str">
        <f>_xlfn.XLOOKUP($A162,Map!$A:$A,Map!F:F)</f>
        <v>Machine and equipment</v>
      </c>
    </row>
    <row r="163" spans="1:10" x14ac:dyDescent="0.25">
      <c r="A163" s="90">
        <v>600021</v>
      </c>
      <c r="B163" s="90" t="s">
        <v>156</v>
      </c>
      <c r="C163" s="91">
        <v>0</v>
      </c>
      <c r="D163" s="91">
        <v>38833.552000000003</v>
      </c>
      <c r="E163" s="91">
        <v>38833.552000000003</v>
      </c>
      <c r="F163" s="91">
        <v>0</v>
      </c>
      <c r="G163" t="str">
        <f>_xlfn.XLOOKUP($A163,Map!$A:$A,Map!C:C)</f>
        <v>IS</v>
      </c>
      <c r="H163" t="str">
        <f>_xlfn.XLOOKUP($A163,Map!$A:$A,Map!D:D)</f>
        <v>Cost of sales</v>
      </c>
      <c r="I163" t="str">
        <f>_xlfn.XLOOKUP($A163,Map!$A:$A,Map!E:E)</f>
        <v>Overhead - R&amp;M</v>
      </c>
      <c r="J163" t="str">
        <f>_xlfn.XLOOKUP($A163,Map!$A:$A,Map!F:F)</f>
        <v>Vehicle maintenance</v>
      </c>
    </row>
    <row r="164" spans="1:10" x14ac:dyDescent="0.25">
      <c r="A164" s="90">
        <v>600022</v>
      </c>
      <c r="B164" s="90" t="s">
        <v>157</v>
      </c>
      <c r="C164" s="91">
        <v>0</v>
      </c>
      <c r="D164" s="91">
        <v>52835</v>
      </c>
      <c r="E164" s="91">
        <v>52835</v>
      </c>
      <c r="F164" s="91">
        <v>0</v>
      </c>
      <c r="G164" t="str">
        <f>_xlfn.XLOOKUP($A164,Map!$A:$A,Map!C:C)</f>
        <v>IS</v>
      </c>
      <c r="H164" t="str">
        <f>_xlfn.XLOOKUP($A164,Map!$A:$A,Map!D:D)</f>
        <v>Cost of sales</v>
      </c>
      <c r="I164" t="str">
        <f>_xlfn.XLOOKUP($A164,Map!$A:$A,Map!E:E)</f>
        <v>Overhead - R&amp;M</v>
      </c>
      <c r="J164" t="str">
        <f>_xlfn.XLOOKUP($A164,Map!$A:$A,Map!F:F)</f>
        <v>Building maintenance</v>
      </c>
    </row>
    <row r="165" spans="1:10" x14ac:dyDescent="0.25">
      <c r="A165" s="90">
        <v>600023</v>
      </c>
      <c r="B165" s="90" t="s">
        <v>158</v>
      </c>
      <c r="C165" s="91">
        <v>0</v>
      </c>
      <c r="D165" s="91">
        <v>0</v>
      </c>
      <c r="E165" s="91">
        <v>0</v>
      </c>
      <c r="F165" s="91">
        <v>0</v>
      </c>
      <c r="G165" t="str">
        <f>_xlfn.XLOOKUP($A165,Map!$A:$A,Map!C:C)</f>
        <v>IS</v>
      </c>
      <c r="H165" t="str">
        <f>_xlfn.XLOOKUP($A165,Map!$A:$A,Map!D:D)</f>
        <v>Cost of sales</v>
      </c>
      <c r="I165" t="str">
        <f>_xlfn.XLOOKUP($A165,Map!$A:$A,Map!E:E)</f>
        <v>Overhead - R&amp;M</v>
      </c>
      <c r="J165" t="str">
        <f>_xlfn.XLOOKUP($A165,Map!$A:$A,Map!F:F)</f>
        <v>Office equipment maintenance</v>
      </c>
    </row>
    <row r="166" spans="1:10" x14ac:dyDescent="0.25">
      <c r="A166" s="90">
        <v>600024</v>
      </c>
      <c r="B166" s="90" t="s">
        <v>159</v>
      </c>
      <c r="C166" s="91">
        <v>0</v>
      </c>
      <c r="D166" s="91">
        <v>0</v>
      </c>
      <c r="E166" s="91">
        <v>0</v>
      </c>
      <c r="F166" s="91">
        <v>0</v>
      </c>
      <c r="G166" t="str">
        <f>_xlfn.XLOOKUP($A166,Map!$A:$A,Map!C:C)</f>
        <v>IS</v>
      </c>
      <c r="H166" t="str">
        <f>_xlfn.XLOOKUP($A166,Map!$A:$A,Map!D:D)</f>
        <v>Cost of sales</v>
      </c>
      <c r="I166" t="str">
        <f>_xlfn.XLOOKUP($A166,Map!$A:$A,Map!E:E)</f>
        <v>Overhead - Rent</v>
      </c>
      <c r="J166" t="str">
        <f>_xlfn.XLOOKUP($A166,Map!$A:$A,Map!F:F)</f>
        <v>Pump rental expenses</v>
      </c>
    </row>
    <row r="167" spans="1:10" x14ac:dyDescent="0.25">
      <c r="A167" s="90">
        <v>600025</v>
      </c>
      <c r="B167" s="90" t="s">
        <v>160</v>
      </c>
      <c r="C167" s="91">
        <v>0</v>
      </c>
      <c r="D167" s="91">
        <v>0</v>
      </c>
      <c r="E167" s="91">
        <v>0</v>
      </c>
      <c r="F167" s="91">
        <v>0</v>
      </c>
      <c r="G167" t="str">
        <f>_xlfn.XLOOKUP($A167,Map!$A:$A,Map!C:C)</f>
        <v>IS</v>
      </c>
      <c r="H167" t="str">
        <f>_xlfn.XLOOKUP($A167,Map!$A:$A,Map!D:D)</f>
        <v>Cost of sales</v>
      </c>
      <c r="I167" t="str">
        <f>_xlfn.XLOOKUP($A167,Map!$A:$A,Map!E:E)</f>
        <v>Overhead - Insurance</v>
      </c>
      <c r="J167" t="str">
        <f>_xlfn.XLOOKUP($A167,Map!$A:$A,Map!F:F)</f>
        <v>Building insurance</v>
      </c>
    </row>
    <row r="168" spans="1:10" x14ac:dyDescent="0.25">
      <c r="A168" s="90">
        <v>600026</v>
      </c>
      <c r="B168" s="90" t="s">
        <v>161</v>
      </c>
      <c r="C168" s="91">
        <v>0</v>
      </c>
      <c r="D168" s="91">
        <v>0</v>
      </c>
      <c r="E168" s="91">
        <v>0</v>
      </c>
      <c r="F168" s="91">
        <v>0</v>
      </c>
      <c r="G168" t="str">
        <f>_xlfn.XLOOKUP($A168,Map!$A:$A,Map!C:C)</f>
        <v>IS</v>
      </c>
      <c r="H168" t="str">
        <f>_xlfn.XLOOKUP($A168,Map!$A:$A,Map!D:D)</f>
        <v>Cost of sales</v>
      </c>
      <c r="I168" t="str">
        <f>_xlfn.XLOOKUP($A168,Map!$A:$A,Map!E:E)</f>
        <v>Overhead - Insurance</v>
      </c>
      <c r="J168" t="str">
        <f>_xlfn.XLOOKUP($A168,Map!$A:$A,Map!F:F)</f>
        <v>Machine and equipment insurance</v>
      </c>
    </row>
    <row r="169" spans="1:10" x14ac:dyDescent="0.25">
      <c r="A169" s="90">
        <v>600027</v>
      </c>
      <c r="B169" s="90" t="s">
        <v>162</v>
      </c>
      <c r="C169" s="91">
        <v>0</v>
      </c>
      <c r="D169" s="91">
        <v>0</v>
      </c>
      <c r="E169" s="91">
        <v>0</v>
      </c>
      <c r="F169" s="91">
        <v>0</v>
      </c>
      <c r="G169" t="str">
        <f>_xlfn.XLOOKUP($A169,Map!$A:$A,Map!C:C)</f>
        <v>IS</v>
      </c>
      <c r="H169" t="str">
        <f>_xlfn.XLOOKUP($A169,Map!$A:$A,Map!D:D)</f>
        <v>Cost of sales</v>
      </c>
      <c r="I169" t="str">
        <f>_xlfn.XLOOKUP($A169,Map!$A:$A,Map!E:E)</f>
        <v>Overhead - Rent</v>
      </c>
      <c r="J169" t="str">
        <f>_xlfn.XLOOKUP($A169,Map!$A:$A,Map!F:F)</f>
        <v>Production hall rental</v>
      </c>
    </row>
    <row r="170" spans="1:10" x14ac:dyDescent="0.25">
      <c r="A170" s="90">
        <v>600028</v>
      </c>
      <c r="B170" s="90" t="s">
        <v>163</v>
      </c>
      <c r="C170" s="91">
        <v>0</v>
      </c>
      <c r="D170" s="91">
        <v>0</v>
      </c>
      <c r="E170" s="91">
        <v>0</v>
      </c>
      <c r="F170" s="91">
        <v>0</v>
      </c>
      <c r="G170" t="str">
        <f>_xlfn.XLOOKUP($A170,Map!$A:$A,Map!C:C)</f>
        <v>IS</v>
      </c>
      <c r="H170" t="str">
        <f>_xlfn.XLOOKUP($A170,Map!$A:$A,Map!D:D)</f>
        <v>Cost of sales</v>
      </c>
      <c r="I170" t="str">
        <f>_xlfn.XLOOKUP($A170,Map!$A:$A,Map!E:E)</f>
        <v>Overhead - Consumables &amp; SP</v>
      </c>
      <c r="J170" t="str">
        <f>_xlfn.XLOOKUP($A170,Map!$A:$A,Map!F:F)</f>
        <v xml:space="preserve">Education &amp; Furniture Allowances </v>
      </c>
    </row>
    <row r="171" spans="1:10" x14ac:dyDescent="0.25">
      <c r="A171" s="90">
        <v>600029</v>
      </c>
      <c r="B171" s="90" t="s">
        <v>164</v>
      </c>
      <c r="C171" s="91">
        <v>0</v>
      </c>
      <c r="D171" s="91">
        <v>3787622.0819999999</v>
      </c>
      <c r="E171" s="91">
        <v>3787622.0819999999</v>
      </c>
      <c r="F171" s="91">
        <v>0</v>
      </c>
      <c r="G171" t="str">
        <f>_xlfn.XLOOKUP($A171,Map!$A:$A,Map!C:C)</f>
        <v>IS</v>
      </c>
      <c r="H171" t="str">
        <f>_xlfn.XLOOKUP($A171,Map!$A:$A,Map!D:D)</f>
        <v>Cost of sales</v>
      </c>
      <c r="I171" t="str">
        <f>_xlfn.XLOOKUP($A171,Map!$A:$A,Map!E:E)</f>
        <v>Depreciation - Machines</v>
      </c>
      <c r="J171" t="str">
        <f>_xlfn.XLOOKUP($A171,Map!$A:$A,Map!F:F)</f>
        <v>Depreciation of property, plant and equipment</v>
      </c>
    </row>
    <row r="172" spans="1:10" x14ac:dyDescent="0.25">
      <c r="A172" s="90">
        <v>600030</v>
      </c>
      <c r="B172" s="90" t="s">
        <v>165</v>
      </c>
      <c r="C172" s="91">
        <v>0</v>
      </c>
      <c r="D172" s="91">
        <v>82730.331999999995</v>
      </c>
      <c r="E172" s="91">
        <v>82730.331999999995</v>
      </c>
      <c r="F172" s="91">
        <v>0</v>
      </c>
      <c r="G172" t="str">
        <f>_xlfn.XLOOKUP($A172,Map!$A:$A,Map!C:C)</f>
        <v>IS</v>
      </c>
      <c r="H172" t="str">
        <f>_xlfn.XLOOKUP($A172,Map!$A:$A,Map!D:D)</f>
        <v>Depreciation expenses</v>
      </c>
      <c r="I172" t="str">
        <f>_xlfn.XLOOKUP($A172,Map!$A:$A,Map!E:E)</f>
        <v>Depreciation expenses</v>
      </c>
      <c r="J172" t="str">
        <f>_xlfn.XLOOKUP($A172,Map!$A:$A,Map!F:F)</f>
        <v>Depreciation of property, plant and equipment</v>
      </c>
    </row>
    <row r="173" spans="1:10" x14ac:dyDescent="0.25">
      <c r="A173" s="90">
        <v>600031</v>
      </c>
      <c r="B173" s="90" t="s">
        <v>166</v>
      </c>
      <c r="C173" s="91">
        <v>0</v>
      </c>
      <c r="D173" s="91">
        <v>17592.71</v>
      </c>
      <c r="E173" s="91">
        <v>17592.71</v>
      </c>
      <c r="F173" s="91">
        <v>0</v>
      </c>
      <c r="G173" t="str">
        <f>_xlfn.XLOOKUP($A173,Map!$A:$A,Map!C:C)</f>
        <v>IS</v>
      </c>
      <c r="H173" t="str">
        <f>_xlfn.XLOOKUP($A173,Map!$A:$A,Map!D:D)</f>
        <v>Depreciation expenses</v>
      </c>
      <c r="I173" t="str">
        <f>_xlfn.XLOOKUP($A173,Map!$A:$A,Map!E:E)</f>
        <v>Depreciation expenses</v>
      </c>
      <c r="J173" t="str">
        <f>_xlfn.XLOOKUP($A173,Map!$A:$A,Map!F:F)</f>
        <v>Depreciation of property, plant and equipment</v>
      </c>
    </row>
    <row r="174" spans="1:10" x14ac:dyDescent="0.25">
      <c r="A174" s="90">
        <v>600032</v>
      </c>
      <c r="B174" s="90" t="s">
        <v>167</v>
      </c>
      <c r="C174" s="91">
        <v>0</v>
      </c>
      <c r="D174" s="91">
        <v>1566844.2</v>
      </c>
      <c r="E174" s="91">
        <v>1566844.2</v>
      </c>
      <c r="F174" s="91">
        <v>0</v>
      </c>
      <c r="G174" t="str">
        <f>_xlfn.XLOOKUP($A174,Map!$A:$A,Map!C:C)</f>
        <v>IS</v>
      </c>
      <c r="H174" t="str">
        <f>_xlfn.XLOOKUP($A174,Map!$A:$A,Map!D:D)</f>
        <v>Depreciation expenses</v>
      </c>
      <c r="I174" t="str">
        <f>_xlfn.XLOOKUP($A174,Map!$A:$A,Map!E:E)</f>
        <v>Depreciation expenses</v>
      </c>
      <c r="J174" t="str">
        <f>_xlfn.XLOOKUP($A174,Map!$A:$A,Map!F:F)</f>
        <v>Depreciation of property, plant and equipment</v>
      </c>
    </row>
    <row r="175" spans="1:10" x14ac:dyDescent="0.25">
      <c r="A175" s="90">
        <v>600033</v>
      </c>
      <c r="B175" s="90" t="s">
        <v>168</v>
      </c>
      <c r="C175" s="91">
        <v>0</v>
      </c>
      <c r="D175" s="91">
        <v>149331.413</v>
      </c>
      <c r="E175" s="91">
        <v>149331.413</v>
      </c>
      <c r="F175" s="91">
        <v>0</v>
      </c>
      <c r="G175" t="str">
        <f>_xlfn.XLOOKUP($A175,Map!$A:$A,Map!C:C)</f>
        <v>IS</v>
      </c>
      <c r="H175" t="str">
        <f>_xlfn.XLOOKUP($A175,Map!$A:$A,Map!D:D)</f>
        <v>Depreciation expenses</v>
      </c>
      <c r="I175" t="str">
        <f>_xlfn.XLOOKUP($A175,Map!$A:$A,Map!E:E)</f>
        <v>Depreciation expenses</v>
      </c>
      <c r="J175" t="str">
        <f>_xlfn.XLOOKUP($A175,Map!$A:$A,Map!F:F)</f>
        <v>Depreciation of property, plant and equipment</v>
      </c>
    </row>
    <row r="176" spans="1:10" x14ac:dyDescent="0.25">
      <c r="A176" s="90">
        <v>600060</v>
      </c>
      <c r="B176" s="90" t="s">
        <v>170</v>
      </c>
      <c r="C176" s="91">
        <v>0</v>
      </c>
      <c r="D176" s="91">
        <v>2360739.645</v>
      </c>
      <c r="E176" s="91">
        <v>2360739.645</v>
      </c>
      <c r="F176" s="91">
        <v>0</v>
      </c>
      <c r="G176" t="str">
        <f>_xlfn.XLOOKUP($A176,Map!$A:$A,Map!C:C)</f>
        <v>IS</v>
      </c>
      <c r="H176" t="str">
        <f>_xlfn.XLOOKUP($A176,Map!$A:$A,Map!D:D)</f>
        <v>Other Income</v>
      </c>
      <c r="I176" t="str">
        <f>_xlfn.XLOOKUP($A176,Map!$A:$A,Map!E:E)</f>
        <v>Other Income</v>
      </c>
      <c r="J176" t="str">
        <f>_xlfn.XLOOKUP($A176,Map!$A:$A,Map!F:F)</f>
        <v>Hadaf program</v>
      </c>
    </row>
    <row r="177" spans="1:11" x14ac:dyDescent="0.25">
      <c r="A177" s="90">
        <v>700001</v>
      </c>
      <c r="B177" s="90" t="s">
        <v>171</v>
      </c>
      <c r="C177" s="91">
        <v>0</v>
      </c>
      <c r="D177" s="91">
        <v>5720900.7300000004</v>
      </c>
      <c r="E177" s="91">
        <v>17185.93</v>
      </c>
      <c r="F177" s="91">
        <v>5703714.7999999998</v>
      </c>
      <c r="G177" t="str">
        <f>_xlfn.XLOOKUP($A177,Map!$A:$A,Map!C:C)</f>
        <v>IS</v>
      </c>
      <c r="H177" t="str">
        <f>_xlfn.XLOOKUP($A177,Map!$A:$A,Map!D:D)</f>
        <v>General and Admin</v>
      </c>
      <c r="I177" t="str">
        <f>_xlfn.XLOOKUP($A177,Map!$A:$A,Map!E:E)</f>
        <v>Salaries and wages</v>
      </c>
      <c r="J177" t="str">
        <f>_xlfn.XLOOKUP($A177,Map!$A:$A,Map!F:F)</f>
        <v>Salaries and wages</v>
      </c>
      <c r="K177" s="90" t="str">
        <f>_xlfn.XLOOKUP(I177,'P&amp;L_2014-2025'!A:A,'P&amp;L_2014-2025'!A:A)</f>
        <v>Salaries and wages</v>
      </c>
    </row>
    <row r="178" spans="1:11" x14ac:dyDescent="0.25">
      <c r="A178" s="90">
        <v>700002</v>
      </c>
      <c r="B178" s="90" t="s">
        <v>172</v>
      </c>
      <c r="C178" s="91">
        <v>0</v>
      </c>
      <c r="D178" s="91">
        <v>62087.839999999997</v>
      </c>
      <c r="E178" s="91">
        <v>0</v>
      </c>
      <c r="F178" s="91">
        <v>62087.839999999997</v>
      </c>
      <c r="G178" t="str">
        <f>_xlfn.XLOOKUP($A178,Map!$A:$A,Map!C:C)</f>
        <v>IS</v>
      </c>
      <c r="H178" t="str">
        <f>_xlfn.XLOOKUP($A178,Map!$A:$A,Map!D:D)</f>
        <v>General and Admin</v>
      </c>
      <c r="I178" t="str">
        <f>_xlfn.XLOOKUP($A178,Map!$A:$A,Map!E:E)</f>
        <v>Salaries and wages</v>
      </c>
      <c r="J178" t="str">
        <f>_xlfn.XLOOKUP($A178,Map!$A:$A,Map!F:F)</f>
        <v>Overtime pay</v>
      </c>
      <c r="K178" s="90" t="str">
        <f>_xlfn.XLOOKUP(I178,'P&amp;L_2014-2025'!A:A,'P&amp;L_2014-2025'!A:A)</f>
        <v>Salaries and wages</v>
      </c>
    </row>
    <row r="179" spans="1:11" x14ac:dyDescent="0.25">
      <c r="A179" s="90">
        <v>700003</v>
      </c>
      <c r="B179" s="90" t="s">
        <v>173</v>
      </c>
      <c r="C179" s="91">
        <v>0</v>
      </c>
      <c r="D179" s="91">
        <v>9704</v>
      </c>
      <c r="E179" s="91">
        <v>0</v>
      </c>
      <c r="F179" s="91">
        <v>9704</v>
      </c>
      <c r="G179" t="str">
        <f>_xlfn.XLOOKUP($A179,Map!$A:$A,Map!C:C)</f>
        <v>IS</v>
      </c>
      <c r="H179" t="str">
        <f>_xlfn.XLOOKUP($A179,Map!$A:$A,Map!D:D)</f>
        <v>General and Admin</v>
      </c>
      <c r="I179" t="str">
        <f>_xlfn.XLOOKUP($A179,Map!$A:$A,Map!E:E)</f>
        <v>Salaries and wages</v>
      </c>
      <c r="J179" t="str">
        <f>_xlfn.XLOOKUP($A179,Map!$A:$A,Map!F:F)</f>
        <v xml:space="preserve">Food &amp; Housing </v>
      </c>
      <c r="K179" s="90" t="str">
        <f>_xlfn.XLOOKUP(I179,'P&amp;L_2014-2025'!A:A,'P&amp;L_2014-2025'!A:A)</f>
        <v>Salaries and wages</v>
      </c>
    </row>
    <row r="180" spans="1:11" x14ac:dyDescent="0.25">
      <c r="A180" s="90">
        <v>700004</v>
      </c>
      <c r="B180" s="90" t="s">
        <v>174</v>
      </c>
      <c r="C180" s="91">
        <v>0</v>
      </c>
      <c r="D180" s="91">
        <v>280307.54399999999</v>
      </c>
      <c r="E180" s="91">
        <v>0</v>
      </c>
      <c r="F180" s="91">
        <v>280307.54399999999</v>
      </c>
      <c r="G180" t="str">
        <f>_xlfn.XLOOKUP($A180,Map!$A:$A,Map!C:C)</f>
        <v>IS</v>
      </c>
      <c r="H180" t="str">
        <f>_xlfn.XLOOKUP($A180,Map!$A:$A,Map!D:D)</f>
        <v>General and Admin</v>
      </c>
      <c r="I180" t="str">
        <f>_xlfn.XLOOKUP($A180,Map!$A:$A,Map!E:E)</f>
        <v>Salaries and wages</v>
      </c>
      <c r="J180" t="str">
        <f>_xlfn.XLOOKUP($A180,Map!$A:$A,Map!F:F)</f>
        <v>Medical insurance</v>
      </c>
      <c r="K180" s="90" t="str">
        <f>_xlfn.XLOOKUP(I180,'P&amp;L_2014-2025'!A:A,'P&amp;L_2014-2025'!A:A)</f>
        <v>Salaries and wages</v>
      </c>
    </row>
    <row r="181" spans="1:11" x14ac:dyDescent="0.25">
      <c r="A181" s="90">
        <v>700005</v>
      </c>
      <c r="B181" s="90" t="s">
        <v>175</v>
      </c>
      <c r="C181" s="91">
        <v>0</v>
      </c>
      <c r="D181" s="91">
        <v>154303.54999999999</v>
      </c>
      <c r="E181" s="91">
        <v>0</v>
      </c>
      <c r="F181" s="91">
        <v>154303.54999999999</v>
      </c>
      <c r="G181" t="str">
        <f>_xlfn.XLOOKUP($A181,Map!$A:$A,Map!C:C)</f>
        <v>IS</v>
      </c>
      <c r="H181" t="str">
        <f>_xlfn.XLOOKUP($A181,Map!$A:$A,Map!D:D)</f>
        <v>General and Admin</v>
      </c>
      <c r="I181" t="str">
        <f>_xlfn.XLOOKUP($A181,Map!$A:$A,Map!E:E)</f>
        <v>Govt license and fees (including modon)</v>
      </c>
      <c r="J181" t="str">
        <f>_xlfn.XLOOKUP($A181,Map!$A:$A,Map!F:F)</f>
        <v>Government fees</v>
      </c>
      <c r="K181" s="90" t="str">
        <f>_xlfn.XLOOKUP(I181,'P&amp;L_2014-2025'!A:A,'P&amp;L_2014-2025'!A:A)</f>
        <v>Govt license and fees (including modon)</v>
      </c>
    </row>
    <row r="182" spans="1:11" x14ac:dyDescent="0.25">
      <c r="A182" s="90">
        <v>700006</v>
      </c>
      <c r="B182" s="90" t="s">
        <v>176</v>
      </c>
      <c r="C182" s="91">
        <v>0</v>
      </c>
      <c r="D182" s="91">
        <v>1172467.5179999999</v>
      </c>
      <c r="E182" s="91">
        <v>137374</v>
      </c>
      <c r="F182" s="91">
        <v>1035093.518</v>
      </c>
      <c r="G182" t="str">
        <f>_xlfn.XLOOKUP($A182,Map!$A:$A,Map!C:C)</f>
        <v>IS</v>
      </c>
      <c r="H182" t="str">
        <f>_xlfn.XLOOKUP($A182,Map!$A:$A,Map!D:D)</f>
        <v>General and Admin</v>
      </c>
      <c r="I182" t="str">
        <f>_xlfn.XLOOKUP($A182,Map!$A:$A,Map!E:E)</f>
        <v>Salaries and wages</v>
      </c>
      <c r="J182" t="str">
        <f>_xlfn.XLOOKUP($A182,Map!$A:$A,Map!F:F)</f>
        <v xml:space="preserve">Food &amp; Housing </v>
      </c>
      <c r="K182" s="90" t="str">
        <f>_xlfn.XLOOKUP(I182,'P&amp;L_2014-2025'!A:A,'P&amp;L_2014-2025'!A:A)</f>
        <v>Salaries and wages</v>
      </c>
    </row>
    <row r="183" spans="1:11" x14ac:dyDescent="0.25">
      <c r="A183" s="90">
        <v>700007</v>
      </c>
      <c r="B183" s="90" t="s">
        <v>177</v>
      </c>
      <c r="C183" s="91">
        <v>0</v>
      </c>
      <c r="D183" s="91">
        <v>610058.86</v>
      </c>
      <c r="E183" s="91">
        <v>0</v>
      </c>
      <c r="F183" s="91">
        <v>610058.86</v>
      </c>
      <c r="G183" t="str">
        <f>_xlfn.XLOOKUP($A183,Map!$A:$A,Map!C:C)</f>
        <v>IS</v>
      </c>
      <c r="H183" t="str">
        <f>_xlfn.XLOOKUP($A183,Map!$A:$A,Map!D:D)</f>
        <v>General and Admin</v>
      </c>
      <c r="I183" t="str">
        <f>_xlfn.XLOOKUP($A183,Map!$A:$A,Map!E:E)</f>
        <v>Salaries and wages</v>
      </c>
      <c r="J183" t="str">
        <f>_xlfn.XLOOKUP($A183,Map!$A:$A,Map!F:F)</f>
        <v>Transportation allowance</v>
      </c>
      <c r="K183" s="90" t="str">
        <f>_xlfn.XLOOKUP(I183,'P&amp;L_2014-2025'!A:A,'P&amp;L_2014-2025'!A:A)</f>
        <v>Salaries and wages</v>
      </c>
    </row>
    <row r="184" spans="1:11" x14ac:dyDescent="0.25">
      <c r="A184" s="90">
        <v>700008</v>
      </c>
      <c r="B184" s="90" t="s">
        <v>178</v>
      </c>
      <c r="C184" s="91">
        <v>0</v>
      </c>
      <c r="D184" s="91">
        <v>61774.529000000002</v>
      </c>
      <c r="E184" s="91">
        <v>0</v>
      </c>
      <c r="F184" s="91">
        <v>61774.529000000002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Salaries and wages</v>
      </c>
      <c r="J184" t="str">
        <f>_xlfn.XLOOKUP($A184,Map!$A:$A,Map!F:F)</f>
        <v>Air tickets</v>
      </c>
      <c r="K184" s="90" t="str">
        <f>_xlfn.XLOOKUP(I184,'P&amp;L_2014-2025'!A:A,'P&amp;L_2014-2025'!A:A)</f>
        <v>Salaries and wages</v>
      </c>
    </row>
    <row r="185" spans="1:11" x14ac:dyDescent="0.25">
      <c r="A185" s="90">
        <v>700009</v>
      </c>
      <c r="B185" s="90" t="s">
        <v>179</v>
      </c>
      <c r="C185" s="91">
        <v>0</v>
      </c>
      <c r="D185" s="91">
        <v>555498.04</v>
      </c>
      <c r="E185" s="91">
        <v>534917</v>
      </c>
      <c r="F185" s="91">
        <v>20581.04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Salaries and wages</v>
      </c>
      <c r="J185" t="str">
        <f>_xlfn.XLOOKUP($A185,Map!$A:$A,Map!F:F)</f>
        <v>Leave pay</v>
      </c>
      <c r="K185" s="90" t="str">
        <f>_xlfn.XLOOKUP(I185,'P&amp;L_2014-2025'!A:A,'P&amp;L_2014-2025'!A:A)</f>
        <v>Salaries and wages</v>
      </c>
    </row>
    <row r="186" spans="1:11" x14ac:dyDescent="0.25">
      <c r="A186" s="90">
        <v>700010</v>
      </c>
      <c r="B186" s="90" t="s">
        <v>180</v>
      </c>
      <c r="C186" s="91">
        <v>0</v>
      </c>
      <c r="D186" s="91">
        <v>1702695.67</v>
      </c>
      <c r="E186" s="91">
        <v>965140.67</v>
      </c>
      <c r="F186" s="91">
        <v>737555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Salaries and wages</v>
      </c>
      <c r="J186" t="str">
        <f>_xlfn.XLOOKUP($A186,Map!$A:$A,Map!F:F)</f>
        <v>Indemnities</v>
      </c>
      <c r="K186" s="90" t="str">
        <f>_xlfn.XLOOKUP(I186,'P&amp;L_2014-2025'!A:A,'P&amp;L_2014-2025'!A:A)</f>
        <v>Salaries and wages</v>
      </c>
    </row>
    <row r="187" spans="1:11" x14ac:dyDescent="0.25">
      <c r="A187" s="90">
        <v>700011</v>
      </c>
      <c r="B187" s="90" t="s">
        <v>181</v>
      </c>
      <c r="C187" s="91">
        <v>0</v>
      </c>
      <c r="D187" s="91">
        <v>66000.138000000006</v>
      </c>
      <c r="E187" s="91">
        <v>2235</v>
      </c>
      <c r="F187" s="91">
        <v>63765.137999999999</v>
      </c>
      <c r="G187" t="str">
        <f>_xlfn.XLOOKUP($A187,Map!$A:$A,Map!C:C)</f>
        <v>IS</v>
      </c>
      <c r="H187" t="str">
        <f>_xlfn.XLOOKUP($A187,Map!$A:$A,Map!D:D)</f>
        <v>General and Admin</v>
      </c>
      <c r="I187" t="str">
        <f>_xlfn.XLOOKUP($A187,Map!$A:$A,Map!E:E)</f>
        <v>Salaries and wages</v>
      </c>
      <c r="J187" t="str">
        <f>_xlfn.XLOOKUP($A187,Map!$A:$A,Map!F:F)</f>
        <v>Air tickets</v>
      </c>
      <c r="K187" s="90" t="str">
        <f>_xlfn.XLOOKUP(I187,'P&amp;L_2014-2025'!A:A,'P&amp;L_2014-2025'!A:A)</f>
        <v>Salaries and wages</v>
      </c>
    </row>
    <row r="188" spans="1:11" x14ac:dyDescent="0.25">
      <c r="A188" s="90">
        <v>700012</v>
      </c>
      <c r="B188" s="90" t="s">
        <v>182</v>
      </c>
      <c r="C188" s="91">
        <v>0</v>
      </c>
      <c r="D188" s="91">
        <v>318136.44</v>
      </c>
      <c r="E188" s="91">
        <v>0</v>
      </c>
      <c r="F188" s="91">
        <v>318136.44</v>
      </c>
      <c r="G188" t="str">
        <f>_xlfn.XLOOKUP($A188,Map!$A:$A,Map!C:C)</f>
        <v>IS</v>
      </c>
      <c r="H188" t="str">
        <f>_xlfn.XLOOKUP($A188,Map!$A:$A,Map!D:D)</f>
        <v>General and Admin</v>
      </c>
      <c r="I188" t="str">
        <f>_xlfn.XLOOKUP($A188,Map!$A:$A,Map!E:E)</f>
        <v>Salaries and wages</v>
      </c>
      <c r="J188" t="str">
        <f>_xlfn.XLOOKUP($A188,Map!$A:$A,Map!F:F)</f>
        <v xml:space="preserve">Education &amp; Furniture Allowances </v>
      </c>
      <c r="K188" s="90" t="str">
        <f>_xlfn.XLOOKUP(I188,'P&amp;L_2014-2025'!A:A,'P&amp;L_2014-2025'!A:A)</f>
        <v>Salaries and wages</v>
      </c>
    </row>
    <row r="189" spans="1:11" x14ac:dyDescent="0.25">
      <c r="A189" s="90">
        <v>700013</v>
      </c>
      <c r="B189" s="90" t="s">
        <v>183</v>
      </c>
      <c r="C189" s="91">
        <v>0</v>
      </c>
      <c r="D189" s="91">
        <v>43216.67</v>
      </c>
      <c r="E189" s="91">
        <v>0</v>
      </c>
      <c r="F189" s="91">
        <v>43216.67</v>
      </c>
      <c r="G189" t="str">
        <f>_xlfn.XLOOKUP($A189,Map!$A:$A,Map!C:C)</f>
        <v>IS</v>
      </c>
      <c r="H189" t="str">
        <f>_xlfn.XLOOKUP($A189,Map!$A:$A,Map!D:D)</f>
        <v>General and Admin</v>
      </c>
      <c r="I189" t="str">
        <f>_xlfn.XLOOKUP($A189,Map!$A:$A,Map!E:E)</f>
        <v>Utilities</v>
      </c>
      <c r="J189" t="str">
        <f>_xlfn.XLOOKUP($A189,Map!$A:$A,Map!F:F)</f>
        <v>Other general and administrative expenses</v>
      </c>
      <c r="K189" s="90" t="str">
        <f>_xlfn.XLOOKUP(I189,'P&amp;L_2014-2025'!A:A,'P&amp;L_2014-2025'!A:A)</f>
        <v>Utilities</v>
      </c>
    </row>
    <row r="190" spans="1:11" x14ac:dyDescent="0.25">
      <c r="A190" s="90">
        <v>700014</v>
      </c>
      <c r="B190" s="90" t="s">
        <v>184</v>
      </c>
      <c r="C190" s="91">
        <v>0</v>
      </c>
      <c r="D190" s="91">
        <v>129680.003</v>
      </c>
      <c r="E190" s="91">
        <v>0</v>
      </c>
      <c r="F190" s="91">
        <v>129680.003</v>
      </c>
      <c r="G190" t="str">
        <f>_xlfn.XLOOKUP($A190,Map!$A:$A,Map!C:C)</f>
        <v>IS</v>
      </c>
      <c r="H190" t="str">
        <f>_xlfn.XLOOKUP($A190,Map!$A:$A,Map!D:D)</f>
        <v>General and Admin</v>
      </c>
      <c r="I190" t="str">
        <f>_xlfn.XLOOKUP($A190,Map!$A:$A,Map!E:E)</f>
        <v>Salaries and wages</v>
      </c>
      <c r="J190" t="str">
        <f>_xlfn.XLOOKUP($A190,Map!$A:$A,Map!F:F)</f>
        <v xml:space="preserve">Education &amp; Furniture Allowances </v>
      </c>
      <c r="K190" s="90" t="str">
        <f>_xlfn.XLOOKUP(I190,'P&amp;L_2014-2025'!A:A,'P&amp;L_2014-2025'!A:A)</f>
        <v>Salaries and wages</v>
      </c>
    </row>
    <row r="191" spans="1:11" x14ac:dyDescent="0.25">
      <c r="A191" s="90">
        <v>700015</v>
      </c>
      <c r="B191" s="90" t="s">
        <v>185</v>
      </c>
      <c r="C191" s="91">
        <v>0</v>
      </c>
      <c r="D191" s="91">
        <v>20387.061000000002</v>
      </c>
      <c r="E191" s="91">
        <v>0</v>
      </c>
      <c r="F191" s="91">
        <v>20387.061000000002</v>
      </c>
      <c r="G191" t="str">
        <f>_xlfn.XLOOKUP($A191,Map!$A:$A,Map!C:C)</f>
        <v>IS</v>
      </c>
      <c r="H191" t="str">
        <f>_xlfn.XLOOKUP($A191,Map!$A:$A,Map!D:D)</f>
        <v>General and Admin</v>
      </c>
      <c r="I191" t="str">
        <f>_xlfn.XLOOKUP($A191,Map!$A:$A,Map!E:E)</f>
        <v>Business travel</v>
      </c>
      <c r="J191" t="str">
        <f>_xlfn.XLOOKUP($A191,Map!$A:$A,Map!F:F)</f>
        <v>Transportation expenses</v>
      </c>
      <c r="K191" s="90" t="str">
        <f>_xlfn.XLOOKUP(I191,'P&amp;L_2014-2025'!A:A,'P&amp;L_2014-2025'!A:A)</f>
        <v>Business travel</v>
      </c>
    </row>
    <row r="192" spans="1:11" x14ac:dyDescent="0.25">
      <c r="A192" s="90">
        <v>700016</v>
      </c>
      <c r="B192" s="90" t="s">
        <v>186</v>
      </c>
      <c r="C192" s="91">
        <v>0</v>
      </c>
      <c r="D192" s="91">
        <v>36224.739000000001</v>
      </c>
      <c r="E192" s="91">
        <v>0</v>
      </c>
      <c r="F192" s="91">
        <v>36224.739000000001</v>
      </c>
      <c r="G192" t="str">
        <f>_xlfn.XLOOKUP($A192,Map!$A:$A,Map!C:C)</f>
        <v>IS</v>
      </c>
      <c r="H192" t="str">
        <f>_xlfn.XLOOKUP($A192,Map!$A:$A,Map!D:D)</f>
        <v>Selling and Marketing</v>
      </c>
      <c r="I192" t="str">
        <f>_xlfn.XLOOKUP($A192,Map!$A:$A,Map!E:E)</f>
        <v>Buffet expenses</v>
      </c>
      <c r="J192" t="str">
        <f>_xlfn.XLOOKUP($A192,Map!$A:$A,Map!F:F)</f>
        <v>Food expenses</v>
      </c>
    </row>
    <row r="193" spans="1:11" x14ac:dyDescent="0.25">
      <c r="A193" s="90">
        <v>700017</v>
      </c>
      <c r="B193" s="90" t="s">
        <v>187</v>
      </c>
      <c r="C193" s="91">
        <v>0</v>
      </c>
      <c r="D193" s="91">
        <v>0</v>
      </c>
      <c r="E193" s="91">
        <v>0</v>
      </c>
      <c r="F193" s="91">
        <v>0</v>
      </c>
      <c r="G193" t="str">
        <f>_xlfn.XLOOKUP($A193,Map!$A:$A,Map!C:C)</f>
        <v>IS</v>
      </c>
      <c r="H193" t="str">
        <f>_xlfn.XLOOKUP($A193,Map!$A:$A,Map!D:D)</f>
        <v>General and Admin</v>
      </c>
      <c r="I193" t="str">
        <f>_xlfn.XLOOKUP($A193,Map!$A:$A,Map!E:E)</f>
        <v>Salaries and wages</v>
      </c>
      <c r="J193" t="str">
        <f>_xlfn.XLOOKUP($A193,Map!$A:$A,Map!F:F)</f>
        <v>Accommodation expenses</v>
      </c>
      <c r="K193" s="90" t="str">
        <f>_xlfn.XLOOKUP(I193,'P&amp;L_2014-2025'!A:A,'P&amp;L_2014-2025'!A:A)</f>
        <v>Salaries and wages</v>
      </c>
    </row>
    <row r="194" spans="1:11" x14ac:dyDescent="0.25">
      <c r="A194" s="90">
        <v>700018</v>
      </c>
      <c r="B194" s="90" t="s">
        <v>188</v>
      </c>
      <c r="C194" s="91">
        <v>0</v>
      </c>
      <c r="D194" s="91">
        <v>0</v>
      </c>
      <c r="E194" s="91">
        <v>0</v>
      </c>
      <c r="F194" s="91">
        <v>0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Salaries and wages</v>
      </c>
      <c r="J194" t="str">
        <f>_xlfn.XLOOKUP($A194,Map!$A:$A,Map!F:F)</f>
        <v xml:space="preserve">Employee Medical Emergency Expenses </v>
      </c>
      <c r="K194" s="90" t="str">
        <f>_xlfn.XLOOKUP(I194,'P&amp;L_2014-2025'!A:A,'P&amp;L_2014-2025'!A:A)</f>
        <v>Salaries and wages</v>
      </c>
    </row>
    <row r="195" spans="1:11" x14ac:dyDescent="0.25">
      <c r="A195" s="90">
        <v>700019</v>
      </c>
      <c r="B195" s="90" t="s">
        <v>189</v>
      </c>
      <c r="C195" s="91">
        <v>0</v>
      </c>
      <c r="D195" s="91">
        <v>1027400</v>
      </c>
      <c r="E195" s="91">
        <v>1027400</v>
      </c>
      <c r="F195" s="91">
        <v>0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Salaries and wages</v>
      </c>
      <c r="J195" t="str">
        <f>_xlfn.XLOOKUP($A195,Map!$A:$A,Map!F:F)</f>
        <v xml:space="preserve">Incentives </v>
      </c>
      <c r="K195" s="90" t="str">
        <f>_xlfn.XLOOKUP(I195,'P&amp;L_2014-2025'!A:A,'P&amp;L_2014-2025'!A:A)</f>
        <v>Salaries and wages</v>
      </c>
    </row>
    <row r="196" spans="1:11" x14ac:dyDescent="0.25">
      <c r="A196" s="90">
        <v>700020</v>
      </c>
      <c r="B196" s="90" t="s">
        <v>190</v>
      </c>
      <c r="C196" s="91">
        <v>0</v>
      </c>
      <c r="D196" s="91">
        <v>15953.803</v>
      </c>
      <c r="E196" s="91">
        <v>1413.52</v>
      </c>
      <c r="F196" s="91">
        <v>14540.282999999999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>Utilities</v>
      </c>
      <c r="J196" t="str">
        <f>_xlfn.XLOOKUP($A196,Map!$A:$A,Map!F:F)</f>
        <v>Electricity expenses</v>
      </c>
      <c r="K196" s="90" t="str">
        <f>_xlfn.XLOOKUP(I196,'P&amp;L_2014-2025'!A:A,'P&amp;L_2014-2025'!A:A)</f>
        <v>Utilities</v>
      </c>
    </row>
    <row r="197" spans="1:11" x14ac:dyDescent="0.25">
      <c r="A197" s="90">
        <v>700021</v>
      </c>
      <c r="B197" s="90" t="s">
        <v>191</v>
      </c>
      <c r="C197" s="91">
        <v>0</v>
      </c>
      <c r="D197" s="91">
        <v>28399</v>
      </c>
      <c r="E197" s="91">
        <v>0</v>
      </c>
      <c r="F197" s="91">
        <v>28399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Utilities</v>
      </c>
      <c r="J197" t="str">
        <f>_xlfn.XLOOKUP($A197,Map!$A:$A,Map!F:F)</f>
        <v>Other general and administrative expenses</v>
      </c>
      <c r="K197" s="90" t="str">
        <f>_xlfn.XLOOKUP(I197,'P&amp;L_2014-2025'!A:A,'P&amp;L_2014-2025'!A:A)</f>
        <v>Utilities</v>
      </c>
    </row>
    <row r="198" spans="1:11" x14ac:dyDescent="0.25">
      <c r="A198" s="90">
        <v>700022</v>
      </c>
      <c r="B198" s="90" t="s">
        <v>192</v>
      </c>
      <c r="C198" s="91">
        <v>0</v>
      </c>
      <c r="D198" s="91">
        <v>99293.07</v>
      </c>
      <c r="E198" s="91">
        <v>0</v>
      </c>
      <c r="F198" s="91">
        <v>99293.07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Utilities</v>
      </c>
      <c r="J198" t="str">
        <f>_xlfn.XLOOKUP($A198,Map!$A:$A,Map!F:F)</f>
        <v>Other general and administrative expenses</v>
      </c>
      <c r="K198" s="90" t="str">
        <f>_xlfn.XLOOKUP(I198,'P&amp;L_2014-2025'!A:A,'P&amp;L_2014-2025'!A:A)</f>
        <v>Utilities</v>
      </c>
    </row>
    <row r="199" spans="1:11" x14ac:dyDescent="0.25">
      <c r="A199" s="90">
        <v>700023</v>
      </c>
      <c r="B199" s="90" t="s">
        <v>193</v>
      </c>
      <c r="C199" s="91">
        <v>0</v>
      </c>
      <c r="D199" s="91">
        <v>25235.39</v>
      </c>
      <c r="E199" s="91">
        <v>0</v>
      </c>
      <c r="F199" s="91">
        <v>25235.39</v>
      </c>
      <c r="G199" t="str">
        <f>_xlfn.XLOOKUP($A199,Map!$A:$A,Map!C:C)</f>
        <v>IS</v>
      </c>
      <c r="H199" t="str">
        <f>_xlfn.XLOOKUP($A199,Map!$A:$A,Map!D:D)</f>
        <v>General and Admin</v>
      </c>
      <c r="I199" t="str">
        <f>_xlfn.XLOOKUP($A199,Map!$A:$A,Map!E:E)</f>
        <v>Utilities</v>
      </c>
      <c r="J199" t="str">
        <f>_xlfn.XLOOKUP($A199,Map!$A:$A,Map!F:F)</f>
        <v xml:space="preserve">Postage &amp; Printing </v>
      </c>
      <c r="K199" s="90" t="str">
        <f>_xlfn.XLOOKUP(I199,'P&amp;L_2014-2025'!A:A,'P&amp;L_2014-2025'!A:A)</f>
        <v>Utilities</v>
      </c>
    </row>
    <row r="200" spans="1:11" x14ac:dyDescent="0.25">
      <c r="A200" s="90">
        <v>700024</v>
      </c>
      <c r="B200" s="90" t="s">
        <v>194</v>
      </c>
      <c r="C200" s="91">
        <v>0</v>
      </c>
      <c r="D200" s="91">
        <v>722240.95</v>
      </c>
      <c r="E200" s="91">
        <v>22619.808000000001</v>
      </c>
      <c r="F200" s="91">
        <v>699621.14199999999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IT expenses</v>
      </c>
      <c r="J200" t="str">
        <f>_xlfn.XLOOKUP($A200,Map!$A:$A,Map!F:F)</f>
        <v>Other general and administrative expenses</v>
      </c>
      <c r="K200" s="90" t="str">
        <f>_xlfn.XLOOKUP(I200,'P&amp;L_2014-2025'!A:A,'P&amp;L_2014-2025'!A:A)</f>
        <v>IT expenses</v>
      </c>
    </row>
    <row r="201" spans="1:11" x14ac:dyDescent="0.25">
      <c r="A201" s="90">
        <v>700025</v>
      </c>
      <c r="B201" s="90" t="s">
        <v>195</v>
      </c>
      <c r="C201" s="91">
        <v>0</v>
      </c>
      <c r="D201" s="91">
        <v>247225</v>
      </c>
      <c r="E201" s="91">
        <v>12000</v>
      </c>
      <c r="F201" s="91">
        <v>235225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Salaries and wages</v>
      </c>
      <c r="J201" t="str">
        <f>_xlfn.XLOOKUP($A201,Map!$A:$A,Map!F:F)</f>
        <v>Salaries and wages</v>
      </c>
      <c r="K201" s="90" t="str">
        <f>_xlfn.XLOOKUP(I201,'P&amp;L_2014-2025'!A:A,'P&amp;L_2014-2025'!A:A)</f>
        <v>Salaries and wages</v>
      </c>
    </row>
    <row r="202" spans="1:11" x14ac:dyDescent="0.25">
      <c r="A202" s="90">
        <v>700026</v>
      </c>
      <c r="B202" s="90" t="s">
        <v>196</v>
      </c>
      <c r="C202" s="91">
        <v>0</v>
      </c>
      <c r="D202" s="91">
        <v>0</v>
      </c>
      <c r="E202" s="91">
        <v>0</v>
      </c>
      <c r="F202" s="91">
        <v>0</v>
      </c>
      <c r="G202" t="str">
        <f>_xlfn.XLOOKUP($A202,Map!$A:$A,Map!C:C)</f>
        <v>IS</v>
      </c>
      <c r="H202" t="str">
        <f>_xlfn.XLOOKUP($A202,Map!$A:$A,Map!D:D)</f>
        <v>General and Admin</v>
      </c>
      <c r="I202" t="str">
        <f>_xlfn.XLOOKUP($A202,Map!$A:$A,Map!E:E)</f>
        <v>Utilities</v>
      </c>
      <c r="J202" t="str">
        <f>_xlfn.XLOOKUP($A202,Map!$A:$A,Map!F:F)</f>
        <v>Magazines &amp; News Papers Exp.</v>
      </c>
      <c r="K202" s="90" t="str">
        <f>_xlfn.XLOOKUP(I202,'P&amp;L_2014-2025'!A:A,'P&amp;L_2014-2025'!A:A)</f>
        <v>Utilities</v>
      </c>
    </row>
    <row r="203" spans="1:11" x14ac:dyDescent="0.25">
      <c r="A203" s="90">
        <v>700027</v>
      </c>
      <c r="B203" s="90" t="s">
        <v>197</v>
      </c>
      <c r="C203" s="91">
        <v>0</v>
      </c>
      <c r="D203" s="91">
        <v>101818</v>
      </c>
      <c r="E203" s="91">
        <v>27054</v>
      </c>
      <c r="F203" s="91">
        <v>74764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>Training</v>
      </c>
      <c r="J203" t="str">
        <f>_xlfn.XLOOKUP($A203,Map!$A:$A,Map!F:F)</f>
        <v>Training</v>
      </c>
      <c r="K203" s="90" t="str">
        <f>_xlfn.XLOOKUP(I203,'P&amp;L_2014-2025'!A:A,'P&amp;L_2014-2025'!A:A)</f>
        <v>Training</v>
      </c>
    </row>
    <row r="204" spans="1:11" x14ac:dyDescent="0.25">
      <c r="A204" s="90">
        <v>700028</v>
      </c>
      <c r="B204" s="90" t="s">
        <v>198</v>
      </c>
      <c r="C204" s="91">
        <v>0</v>
      </c>
      <c r="D204" s="91">
        <v>573</v>
      </c>
      <c r="E204" s="91">
        <v>0</v>
      </c>
      <c r="F204" s="91">
        <v>573</v>
      </c>
      <c r="G204" t="str">
        <f>_xlfn.XLOOKUP($A204,Map!$A:$A,Map!C:C)</f>
        <v>IS</v>
      </c>
      <c r="H204" t="str">
        <f>_xlfn.XLOOKUP($A204,Map!$A:$A,Map!D:D)</f>
        <v>General and Admin</v>
      </c>
      <c r="I204" t="str">
        <f>_xlfn.XLOOKUP($A204,Map!$A:$A,Map!E:E)</f>
        <v xml:space="preserve">Back office Support </v>
      </c>
      <c r="J204" t="str">
        <f>_xlfn.XLOOKUP($A204,Map!$A:$A,Map!F:F)</f>
        <v>Stationery expenses</v>
      </c>
      <c r="K204" s="90" t="str">
        <f>_xlfn.XLOOKUP(I204,'P&amp;L_2014-2025'!A:A,'P&amp;L_2014-2025'!A:A)</f>
        <v xml:space="preserve">Back office Support </v>
      </c>
    </row>
    <row r="205" spans="1:11" x14ac:dyDescent="0.25">
      <c r="A205" s="90">
        <v>700029</v>
      </c>
      <c r="B205" s="90" t="s">
        <v>199</v>
      </c>
      <c r="C205" s="91">
        <v>0</v>
      </c>
      <c r="D205" s="91">
        <v>6122.5</v>
      </c>
      <c r="E205" s="91">
        <v>0</v>
      </c>
      <c r="F205" s="91">
        <v>6122.5</v>
      </c>
      <c r="G205" t="str">
        <f>_xlfn.XLOOKUP($A205,Map!$A:$A,Map!C:C)</f>
        <v>IS</v>
      </c>
      <c r="H205" t="str">
        <f>_xlfn.XLOOKUP($A205,Map!$A:$A,Map!D:D)</f>
        <v>General and Admin</v>
      </c>
      <c r="I205" t="str">
        <f>_xlfn.XLOOKUP($A205,Map!$A:$A,Map!E:E)</f>
        <v>Utilities</v>
      </c>
      <c r="J205" t="str">
        <f>_xlfn.XLOOKUP($A205,Map!$A:$A,Map!F:F)</f>
        <v xml:space="preserve">Postage &amp; Printing </v>
      </c>
      <c r="K205" s="90" t="str">
        <f>_xlfn.XLOOKUP(I205,'P&amp;L_2014-2025'!A:A,'P&amp;L_2014-2025'!A:A)</f>
        <v>Utilities</v>
      </c>
    </row>
    <row r="206" spans="1:11" x14ac:dyDescent="0.25">
      <c r="A206" s="90">
        <v>700030</v>
      </c>
      <c r="B206" s="90" t="s">
        <v>200</v>
      </c>
      <c r="C206" s="91">
        <v>0</v>
      </c>
      <c r="D206" s="91">
        <v>6043</v>
      </c>
      <c r="E206" s="91">
        <v>0</v>
      </c>
      <c r="F206" s="91">
        <v>6043</v>
      </c>
      <c r="G206" t="str">
        <f>_xlfn.XLOOKUP($A206,Map!$A:$A,Map!C:C)</f>
        <v>IS</v>
      </c>
      <c r="H206" t="str">
        <f>_xlfn.XLOOKUP($A206,Map!$A:$A,Map!D:D)</f>
        <v>General and Admin</v>
      </c>
      <c r="I206" t="str">
        <f>_xlfn.XLOOKUP($A206,Map!$A:$A,Map!E:E)</f>
        <v>Utilities</v>
      </c>
      <c r="J206" t="str">
        <f>_xlfn.XLOOKUP($A206,Map!$A:$A,Map!F:F)</f>
        <v>Building maintenance</v>
      </c>
      <c r="K206" s="90" t="str">
        <f>_xlfn.XLOOKUP(I206,'P&amp;L_2014-2025'!A:A,'P&amp;L_2014-2025'!A:A)</f>
        <v>Utilities</v>
      </c>
    </row>
    <row r="207" spans="1:11" x14ac:dyDescent="0.25">
      <c r="A207" s="90">
        <v>700031</v>
      </c>
      <c r="B207" s="90" t="s">
        <v>201</v>
      </c>
      <c r="C207" s="91">
        <v>0</v>
      </c>
      <c r="D207" s="91">
        <v>400</v>
      </c>
      <c r="E207" s="91">
        <v>0</v>
      </c>
      <c r="F207" s="91">
        <v>400</v>
      </c>
      <c r="G207" t="str">
        <f>_xlfn.XLOOKUP($A207,Map!$A:$A,Map!C:C)</f>
        <v>IS</v>
      </c>
      <c r="H207" t="str">
        <f>_xlfn.XLOOKUP($A207,Map!$A:$A,Map!D:D)</f>
        <v>General and Admin</v>
      </c>
      <c r="I207" t="str">
        <f>_xlfn.XLOOKUP($A207,Map!$A:$A,Map!E:E)</f>
        <v>Utilities</v>
      </c>
      <c r="J207" t="str">
        <f>_xlfn.XLOOKUP($A207,Map!$A:$A,Map!F:F)</f>
        <v>Office equipment maintenance</v>
      </c>
      <c r="K207" s="90" t="str">
        <f>_xlfn.XLOOKUP(I207,'P&amp;L_2014-2025'!A:A,'P&amp;L_2014-2025'!A:A)</f>
        <v>Utilities</v>
      </c>
    </row>
    <row r="208" spans="1:11" x14ac:dyDescent="0.25">
      <c r="A208" s="90">
        <v>700032</v>
      </c>
      <c r="B208" s="90" t="s">
        <v>202</v>
      </c>
      <c r="C208" s="91">
        <v>0</v>
      </c>
      <c r="D208" s="91">
        <v>113108.82</v>
      </c>
      <c r="E208" s="91">
        <v>13603.3</v>
      </c>
      <c r="F208" s="91">
        <v>99505.52</v>
      </c>
      <c r="G208" t="str">
        <f>_xlfn.XLOOKUP($A208,Map!$A:$A,Map!C:C)</f>
        <v>IS</v>
      </c>
      <c r="H208" t="str">
        <f>_xlfn.XLOOKUP($A208,Map!$A:$A,Map!D:D)</f>
        <v>General and Admin</v>
      </c>
      <c r="I208" t="str">
        <f>_xlfn.XLOOKUP($A208,Map!$A:$A,Map!E:E)</f>
        <v>Utilities</v>
      </c>
      <c r="J208" t="str">
        <f>_xlfn.XLOOKUP($A208,Map!$A:$A,Map!F:F)</f>
        <v>Vehicle maintenance</v>
      </c>
      <c r="K208" s="90" t="str">
        <f>_xlfn.XLOOKUP(I208,'P&amp;L_2014-2025'!A:A,'P&amp;L_2014-2025'!A:A)</f>
        <v>Utilities</v>
      </c>
    </row>
    <row r="209" spans="1:11" x14ac:dyDescent="0.25">
      <c r="A209" s="90">
        <v>700033</v>
      </c>
      <c r="B209" s="90" t="s">
        <v>203</v>
      </c>
      <c r="C209" s="91">
        <v>0</v>
      </c>
      <c r="D209" s="91">
        <v>19260.34</v>
      </c>
      <c r="E209" s="91">
        <v>0</v>
      </c>
      <c r="F209" s="91">
        <v>19260.34</v>
      </c>
      <c r="G209" t="str">
        <f>_xlfn.XLOOKUP($A209,Map!$A:$A,Map!C:C)</f>
        <v>IS</v>
      </c>
      <c r="H209" t="str">
        <f>_xlfn.XLOOKUP($A209,Map!$A:$A,Map!D:D)</f>
        <v>General and Admin</v>
      </c>
      <c r="I209" t="str">
        <f>_xlfn.XLOOKUP($A209,Map!$A:$A,Map!E:E)</f>
        <v>Utilities</v>
      </c>
      <c r="J209" t="str">
        <f>_xlfn.XLOOKUP($A209,Map!$A:$A,Map!F:F)</f>
        <v>Fuel and oil</v>
      </c>
      <c r="K209" s="90" t="str">
        <f>_xlfn.XLOOKUP(I209,'P&amp;L_2014-2025'!A:A,'P&amp;L_2014-2025'!A:A)</f>
        <v>Utilities</v>
      </c>
    </row>
    <row r="210" spans="1:11" x14ac:dyDescent="0.25">
      <c r="A210" s="90">
        <v>700034</v>
      </c>
      <c r="B210" s="90" t="s">
        <v>204</v>
      </c>
      <c r="C210" s="91">
        <v>0</v>
      </c>
      <c r="D210" s="91">
        <v>19985.752</v>
      </c>
      <c r="E210" s="91">
        <v>8625</v>
      </c>
      <c r="F210" s="91">
        <v>11360.752</v>
      </c>
      <c r="G210" t="str">
        <f>_xlfn.XLOOKUP($A210,Map!$A:$A,Map!C:C)</f>
        <v>IS</v>
      </c>
      <c r="H210" t="str">
        <f>_xlfn.XLOOKUP($A210,Map!$A:$A,Map!D:D)</f>
        <v>General and Admin</v>
      </c>
      <c r="I210" t="str">
        <f>_xlfn.XLOOKUP($A210,Map!$A:$A,Map!E:E)</f>
        <v xml:space="preserve">Back office Support </v>
      </c>
      <c r="J210" t="str">
        <f>_xlfn.XLOOKUP($A210,Map!$A:$A,Map!F:F)</f>
        <v>Consumables</v>
      </c>
      <c r="K210" s="90" t="str">
        <f>_xlfn.XLOOKUP(I210,'P&amp;L_2014-2025'!A:A,'P&amp;L_2014-2025'!A:A)</f>
        <v xml:space="preserve">Back office Support </v>
      </c>
    </row>
    <row r="211" spans="1:11" x14ac:dyDescent="0.25">
      <c r="A211" s="90">
        <v>700035</v>
      </c>
      <c r="B211" s="90" t="s">
        <v>205</v>
      </c>
      <c r="C211" s="91">
        <v>0</v>
      </c>
      <c r="D211" s="91">
        <v>35621</v>
      </c>
      <c r="E211" s="91">
        <v>0</v>
      </c>
      <c r="F211" s="91">
        <v>35621</v>
      </c>
      <c r="G211" t="str">
        <f>_xlfn.XLOOKUP($A211,Map!$A:$A,Map!C:C)</f>
        <v>IS</v>
      </c>
      <c r="H211" t="str">
        <f>_xlfn.XLOOKUP($A211,Map!$A:$A,Map!D:D)</f>
        <v>General and Admin</v>
      </c>
      <c r="I211" t="str">
        <f>_xlfn.XLOOKUP($A211,Map!$A:$A,Map!E:E)</f>
        <v>Actuarial gains and losses</v>
      </c>
      <c r="J211" t="str">
        <f>_xlfn.XLOOKUP($A211,Map!$A:$A,Map!F:F)</f>
        <v>Other general and administrative expenses</v>
      </c>
      <c r="K211" s="90" t="str">
        <f>_xlfn.XLOOKUP(I211,'P&amp;L_2014-2025'!A:A,'P&amp;L_2014-2025'!A:A)</f>
        <v>Actuarial gains and losses</v>
      </c>
    </row>
    <row r="212" spans="1:11" x14ac:dyDescent="0.25">
      <c r="A212" s="90">
        <v>700036</v>
      </c>
      <c r="B212" s="90" t="s">
        <v>206</v>
      </c>
      <c r="C212" s="91">
        <v>0</v>
      </c>
      <c r="D212" s="91">
        <v>3169.8</v>
      </c>
      <c r="E212" s="91">
        <v>0</v>
      </c>
      <c r="F212" s="91">
        <v>3169.8</v>
      </c>
      <c r="G212" t="str">
        <f>_xlfn.XLOOKUP($A212,Map!$A:$A,Map!C:C)</f>
        <v>IS</v>
      </c>
      <c r="H212" t="str">
        <f>_xlfn.XLOOKUP($A212,Map!$A:$A,Map!D:D)</f>
        <v>General and Admin</v>
      </c>
      <c r="I212" t="str">
        <f>_xlfn.XLOOKUP($A212,Map!$A:$A,Map!E:E)</f>
        <v>Utilities</v>
      </c>
      <c r="J212" t="str">
        <f>_xlfn.XLOOKUP($A212,Map!$A:$A,Map!F:F)</f>
        <v>Vehicle insurance</v>
      </c>
      <c r="K212" s="90" t="str">
        <f>_xlfn.XLOOKUP(I212,'P&amp;L_2014-2025'!A:A,'P&amp;L_2014-2025'!A:A)</f>
        <v>Utilities</v>
      </c>
    </row>
    <row r="213" spans="1:11" x14ac:dyDescent="0.25">
      <c r="A213" s="90">
        <v>700037</v>
      </c>
      <c r="B213" s="90" t="s">
        <v>207</v>
      </c>
      <c r="C213" s="91">
        <v>0</v>
      </c>
      <c r="D213" s="91">
        <v>0</v>
      </c>
      <c r="E213" s="91">
        <v>0</v>
      </c>
      <c r="F213" s="91">
        <v>0</v>
      </c>
      <c r="G213" t="str">
        <f>_xlfn.XLOOKUP($A213,Map!$A:$A,Map!C:C)</f>
        <v>IS</v>
      </c>
      <c r="H213" t="str">
        <f>_xlfn.XLOOKUP($A213,Map!$A:$A,Map!D:D)</f>
        <v>Finance cost</v>
      </c>
      <c r="I213" t="str">
        <f>_xlfn.XLOOKUP($A213,Map!$A:$A,Map!E:E)</f>
        <v>Finance cost</v>
      </c>
      <c r="J213" t="str">
        <f>_xlfn.XLOOKUP($A213,Map!$A:$A,Map!F:F)</f>
        <v>Lease interest</v>
      </c>
    </row>
    <row r="214" spans="1:11" x14ac:dyDescent="0.25">
      <c r="A214" s="90">
        <v>700038</v>
      </c>
      <c r="B214" s="90" t="s">
        <v>208</v>
      </c>
      <c r="C214" s="91">
        <v>0</v>
      </c>
      <c r="D214" s="91">
        <v>143982.80900000001</v>
      </c>
      <c r="E214" s="91">
        <v>1293.5989999999999</v>
      </c>
      <c r="F214" s="91">
        <v>142689.21</v>
      </c>
      <c r="G214" t="str">
        <f>_xlfn.XLOOKUP($A214,Map!$A:$A,Map!C:C)</f>
        <v>IS</v>
      </c>
      <c r="H214" t="str">
        <f>_xlfn.XLOOKUP($A214,Map!$A:$A,Map!D:D)</f>
        <v>General and Admin</v>
      </c>
      <c r="I214" t="str">
        <f>_xlfn.XLOOKUP($A214,Map!$A:$A,Map!E:E)</f>
        <v>Business travel</v>
      </c>
      <c r="J214" t="str">
        <f>_xlfn.XLOOKUP($A214,Map!$A:$A,Map!F:F)</f>
        <v>Bussiness trip expenses</v>
      </c>
      <c r="K214" s="90" t="str">
        <f>_xlfn.XLOOKUP(I214,'P&amp;L_2014-2025'!A:A,'P&amp;L_2014-2025'!A:A)</f>
        <v>Business travel</v>
      </c>
    </row>
    <row r="215" spans="1:11" x14ac:dyDescent="0.25">
      <c r="A215" s="90">
        <v>700039</v>
      </c>
      <c r="B215" s="90" t="s">
        <v>209</v>
      </c>
      <c r="C215" s="91">
        <v>0</v>
      </c>
      <c r="D215" s="91">
        <v>10504.65</v>
      </c>
      <c r="E215" s="91">
        <v>0</v>
      </c>
      <c r="F215" s="91">
        <v>10504.65</v>
      </c>
      <c r="G215" t="str">
        <f>_xlfn.XLOOKUP($A215,Map!$A:$A,Map!C:C)</f>
        <v>IS</v>
      </c>
      <c r="H215" t="str">
        <f>_xlfn.XLOOKUP($A215,Map!$A:$A,Map!D:D)</f>
        <v>Selling and Marketing</v>
      </c>
      <c r="I215" t="str">
        <f>_xlfn.XLOOKUP($A215,Map!$A:$A,Map!E:E)</f>
        <v>Buffet expenses</v>
      </c>
      <c r="J215" t="str">
        <f>_xlfn.XLOOKUP($A215,Map!$A:$A,Map!F:F)</f>
        <v>Buffet expenses</v>
      </c>
    </row>
    <row r="216" spans="1:11" x14ac:dyDescent="0.25">
      <c r="A216" s="90">
        <v>700040</v>
      </c>
      <c r="B216" s="90" t="s">
        <v>210</v>
      </c>
      <c r="C216" s="91">
        <v>0</v>
      </c>
      <c r="D216" s="91">
        <v>1008997.247</v>
      </c>
      <c r="E216" s="91">
        <v>3236.1</v>
      </c>
      <c r="F216" s="91">
        <v>1005761.147</v>
      </c>
      <c r="G216" t="str">
        <f>_xlfn.XLOOKUP($A216,Map!$A:$A,Map!C:C)</f>
        <v>IS</v>
      </c>
      <c r="H216" t="str">
        <f>_xlfn.XLOOKUP($A216,Map!$A:$A,Map!D:D)</f>
        <v>General and Admin</v>
      </c>
      <c r="I216" t="str">
        <f>_xlfn.XLOOKUP($A216,Map!$A:$A,Map!E:E)</f>
        <v>Utilities</v>
      </c>
      <c r="J216" t="str">
        <f>_xlfn.XLOOKUP($A216,Map!$A:$A,Map!F:F)</f>
        <v xml:space="preserve">Cleaning Expenses </v>
      </c>
      <c r="K216" s="90" t="str">
        <f>_xlfn.XLOOKUP(I216,'P&amp;L_2014-2025'!A:A,'P&amp;L_2014-2025'!A:A)</f>
        <v>Utilities</v>
      </c>
    </row>
    <row r="217" spans="1:11" x14ac:dyDescent="0.25">
      <c r="A217" s="90">
        <v>700041</v>
      </c>
      <c r="B217" s="90" t="s">
        <v>211</v>
      </c>
      <c r="C217" s="91">
        <v>0</v>
      </c>
      <c r="D217" s="91">
        <v>204356.34299999999</v>
      </c>
      <c r="E217" s="91">
        <v>0</v>
      </c>
      <c r="F217" s="91">
        <v>204356.34299999999</v>
      </c>
      <c r="G217" t="str">
        <f>_xlfn.XLOOKUP($A217,Map!$A:$A,Map!C:C)</f>
        <v>IS</v>
      </c>
      <c r="H217" t="str">
        <f>_xlfn.XLOOKUP($A217,Map!$A:$A,Map!D:D)</f>
        <v>General and Admin</v>
      </c>
      <c r="I217" t="str">
        <f>_xlfn.XLOOKUP($A217,Map!$A:$A,Map!E:E)</f>
        <v>Salaries and wages</v>
      </c>
      <c r="J217" t="str">
        <f>_xlfn.XLOOKUP($A217,Map!$A:$A,Map!F:F)</f>
        <v>Recruitment</v>
      </c>
      <c r="K217" s="90" t="str">
        <f>_xlfn.XLOOKUP(I217,'P&amp;L_2014-2025'!A:A,'P&amp;L_2014-2025'!A:A)</f>
        <v>Salaries and wages</v>
      </c>
    </row>
    <row r="218" spans="1:11" x14ac:dyDescent="0.25">
      <c r="A218" s="90">
        <v>700042</v>
      </c>
      <c r="B218" s="90" t="s">
        <v>212</v>
      </c>
      <c r="C218" s="91">
        <v>0</v>
      </c>
      <c r="D218" s="91">
        <v>200000</v>
      </c>
      <c r="E218" s="91">
        <v>41666.67</v>
      </c>
      <c r="F218" s="91">
        <v>158333.32999999999</v>
      </c>
      <c r="G218" t="str">
        <f>_xlfn.XLOOKUP($A218,Map!$A:$A,Map!C:C)</f>
        <v>IS</v>
      </c>
      <c r="H218" t="str">
        <f>_xlfn.XLOOKUP($A218,Map!$A:$A,Map!D:D)</f>
        <v>General and Admin</v>
      </c>
      <c r="I218" t="str">
        <f>_xlfn.XLOOKUP($A218,Map!$A:$A,Map!E:E)</f>
        <v xml:space="preserve">Back office Support </v>
      </c>
      <c r="J218" t="str">
        <f>_xlfn.XLOOKUP($A218,Map!$A:$A,Map!F:F)</f>
        <v>Other expenses</v>
      </c>
      <c r="K218" s="90" t="str">
        <f>_xlfn.XLOOKUP(I218,'P&amp;L_2014-2025'!A:A,'P&amp;L_2014-2025'!A:A)</f>
        <v xml:space="preserve">Back office Support </v>
      </c>
    </row>
    <row r="219" spans="1:11" x14ac:dyDescent="0.25">
      <c r="A219" s="90">
        <v>700043</v>
      </c>
      <c r="B219" s="90" t="s">
        <v>213</v>
      </c>
      <c r="C219" s="91">
        <v>0</v>
      </c>
      <c r="D219" s="91">
        <v>11613</v>
      </c>
      <c r="E219" s="91">
        <v>0</v>
      </c>
      <c r="F219" s="91">
        <v>11613</v>
      </c>
      <c r="G219" t="str">
        <f>_xlfn.XLOOKUP($A219,Map!$A:$A,Map!C:C)</f>
        <v>IS</v>
      </c>
      <c r="H219" t="str">
        <f>_xlfn.XLOOKUP($A219,Map!$A:$A,Map!D:D)</f>
        <v>General and Admin</v>
      </c>
      <c r="I219" t="str">
        <f>_xlfn.XLOOKUP($A219,Map!$A:$A,Map!E:E)</f>
        <v>Govt license and fees (including modon)</v>
      </c>
      <c r="J219" t="str">
        <f>_xlfn.XLOOKUP($A219,Map!$A:$A,Map!F:F)</f>
        <v>Licenses and fees</v>
      </c>
      <c r="K219" s="90" t="str">
        <f>_xlfn.XLOOKUP(I219,'P&amp;L_2014-2025'!A:A,'P&amp;L_2014-2025'!A:A)</f>
        <v>Govt license and fees (including modon)</v>
      </c>
    </row>
    <row r="220" spans="1:11" x14ac:dyDescent="0.25">
      <c r="A220" s="90">
        <v>700044</v>
      </c>
      <c r="B220" s="90" t="s">
        <v>214</v>
      </c>
      <c r="C220" s="91">
        <v>0</v>
      </c>
      <c r="D220" s="91">
        <v>83699.47</v>
      </c>
      <c r="E220" s="91">
        <v>0</v>
      </c>
      <c r="F220" s="91">
        <v>83699.47</v>
      </c>
      <c r="G220" t="str">
        <f>_xlfn.XLOOKUP($A220,Map!$A:$A,Map!C:C)</f>
        <v>IS</v>
      </c>
      <c r="H220" t="str">
        <f>_xlfn.XLOOKUP($A220,Map!$A:$A,Map!D:D)</f>
        <v>General and Admin</v>
      </c>
      <c r="I220" t="str">
        <f>_xlfn.XLOOKUP($A220,Map!$A:$A,Map!E:E)</f>
        <v>Govt license and fees (including modon)</v>
      </c>
      <c r="J220" t="str">
        <f>_xlfn.XLOOKUP($A220,Map!$A:$A,Map!F:F)</f>
        <v>Government fees</v>
      </c>
      <c r="K220" s="90" t="str">
        <f>_xlfn.XLOOKUP(I220,'P&amp;L_2014-2025'!A:A,'P&amp;L_2014-2025'!A:A)</f>
        <v>Govt license and fees (including modon)</v>
      </c>
    </row>
    <row r="221" spans="1:11" x14ac:dyDescent="0.25">
      <c r="A221" s="90">
        <v>700045</v>
      </c>
      <c r="B221" s="90" t="s">
        <v>215</v>
      </c>
      <c r="C221" s="91">
        <v>0</v>
      </c>
      <c r="D221" s="91">
        <v>5561040.8119999999</v>
      </c>
      <c r="E221" s="91">
        <v>955414.67200000002</v>
      </c>
      <c r="F221" s="91">
        <v>4605626.1399999997</v>
      </c>
      <c r="G221" t="str">
        <f>_xlfn.XLOOKUP($A221,Map!$A:$A,Map!C:C)</f>
        <v>IS</v>
      </c>
      <c r="H221" t="str">
        <f>_xlfn.XLOOKUP($A221,Map!$A:$A,Map!D:D)</f>
        <v>Finance cost</v>
      </c>
      <c r="I221" t="str">
        <f>_xlfn.XLOOKUP($A221,Map!$A:$A,Map!E:E)</f>
        <v>Finance cost</v>
      </c>
      <c r="J221" t="str">
        <f>_xlfn.XLOOKUP($A221,Map!$A:$A,Map!F:F)</f>
        <v>Bank charges</v>
      </c>
    </row>
    <row r="222" spans="1:11" x14ac:dyDescent="0.25">
      <c r="A222" s="90">
        <v>700048</v>
      </c>
      <c r="B222" s="90" t="s">
        <v>216</v>
      </c>
      <c r="C222" s="91">
        <v>0</v>
      </c>
      <c r="D222" s="91">
        <v>890301.33</v>
      </c>
      <c r="E222" s="91">
        <v>218054.39</v>
      </c>
      <c r="F222" s="91">
        <v>672246.94</v>
      </c>
      <c r="G222" t="str">
        <f>_xlfn.XLOOKUP($A222,Map!$A:$A,Map!C:C)</f>
        <v>IS</v>
      </c>
      <c r="H222" t="str">
        <f>_xlfn.XLOOKUP($A222,Map!$A:$A,Map!D:D)</f>
        <v>Zakat</v>
      </c>
      <c r="I222" t="str">
        <f>_xlfn.XLOOKUP($A222,Map!$A:$A,Map!E:E)</f>
        <v>Zakat expenses</v>
      </c>
      <c r="J222" t="str">
        <f>_xlfn.XLOOKUP($A222,Map!$A:$A,Map!F:F)</f>
        <v>Zakat expenses</v>
      </c>
    </row>
    <row r="223" spans="1:11" x14ac:dyDescent="0.25">
      <c r="A223" s="90">
        <v>700049</v>
      </c>
      <c r="B223" s="90" t="s">
        <v>217</v>
      </c>
      <c r="C223" s="91">
        <v>0</v>
      </c>
      <c r="D223" s="91">
        <v>0</v>
      </c>
      <c r="E223" s="91">
        <v>0</v>
      </c>
      <c r="F223" s="91">
        <v>0</v>
      </c>
      <c r="G223" t="str">
        <f>_xlfn.XLOOKUP($A223,Map!$A:$A,Map!C:C)</f>
        <v>IS</v>
      </c>
      <c r="H223" t="str">
        <f>_xlfn.XLOOKUP($A223,Map!$A:$A,Map!D:D)</f>
        <v>General and Admin</v>
      </c>
      <c r="I223" t="str">
        <f>_xlfn.XLOOKUP($A223,Map!$A:$A,Map!E:E)</f>
        <v>Salaries and wages</v>
      </c>
      <c r="J223" t="str">
        <f>_xlfn.XLOOKUP($A223,Map!$A:$A,Map!F:F)</f>
        <v>Sadagat expense</v>
      </c>
      <c r="K223" s="90" t="str">
        <f>_xlfn.XLOOKUP(I223,'P&amp;L_2014-2025'!A:A,'P&amp;L_2014-2025'!A:A)</f>
        <v>Salaries and wages</v>
      </c>
    </row>
    <row r="224" spans="1:11" x14ac:dyDescent="0.25">
      <c r="A224" s="90">
        <v>700050</v>
      </c>
      <c r="B224" s="90" t="s">
        <v>218</v>
      </c>
      <c r="C224" s="91">
        <v>0</v>
      </c>
      <c r="D224" s="91">
        <v>0</v>
      </c>
      <c r="E224" s="91">
        <v>0</v>
      </c>
      <c r="F224" s="91">
        <v>0</v>
      </c>
      <c r="G224" t="str">
        <f>_xlfn.XLOOKUP($A224,Map!$A:$A,Map!C:C)</f>
        <v>IS</v>
      </c>
      <c r="H224" t="str">
        <f>_xlfn.XLOOKUP($A224,Map!$A:$A,Map!D:D)</f>
        <v>Depreciation expenses</v>
      </c>
      <c r="I224" t="str">
        <f>_xlfn.XLOOKUP($A224,Map!$A:$A,Map!E:E)</f>
        <v>Depreciation expenses</v>
      </c>
      <c r="J224" t="str">
        <f>_xlfn.XLOOKUP($A224,Map!$A:$A,Map!F:F)</f>
        <v>Depreciation of property, plant and equipment</v>
      </c>
    </row>
    <row r="225" spans="1:11" x14ac:dyDescent="0.25">
      <c r="A225" s="90">
        <v>700052</v>
      </c>
      <c r="B225" s="90" t="s">
        <v>219</v>
      </c>
      <c r="C225" s="91">
        <v>0</v>
      </c>
      <c r="D225" s="91">
        <v>0</v>
      </c>
      <c r="E225" s="91">
        <v>0</v>
      </c>
      <c r="F225" s="91">
        <v>0</v>
      </c>
      <c r="G225" t="str">
        <f>_xlfn.XLOOKUP($A225,Map!$A:$A,Map!C:C)</f>
        <v>IS</v>
      </c>
      <c r="H225" t="str">
        <f>_xlfn.XLOOKUP($A225,Map!$A:$A,Map!D:D)</f>
        <v>Depreciation expenses</v>
      </c>
      <c r="I225" t="str">
        <f>_xlfn.XLOOKUP($A225,Map!$A:$A,Map!E:E)</f>
        <v>Depreciation expenses</v>
      </c>
      <c r="J225" t="str">
        <f>_xlfn.XLOOKUP($A225,Map!$A:$A,Map!F:F)</f>
        <v>Depreciation of property, plant and equipment</v>
      </c>
    </row>
    <row r="226" spans="1:11" x14ac:dyDescent="0.25">
      <c r="A226" s="90">
        <v>700053</v>
      </c>
      <c r="B226" s="90" t="s">
        <v>220</v>
      </c>
      <c r="C226" s="91">
        <v>0</v>
      </c>
      <c r="D226" s="91">
        <v>0</v>
      </c>
      <c r="E226" s="91">
        <v>0</v>
      </c>
      <c r="F226" s="91">
        <v>0</v>
      </c>
      <c r="G226" t="str">
        <f>_xlfn.XLOOKUP($A226,Map!$A:$A,Map!C:C)</f>
        <v>IS</v>
      </c>
      <c r="H226" t="str">
        <f>_xlfn.XLOOKUP($A226,Map!$A:$A,Map!D:D)</f>
        <v>Depreciation expenses</v>
      </c>
      <c r="I226" t="str">
        <f>_xlfn.XLOOKUP($A226,Map!$A:$A,Map!E:E)</f>
        <v>Depreciation expenses</v>
      </c>
      <c r="J226" t="str">
        <f>_xlfn.XLOOKUP($A226,Map!$A:$A,Map!F:F)</f>
        <v>Depreciation of property, plant and equipment</v>
      </c>
    </row>
    <row r="227" spans="1:11" x14ac:dyDescent="0.25">
      <c r="A227" s="90">
        <v>700054</v>
      </c>
      <c r="B227" s="90" t="s">
        <v>221</v>
      </c>
      <c r="C227" s="91">
        <v>0</v>
      </c>
      <c r="D227" s="91">
        <v>160023.08199999999</v>
      </c>
      <c r="E227" s="91">
        <v>0</v>
      </c>
      <c r="F227" s="91">
        <v>160023.08199999999</v>
      </c>
      <c r="G227" t="str">
        <f>_xlfn.XLOOKUP($A227,Map!$A:$A,Map!C:C)</f>
        <v>IS</v>
      </c>
      <c r="H227" t="str">
        <f>_xlfn.XLOOKUP($A227,Map!$A:$A,Map!D:D)</f>
        <v>Depreciation expenses</v>
      </c>
      <c r="I227" t="str">
        <f>_xlfn.XLOOKUP($A227,Map!$A:$A,Map!E:E)</f>
        <v>Depreciation expenses</v>
      </c>
      <c r="J227" t="str">
        <f>_xlfn.XLOOKUP($A227,Map!$A:$A,Map!F:F)</f>
        <v>Depreciation of property, plant and equipment</v>
      </c>
    </row>
    <row r="228" spans="1:11" x14ac:dyDescent="0.25">
      <c r="A228" s="90">
        <v>700055</v>
      </c>
      <c r="B228" s="90" t="s">
        <v>222</v>
      </c>
      <c r="C228" s="91">
        <v>0</v>
      </c>
      <c r="D228" s="91">
        <v>290261.74900000001</v>
      </c>
      <c r="E228" s="91">
        <v>0</v>
      </c>
      <c r="F228" s="91">
        <v>290261.74900000001</v>
      </c>
      <c r="G228" t="str">
        <f>_xlfn.XLOOKUP($A228,Map!$A:$A,Map!C:C)</f>
        <v>IS</v>
      </c>
      <c r="H228" t="str">
        <f>_xlfn.XLOOKUP($A228,Map!$A:$A,Map!D:D)</f>
        <v>Depreciation expenses</v>
      </c>
      <c r="I228" t="str">
        <f>_xlfn.XLOOKUP($A228,Map!$A:$A,Map!E:E)</f>
        <v>Depreciation expenses</v>
      </c>
      <c r="J228" t="str">
        <f>_xlfn.XLOOKUP($A228,Map!$A:$A,Map!F:F)</f>
        <v>Depreciation of property, plant and equipment</v>
      </c>
    </row>
    <row r="229" spans="1:11" x14ac:dyDescent="0.25">
      <c r="A229" s="90">
        <v>700056</v>
      </c>
      <c r="B229" s="90" t="s">
        <v>223</v>
      </c>
      <c r="C229" s="91">
        <v>0</v>
      </c>
      <c r="D229" s="91">
        <v>0</v>
      </c>
      <c r="E229" s="91">
        <v>0</v>
      </c>
      <c r="F229" s="91">
        <v>0</v>
      </c>
      <c r="G229" t="str">
        <f>_xlfn.XLOOKUP($A229,Map!$A:$A,Map!C:C)</f>
        <v>IS</v>
      </c>
      <c r="H229" t="str">
        <f>_xlfn.XLOOKUP($A229,Map!$A:$A,Map!D:D)</f>
        <v>Depreciation expenses</v>
      </c>
      <c r="I229" t="str">
        <f>_xlfn.XLOOKUP($A229,Map!$A:$A,Map!E:E)</f>
        <v>Depreciation expenses</v>
      </c>
      <c r="J229" t="str">
        <f>_xlfn.XLOOKUP($A229,Map!$A:$A,Map!F:F)</f>
        <v>Depreciation of property, plant and equipment</v>
      </c>
    </row>
    <row r="230" spans="1:11" x14ac:dyDescent="0.25">
      <c r="A230" s="90">
        <v>700057</v>
      </c>
      <c r="B230" s="90" t="s">
        <v>224</v>
      </c>
      <c r="C230" s="91">
        <v>0</v>
      </c>
      <c r="D230" s="91">
        <v>275000</v>
      </c>
      <c r="E230" s="91">
        <v>0</v>
      </c>
      <c r="F230" s="91">
        <v>275000</v>
      </c>
      <c r="G230" t="str">
        <f>_xlfn.XLOOKUP($A230,Map!$A:$A,Map!C:C)</f>
        <v>IS</v>
      </c>
      <c r="H230" t="str">
        <f>_xlfn.XLOOKUP($A230,Map!$A:$A,Map!D:D)</f>
        <v>Cost of sales</v>
      </c>
      <c r="I230" t="str">
        <f>_xlfn.XLOOKUP($A230,Map!$A:$A,Map!E:E)</f>
        <v>Overhead - Rent</v>
      </c>
      <c r="J230" t="str">
        <f>_xlfn.XLOOKUP($A230,Map!$A:$A,Map!F:F)</f>
        <v>Warehouse Rent ( Khamis, Rioyadh, Dammam)</v>
      </c>
    </row>
    <row r="231" spans="1:11" x14ac:dyDescent="0.25">
      <c r="A231" s="90">
        <v>700058</v>
      </c>
      <c r="B231" s="90" t="s">
        <v>225</v>
      </c>
      <c r="C231" s="91">
        <v>0</v>
      </c>
      <c r="D231" s="91">
        <v>115924.49</v>
      </c>
      <c r="E231" s="91">
        <v>20290.5</v>
      </c>
      <c r="F231" s="91">
        <v>95633.99</v>
      </c>
      <c r="G231" t="str">
        <f>_xlfn.XLOOKUP($A231,Map!$A:$A,Map!C:C)</f>
        <v>IS</v>
      </c>
      <c r="H231" t="str">
        <f>_xlfn.XLOOKUP($A231,Map!$A:$A,Map!D:D)</f>
        <v>Selling and Marketing</v>
      </c>
      <c r="I231" t="str">
        <f>_xlfn.XLOOKUP($A231,Map!$A:$A,Map!E:E)</f>
        <v>Advertising and promotion expenses</v>
      </c>
      <c r="J231" t="str">
        <f>_xlfn.XLOOKUP($A231,Map!$A:$A,Map!F:F)</f>
        <v>Advertising and promotion expenses</v>
      </c>
    </row>
    <row r="232" spans="1:11" x14ac:dyDescent="0.25">
      <c r="A232" s="90">
        <v>700059</v>
      </c>
      <c r="B232" s="90" t="s">
        <v>226</v>
      </c>
      <c r="C232" s="91">
        <v>0</v>
      </c>
      <c r="D232" s="91">
        <v>111132.78</v>
      </c>
      <c r="E232" s="91">
        <v>15000</v>
      </c>
      <c r="F232" s="91">
        <v>96132.78</v>
      </c>
      <c r="G232" t="str">
        <f>_xlfn.XLOOKUP($A232,Map!$A:$A,Map!C:C)</f>
        <v>IS</v>
      </c>
      <c r="H232" t="str">
        <f>_xlfn.XLOOKUP($A232,Map!$A:$A,Map!D:D)</f>
        <v>Selling and Marketing</v>
      </c>
      <c r="I232" t="str">
        <f>_xlfn.XLOOKUP($A232,Map!$A:$A,Map!E:E)</f>
        <v>Exhibitions</v>
      </c>
      <c r="J232" t="str">
        <f>_xlfn.XLOOKUP($A232,Map!$A:$A,Map!F:F)</f>
        <v>Exhibitions</v>
      </c>
    </row>
    <row r="233" spans="1:11" x14ac:dyDescent="0.25">
      <c r="A233" s="90">
        <v>700060</v>
      </c>
      <c r="B233" s="90" t="s">
        <v>227</v>
      </c>
      <c r="C233" s="91">
        <v>0</v>
      </c>
      <c r="D233" s="91">
        <v>5329285.9570000004</v>
      </c>
      <c r="E233" s="91">
        <v>2600796.5669999998</v>
      </c>
      <c r="F233" s="91">
        <v>2728489.39</v>
      </c>
      <c r="G233" t="str">
        <f>_xlfn.XLOOKUP($A233,Map!$A:$A,Map!C:C)</f>
        <v>IS</v>
      </c>
      <c r="H233" t="str">
        <f>_xlfn.XLOOKUP($A233,Map!$A:$A,Map!D:D)</f>
        <v>Cost of sales</v>
      </c>
      <c r="I233" t="str">
        <f>_xlfn.XLOOKUP($A233,Map!$A:$A,Map!E:E)</f>
        <v>Freight expenses</v>
      </c>
      <c r="J233" t="str">
        <f>_xlfn.XLOOKUP($A233,Map!$A:$A,Map!F:F)</f>
        <v>Freight expenses</v>
      </c>
    </row>
    <row r="234" spans="1:11" x14ac:dyDescent="0.25">
      <c r="A234" s="90">
        <v>700061</v>
      </c>
      <c r="B234" s="90" t="s">
        <v>228</v>
      </c>
      <c r="C234" s="91">
        <v>0</v>
      </c>
      <c r="D234" s="91">
        <v>262263</v>
      </c>
      <c r="E234" s="91">
        <v>0</v>
      </c>
      <c r="F234" s="91">
        <v>262263</v>
      </c>
      <c r="G234" t="str">
        <f>_xlfn.XLOOKUP($A234,Map!$A:$A,Map!C:C)</f>
        <v>IS</v>
      </c>
      <c r="H234" t="str">
        <f>_xlfn.XLOOKUP($A234,Map!$A:$A,Map!D:D)</f>
        <v>Selling and Marketing</v>
      </c>
      <c r="I234" t="str">
        <f>_xlfn.XLOOKUP($A234,Map!$A:$A,Map!E:E)</f>
        <v>Commission expenses</v>
      </c>
      <c r="J234" t="str">
        <f>_xlfn.XLOOKUP($A234,Map!$A:$A,Map!F:F)</f>
        <v>Commission expenses</v>
      </c>
    </row>
    <row r="235" spans="1:11" x14ac:dyDescent="0.25">
      <c r="A235" s="90">
        <v>700062</v>
      </c>
      <c r="B235" s="90" t="s">
        <v>229</v>
      </c>
      <c r="C235" s="91">
        <v>0</v>
      </c>
      <c r="D235" s="91">
        <v>153333.326</v>
      </c>
      <c r="E235" s="91">
        <v>50000</v>
      </c>
      <c r="F235" s="91">
        <v>103333.326</v>
      </c>
      <c r="G235" t="str">
        <f>_xlfn.XLOOKUP($A235,Map!$A:$A,Map!C:C)</f>
        <v>IS</v>
      </c>
      <c r="H235" t="str">
        <f>_xlfn.XLOOKUP($A235,Map!$A:$A,Map!D:D)</f>
        <v>Revised provision on Bad Debts</v>
      </c>
      <c r="I235" t="str">
        <f>_xlfn.XLOOKUP($A235,Map!$A:$A,Map!E:E)</f>
        <v>Bad debts expense</v>
      </c>
      <c r="J235" t="str">
        <f>_xlfn.XLOOKUP($A235,Map!$A:$A,Map!F:F)</f>
        <v>Bad debts expense</v>
      </c>
    </row>
    <row r="236" spans="1:11" x14ac:dyDescent="0.25">
      <c r="A236" s="90">
        <v>700063</v>
      </c>
      <c r="B236" s="90" t="s">
        <v>230</v>
      </c>
      <c r="C236" s="91">
        <v>0</v>
      </c>
      <c r="D236" s="91">
        <v>1733817.96</v>
      </c>
      <c r="E236" s="91">
        <v>538498.36</v>
      </c>
      <c r="F236" s="91">
        <v>1195319.6000000001</v>
      </c>
      <c r="G236" t="str">
        <f>_xlfn.XLOOKUP($A236,Map!$A:$A,Map!C:C)</f>
        <v>IS</v>
      </c>
      <c r="H236" t="str">
        <f>_xlfn.XLOOKUP($A236,Map!$A:$A,Map!D:D)</f>
        <v>General and Admin</v>
      </c>
      <c r="I236" t="str">
        <f>_xlfn.XLOOKUP($A236,Map!$A:$A,Map!E:E)</f>
        <v>Salaries and wages</v>
      </c>
      <c r="J236" t="str">
        <f>_xlfn.XLOOKUP($A236,Map!$A:$A,Map!F:F)</f>
        <v>GOSI</v>
      </c>
      <c r="K236" s="90" t="str">
        <f>_xlfn.XLOOKUP(I236,'P&amp;L_2014-2025'!A:A,'P&amp;L_2014-2025'!A:A)</f>
        <v>Salaries and wages</v>
      </c>
    </row>
    <row r="237" spans="1:11" x14ac:dyDescent="0.25">
      <c r="A237" s="90">
        <v>700064</v>
      </c>
      <c r="B237" s="90" t="s">
        <v>231</v>
      </c>
      <c r="C237" s="91">
        <v>0</v>
      </c>
      <c r="D237" s="91">
        <v>0</v>
      </c>
      <c r="E237" s="91">
        <v>0</v>
      </c>
      <c r="F237" s="91">
        <v>0</v>
      </c>
      <c r="G237" t="str">
        <f>_xlfn.XLOOKUP($A237,Map!$A:$A,Map!C:C)</f>
        <v>IS</v>
      </c>
      <c r="H237" t="str">
        <f>_xlfn.XLOOKUP($A237,Map!$A:$A,Map!D:D)</f>
        <v>Pre-operating expenses</v>
      </c>
      <c r="I237" t="str">
        <f>_xlfn.XLOOKUP($A237,Map!$A:$A,Map!E:E)</f>
        <v>Pre-operating expenses</v>
      </c>
      <c r="J237" t="str">
        <f>_xlfn.XLOOKUP($A237,Map!$A:$A,Map!F:F)</f>
        <v>Amortization</v>
      </c>
    </row>
    <row r="238" spans="1:11" x14ac:dyDescent="0.25">
      <c r="A238" s="90">
        <v>700065</v>
      </c>
      <c r="B238" s="90" t="s">
        <v>245</v>
      </c>
      <c r="C238" s="91">
        <v>0</v>
      </c>
      <c r="D238" s="91">
        <v>35684</v>
      </c>
      <c r="E238" s="91">
        <v>0</v>
      </c>
      <c r="F238" s="91">
        <v>35684</v>
      </c>
      <c r="G238" t="str">
        <f>_xlfn.XLOOKUP($A238,Map!$A:$A,Map!C:C)</f>
        <v>IS</v>
      </c>
      <c r="H238" t="str">
        <f>_xlfn.XLOOKUP($A238,Map!$A:$A,Map!D:D)</f>
        <v>Finance cost</v>
      </c>
      <c r="I238" t="str">
        <f>_xlfn.XLOOKUP($A238,Map!$A:$A,Map!E:E)</f>
        <v>Finance cost</v>
      </c>
      <c r="J238" t="str">
        <f>_xlfn.XLOOKUP($A238,Map!$A:$A,Map!F:F)</f>
        <v>Lease interest</v>
      </c>
    </row>
    <row r="239" spans="1:11" x14ac:dyDescent="0.25">
      <c r="A239" s="90">
        <v>700066</v>
      </c>
      <c r="B239" s="90" t="s">
        <v>233</v>
      </c>
      <c r="C239" s="91">
        <v>0</v>
      </c>
      <c r="D239" s="91">
        <v>96686.520999999993</v>
      </c>
      <c r="E239" s="91">
        <v>0</v>
      </c>
      <c r="F239" s="91">
        <v>96686.520999999993</v>
      </c>
      <c r="G239" t="str">
        <f>_xlfn.XLOOKUP($A239,Map!$A:$A,Map!C:C)</f>
        <v>IS</v>
      </c>
      <c r="H239" t="str">
        <f>_xlfn.XLOOKUP($A239,Map!$A:$A,Map!D:D)</f>
        <v>General and Admin</v>
      </c>
      <c r="I239" t="str">
        <f>_xlfn.XLOOKUP($A239,Map!$A:$A,Map!E:E)</f>
        <v>Govt license and fees (including modon)</v>
      </c>
      <c r="J239" t="str">
        <f>_xlfn.XLOOKUP($A239,Map!$A:$A,Map!F:F)</f>
        <v>3rd Industrial Area Lease Provision</v>
      </c>
      <c r="K239" s="90" t="str">
        <f>_xlfn.XLOOKUP(I239,'P&amp;L_2014-2025'!A:A,'P&amp;L_2014-2025'!A:A)</f>
        <v>Govt license and fees (including modon)</v>
      </c>
    </row>
    <row r="240" spans="1:11" x14ac:dyDescent="0.25">
      <c r="A240" s="90">
        <v>800001</v>
      </c>
      <c r="B240" s="90" t="s">
        <v>235</v>
      </c>
      <c r="C240" s="91">
        <v>0</v>
      </c>
      <c r="D240" s="91">
        <v>0</v>
      </c>
      <c r="E240" s="91">
        <v>0</v>
      </c>
      <c r="F240" s="91">
        <v>0</v>
      </c>
      <c r="G240" t="str">
        <f>_xlfn.XLOOKUP($A240,Map!$A:$A,Map!C:C)</f>
        <v>BS</v>
      </c>
      <c r="H240" t="str">
        <f>_xlfn.XLOOKUP($A240,Map!$A:$A,Map!D:D)</f>
        <v>Non-Current Liabilities</v>
      </c>
      <c r="I240" t="str">
        <f>_xlfn.XLOOKUP($A240,Map!$A:$A,Map!E:E)</f>
        <v xml:space="preserve">Due to related parties </v>
      </c>
      <c r="J240" t="str">
        <f>_xlfn.XLOOKUP($A240,Map!$A:$A,Map!F:F)</f>
        <v>Aims Holding  Current Acc</v>
      </c>
    </row>
    <row r="241" spans="1:10" x14ac:dyDescent="0.25">
      <c r="A241" s="90">
        <v>800002</v>
      </c>
      <c r="B241" s="90" t="s">
        <v>236</v>
      </c>
      <c r="C241" s="91">
        <v>0</v>
      </c>
      <c r="D241" s="91">
        <v>700886</v>
      </c>
      <c r="E241" s="91">
        <v>0</v>
      </c>
      <c r="F241" s="91">
        <v>700886</v>
      </c>
      <c r="G241" t="str">
        <f>_xlfn.XLOOKUP($A241,Map!$A:$A,Map!C:C)</f>
        <v>IS</v>
      </c>
      <c r="H241" t="str">
        <f>_xlfn.XLOOKUP($A241,Map!$A:$A,Map!D:D)</f>
        <v>General and Admin</v>
      </c>
      <c r="I241" t="str">
        <f>_xlfn.XLOOKUP($A241,Map!$A:$A,Map!E:E)</f>
        <v>AIMS expenses</v>
      </c>
      <c r="J241" t="str">
        <f>_xlfn.XLOOKUP($A241,Map!$A:$A,Map!F:F)</f>
        <v>Aims Holding  Current Acc</v>
      </c>
    </row>
    <row r="242" spans="1:10" x14ac:dyDescent="0.25">
      <c r="G242"/>
      <c r="H242"/>
      <c r="I242"/>
      <c r="J242"/>
    </row>
    <row r="243" spans="1:10" x14ac:dyDescent="0.25">
      <c r="C243" s="93">
        <f>SUBTOTAL(9,C5:C242)</f>
        <v>7.4505805969238281E-8</v>
      </c>
      <c r="D243" s="93">
        <f>SUBTOTAL(9,D5:D242)</f>
        <v>3082024119.3789997</v>
      </c>
      <c r="E243" s="93">
        <f>SUBTOTAL(9,E5:E242)</f>
        <v>3082024119.3790007</v>
      </c>
      <c r="F243" s="93">
        <f>SUBTOTAL(9,F5:F242)</f>
        <v>3.14321368932724E-8</v>
      </c>
    </row>
    <row r="244" spans="1:10" x14ac:dyDescent="0.25">
      <c r="C244" s="93"/>
      <c r="D244" s="93"/>
      <c r="E244" s="93"/>
      <c r="F244" s="93"/>
    </row>
    <row r="245" spans="1:10" x14ac:dyDescent="0.25">
      <c r="A245" s="5" t="s">
        <v>531</v>
      </c>
    </row>
    <row r="246" spans="1:10" x14ac:dyDescent="0.25">
      <c r="A246" s="90">
        <v>600060</v>
      </c>
      <c r="B246" s="90" t="s">
        <v>600</v>
      </c>
      <c r="D246" s="91">
        <v>0</v>
      </c>
      <c r="E246" s="91">
        <v>1286277.1000000001</v>
      </c>
      <c r="F246" s="91">
        <f>D246-E246</f>
        <v>-1286277.1000000001</v>
      </c>
      <c r="G246" t="str">
        <f>_xlfn.XLOOKUP($A246,Map!$A:$A,Map!C:C)</f>
        <v>IS</v>
      </c>
      <c r="H246" t="str">
        <f>_xlfn.XLOOKUP($A246,Map!$A:$A,Map!D:D)</f>
        <v>Other Income</v>
      </c>
      <c r="I246" t="str">
        <f>_xlfn.XLOOKUP($A246,Map!$A:$A,Map!E:E)</f>
        <v>Other Income</v>
      </c>
      <c r="J246" t="str">
        <f>_xlfn.XLOOKUP($A246,Map!$A:$A,Map!F:F)</f>
        <v>Hadaf program</v>
      </c>
    </row>
    <row r="247" spans="1:10" x14ac:dyDescent="0.25">
      <c r="A247" s="90">
        <v>600060</v>
      </c>
      <c r="B247" s="90" t="s">
        <v>170</v>
      </c>
      <c r="D247" s="91">
        <v>0</v>
      </c>
      <c r="E247" s="91">
        <v>3890</v>
      </c>
      <c r="F247" s="91">
        <f t="shared" ref="F247:F310" si="0">D247-E247</f>
        <v>-3890</v>
      </c>
      <c r="G247" t="str">
        <f>_xlfn.XLOOKUP($A247,Map!$A:$A,Map!C:C)</f>
        <v>IS</v>
      </c>
      <c r="H247" t="str">
        <f>_xlfn.XLOOKUP($A247,Map!$A:$A,Map!D:D)</f>
        <v>Other Income</v>
      </c>
      <c r="I247" t="str">
        <f>_xlfn.XLOOKUP($A247,Map!$A:$A,Map!E:E)</f>
        <v>Other Income</v>
      </c>
      <c r="J247" t="str">
        <f>_xlfn.XLOOKUP($A247,Map!$A:$A,Map!F:F)</f>
        <v>Hadaf program</v>
      </c>
    </row>
    <row r="248" spans="1:10" x14ac:dyDescent="0.25">
      <c r="A248" s="90">
        <v>600033</v>
      </c>
      <c r="B248" s="90" t="s">
        <v>602</v>
      </c>
      <c r="D248" s="91">
        <v>149331.413</v>
      </c>
      <c r="E248" s="91">
        <v>0</v>
      </c>
      <c r="F248" s="91">
        <f t="shared" si="0"/>
        <v>149331.413</v>
      </c>
      <c r="G248" t="str">
        <f>_xlfn.XLOOKUP($A248,Map!$A:$A,Map!C:C)</f>
        <v>IS</v>
      </c>
      <c r="H248" t="str">
        <f>_xlfn.XLOOKUP($A248,Map!$A:$A,Map!D:D)</f>
        <v>Depreciation expenses</v>
      </c>
      <c r="I248" t="str">
        <f>_xlfn.XLOOKUP($A248,Map!$A:$A,Map!E:E)</f>
        <v>Depreciation expenses</v>
      </c>
      <c r="J248" t="str">
        <f>_xlfn.XLOOKUP($A248,Map!$A:$A,Map!F:F)</f>
        <v>Depreciation of property, plant and equipment</v>
      </c>
    </row>
    <row r="249" spans="1:10" x14ac:dyDescent="0.25">
      <c r="A249" s="90">
        <v>600032</v>
      </c>
      <c r="B249" s="90" t="s">
        <v>603</v>
      </c>
      <c r="D249" s="91">
        <v>1566844.2</v>
      </c>
      <c r="E249" s="91">
        <v>0</v>
      </c>
      <c r="F249" s="91">
        <f t="shared" si="0"/>
        <v>1566844.2</v>
      </c>
      <c r="G249" t="str">
        <f>_xlfn.XLOOKUP($A249,Map!$A:$A,Map!C:C)</f>
        <v>IS</v>
      </c>
      <c r="H249" t="str">
        <f>_xlfn.XLOOKUP($A249,Map!$A:$A,Map!D:D)</f>
        <v>Depreciation expenses</v>
      </c>
      <c r="I249" t="str">
        <f>_xlfn.XLOOKUP($A249,Map!$A:$A,Map!E:E)</f>
        <v>Depreciation expenses</v>
      </c>
      <c r="J249" t="str">
        <f>_xlfn.XLOOKUP($A249,Map!$A:$A,Map!F:F)</f>
        <v>Depreciation of property, plant and equipment</v>
      </c>
    </row>
    <row r="250" spans="1:10" x14ac:dyDescent="0.25">
      <c r="A250" s="90">
        <v>600031</v>
      </c>
      <c r="B250" s="90" t="s">
        <v>703</v>
      </c>
      <c r="D250" s="91">
        <v>17592.71</v>
      </c>
      <c r="E250" s="91">
        <v>0</v>
      </c>
      <c r="F250" s="91">
        <f t="shared" si="0"/>
        <v>17592.71</v>
      </c>
      <c r="G250" t="str">
        <f>_xlfn.XLOOKUP($A250,Map!$A:$A,Map!C:C)</f>
        <v>IS</v>
      </c>
      <c r="H250" t="str">
        <f>_xlfn.XLOOKUP($A250,Map!$A:$A,Map!D:D)</f>
        <v>Depreciation expenses</v>
      </c>
      <c r="I250" t="str">
        <f>_xlfn.XLOOKUP($A250,Map!$A:$A,Map!E:E)</f>
        <v>Depreciation expenses</v>
      </c>
      <c r="J250" t="str">
        <f>_xlfn.XLOOKUP($A250,Map!$A:$A,Map!F:F)</f>
        <v>Depreciation of property, plant and equipment</v>
      </c>
    </row>
    <row r="251" spans="1:10" x14ac:dyDescent="0.25">
      <c r="A251" s="90">
        <v>600031</v>
      </c>
      <c r="B251" s="90" t="s">
        <v>166</v>
      </c>
      <c r="D251" s="91">
        <v>0</v>
      </c>
      <c r="E251" s="91">
        <v>17592.71</v>
      </c>
      <c r="F251" s="91">
        <f t="shared" si="0"/>
        <v>-17592.71</v>
      </c>
      <c r="G251" t="str">
        <f>_xlfn.XLOOKUP($A251,Map!$A:$A,Map!C:C)</f>
        <v>IS</v>
      </c>
      <c r="H251" t="str">
        <f>_xlfn.XLOOKUP($A251,Map!$A:$A,Map!D:D)</f>
        <v>Depreciation expenses</v>
      </c>
      <c r="I251" t="str">
        <f>_xlfn.XLOOKUP($A251,Map!$A:$A,Map!E:E)</f>
        <v>Depreciation expenses</v>
      </c>
      <c r="J251" t="str">
        <f>_xlfn.XLOOKUP($A251,Map!$A:$A,Map!F:F)</f>
        <v>Depreciation of property, plant and equipment</v>
      </c>
    </row>
    <row r="252" spans="1:10" x14ac:dyDescent="0.25">
      <c r="A252" s="90">
        <v>600030</v>
      </c>
      <c r="B252" s="90" t="s">
        <v>604</v>
      </c>
      <c r="D252" s="91">
        <v>82730.331999999995</v>
      </c>
      <c r="E252" s="91">
        <v>0</v>
      </c>
      <c r="F252" s="91">
        <f t="shared" si="0"/>
        <v>82730.331999999995</v>
      </c>
      <c r="G252" t="str">
        <f>_xlfn.XLOOKUP($A252,Map!$A:$A,Map!C:C)</f>
        <v>IS</v>
      </c>
      <c r="H252" t="str">
        <f>_xlfn.XLOOKUP($A252,Map!$A:$A,Map!D:D)</f>
        <v>Depreciation expenses</v>
      </c>
      <c r="I252" t="str">
        <f>_xlfn.XLOOKUP($A252,Map!$A:$A,Map!E:E)</f>
        <v>Depreciation expenses</v>
      </c>
      <c r="J252" t="str">
        <f>_xlfn.XLOOKUP($A252,Map!$A:$A,Map!F:F)</f>
        <v>Depreciation of property, plant and equipment</v>
      </c>
    </row>
    <row r="253" spans="1:10" x14ac:dyDescent="0.25">
      <c r="A253" s="90">
        <v>600029</v>
      </c>
      <c r="B253" s="90" t="s">
        <v>605</v>
      </c>
      <c r="D253" s="91">
        <v>3787622.0819999999</v>
      </c>
      <c r="E253" s="91">
        <v>0</v>
      </c>
      <c r="F253" s="91">
        <f t="shared" si="0"/>
        <v>3787622.0819999999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Depreciation - Machines</v>
      </c>
      <c r="J253" t="str">
        <f>_xlfn.XLOOKUP($A253,Map!$A:$A,Map!F:F)</f>
        <v>Depreciation of property, plant and equipment</v>
      </c>
    </row>
    <row r="254" spans="1:10" x14ac:dyDescent="0.25">
      <c r="A254" s="90">
        <v>600022</v>
      </c>
      <c r="B254" s="90" t="s">
        <v>606</v>
      </c>
      <c r="D254" s="91">
        <v>34835</v>
      </c>
      <c r="E254" s="91">
        <v>0</v>
      </c>
      <c r="F254" s="91">
        <f t="shared" si="0"/>
        <v>34835</v>
      </c>
      <c r="G254" t="str">
        <f>_xlfn.XLOOKUP($A254,Map!$A:$A,Map!C:C)</f>
        <v>IS</v>
      </c>
      <c r="H254" t="str">
        <f>_xlfn.XLOOKUP($A254,Map!$A:$A,Map!D:D)</f>
        <v>Cost of sales</v>
      </c>
      <c r="I254" t="str">
        <f>_xlfn.XLOOKUP($A254,Map!$A:$A,Map!E:E)</f>
        <v>Overhead - R&amp;M</v>
      </c>
      <c r="J254" t="str">
        <f>_xlfn.XLOOKUP($A254,Map!$A:$A,Map!F:F)</f>
        <v>Building maintenance</v>
      </c>
    </row>
    <row r="255" spans="1:10" x14ac:dyDescent="0.25">
      <c r="A255" s="90">
        <v>600021</v>
      </c>
      <c r="B255" s="90" t="s">
        <v>607</v>
      </c>
      <c r="D255" s="91">
        <v>34791.302000000003</v>
      </c>
      <c r="E255" s="91">
        <v>0</v>
      </c>
      <c r="F255" s="91">
        <f t="shared" si="0"/>
        <v>34791.302000000003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Overhead - R&amp;M</v>
      </c>
      <c r="J255" t="str">
        <f>_xlfn.XLOOKUP($A255,Map!$A:$A,Map!F:F)</f>
        <v>Vehicle maintenance</v>
      </c>
    </row>
    <row r="256" spans="1:10" x14ac:dyDescent="0.25">
      <c r="A256" s="90">
        <v>600020</v>
      </c>
      <c r="B256" s="90" t="s">
        <v>608</v>
      </c>
      <c r="D256" s="91">
        <v>1696601.281</v>
      </c>
      <c r="E256" s="91">
        <v>0</v>
      </c>
      <c r="F256" s="91">
        <f t="shared" si="0"/>
        <v>1696601.281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Overhead - R&amp;M</v>
      </c>
      <c r="J256" t="str">
        <f>_xlfn.XLOOKUP($A256,Map!$A:$A,Map!F:F)</f>
        <v>Machine and equipment</v>
      </c>
    </row>
    <row r="257" spans="1:10" x14ac:dyDescent="0.25">
      <c r="A257" s="90">
        <v>600020</v>
      </c>
      <c r="B257" s="90" t="s">
        <v>155</v>
      </c>
      <c r="D257" s="91">
        <v>10650</v>
      </c>
      <c r="E257" s="91">
        <v>0</v>
      </c>
      <c r="F257" s="91">
        <f t="shared" si="0"/>
        <v>10650</v>
      </c>
      <c r="G257" t="str">
        <f>_xlfn.XLOOKUP($A257,Map!$A:$A,Map!C:C)</f>
        <v>IS</v>
      </c>
      <c r="H257" t="str">
        <f>_xlfn.XLOOKUP($A257,Map!$A:$A,Map!D:D)</f>
        <v>Cost of sales</v>
      </c>
      <c r="I257" t="str">
        <f>_xlfn.XLOOKUP($A257,Map!$A:$A,Map!E:E)</f>
        <v>Overhead - R&amp;M</v>
      </c>
      <c r="J257" t="str">
        <f>_xlfn.XLOOKUP($A257,Map!$A:$A,Map!F:F)</f>
        <v>Machine and equipment</v>
      </c>
    </row>
    <row r="258" spans="1:10" x14ac:dyDescent="0.25">
      <c r="A258" s="90">
        <v>600019</v>
      </c>
      <c r="B258" s="90" t="s">
        <v>609</v>
      </c>
      <c r="D258" s="91">
        <v>42545.82</v>
      </c>
      <c r="E258" s="91">
        <v>0</v>
      </c>
      <c r="F258" s="91">
        <f t="shared" si="0"/>
        <v>42545.82</v>
      </c>
      <c r="G258" t="str">
        <f>_xlfn.XLOOKUP($A258,Map!$A:$A,Map!C:C)</f>
        <v>IS</v>
      </c>
      <c r="H258" t="str">
        <f>_xlfn.XLOOKUP($A258,Map!$A:$A,Map!D:D)</f>
        <v>Cost of sales</v>
      </c>
      <c r="I258" t="str">
        <f>_xlfn.XLOOKUP($A258,Map!$A:$A,Map!E:E)</f>
        <v>Overhead - Utility</v>
      </c>
      <c r="J258" t="str">
        <f>_xlfn.XLOOKUP($A258,Map!$A:$A,Map!F:F)</f>
        <v>Fuel and oil</v>
      </c>
    </row>
    <row r="259" spans="1:10" x14ac:dyDescent="0.25">
      <c r="A259" s="90">
        <v>600018</v>
      </c>
      <c r="B259" s="90" t="s">
        <v>610</v>
      </c>
      <c r="D259" s="91">
        <v>77430</v>
      </c>
      <c r="E259" s="91">
        <v>0</v>
      </c>
      <c r="F259" s="91">
        <f t="shared" si="0"/>
        <v>77430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Overhead - Utility</v>
      </c>
      <c r="J259" t="str">
        <f>_xlfn.XLOOKUP($A259,Map!$A:$A,Map!F:F)</f>
        <v>Water expenses</v>
      </c>
    </row>
    <row r="260" spans="1:10" x14ac:dyDescent="0.25">
      <c r="A260" s="90">
        <v>600018</v>
      </c>
      <c r="B260" s="90" t="s">
        <v>153</v>
      </c>
      <c r="D260" s="91">
        <v>113280</v>
      </c>
      <c r="E260" s="91">
        <v>0</v>
      </c>
      <c r="F260" s="91">
        <f t="shared" si="0"/>
        <v>113280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Overhead - Utility</v>
      </c>
      <c r="J260" t="str">
        <f>_xlfn.XLOOKUP($A260,Map!$A:$A,Map!F:F)</f>
        <v>Water expenses</v>
      </c>
    </row>
    <row r="261" spans="1:10" x14ac:dyDescent="0.25">
      <c r="A261" s="90">
        <v>600017</v>
      </c>
      <c r="B261" s="90" t="s">
        <v>613</v>
      </c>
      <c r="D261" s="91">
        <v>2358711.4180000001</v>
      </c>
      <c r="E261" s="91">
        <v>0</v>
      </c>
      <c r="F261" s="91">
        <f t="shared" si="0"/>
        <v>2358711.4180000001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Overhead - Utility</v>
      </c>
      <c r="J261" t="str">
        <f>_xlfn.XLOOKUP($A261,Map!$A:$A,Map!F:F)</f>
        <v>Electricity expenses</v>
      </c>
    </row>
    <row r="262" spans="1:10" x14ac:dyDescent="0.25">
      <c r="A262" s="90">
        <v>600016</v>
      </c>
      <c r="B262" s="90" t="s">
        <v>614</v>
      </c>
      <c r="D262" s="91">
        <v>459210.62699999998</v>
      </c>
      <c r="E262" s="91">
        <v>0</v>
      </c>
      <c r="F262" s="91">
        <f t="shared" si="0"/>
        <v>459210.62699999998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Overhead - Consumables &amp; SP</v>
      </c>
      <c r="J262" t="str">
        <f>_xlfn.XLOOKUP($A262,Map!$A:$A,Map!F:F)</f>
        <v>Tools</v>
      </c>
    </row>
    <row r="263" spans="1:10" x14ac:dyDescent="0.25">
      <c r="A263" s="90">
        <v>600016</v>
      </c>
      <c r="B263" s="90" t="s">
        <v>704</v>
      </c>
      <c r="D263" s="91">
        <v>432.5</v>
      </c>
      <c r="E263" s="91">
        <v>0</v>
      </c>
      <c r="F263" s="91">
        <f t="shared" si="0"/>
        <v>432.5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Overhead - Consumables &amp; SP</v>
      </c>
      <c r="J263" t="str">
        <f>_xlfn.XLOOKUP($A263,Map!$A:$A,Map!F:F)</f>
        <v>Tools</v>
      </c>
    </row>
    <row r="264" spans="1:10" x14ac:dyDescent="0.25">
      <c r="A264" s="90">
        <v>600016</v>
      </c>
      <c r="B264" s="90" t="s">
        <v>151</v>
      </c>
      <c r="D264" s="91">
        <v>5970993.6390000004</v>
      </c>
      <c r="E264" s="91">
        <v>0</v>
      </c>
      <c r="F264" s="91">
        <f t="shared" si="0"/>
        <v>5970993.6390000004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Overhead - Consumables &amp; SP</v>
      </c>
      <c r="J264" t="str">
        <f>_xlfn.XLOOKUP($A264,Map!$A:$A,Map!F:F)</f>
        <v>Tools</v>
      </c>
    </row>
    <row r="265" spans="1:10" x14ac:dyDescent="0.25">
      <c r="A265" s="90">
        <v>600014</v>
      </c>
      <c r="B265" s="90" t="s">
        <v>615</v>
      </c>
      <c r="D265" s="91">
        <v>310703.31900000002</v>
      </c>
      <c r="E265" s="91">
        <v>0</v>
      </c>
      <c r="F265" s="91">
        <f t="shared" si="0"/>
        <v>310703.31900000002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Overhead - Consumables &amp; SP</v>
      </c>
      <c r="J265" t="str">
        <f>_xlfn.XLOOKUP($A265,Map!$A:$A,Map!F:F)</f>
        <v>Consumables</v>
      </c>
    </row>
    <row r="266" spans="1:10" x14ac:dyDescent="0.25">
      <c r="A266" s="90">
        <v>600014</v>
      </c>
      <c r="B266" s="90" t="s">
        <v>60</v>
      </c>
      <c r="D266" s="91">
        <v>2807071.8309999998</v>
      </c>
      <c r="E266" s="91">
        <v>0</v>
      </c>
      <c r="F266" s="91">
        <f t="shared" si="0"/>
        <v>2807071.8309999998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Overhead - Consumables &amp; SP</v>
      </c>
      <c r="J266" t="str">
        <f>_xlfn.XLOOKUP($A266,Map!$A:$A,Map!F:F)</f>
        <v>Consumables</v>
      </c>
    </row>
    <row r="267" spans="1:10" x14ac:dyDescent="0.25">
      <c r="A267" s="90">
        <v>600011</v>
      </c>
      <c r="B267" s="90" t="s">
        <v>616</v>
      </c>
      <c r="D267" s="91">
        <v>13251</v>
      </c>
      <c r="E267" s="91">
        <v>0</v>
      </c>
      <c r="F267" s="91">
        <f t="shared" si="0"/>
        <v>13251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Overhead - Labor Cost</v>
      </c>
      <c r="J267" t="str">
        <f>_xlfn.XLOOKUP($A267,Map!$A:$A,Map!F:F)</f>
        <v>Air tickets</v>
      </c>
    </row>
    <row r="268" spans="1:10" x14ac:dyDescent="0.25">
      <c r="A268" s="90">
        <v>600010</v>
      </c>
      <c r="B268" s="90" t="s">
        <v>617</v>
      </c>
      <c r="D268" s="91">
        <v>4434</v>
      </c>
      <c r="E268" s="91">
        <v>0</v>
      </c>
      <c r="F268" s="91">
        <f t="shared" si="0"/>
        <v>4434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Overhead - Labor Cost</v>
      </c>
      <c r="J268" t="str">
        <f>_xlfn.XLOOKUP($A268,Map!$A:$A,Map!F:F)</f>
        <v>EOS expenses</v>
      </c>
    </row>
    <row r="269" spans="1:10" x14ac:dyDescent="0.25">
      <c r="A269" s="90">
        <v>600009</v>
      </c>
      <c r="B269" s="90" t="s">
        <v>618</v>
      </c>
      <c r="D269" s="91">
        <v>96617.77</v>
      </c>
      <c r="E269" s="91">
        <v>0</v>
      </c>
      <c r="F269" s="91">
        <f t="shared" si="0"/>
        <v>96617.77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Overhead - Labor Cost</v>
      </c>
      <c r="J269" t="str">
        <f>_xlfn.XLOOKUP($A269,Map!$A:$A,Map!F:F)</f>
        <v>Vacation pay</v>
      </c>
    </row>
    <row r="270" spans="1:10" x14ac:dyDescent="0.25">
      <c r="A270" s="90">
        <v>600008</v>
      </c>
      <c r="B270" s="90" t="s">
        <v>619</v>
      </c>
      <c r="D270" s="91">
        <v>629537.38199999998</v>
      </c>
      <c r="E270" s="91">
        <v>0</v>
      </c>
      <c r="F270" s="91">
        <f t="shared" si="0"/>
        <v>629537.38199999998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Overhead - Labor Cost</v>
      </c>
      <c r="J270" t="str">
        <f>_xlfn.XLOOKUP($A270,Map!$A:$A,Map!F:F)</f>
        <v>Air tickets</v>
      </c>
    </row>
    <row r="271" spans="1:10" x14ac:dyDescent="0.25">
      <c r="A271" s="90">
        <v>600007</v>
      </c>
      <c r="B271" s="90" t="s">
        <v>705</v>
      </c>
      <c r="D271" s="91">
        <v>2500</v>
      </c>
      <c r="E271" s="91">
        <v>0</v>
      </c>
      <c r="F271" s="91">
        <f t="shared" si="0"/>
        <v>2500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Overhead - Labor Cost</v>
      </c>
      <c r="J271" t="str">
        <f>_xlfn.XLOOKUP($A271,Map!$A:$A,Map!F:F)</f>
        <v>Transportation allowance</v>
      </c>
    </row>
    <row r="272" spans="1:10" x14ac:dyDescent="0.25">
      <c r="A272" s="90">
        <v>600006</v>
      </c>
      <c r="B272" s="90" t="s">
        <v>620</v>
      </c>
      <c r="D272" s="91">
        <v>1751226.83</v>
      </c>
      <c r="E272" s="91">
        <v>0</v>
      </c>
      <c r="F272" s="91">
        <f t="shared" si="0"/>
        <v>1751226.83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Overhead - Labor Cost</v>
      </c>
      <c r="J272" t="str">
        <f>_xlfn.XLOOKUP($A272,Map!$A:$A,Map!F:F)</f>
        <v xml:space="preserve">Food &amp; Housing </v>
      </c>
    </row>
    <row r="273" spans="1:10" x14ac:dyDescent="0.25">
      <c r="A273" s="90">
        <v>600005</v>
      </c>
      <c r="B273" s="90" t="s">
        <v>621</v>
      </c>
      <c r="D273" s="91">
        <v>171568.13</v>
      </c>
      <c r="E273" s="91">
        <v>0</v>
      </c>
      <c r="F273" s="91">
        <f t="shared" si="0"/>
        <v>171568.13</v>
      </c>
      <c r="G273" t="str">
        <f>_xlfn.XLOOKUP($A273,Map!$A:$A,Map!C:C)</f>
        <v>IS</v>
      </c>
      <c r="H273" t="str">
        <f>_xlfn.XLOOKUP($A273,Map!$A:$A,Map!D:D)</f>
        <v>General and Admin</v>
      </c>
      <c r="I273" t="str">
        <f>_xlfn.XLOOKUP($A273,Map!$A:$A,Map!E:E)</f>
        <v>Govt license and fees (including modon)</v>
      </c>
      <c r="J273" t="str">
        <f>_xlfn.XLOOKUP($A273,Map!$A:$A,Map!F:F)</f>
        <v>Government fees</v>
      </c>
    </row>
    <row r="274" spans="1:10" x14ac:dyDescent="0.25">
      <c r="A274" s="90">
        <v>600005</v>
      </c>
      <c r="B274" s="90" t="s">
        <v>141</v>
      </c>
      <c r="D274" s="91">
        <v>500</v>
      </c>
      <c r="E274" s="91">
        <v>0</v>
      </c>
      <c r="F274" s="91">
        <f t="shared" si="0"/>
        <v>500</v>
      </c>
      <c r="G274" t="str">
        <f>_xlfn.XLOOKUP($A274,Map!$A:$A,Map!C:C)</f>
        <v>IS</v>
      </c>
      <c r="H274" t="str">
        <f>_xlfn.XLOOKUP($A274,Map!$A:$A,Map!D:D)</f>
        <v>General and Admin</v>
      </c>
      <c r="I274" t="str">
        <f>_xlfn.XLOOKUP($A274,Map!$A:$A,Map!E:E)</f>
        <v>Govt license and fees (including modon)</v>
      </c>
      <c r="J274" t="str">
        <f>_xlfn.XLOOKUP($A274,Map!$A:$A,Map!F:F)</f>
        <v>Government fees</v>
      </c>
    </row>
    <row r="275" spans="1:10" x14ac:dyDescent="0.25">
      <c r="A275" s="90">
        <v>600004</v>
      </c>
      <c r="B275" s="90" t="s">
        <v>623</v>
      </c>
      <c r="D275" s="91">
        <v>474558.39399999997</v>
      </c>
      <c r="E275" s="91">
        <v>0</v>
      </c>
      <c r="F275" s="91">
        <f t="shared" si="0"/>
        <v>474558.39399999997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Overhead - Labor Cost</v>
      </c>
      <c r="J275" t="str">
        <f>_xlfn.XLOOKUP($A275,Map!$A:$A,Map!F:F)</f>
        <v>Medical insurance</v>
      </c>
    </row>
    <row r="276" spans="1:10" x14ac:dyDescent="0.25">
      <c r="A276" s="90">
        <v>600003</v>
      </c>
      <c r="B276" s="90" t="s">
        <v>624</v>
      </c>
      <c r="D276" s="91">
        <v>941816.5</v>
      </c>
      <c r="E276" s="91">
        <v>0</v>
      </c>
      <c r="F276" s="91">
        <f t="shared" si="0"/>
        <v>941816.5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Overhead - Labor Cost</v>
      </c>
      <c r="J276" t="str">
        <f>_xlfn.XLOOKUP($A276,Map!$A:$A,Map!F:F)</f>
        <v xml:space="preserve">Food &amp; Housing </v>
      </c>
    </row>
    <row r="277" spans="1:10" x14ac:dyDescent="0.25">
      <c r="A277" s="90">
        <v>600002</v>
      </c>
      <c r="B277" s="90" t="s">
        <v>625</v>
      </c>
      <c r="D277" s="91">
        <v>399808.31</v>
      </c>
      <c r="E277" s="91">
        <v>0</v>
      </c>
      <c r="F277" s="91">
        <f t="shared" si="0"/>
        <v>399808.31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Overhead - Labor Cost</v>
      </c>
      <c r="J277" t="str">
        <f>_xlfn.XLOOKUP($A277,Map!$A:$A,Map!F:F)</f>
        <v>Overtime pay</v>
      </c>
    </row>
    <row r="278" spans="1:10" x14ac:dyDescent="0.25">
      <c r="A278" s="90">
        <v>600001</v>
      </c>
      <c r="B278" s="90" t="s">
        <v>627</v>
      </c>
      <c r="D278" s="91">
        <v>3145810.7</v>
      </c>
      <c r="E278" s="91">
        <v>0</v>
      </c>
      <c r="F278" s="91">
        <f t="shared" si="0"/>
        <v>3145810.7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Overhead - Labor Cost</v>
      </c>
      <c r="J278" t="str">
        <f>_xlfn.XLOOKUP($A278,Map!$A:$A,Map!F:F)</f>
        <v>Salaries and wages</v>
      </c>
    </row>
    <row r="279" spans="1:10" x14ac:dyDescent="0.25">
      <c r="A279" s="90">
        <v>600001</v>
      </c>
      <c r="B279" s="90" t="s">
        <v>137</v>
      </c>
      <c r="D279" s="91">
        <v>3753</v>
      </c>
      <c r="E279" s="91">
        <v>0</v>
      </c>
      <c r="F279" s="91">
        <f t="shared" si="0"/>
        <v>3753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Overhead - Labor Cost</v>
      </c>
      <c r="J279" t="str">
        <f>_xlfn.XLOOKUP($A279,Map!$A:$A,Map!F:F)</f>
        <v>Salaries and wages</v>
      </c>
    </row>
    <row r="280" spans="1:10" x14ac:dyDescent="0.25">
      <c r="A280" s="90">
        <v>520042</v>
      </c>
      <c r="B280" s="90" t="s">
        <v>136</v>
      </c>
      <c r="D280" s="91">
        <v>989833.52599999995</v>
      </c>
      <c r="E280" s="91">
        <v>0</v>
      </c>
      <c r="F280" s="91">
        <f t="shared" si="0"/>
        <v>989833.52599999995</v>
      </c>
      <c r="G280" t="str">
        <f>_xlfn.XLOOKUP($A280,Map!$A:$A,Map!C:C)</f>
        <v>IS</v>
      </c>
      <c r="H280" t="str">
        <f>_xlfn.XLOOKUP($A280,Map!$A:$A,Map!D:D)</f>
        <v>Cost of sales</v>
      </c>
      <c r="I280" t="str">
        <f>_xlfn.XLOOKUP($A280,Map!$A:$A,Map!E:E)</f>
        <v>Raw materials</v>
      </c>
      <c r="J280" t="str">
        <f>_xlfn.XLOOKUP($A280,Map!$A:$A,Map!F:F)</f>
        <v>Inventory Adjustment</v>
      </c>
    </row>
    <row r="281" spans="1:10" x14ac:dyDescent="0.25">
      <c r="A281" s="90">
        <v>520041</v>
      </c>
      <c r="B281" s="90" t="s">
        <v>135</v>
      </c>
      <c r="D281" s="91">
        <v>0</v>
      </c>
      <c r="E281" s="91">
        <v>14000088.23</v>
      </c>
      <c r="F281" s="91">
        <f t="shared" si="0"/>
        <v>-14000088.23</v>
      </c>
      <c r="G281" t="str">
        <f>_xlfn.XLOOKUP($A281,Map!$A:$A,Map!C:C)</f>
        <v>IS</v>
      </c>
      <c r="H281" t="str">
        <f>_xlfn.XLOOKUP($A281,Map!$A:$A,Map!D:D)</f>
        <v>Cost of sales</v>
      </c>
      <c r="I281" t="str">
        <f>_xlfn.XLOOKUP($A281,Map!$A:$A,Map!E:E)</f>
        <v>Raw materials</v>
      </c>
      <c r="J281" t="str">
        <f>_xlfn.XLOOKUP($A281,Map!$A:$A,Map!F:F)</f>
        <v>Other expenses</v>
      </c>
    </row>
    <row r="282" spans="1:10" x14ac:dyDescent="0.25">
      <c r="A282" s="90">
        <v>520040</v>
      </c>
      <c r="B282" s="90" t="s">
        <v>134</v>
      </c>
      <c r="D282" s="91">
        <v>372.28899999999999</v>
      </c>
      <c r="E282" s="91">
        <v>0</v>
      </c>
      <c r="F282" s="91">
        <f t="shared" si="0"/>
        <v>372.28899999999999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Raw materials</v>
      </c>
      <c r="J282" t="str">
        <f>_xlfn.XLOOKUP($A282,Map!$A:$A,Map!F:F)</f>
        <v>Other expenses</v>
      </c>
    </row>
    <row r="283" spans="1:10" x14ac:dyDescent="0.25">
      <c r="A283" s="90">
        <v>520037</v>
      </c>
      <c r="B283" s="90" t="s">
        <v>629</v>
      </c>
      <c r="D283" s="91">
        <v>0</v>
      </c>
      <c r="E283" s="91">
        <v>2E-3</v>
      </c>
      <c r="F283" s="91">
        <f t="shared" si="0"/>
        <v>-2E-3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Raw materials</v>
      </c>
      <c r="J283" t="str">
        <f>_xlfn.XLOOKUP($A283,Map!$A:$A,Map!F:F)</f>
        <v>Raw materials</v>
      </c>
    </row>
    <row r="284" spans="1:10" x14ac:dyDescent="0.25">
      <c r="A284" s="90">
        <v>520037</v>
      </c>
      <c r="B284" s="90" t="s">
        <v>706</v>
      </c>
      <c r="D284" s="91">
        <v>3.0000000000000001E-3</v>
      </c>
      <c r="E284" s="91">
        <v>0</v>
      </c>
      <c r="F284" s="91">
        <f t="shared" si="0"/>
        <v>3.0000000000000001E-3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Raw materials</v>
      </c>
      <c r="J284" t="str">
        <f>_xlfn.XLOOKUP($A284,Map!$A:$A,Map!F:F)</f>
        <v>Raw materials</v>
      </c>
    </row>
    <row r="285" spans="1:10" x14ac:dyDescent="0.25">
      <c r="A285" s="90">
        <v>520037</v>
      </c>
      <c r="B285" s="90" t="s">
        <v>707</v>
      </c>
      <c r="D285" s="91">
        <v>4.0000000000000001E-3</v>
      </c>
      <c r="E285" s="91">
        <v>0</v>
      </c>
      <c r="F285" s="91">
        <f t="shared" si="0"/>
        <v>4.0000000000000001E-3</v>
      </c>
      <c r="G285" t="str">
        <f>_xlfn.XLOOKUP($A285,Map!$A:$A,Map!C:C)</f>
        <v>IS</v>
      </c>
      <c r="H285" t="str">
        <f>_xlfn.XLOOKUP($A285,Map!$A:$A,Map!D:D)</f>
        <v>Cost of sales</v>
      </c>
      <c r="I285" t="str">
        <f>_xlfn.XLOOKUP($A285,Map!$A:$A,Map!E:E)</f>
        <v>Raw materials</v>
      </c>
      <c r="J285" t="str">
        <f>_xlfn.XLOOKUP($A285,Map!$A:$A,Map!F:F)</f>
        <v>Raw materials</v>
      </c>
    </row>
    <row r="286" spans="1:10" x14ac:dyDescent="0.25">
      <c r="A286" s="90">
        <v>520037</v>
      </c>
      <c r="B286" s="90" t="s">
        <v>133</v>
      </c>
      <c r="D286" s="91">
        <v>0</v>
      </c>
      <c r="E286" s="91">
        <v>1.4370000000000001</v>
      </c>
      <c r="F286" s="91">
        <f t="shared" si="0"/>
        <v>-1.4370000000000001</v>
      </c>
      <c r="G286" t="str">
        <f>_xlfn.XLOOKUP($A286,Map!$A:$A,Map!C:C)</f>
        <v>IS</v>
      </c>
      <c r="H286" t="str">
        <f>_xlfn.XLOOKUP($A286,Map!$A:$A,Map!D:D)</f>
        <v>Cost of sales</v>
      </c>
      <c r="I286" t="str">
        <f>_xlfn.XLOOKUP($A286,Map!$A:$A,Map!E:E)</f>
        <v>Raw materials</v>
      </c>
      <c r="J286" t="str">
        <f>_xlfn.XLOOKUP($A286,Map!$A:$A,Map!F:F)</f>
        <v>Raw materials</v>
      </c>
    </row>
    <row r="287" spans="1:10" x14ac:dyDescent="0.25">
      <c r="A287" s="90">
        <v>520036</v>
      </c>
      <c r="B287" s="90" t="s">
        <v>132</v>
      </c>
      <c r="D287" s="91">
        <v>0</v>
      </c>
      <c r="E287" s="91">
        <v>0.124</v>
      </c>
      <c r="F287" s="91">
        <f t="shared" si="0"/>
        <v>-0.124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Raw materials</v>
      </c>
      <c r="J287" t="str">
        <f>_xlfn.XLOOKUP($A287,Map!$A:$A,Map!F:F)</f>
        <v>Raw materials</v>
      </c>
    </row>
    <row r="288" spans="1:10" x14ac:dyDescent="0.25">
      <c r="A288" s="90">
        <v>520021</v>
      </c>
      <c r="B288" s="90" t="s">
        <v>633</v>
      </c>
      <c r="D288" s="91">
        <v>5404.2979999999998</v>
      </c>
      <c r="E288" s="91">
        <v>0</v>
      </c>
      <c r="F288" s="91">
        <f t="shared" si="0"/>
        <v>5404.2979999999998</v>
      </c>
      <c r="G288" t="str">
        <f>_xlfn.XLOOKUP($A288,Map!$A:$A,Map!C:C)</f>
        <v>IS</v>
      </c>
      <c r="H288" t="str">
        <f>_xlfn.XLOOKUP($A288,Map!$A:$A,Map!D:D)</f>
        <v>Cost of sales</v>
      </c>
      <c r="I288" t="str">
        <f>_xlfn.XLOOKUP($A288,Map!$A:$A,Map!E:E)</f>
        <v>Direct Labor</v>
      </c>
      <c r="J288" t="str">
        <f>_xlfn.XLOOKUP($A288,Map!$A:$A,Map!F:F)</f>
        <v>Medical insurance</v>
      </c>
    </row>
    <row r="289" spans="1:10" x14ac:dyDescent="0.25">
      <c r="A289" s="90">
        <v>520011</v>
      </c>
      <c r="B289" s="90" t="s">
        <v>708</v>
      </c>
      <c r="D289" s="91">
        <v>622620.99</v>
      </c>
      <c r="E289" s="91">
        <v>0</v>
      </c>
      <c r="F289" s="91">
        <f t="shared" si="0"/>
        <v>622620.99</v>
      </c>
      <c r="G289" t="str">
        <f>_xlfn.XLOOKUP($A289,Map!$A:$A,Map!C:C)</f>
        <v>IS</v>
      </c>
      <c r="H289" t="str">
        <f>_xlfn.XLOOKUP($A289,Map!$A:$A,Map!D:D)</f>
        <v>Cost of sales</v>
      </c>
      <c r="I289" t="str">
        <f>_xlfn.XLOOKUP($A289,Map!$A:$A,Map!E:E)</f>
        <v>Direct Labor</v>
      </c>
      <c r="J289" t="str">
        <f>_xlfn.XLOOKUP($A289,Map!$A:$A,Map!F:F)</f>
        <v>Overtime pay</v>
      </c>
    </row>
    <row r="290" spans="1:10" x14ac:dyDescent="0.25">
      <c r="A290" s="90">
        <v>520011</v>
      </c>
      <c r="B290" s="90" t="s">
        <v>709</v>
      </c>
      <c r="D290" s="91">
        <v>69154.149999999994</v>
      </c>
      <c r="E290" s="91">
        <v>0</v>
      </c>
      <c r="F290" s="91">
        <f t="shared" si="0"/>
        <v>69154.149999999994</v>
      </c>
      <c r="G290" t="str">
        <f>_xlfn.XLOOKUP($A290,Map!$A:$A,Map!C:C)</f>
        <v>IS</v>
      </c>
      <c r="H290" t="str">
        <f>_xlfn.XLOOKUP($A290,Map!$A:$A,Map!D:D)</f>
        <v>Cost of sales</v>
      </c>
      <c r="I290" t="str">
        <f>_xlfn.XLOOKUP($A290,Map!$A:$A,Map!E:E)</f>
        <v>Direct Labor</v>
      </c>
      <c r="J290" t="str">
        <f>_xlfn.XLOOKUP($A290,Map!$A:$A,Map!F:F)</f>
        <v>Overtime pay</v>
      </c>
    </row>
    <row r="291" spans="1:10" x14ac:dyDescent="0.25">
      <c r="A291" s="90">
        <v>520011</v>
      </c>
      <c r="B291" s="90" t="s">
        <v>710</v>
      </c>
      <c r="D291" s="91">
        <v>261043.83</v>
      </c>
      <c r="E291" s="91">
        <v>0</v>
      </c>
      <c r="F291" s="91">
        <f t="shared" si="0"/>
        <v>261043.83</v>
      </c>
      <c r="G291" t="str">
        <f>_xlfn.XLOOKUP($A291,Map!$A:$A,Map!C:C)</f>
        <v>IS</v>
      </c>
      <c r="H291" t="str">
        <f>_xlfn.XLOOKUP($A291,Map!$A:$A,Map!D:D)</f>
        <v>Cost of sales</v>
      </c>
      <c r="I291" t="str">
        <f>_xlfn.XLOOKUP($A291,Map!$A:$A,Map!E:E)</f>
        <v>Direct Labor</v>
      </c>
      <c r="J291" t="str">
        <f>_xlfn.XLOOKUP($A291,Map!$A:$A,Map!F:F)</f>
        <v>Overtime pay</v>
      </c>
    </row>
    <row r="292" spans="1:10" x14ac:dyDescent="0.25">
      <c r="A292" s="90">
        <v>520011</v>
      </c>
      <c r="B292" s="90" t="s">
        <v>711</v>
      </c>
      <c r="D292" s="91">
        <v>157488.17000000001</v>
      </c>
      <c r="E292" s="91">
        <v>0</v>
      </c>
      <c r="F292" s="91">
        <f t="shared" si="0"/>
        <v>157488.17000000001</v>
      </c>
      <c r="G292" t="str">
        <f>_xlfn.XLOOKUP($A292,Map!$A:$A,Map!C:C)</f>
        <v>IS</v>
      </c>
      <c r="H292" t="str">
        <f>_xlfn.XLOOKUP($A292,Map!$A:$A,Map!D:D)</f>
        <v>Cost of sales</v>
      </c>
      <c r="I292" t="str">
        <f>_xlfn.XLOOKUP($A292,Map!$A:$A,Map!E:E)</f>
        <v>Direct Labor</v>
      </c>
      <c r="J292" t="str">
        <f>_xlfn.XLOOKUP($A292,Map!$A:$A,Map!F:F)</f>
        <v>Overtime pay</v>
      </c>
    </row>
    <row r="293" spans="1:10" x14ac:dyDescent="0.25">
      <c r="A293" s="90">
        <v>520011</v>
      </c>
      <c r="B293" s="90" t="s">
        <v>712</v>
      </c>
      <c r="D293" s="91">
        <v>79490.06</v>
      </c>
      <c r="E293" s="91">
        <v>0</v>
      </c>
      <c r="F293" s="91">
        <f t="shared" si="0"/>
        <v>79490.06</v>
      </c>
      <c r="G293" t="str">
        <f>_xlfn.XLOOKUP($A293,Map!$A:$A,Map!C:C)</f>
        <v>IS</v>
      </c>
      <c r="H293" t="str">
        <f>_xlfn.XLOOKUP($A293,Map!$A:$A,Map!D:D)</f>
        <v>Cost of sales</v>
      </c>
      <c r="I293" t="str">
        <f>_xlfn.XLOOKUP($A293,Map!$A:$A,Map!E:E)</f>
        <v>Direct Labor</v>
      </c>
      <c r="J293" t="str">
        <f>_xlfn.XLOOKUP($A293,Map!$A:$A,Map!F:F)</f>
        <v>Overtime pay</v>
      </c>
    </row>
    <row r="294" spans="1:10" x14ac:dyDescent="0.25">
      <c r="A294" s="90">
        <v>520006</v>
      </c>
      <c r="B294" s="90" t="s">
        <v>638</v>
      </c>
      <c r="D294" s="91">
        <v>117439.446</v>
      </c>
      <c r="E294" s="91">
        <v>0</v>
      </c>
      <c r="F294" s="91">
        <f t="shared" si="0"/>
        <v>117439.446</v>
      </c>
      <c r="G294" t="str">
        <f>_xlfn.XLOOKUP($A294,Map!$A:$A,Map!C:C)</f>
        <v>IS</v>
      </c>
      <c r="H294" t="str">
        <f>_xlfn.XLOOKUP($A294,Map!$A:$A,Map!D:D)</f>
        <v>Cost of sales</v>
      </c>
      <c r="I294" t="str">
        <f>_xlfn.XLOOKUP($A294,Map!$A:$A,Map!E:E)</f>
        <v>Direct Labor</v>
      </c>
      <c r="J294" t="str">
        <f>_xlfn.XLOOKUP($A294,Map!$A:$A,Map!F:F)</f>
        <v>Medical insurance</v>
      </c>
    </row>
    <row r="295" spans="1:10" x14ac:dyDescent="0.25">
      <c r="A295" s="90">
        <v>520006</v>
      </c>
      <c r="B295" s="90" t="s">
        <v>639</v>
      </c>
      <c r="D295" s="91">
        <v>63283.811999999998</v>
      </c>
      <c r="E295" s="91">
        <v>0</v>
      </c>
      <c r="F295" s="91">
        <f t="shared" si="0"/>
        <v>63283.811999999998</v>
      </c>
      <c r="G295" t="str">
        <f>_xlfn.XLOOKUP($A295,Map!$A:$A,Map!C:C)</f>
        <v>IS</v>
      </c>
      <c r="H295" t="str">
        <f>_xlfn.XLOOKUP($A295,Map!$A:$A,Map!D:D)</f>
        <v>Cost of sales</v>
      </c>
      <c r="I295" t="str">
        <f>_xlfn.XLOOKUP($A295,Map!$A:$A,Map!E:E)</f>
        <v>Direct Labor</v>
      </c>
      <c r="J295" t="str">
        <f>_xlfn.XLOOKUP($A295,Map!$A:$A,Map!F:F)</f>
        <v>Medical insurance</v>
      </c>
    </row>
    <row r="296" spans="1:10" x14ac:dyDescent="0.25">
      <c r="A296" s="90">
        <v>520006</v>
      </c>
      <c r="B296" s="90" t="s">
        <v>640</v>
      </c>
      <c r="D296" s="91">
        <v>40715.946000000004</v>
      </c>
      <c r="E296" s="91">
        <v>0</v>
      </c>
      <c r="F296" s="91">
        <f t="shared" si="0"/>
        <v>40715.946000000004</v>
      </c>
      <c r="G296" t="str">
        <f>_xlfn.XLOOKUP($A296,Map!$A:$A,Map!C:C)</f>
        <v>IS</v>
      </c>
      <c r="H296" t="str">
        <f>_xlfn.XLOOKUP($A296,Map!$A:$A,Map!D:D)</f>
        <v>Cost of sales</v>
      </c>
      <c r="I296" t="str">
        <f>_xlfn.XLOOKUP($A296,Map!$A:$A,Map!E:E)</f>
        <v>Direct Labor</v>
      </c>
      <c r="J296" t="str">
        <f>_xlfn.XLOOKUP($A296,Map!$A:$A,Map!F:F)</f>
        <v>Medical insurance</v>
      </c>
    </row>
    <row r="297" spans="1:10" x14ac:dyDescent="0.25">
      <c r="A297" s="90">
        <v>520006</v>
      </c>
      <c r="B297" s="90" t="s">
        <v>641</v>
      </c>
      <c r="D297" s="91">
        <v>36512.658000000003</v>
      </c>
      <c r="E297" s="91">
        <v>0</v>
      </c>
      <c r="F297" s="91">
        <f t="shared" si="0"/>
        <v>36512.658000000003</v>
      </c>
      <c r="G297" t="str">
        <f>_xlfn.XLOOKUP($A297,Map!$A:$A,Map!C:C)</f>
        <v>IS</v>
      </c>
      <c r="H297" t="str">
        <f>_xlfn.XLOOKUP($A297,Map!$A:$A,Map!D:D)</f>
        <v>Cost of sales</v>
      </c>
      <c r="I297" t="str">
        <f>_xlfn.XLOOKUP($A297,Map!$A:$A,Map!E:E)</f>
        <v>Direct Labor</v>
      </c>
      <c r="J297" t="str">
        <f>_xlfn.XLOOKUP($A297,Map!$A:$A,Map!F:F)</f>
        <v>Medical insurance</v>
      </c>
    </row>
    <row r="298" spans="1:10" x14ac:dyDescent="0.25">
      <c r="A298" s="90">
        <v>520006</v>
      </c>
      <c r="B298" s="90" t="s">
        <v>642</v>
      </c>
      <c r="D298" s="91">
        <v>44883.161999999997</v>
      </c>
      <c r="E298" s="91">
        <v>0</v>
      </c>
      <c r="F298" s="91">
        <f t="shared" si="0"/>
        <v>44883.161999999997</v>
      </c>
      <c r="G298" t="str">
        <f>_xlfn.XLOOKUP($A298,Map!$A:$A,Map!C:C)</f>
        <v>IS</v>
      </c>
      <c r="H298" t="str">
        <f>_xlfn.XLOOKUP($A298,Map!$A:$A,Map!D:D)</f>
        <v>Cost of sales</v>
      </c>
      <c r="I298" t="str">
        <f>_xlfn.XLOOKUP($A298,Map!$A:$A,Map!E:E)</f>
        <v>Direct Labor</v>
      </c>
      <c r="J298" t="str">
        <f>_xlfn.XLOOKUP($A298,Map!$A:$A,Map!F:F)</f>
        <v>Medical insurance</v>
      </c>
    </row>
    <row r="299" spans="1:10" x14ac:dyDescent="0.25">
      <c r="A299" s="90">
        <v>520006</v>
      </c>
      <c r="B299" s="90" t="s">
        <v>643</v>
      </c>
      <c r="D299" s="91">
        <v>31750.133999999998</v>
      </c>
      <c r="E299" s="91">
        <v>0</v>
      </c>
      <c r="F299" s="91">
        <f t="shared" si="0"/>
        <v>31750.133999999998</v>
      </c>
      <c r="G299" t="str">
        <f>_xlfn.XLOOKUP($A299,Map!$A:$A,Map!C:C)</f>
        <v>IS</v>
      </c>
      <c r="H299" t="str">
        <f>_xlfn.XLOOKUP($A299,Map!$A:$A,Map!D:D)</f>
        <v>Cost of sales</v>
      </c>
      <c r="I299" t="str">
        <f>_xlfn.XLOOKUP($A299,Map!$A:$A,Map!E:E)</f>
        <v>Direct Labor</v>
      </c>
      <c r="J299" t="str">
        <f>_xlfn.XLOOKUP($A299,Map!$A:$A,Map!F:F)</f>
        <v>Medical insurance</v>
      </c>
    </row>
    <row r="300" spans="1:10" x14ac:dyDescent="0.25">
      <c r="A300" s="90">
        <v>520005</v>
      </c>
      <c r="B300" s="90" t="s">
        <v>644</v>
      </c>
      <c r="D300" s="91">
        <v>335144.22499999998</v>
      </c>
      <c r="E300" s="91">
        <v>0</v>
      </c>
      <c r="F300" s="91">
        <f t="shared" si="0"/>
        <v>335144.22499999998</v>
      </c>
      <c r="G300" t="str">
        <f>_xlfn.XLOOKUP($A300,Map!$A:$A,Map!C:C)</f>
        <v>IS</v>
      </c>
      <c r="H300" t="str">
        <f>_xlfn.XLOOKUP($A300,Map!$A:$A,Map!D:D)</f>
        <v>Cost of sales</v>
      </c>
      <c r="I300" t="str">
        <f>_xlfn.XLOOKUP($A300,Map!$A:$A,Map!E:E)</f>
        <v>Direct Labor</v>
      </c>
      <c r="J300" t="str">
        <f>_xlfn.XLOOKUP($A300,Map!$A:$A,Map!F:F)</f>
        <v>Leave pay</v>
      </c>
    </row>
    <row r="301" spans="1:10" x14ac:dyDescent="0.25">
      <c r="A301" s="90">
        <v>520005</v>
      </c>
      <c r="B301" s="90" t="s">
        <v>646</v>
      </c>
      <c r="D301" s="91">
        <v>2446.08</v>
      </c>
      <c r="E301" s="91">
        <v>0</v>
      </c>
      <c r="F301" s="91">
        <f t="shared" si="0"/>
        <v>2446.08</v>
      </c>
      <c r="G301" t="str">
        <f>_xlfn.XLOOKUP($A301,Map!$A:$A,Map!C:C)</f>
        <v>IS</v>
      </c>
      <c r="H301" t="str">
        <f>_xlfn.XLOOKUP($A301,Map!$A:$A,Map!D:D)</f>
        <v>Cost of sales</v>
      </c>
      <c r="I301" t="str">
        <f>_xlfn.XLOOKUP($A301,Map!$A:$A,Map!E:E)</f>
        <v>Direct Labor</v>
      </c>
      <c r="J301" t="str">
        <f>_xlfn.XLOOKUP($A301,Map!$A:$A,Map!F:F)</f>
        <v>Leave pay</v>
      </c>
    </row>
    <row r="302" spans="1:10" x14ac:dyDescent="0.25">
      <c r="A302" s="90">
        <v>520005</v>
      </c>
      <c r="B302" s="90" t="s">
        <v>647</v>
      </c>
      <c r="D302" s="91">
        <v>5464.17</v>
      </c>
      <c r="E302" s="91">
        <v>0</v>
      </c>
      <c r="F302" s="91">
        <f t="shared" si="0"/>
        <v>5464.17</v>
      </c>
      <c r="G302" t="str">
        <f>_xlfn.XLOOKUP($A302,Map!$A:$A,Map!C:C)</f>
        <v>IS</v>
      </c>
      <c r="H302" t="str">
        <f>_xlfn.XLOOKUP($A302,Map!$A:$A,Map!D:D)</f>
        <v>Cost of sales</v>
      </c>
      <c r="I302" t="str">
        <f>_xlfn.XLOOKUP($A302,Map!$A:$A,Map!E:E)</f>
        <v>Direct Labor</v>
      </c>
      <c r="J302" t="str">
        <f>_xlfn.XLOOKUP($A302,Map!$A:$A,Map!F:F)</f>
        <v>Leave pay</v>
      </c>
    </row>
    <row r="303" spans="1:10" x14ac:dyDescent="0.25">
      <c r="A303" s="90">
        <v>520003</v>
      </c>
      <c r="B303" s="90" t="s">
        <v>648</v>
      </c>
      <c r="D303" s="91">
        <v>228493.92</v>
      </c>
      <c r="E303" s="91">
        <v>0</v>
      </c>
      <c r="F303" s="91">
        <f t="shared" si="0"/>
        <v>228493.92</v>
      </c>
      <c r="G303" t="str">
        <f>_xlfn.XLOOKUP($A303,Map!$A:$A,Map!C:C)</f>
        <v>IS</v>
      </c>
      <c r="H303" t="str">
        <f>_xlfn.XLOOKUP($A303,Map!$A:$A,Map!D:D)</f>
        <v>Cost of sales</v>
      </c>
      <c r="I303" t="str">
        <f>_xlfn.XLOOKUP($A303,Map!$A:$A,Map!E:E)</f>
        <v>Direct Labor</v>
      </c>
      <c r="J303" t="str">
        <f>_xlfn.XLOOKUP($A303,Map!$A:$A,Map!F:F)</f>
        <v>Transportation allowance</v>
      </c>
    </row>
    <row r="304" spans="1:10" x14ac:dyDescent="0.25">
      <c r="A304" s="90">
        <v>520003</v>
      </c>
      <c r="B304" s="90" t="s">
        <v>650</v>
      </c>
      <c r="D304" s="91">
        <v>26600.47</v>
      </c>
      <c r="E304" s="91">
        <v>0</v>
      </c>
      <c r="F304" s="91">
        <f t="shared" si="0"/>
        <v>26600.47</v>
      </c>
      <c r="G304" t="str">
        <f>_xlfn.XLOOKUP($A304,Map!$A:$A,Map!C:C)</f>
        <v>IS</v>
      </c>
      <c r="H304" t="str">
        <f>_xlfn.XLOOKUP($A304,Map!$A:$A,Map!D:D)</f>
        <v>Cost of sales</v>
      </c>
      <c r="I304" t="str">
        <f>_xlfn.XLOOKUP($A304,Map!$A:$A,Map!E:E)</f>
        <v>Direct Labor</v>
      </c>
      <c r="J304" t="str">
        <f>_xlfn.XLOOKUP($A304,Map!$A:$A,Map!F:F)</f>
        <v>Transportation allowance</v>
      </c>
    </row>
    <row r="305" spans="1:10" x14ac:dyDescent="0.25">
      <c r="A305" s="90">
        <v>520003</v>
      </c>
      <c r="B305" s="90" t="s">
        <v>651</v>
      </c>
      <c r="D305" s="91">
        <v>42456.57</v>
      </c>
      <c r="E305" s="91">
        <v>0</v>
      </c>
      <c r="F305" s="91">
        <f t="shared" si="0"/>
        <v>42456.57</v>
      </c>
      <c r="G305" t="str">
        <f>_xlfn.XLOOKUP($A305,Map!$A:$A,Map!C:C)</f>
        <v>IS</v>
      </c>
      <c r="H305" t="str">
        <f>_xlfn.XLOOKUP($A305,Map!$A:$A,Map!D:D)</f>
        <v>Cost of sales</v>
      </c>
      <c r="I305" t="str">
        <f>_xlfn.XLOOKUP($A305,Map!$A:$A,Map!E:E)</f>
        <v>Direct Labor</v>
      </c>
      <c r="J305" t="str">
        <f>_xlfn.XLOOKUP($A305,Map!$A:$A,Map!F:F)</f>
        <v>Transportation allowance</v>
      </c>
    </row>
    <row r="306" spans="1:10" x14ac:dyDescent="0.25">
      <c r="A306" s="90">
        <v>520003</v>
      </c>
      <c r="B306" s="90" t="s">
        <v>652</v>
      </c>
      <c r="D306" s="91">
        <v>216319.01</v>
      </c>
      <c r="E306" s="91">
        <v>0</v>
      </c>
      <c r="F306" s="91">
        <f t="shared" si="0"/>
        <v>216319.01</v>
      </c>
      <c r="G306" t="str">
        <f>_xlfn.XLOOKUP($A306,Map!$A:$A,Map!C:C)</f>
        <v>IS</v>
      </c>
      <c r="H306" t="str">
        <f>_xlfn.XLOOKUP($A306,Map!$A:$A,Map!D:D)</f>
        <v>Cost of sales</v>
      </c>
      <c r="I306" t="str">
        <f>_xlfn.XLOOKUP($A306,Map!$A:$A,Map!E:E)</f>
        <v>Direct Labor</v>
      </c>
      <c r="J306" t="str">
        <f>_xlfn.XLOOKUP($A306,Map!$A:$A,Map!F:F)</f>
        <v>Transportation allowance</v>
      </c>
    </row>
    <row r="307" spans="1:10" x14ac:dyDescent="0.25">
      <c r="A307" s="90">
        <v>520001</v>
      </c>
      <c r="B307" s="90" t="s">
        <v>653</v>
      </c>
      <c r="D307" s="91">
        <v>3462150.41</v>
      </c>
      <c r="E307" s="91">
        <v>0</v>
      </c>
      <c r="F307" s="91">
        <f t="shared" si="0"/>
        <v>3462150.41</v>
      </c>
      <c r="G307" t="str">
        <f>_xlfn.XLOOKUP($A307,Map!$A:$A,Map!C:C)</f>
        <v>IS</v>
      </c>
      <c r="H307" t="str">
        <f>_xlfn.XLOOKUP($A307,Map!$A:$A,Map!D:D)</f>
        <v>Cost of sales</v>
      </c>
      <c r="I307" t="str">
        <f>_xlfn.XLOOKUP($A307,Map!$A:$A,Map!E:E)</f>
        <v>Direct Labor</v>
      </c>
      <c r="J307" t="str">
        <f>_xlfn.XLOOKUP($A307,Map!$A:$A,Map!F:F)</f>
        <v>Salaries and wages</v>
      </c>
    </row>
    <row r="308" spans="1:10" x14ac:dyDescent="0.25">
      <c r="A308" s="90">
        <v>520001</v>
      </c>
      <c r="B308" s="90" t="s">
        <v>654</v>
      </c>
      <c r="D308" s="91">
        <v>186049.47</v>
      </c>
      <c r="E308" s="91">
        <v>0</v>
      </c>
      <c r="F308" s="91">
        <f t="shared" si="0"/>
        <v>186049.47</v>
      </c>
      <c r="G308" t="str">
        <f>_xlfn.XLOOKUP($A308,Map!$A:$A,Map!C:C)</f>
        <v>IS</v>
      </c>
      <c r="H308" t="str">
        <f>_xlfn.XLOOKUP($A308,Map!$A:$A,Map!D:D)</f>
        <v>Cost of sales</v>
      </c>
      <c r="I308" t="str">
        <f>_xlfn.XLOOKUP($A308,Map!$A:$A,Map!E:E)</f>
        <v>Direct Labor</v>
      </c>
      <c r="J308" t="str">
        <f>_xlfn.XLOOKUP($A308,Map!$A:$A,Map!F:F)</f>
        <v>Salaries and wages</v>
      </c>
    </row>
    <row r="309" spans="1:10" x14ac:dyDescent="0.25">
      <c r="A309" s="90">
        <v>520001</v>
      </c>
      <c r="B309" s="90" t="s">
        <v>655</v>
      </c>
      <c r="D309" s="91">
        <v>793570.78</v>
      </c>
      <c r="E309" s="91">
        <v>0</v>
      </c>
      <c r="F309" s="91">
        <f t="shared" si="0"/>
        <v>793570.78</v>
      </c>
      <c r="G309" t="str">
        <f>_xlfn.XLOOKUP($A309,Map!$A:$A,Map!C:C)</f>
        <v>IS</v>
      </c>
      <c r="H309" t="str">
        <f>_xlfn.XLOOKUP($A309,Map!$A:$A,Map!D:D)</f>
        <v>Cost of sales</v>
      </c>
      <c r="I309" t="str">
        <f>_xlfn.XLOOKUP($A309,Map!$A:$A,Map!E:E)</f>
        <v>Direct Labor</v>
      </c>
      <c r="J309" t="str">
        <f>_xlfn.XLOOKUP($A309,Map!$A:$A,Map!F:F)</f>
        <v>Salaries and wages</v>
      </c>
    </row>
    <row r="310" spans="1:10" x14ac:dyDescent="0.25">
      <c r="A310" s="90">
        <v>520001</v>
      </c>
      <c r="B310" s="90" t="s">
        <v>656</v>
      </c>
      <c r="D310" s="91">
        <v>764465.77</v>
      </c>
      <c r="E310" s="91">
        <v>0</v>
      </c>
      <c r="F310" s="91">
        <f t="shared" si="0"/>
        <v>764465.77</v>
      </c>
      <c r="G310" t="str">
        <f>_xlfn.XLOOKUP($A310,Map!$A:$A,Map!C:C)</f>
        <v>IS</v>
      </c>
      <c r="H310" t="str">
        <f>_xlfn.XLOOKUP($A310,Map!$A:$A,Map!D:D)</f>
        <v>Cost of sales</v>
      </c>
      <c r="I310" t="str">
        <f>_xlfn.XLOOKUP($A310,Map!$A:$A,Map!E:E)</f>
        <v>Direct Labor</v>
      </c>
      <c r="J310" t="str">
        <f>_xlfn.XLOOKUP($A310,Map!$A:$A,Map!F:F)</f>
        <v>Salaries and wages</v>
      </c>
    </row>
    <row r="311" spans="1:10" x14ac:dyDescent="0.25">
      <c r="A311" s="90">
        <v>520001</v>
      </c>
      <c r="B311" s="90" t="s">
        <v>713</v>
      </c>
      <c r="D311" s="91">
        <v>166247</v>
      </c>
      <c r="E311" s="91">
        <v>0</v>
      </c>
      <c r="F311" s="91">
        <f t="shared" ref="F311:F362" si="1">D311-E311</f>
        <v>166247</v>
      </c>
      <c r="G311" t="str">
        <f>_xlfn.XLOOKUP($A311,Map!$A:$A,Map!C:C)</f>
        <v>IS</v>
      </c>
      <c r="H311" t="str">
        <f>_xlfn.XLOOKUP($A311,Map!$A:$A,Map!D:D)</f>
        <v>Cost of sales</v>
      </c>
      <c r="I311" t="str">
        <f>_xlfn.XLOOKUP($A311,Map!$A:$A,Map!E:E)</f>
        <v>Direct Labor</v>
      </c>
      <c r="J311" t="str">
        <f>_xlfn.XLOOKUP($A311,Map!$A:$A,Map!F:F)</f>
        <v>Salaries and wages</v>
      </c>
    </row>
    <row r="312" spans="1:10" x14ac:dyDescent="0.25">
      <c r="A312" s="90">
        <v>510005</v>
      </c>
      <c r="B312" s="90" t="s">
        <v>714</v>
      </c>
      <c r="D312" s="91">
        <v>0</v>
      </c>
      <c r="E312" s="91">
        <v>400000</v>
      </c>
      <c r="F312" s="91">
        <f t="shared" si="1"/>
        <v>-400000</v>
      </c>
      <c r="G312" t="str">
        <f>_xlfn.XLOOKUP($A312,Map!$A:$A,Map!C:C)</f>
        <v>IS</v>
      </c>
      <c r="H312" t="str">
        <f>_xlfn.XLOOKUP($A312,Map!$A:$A,Map!D:D)</f>
        <v>Cost of sales</v>
      </c>
      <c r="I312" t="str">
        <f>_xlfn.XLOOKUP($A312,Map!$A:$A,Map!E:E)</f>
        <v>Raw materials</v>
      </c>
      <c r="J312" t="str">
        <f>_xlfn.XLOOKUP($A312,Map!$A:$A,Map!F:F)</f>
        <v>Other expenses</v>
      </c>
    </row>
    <row r="313" spans="1:10" x14ac:dyDescent="0.25">
      <c r="A313" s="90">
        <v>510004</v>
      </c>
      <c r="B313" s="90" t="s">
        <v>657</v>
      </c>
      <c r="D313" s="91">
        <v>2188535.7829999998</v>
      </c>
      <c r="E313" s="91">
        <v>0</v>
      </c>
      <c r="F313" s="91">
        <f t="shared" si="1"/>
        <v>2188535.7829999998</v>
      </c>
      <c r="G313" t="str">
        <f>_xlfn.XLOOKUP($A313,Map!$A:$A,Map!C:C)</f>
        <v>IS</v>
      </c>
      <c r="H313" t="str">
        <f>_xlfn.XLOOKUP($A313,Map!$A:$A,Map!D:D)</f>
        <v>Cost of sales</v>
      </c>
      <c r="I313" t="str">
        <f>_xlfn.XLOOKUP($A313,Map!$A:$A,Map!E:E)</f>
        <v>Raw materials</v>
      </c>
      <c r="J313" t="str">
        <f>_xlfn.XLOOKUP($A313,Map!$A:$A,Map!F:F)</f>
        <v>Other expenses</v>
      </c>
    </row>
    <row r="314" spans="1:10" x14ac:dyDescent="0.25">
      <c r="A314" s="90">
        <v>510004</v>
      </c>
      <c r="B314" s="90" t="s">
        <v>658</v>
      </c>
      <c r="D314" s="91">
        <v>257642.571</v>
      </c>
      <c r="E314" s="91">
        <v>0</v>
      </c>
      <c r="F314" s="91">
        <f t="shared" si="1"/>
        <v>257642.571</v>
      </c>
      <c r="G314" t="str">
        <f>_xlfn.XLOOKUP($A314,Map!$A:$A,Map!C:C)</f>
        <v>IS</v>
      </c>
      <c r="H314" t="str">
        <f>_xlfn.XLOOKUP($A314,Map!$A:$A,Map!D:D)</f>
        <v>Cost of sales</v>
      </c>
      <c r="I314" t="str">
        <f>_xlfn.XLOOKUP($A314,Map!$A:$A,Map!E:E)</f>
        <v>Raw materials</v>
      </c>
      <c r="J314" t="str">
        <f>_xlfn.XLOOKUP($A314,Map!$A:$A,Map!F:F)</f>
        <v>Other expenses</v>
      </c>
    </row>
    <row r="315" spans="1:10" x14ac:dyDescent="0.25">
      <c r="A315" s="90">
        <v>510004</v>
      </c>
      <c r="B315" s="90" t="s">
        <v>715</v>
      </c>
      <c r="D315" s="91">
        <v>66.668999999999997</v>
      </c>
      <c r="E315" s="91">
        <v>0</v>
      </c>
      <c r="F315" s="91">
        <f t="shared" si="1"/>
        <v>66.668999999999997</v>
      </c>
      <c r="G315" t="str">
        <f>_xlfn.XLOOKUP($A315,Map!$A:$A,Map!C:C)</f>
        <v>IS</v>
      </c>
      <c r="H315" t="str">
        <f>_xlfn.XLOOKUP($A315,Map!$A:$A,Map!D:D)</f>
        <v>Cost of sales</v>
      </c>
      <c r="I315" t="str">
        <f>_xlfn.XLOOKUP($A315,Map!$A:$A,Map!E:E)</f>
        <v>Raw materials</v>
      </c>
      <c r="J315" t="str">
        <f>_xlfn.XLOOKUP($A315,Map!$A:$A,Map!F:F)</f>
        <v>Other expenses</v>
      </c>
    </row>
    <row r="316" spans="1:10" x14ac:dyDescent="0.25">
      <c r="A316" s="90">
        <v>510004</v>
      </c>
      <c r="B316" s="90" t="s">
        <v>659</v>
      </c>
      <c r="D316" s="91">
        <v>9353.759</v>
      </c>
      <c r="E316" s="91">
        <v>0</v>
      </c>
      <c r="F316" s="91">
        <f t="shared" si="1"/>
        <v>9353.759</v>
      </c>
      <c r="G316" t="str">
        <f>_xlfn.XLOOKUP($A316,Map!$A:$A,Map!C:C)</f>
        <v>IS</v>
      </c>
      <c r="H316" t="str">
        <f>_xlfn.XLOOKUP($A316,Map!$A:$A,Map!D:D)</f>
        <v>Cost of sales</v>
      </c>
      <c r="I316" t="str">
        <f>_xlfn.XLOOKUP($A316,Map!$A:$A,Map!E:E)</f>
        <v>Raw materials</v>
      </c>
      <c r="J316" t="str">
        <f>_xlfn.XLOOKUP($A316,Map!$A:$A,Map!F:F)</f>
        <v>Other expenses</v>
      </c>
    </row>
    <row r="317" spans="1:10" x14ac:dyDescent="0.25">
      <c r="A317" s="90">
        <v>510004</v>
      </c>
      <c r="B317" s="90" t="s">
        <v>716</v>
      </c>
      <c r="D317" s="91">
        <v>96.908000000000001</v>
      </c>
      <c r="E317" s="91">
        <v>0</v>
      </c>
      <c r="F317" s="91">
        <f t="shared" si="1"/>
        <v>96.908000000000001</v>
      </c>
      <c r="G317" t="str">
        <f>_xlfn.XLOOKUP($A317,Map!$A:$A,Map!C:C)</f>
        <v>IS</v>
      </c>
      <c r="H317" t="str">
        <f>_xlfn.XLOOKUP($A317,Map!$A:$A,Map!D:D)</f>
        <v>Cost of sales</v>
      </c>
      <c r="I317" t="str">
        <f>_xlfn.XLOOKUP($A317,Map!$A:$A,Map!E:E)</f>
        <v>Raw materials</v>
      </c>
      <c r="J317" t="str">
        <f>_xlfn.XLOOKUP($A317,Map!$A:$A,Map!F:F)</f>
        <v>Other expenses</v>
      </c>
    </row>
    <row r="318" spans="1:10" x14ac:dyDescent="0.25">
      <c r="A318" s="90">
        <v>510004</v>
      </c>
      <c r="B318" s="90" t="s">
        <v>661</v>
      </c>
      <c r="D318" s="91">
        <v>334095.50599999999</v>
      </c>
      <c r="E318" s="91">
        <v>0</v>
      </c>
      <c r="F318" s="91">
        <f t="shared" si="1"/>
        <v>334095.50599999999</v>
      </c>
      <c r="G318" t="str">
        <f>_xlfn.XLOOKUP($A318,Map!$A:$A,Map!C:C)</f>
        <v>IS</v>
      </c>
      <c r="H318" t="str">
        <f>_xlfn.XLOOKUP($A318,Map!$A:$A,Map!D:D)</f>
        <v>Cost of sales</v>
      </c>
      <c r="I318" t="str">
        <f>_xlfn.XLOOKUP($A318,Map!$A:$A,Map!E:E)</f>
        <v>Raw materials</v>
      </c>
      <c r="J318" t="str">
        <f>_xlfn.XLOOKUP($A318,Map!$A:$A,Map!F:F)</f>
        <v>Other expenses</v>
      </c>
    </row>
    <row r="319" spans="1:10" x14ac:dyDescent="0.25">
      <c r="A319" s="90">
        <v>510004</v>
      </c>
      <c r="B319" s="90" t="s">
        <v>662</v>
      </c>
      <c r="D319" s="91">
        <v>63992.752</v>
      </c>
      <c r="E319" s="91">
        <v>0</v>
      </c>
      <c r="F319" s="91">
        <f t="shared" si="1"/>
        <v>63992.752</v>
      </c>
      <c r="G319" t="str">
        <f>_xlfn.XLOOKUP($A319,Map!$A:$A,Map!C:C)</f>
        <v>IS</v>
      </c>
      <c r="H319" t="str">
        <f>_xlfn.XLOOKUP($A319,Map!$A:$A,Map!D:D)</f>
        <v>Cost of sales</v>
      </c>
      <c r="I319" t="str">
        <f>_xlfn.XLOOKUP($A319,Map!$A:$A,Map!E:E)</f>
        <v>Raw materials</v>
      </c>
      <c r="J319" t="str">
        <f>_xlfn.XLOOKUP($A319,Map!$A:$A,Map!F:F)</f>
        <v>Other expenses</v>
      </c>
    </row>
    <row r="320" spans="1:10" x14ac:dyDescent="0.25">
      <c r="A320" s="90">
        <v>510004</v>
      </c>
      <c r="B320" s="90" t="s">
        <v>663</v>
      </c>
      <c r="D320" s="91">
        <v>227033.44500000001</v>
      </c>
      <c r="E320" s="91">
        <v>0</v>
      </c>
      <c r="F320" s="91">
        <f t="shared" si="1"/>
        <v>227033.44500000001</v>
      </c>
      <c r="G320" t="str">
        <f>_xlfn.XLOOKUP($A320,Map!$A:$A,Map!C:C)</f>
        <v>IS</v>
      </c>
      <c r="H320" t="str">
        <f>_xlfn.XLOOKUP($A320,Map!$A:$A,Map!D:D)</f>
        <v>Cost of sales</v>
      </c>
      <c r="I320" t="str">
        <f>_xlfn.XLOOKUP($A320,Map!$A:$A,Map!E:E)</f>
        <v>Raw materials</v>
      </c>
      <c r="J320" t="str">
        <f>_xlfn.XLOOKUP($A320,Map!$A:$A,Map!F:F)</f>
        <v>Other expenses</v>
      </c>
    </row>
    <row r="321" spans="1:10" x14ac:dyDescent="0.25">
      <c r="A321" s="90">
        <v>510004</v>
      </c>
      <c r="B321" s="90" t="s">
        <v>664</v>
      </c>
      <c r="D321" s="91">
        <v>696878.20499999996</v>
      </c>
      <c r="E321" s="91">
        <v>0</v>
      </c>
      <c r="F321" s="91">
        <f t="shared" si="1"/>
        <v>696878.20499999996</v>
      </c>
      <c r="G321" t="str">
        <f>_xlfn.XLOOKUP($A321,Map!$A:$A,Map!C:C)</f>
        <v>IS</v>
      </c>
      <c r="H321" t="str">
        <f>_xlfn.XLOOKUP($A321,Map!$A:$A,Map!D:D)</f>
        <v>Cost of sales</v>
      </c>
      <c r="I321" t="str">
        <f>_xlfn.XLOOKUP($A321,Map!$A:$A,Map!E:E)</f>
        <v>Raw materials</v>
      </c>
      <c r="J321" t="str">
        <f>_xlfn.XLOOKUP($A321,Map!$A:$A,Map!F:F)</f>
        <v>Other expenses</v>
      </c>
    </row>
    <row r="322" spans="1:10" x14ac:dyDescent="0.25">
      <c r="A322" s="90">
        <v>510004</v>
      </c>
      <c r="B322" s="90" t="s">
        <v>665</v>
      </c>
      <c r="D322" s="91">
        <v>106105.226</v>
      </c>
      <c r="E322" s="91">
        <v>0</v>
      </c>
      <c r="F322" s="91">
        <f t="shared" si="1"/>
        <v>106105.226</v>
      </c>
      <c r="G322" t="str">
        <f>_xlfn.XLOOKUP($A322,Map!$A:$A,Map!C:C)</f>
        <v>IS</v>
      </c>
      <c r="H322" t="str">
        <f>_xlfn.XLOOKUP($A322,Map!$A:$A,Map!D:D)</f>
        <v>Cost of sales</v>
      </c>
      <c r="I322" t="str">
        <f>_xlfn.XLOOKUP($A322,Map!$A:$A,Map!E:E)</f>
        <v>Raw materials</v>
      </c>
      <c r="J322" t="str">
        <f>_xlfn.XLOOKUP($A322,Map!$A:$A,Map!F:F)</f>
        <v>Other expenses</v>
      </c>
    </row>
    <row r="323" spans="1:10" x14ac:dyDescent="0.25">
      <c r="A323" s="90">
        <v>510004</v>
      </c>
      <c r="B323" s="90" t="s">
        <v>666</v>
      </c>
      <c r="D323" s="91">
        <v>232093.071</v>
      </c>
      <c r="E323" s="91">
        <v>0</v>
      </c>
      <c r="F323" s="91">
        <f t="shared" si="1"/>
        <v>232093.071</v>
      </c>
      <c r="G323" t="str">
        <f>_xlfn.XLOOKUP($A323,Map!$A:$A,Map!C:C)</f>
        <v>IS</v>
      </c>
      <c r="H323" t="str">
        <f>_xlfn.XLOOKUP($A323,Map!$A:$A,Map!D:D)</f>
        <v>Cost of sales</v>
      </c>
      <c r="I323" t="str">
        <f>_xlfn.XLOOKUP($A323,Map!$A:$A,Map!E:E)</f>
        <v>Raw materials</v>
      </c>
      <c r="J323" t="str">
        <f>_xlfn.XLOOKUP($A323,Map!$A:$A,Map!F:F)</f>
        <v>Other expenses</v>
      </c>
    </row>
    <row r="324" spans="1:10" x14ac:dyDescent="0.25">
      <c r="A324" s="90">
        <v>510004</v>
      </c>
      <c r="B324" s="90" t="s">
        <v>119</v>
      </c>
      <c r="D324" s="91">
        <v>0</v>
      </c>
      <c r="E324" s="91">
        <v>22329883.833999999</v>
      </c>
      <c r="F324" s="91">
        <f t="shared" si="1"/>
        <v>-22329883.833999999</v>
      </c>
      <c r="G324" t="str">
        <f>_xlfn.XLOOKUP($A324,Map!$A:$A,Map!C:C)</f>
        <v>IS</v>
      </c>
      <c r="H324" t="str">
        <f>_xlfn.XLOOKUP($A324,Map!$A:$A,Map!D:D)</f>
        <v>Cost of sales</v>
      </c>
      <c r="I324" t="str">
        <f>_xlfn.XLOOKUP($A324,Map!$A:$A,Map!E:E)</f>
        <v>Raw materials</v>
      </c>
      <c r="J324" t="str">
        <f>_xlfn.XLOOKUP($A324,Map!$A:$A,Map!F:F)</f>
        <v>Other expenses</v>
      </c>
    </row>
    <row r="325" spans="1:10" x14ac:dyDescent="0.25">
      <c r="A325" s="90">
        <v>510003</v>
      </c>
      <c r="B325" s="90" t="s">
        <v>668</v>
      </c>
      <c r="D325" s="91">
        <v>1121110.1000000001</v>
      </c>
      <c r="E325" s="91">
        <v>0</v>
      </c>
      <c r="F325" s="91">
        <f t="shared" si="1"/>
        <v>1121110.1000000001</v>
      </c>
      <c r="G325" t="str">
        <f>_xlfn.XLOOKUP($A325,Map!$A:$A,Map!C:C)</f>
        <v>IS</v>
      </c>
      <c r="H325" t="str">
        <f>_xlfn.XLOOKUP($A325,Map!$A:$A,Map!D:D)</f>
        <v>Cost of sales</v>
      </c>
      <c r="I325" t="str">
        <f>_xlfn.XLOOKUP($A325,Map!$A:$A,Map!E:E)</f>
        <v>Raw materials</v>
      </c>
      <c r="J325" t="str">
        <f>_xlfn.XLOOKUP($A325,Map!$A:$A,Map!F:F)</f>
        <v>Raw materials</v>
      </c>
    </row>
    <row r="326" spans="1:10" x14ac:dyDescent="0.25">
      <c r="A326" s="90">
        <v>510003</v>
      </c>
      <c r="B326" s="90" t="s">
        <v>669</v>
      </c>
      <c r="D326" s="91">
        <v>50555.362999999998</v>
      </c>
      <c r="E326" s="91">
        <v>0</v>
      </c>
      <c r="F326" s="91">
        <f t="shared" si="1"/>
        <v>50555.362999999998</v>
      </c>
      <c r="G326" t="str">
        <f>_xlfn.XLOOKUP($A326,Map!$A:$A,Map!C:C)</f>
        <v>IS</v>
      </c>
      <c r="H326" t="str">
        <f>_xlfn.XLOOKUP($A326,Map!$A:$A,Map!D:D)</f>
        <v>Cost of sales</v>
      </c>
      <c r="I326" t="str">
        <f>_xlfn.XLOOKUP($A326,Map!$A:$A,Map!E:E)</f>
        <v>Raw materials</v>
      </c>
      <c r="J326" t="str">
        <f>_xlfn.XLOOKUP($A326,Map!$A:$A,Map!F:F)</f>
        <v>Raw materials</v>
      </c>
    </row>
    <row r="327" spans="1:10" x14ac:dyDescent="0.25">
      <c r="A327" s="90">
        <v>510003</v>
      </c>
      <c r="B327" s="90" t="s">
        <v>717</v>
      </c>
      <c r="D327" s="91">
        <v>36.521000000000001</v>
      </c>
      <c r="E327" s="91">
        <v>0</v>
      </c>
      <c r="F327" s="91">
        <f t="shared" si="1"/>
        <v>36.521000000000001</v>
      </c>
      <c r="G327" t="str">
        <f>_xlfn.XLOOKUP($A327,Map!$A:$A,Map!C:C)</f>
        <v>IS</v>
      </c>
      <c r="H327" t="str">
        <f>_xlfn.XLOOKUP($A327,Map!$A:$A,Map!D:D)</f>
        <v>Cost of sales</v>
      </c>
      <c r="I327" t="str">
        <f>_xlfn.XLOOKUP($A327,Map!$A:$A,Map!E:E)</f>
        <v>Raw materials</v>
      </c>
      <c r="J327" t="str">
        <f>_xlfn.XLOOKUP($A327,Map!$A:$A,Map!F:F)</f>
        <v>Raw materials</v>
      </c>
    </row>
    <row r="328" spans="1:10" x14ac:dyDescent="0.25">
      <c r="A328" s="90">
        <v>510003</v>
      </c>
      <c r="B328" s="90" t="s">
        <v>672</v>
      </c>
      <c r="D328" s="91">
        <v>698119.81299999997</v>
      </c>
      <c r="E328" s="91">
        <v>0</v>
      </c>
      <c r="F328" s="91">
        <f t="shared" si="1"/>
        <v>698119.81299999997</v>
      </c>
      <c r="G328" t="str">
        <f>_xlfn.XLOOKUP($A328,Map!$A:$A,Map!C:C)</f>
        <v>IS</v>
      </c>
      <c r="H328" t="str">
        <f>_xlfn.XLOOKUP($A328,Map!$A:$A,Map!D:D)</f>
        <v>Cost of sales</v>
      </c>
      <c r="I328" t="str">
        <f>_xlfn.XLOOKUP($A328,Map!$A:$A,Map!E:E)</f>
        <v>Raw materials</v>
      </c>
      <c r="J328" t="str">
        <f>_xlfn.XLOOKUP($A328,Map!$A:$A,Map!F:F)</f>
        <v>Raw materials</v>
      </c>
    </row>
    <row r="329" spans="1:10" x14ac:dyDescent="0.25">
      <c r="A329" s="90">
        <v>510003</v>
      </c>
      <c r="B329" s="90" t="s">
        <v>673</v>
      </c>
      <c r="D329" s="91">
        <v>515.42200000000003</v>
      </c>
      <c r="E329" s="91">
        <v>0</v>
      </c>
      <c r="F329" s="91">
        <f t="shared" si="1"/>
        <v>515.42200000000003</v>
      </c>
      <c r="G329" t="str">
        <f>_xlfn.XLOOKUP($A329,Map!$A:$A,Map!C:C)</f>
        <v>IS</v>
      </c>
      <c r="H329" t="str">
        <f>_xlfn.XLOOKUP($A329,Map!$A:$A,Map!D:D)</f>
        <v>Cost of sales</v>
      </c>
      <c r="I329" t="str">
        <f>_xlfn.XLOOKUP($A329,Map!$A:$A,Map!E:E)</f>
        <v>Raw materials</v>
      </c>
      <c r="J329" t="str">
        <f>_xlfn.XLOOKUP($A329,Map!$A:$A,Map!F:F)</f>
        <v>Raw materials</v>
      </c>
    </row>
    <row r="330" spans="1:10" x14ac:dyDescent="0.25">
      <c r="A330" s="90">
        <v>510003</v>
      </c>
      <c r="B330" s="90" t="s">
        <v>674</v>
      </c>
      <c r="D330" s="91">
        <v>983182.57900000003</v>
      </c>
      <c r="E330" s="91">
        <v>0</v>
      </c>
      <c r="F330" s="91">
        <f t="shared" si="1"/>
        <v>983182.57900000003</v>
      </c>
      <c r="G330" t="str">
        <f>_xlfn.XLOOKUP($A330,Map!$A:$A,Map!C:C)</f>
        <v>IS</v>
      </c>
      <c r="H330" t="str">
        <f>_xlfn.XLOOKUP($A330,Map!$A:$A,Map!D:D)</f>
        <v>Cost of sales</v>
      </c>
      <c r="I330" t="str">
        <f>_xlfn.XLOOKUP($A330,Map!$A:$A,Map!E:E)</f>
        <v>Raw materials</v>
      </c>
      <c r="J330" t="str">
        <f>_xlfn.XLOOKUP($A330,Map!$A:$A,Map!F:F)</f>
        <v>Raw materials</v>
      </c>
    </row>
    <row r="331" spans="1:10" x14ac:dyDescent="0.25">
      <c r="A331" s="90">
        <v>510003</v>
      </c>
      <c r="B331" s="90" t="s">
        <v>675</v>
      </c>
      <c r="D331" s="91">
        <v>354015.435</v>
      </c>
      <c r="E331" s="91">
        <v>0</v>
      </c>
      <c r="F331" s="91">
        <f t="shared" si="1"/>
        <v>354015.435</v>
      </c>
      <c r="G331" t="str">
        <f>_xlfn.XLOOKUP($A331,Map!$A:$A,Map!C:C)</f>
        <v>IS</v>
      </c>
      <c r="H331" t="str">
        <f>_xlfn.XLOOKUP($A331,Map!$A:$A,Map!D:D)</f>
        <v>Cost of sales</v>
      </c>
      <c r="I331" t="str">
        <f>_xlfn.XLOOKUP($A331,Map!$A:$A,Map!E:E)</f>
        <v>Raw materials</v>
      </c>
      <c r="J331" t="str">
        <f>_xlfn.XLOOKUP($A331,Map!$A:$A,Map!F:F)</f>
        <v>Raw materials</v>
      </c>
    </row>
    <row r="332" spans="1:10" x14ac:dyDescent="0.25">
      <c r="A332" s="90">
        <v>510003</v>
      </c>
      <c r="B332" s="90" t="s">
        <v>676</v>
      </c>
      <c r="D332" s="91">
        <v>846560.88899999997</v>
      </c>
      <c r="E332" s="91">
        <v>0</v>
      </c>
      <c r="F332" s="91">
        <f t="shared" si="1"/>
        <v>846560.88899999997</v>
      </c>
      <c r="G332" t="str">
        <f>_xlfn.XLOOKUP($A332,Map!$A:$A,Map!C:C)</f>
        <v>IS</v>
      </c>
      <c r="H332" t="str">
        <f>_xlfn.XLOOKUP($A332,Map!$A:$A,Map!D:D)</f>
        <v>Cost of sales</v>
      </c>
      <c r="I332" t="str">
        <f>_xlfn.XLOOKUP($A332,Map!$A:$A,Map!E:E)</f>
        <v>Raw materials</v>
      </c>
      <c r="J332" t="str">
        <f>_xlfn.XLOOKUP($A332,Map!$A:$A,Map!F:F)</f>
        <v>Raw materials</v>
      </c>
    </row>
    <row r="333" spans="1:10" x14ac:dyDescent="0.25">
      <c r="A333" s="90">
        <v>510003</v>
      </c>
      <c r="B333" s="90" t="s">
        <v>677</v>
      </c>
      <c r="D333" s="91">
        <v>333915.52500000002</v>
      </c>
      <c r="E333" s="91">
        <v>0</v>
      </c>
      <c r="F333" s="91">
        <f t="shared" si="1"/>
        <v>333915.52500000002</v>
      </c>
      <c r="G333" t="str">
        <f>_xlfn.XLOOKUP($A333,Map!$A:$A,Map!C:C)</f>
        <v>IS</v>
      </c>
      <c r="H333" t="str">
        <f>_xlfn.XLOOKUP($A333,Map!$A:$A,Map!D:D)</f>
        <v>Cost of sales</v>
      </c>
      <c r="I333" t="str">
        <f>_xlfn.XLOOKUP($A333,Map!$A:$A,Map!E:E)</f>
        <v>Raw materials</v>
      </c>
      <c r="J333" t="str">
        <f>_xlfn.XLOOKUP($A333,Map!$A:$A,Map!F:F)</f>
        <v>Raw materials</v>
      </c>
    </row>
    <row r="334" spans="1:10" x14ac:dyDescent="0.25">
      <c r="A334" s="90">
        <v>510003</v>
      </c>
      <c r="B334" s="90" t="s">
        <v>678</v>
      </c>
      <c r="D334" s="91">
        <v>55448.440999999999</v>
      </c>
      <c r="E334" s="91">
        <v>0</v>
      </c>
      <c r="F334" s="91">
        <f t="shared" si="1"/>
        <v>55448.440999999999</v>
      </c>
      <c r="G334" t="str">
        <f>_xlfn.XLOOKUP($A334,Map!$A:$A,Map!C:C)</f>
        <v>IS</v>
      </c>
      <c r="H334" t="str">
        <f>_xlfn.XLOOKUP($A334,Map!$A:$A,Map!D:D)</f>
        <v>Cost of sales</v>
      </c>
      <c r="I334" t="str">
        <f>_xlfn.XLOOKUP($A334,Map!$A:$A,Map!E:E)</f>
        <v>Raw materials</v>
      </c>
      <c r="J334" t="str">
        <f>_xlfn.XLOOKUP($A334,Map!$A:$A,Map!F:F)</f>
        <v>Raw materials</v>
      </c>
    </row>
    <row r="335" spans="1:10" x14ac:dyDescent="0.25">
      <c r="A335" s="90">
        <v>510003</v>
      </c>
      <c r="B335" s="90" t="s">
        <v>679</v>
      </c>
      <c r="D335" s="91">
        <v>469050.71799999999</v>
      </c>
      <c r="E335" s="91">
        <v>0</v>
      </c>
      <c r="F335" s="91">
        <f t="shared" si="1"/>
        <v>469050.71799999999</v>
      </c>
      <c r="G335" t="str">
        <f>_xlfn.XLOOKUP($A335,Map!$A:$A,Map!C:C)</f>
        <v>IS</v>
      </c>
      <c r="H335" t="str">
        <f>_xlfn.XLOOKUP($A335,Map!$A:$A,Map!D:D)</f>
        <v>Cost of sales</v>
      </c>
      <c r="I335" t="str">
        <f>_xlfn.XLOOKUP($A335,Map!$A:$A,Map!E:E)</f>
        <v>Raw materials</v>
      </c>
      <c r="J335" t="str">
        <f>_xlfn.XLOOKUP($A335,Map!$A:$A,Map!F:F)</f>
        <v>Raw materials</v>
      </c>
    </row>
    <row r="336" spans="1:10" x14ac:dyDescent="0.25">
      <c r="A336" s="90">
        <v>510003</v>
      </c>
      <c r="B336" s="90" t="s">
        <v>680</v>
      </c>
      <c r="D336" s="91">
        <v>50682.754000000001</v>
      </c>
      <c r="E336" s="91">
        <v>0</v>
      </c>
      <c r="F336" s="91">
        <f t="shared" si="1"/>
        <v>50682.754000000001</v>
      </c>
      <c r="G336" t="str">
        <f>_xlfn.XLOOKUP($A336,Map!$A:$A,Map!C:C)</f>
        <v>IS</v>
      </c>
      <c r="H336" t="str">
        <f>_xlfn.XLOOKUP($A336,Map!$A:$A,Map!D:D)</f>
        <v>Cost of sales</v>
      </c>
      <c r="I336" t="str">
        <f>_xlfn.XLOOKUP($A336,Map!$A:$A,Map!E:E)</f>
        <v>Raw materials</v>
      </c>
      <c r="J336" t="str">
        <f>_xlfn.XLOOKUP($A336,Map!$A:$A,Map!F:F)</f>
        <v>Raw materials</v>
      </c>
    </row>
    <row r="337" spans="1:10" x14ac:dyDescent="0.25">
      <c r="A337" s="90">
        <v>510003</v>
      </c>
      <c r="B337" s="90" t="s">
        <v>681</v>
      </c>
      <c r="D337" s="91">
        <v>29892.269</v>
      </c>
      <c r="E337" s="91">
        <v>0</v>
      </c>
      <c r="F337" s="91">
        <f t="shared" si="1"/>
        <v>29892.269</v>
      </c>
      <c r="G337" t="str">
        <f>_xlfn.XLOOKUP($A337,Map!$A:$A,Map!C:C)</f>
        <v>IS</v>
      </c>
      <c r="H337" t="str">
        <f>_xlfn.XLOOKUP($A337,Map!$A:$A,Map!D:D)</f>
        <v>Cost of sales</v>
      </c>
      <c r="I337" t="str">
        <f>_xlfn.XLOOKUP($A337,Map!$A:$A,Map!E:E)</f>
        <v>Raw materials</v>
      </c>
      <c r="J337" t="str">
        <f>_xlfn.XLOOKUP($A337,Map!$A:$A,Map!F:F)</f>
        <v>Raw materials</v>
      </c>
    </row>
    <row r="338" spans="1:10" x14ac:dyDescent="0.25">
      <c r="A338" s="90">
        <v>510003</v>
      </c>
      <c r="B338" s="90" t="s">
        <v>118</v>
      </c>
      <c r="D338" s="91">
        <v>0</v>
      </c>
      <c r="E338" s="91">
        <v>4993085.8289999999</v>
      </c>
      <c r="F338" s="91">
        <f t="shared" si="1"/>
        <v>-4993085.8289999999</v>
      </c>
      <c r="G338" t="str">
        <f>_xlfn.XLOOKUP($A338,Map!$A:$A,Map!C:C)</f>
        <v>IS</v>
      </c>
      <c r="H338" t="str">
        <f>_xlfn.XLOOKUP($A338,Map!$A:$A,Map!D:D)</f>
        <v>Cost of sales</v>
      </c>
      <c r="I338" t="str">
        <f>_xlfn.XLOOKUP($A338,Map!$A:$A,Map!E:E)</f>
        <v>Raw materials</v>
      </c>
      <c r="J338" t="str">
        <f>_xlfn.XLOOKUP($A338,Map!$A:$A,Map!F:F)</f>
        <v>Raw materials</v>
      </c>
    </row>
    <row r="339" spans="1:10" x14ac:dyDescent="0.25">
      <c r="A339" s="90">
        <v>510002</v>
      </c>
      <c r="B339" s="90" t="s">
        <v>682</v>
      </c>
      <c r="D339" s="91">
        <v>33.813000000000002</v>
      </c>
      <c r="E339" s="91">
        <v>0</v>
      </c>
      <c r="F339" s="91">
        <f t="shared" si="1"/>
        <v>33.813000000000002</v>
      </c>
      <c r="G339" t="str">
        <f>_xlfn.XLOOKUP($A339,Map!$A:$A,Map!C:C)</f>
        <v>IS</v>
      </c>
      <c r="H339" t="str">
        <f>_xlfn.XLOOKUP($A339,Map!$A:$A,Map!D:D)</f>
        <v>Cost of sales</v>
      </c>
      <c r="I339" t="str">
        <f>_xlfn.XLOOKUP($A339,Map!$A:$A,Map!E:E)</f>
        <v>Direct Labor</v>
      </c>
      <c r="J339" t="str">
        <f>_xlfn.XLOOKUP($A339,Map!$A:$A,Map!F:F)</f>
        <v>Direct Labor</v>
      </c>
    </row>
    <row r="340" spans="1:10" x14ac:dyDescent="0.25">
      <c r="A340" s="90">
        <v>510002</v>
      </c>
      <c r="B340" s="90" t="s">
        <v>718</v>
      </c>
      <c r="D340" s="91">
        <v>0.02</v>
      </c>
      <c r="E340" s="91">
        <v>0</v>
      </c>
      <c r="F340" s="91">
        <f t="shared" si="1"/>
        <v>0.02</v>
      </c>
      <c r="G340" t="str">
        <f>_xlfn.XLOOKUP($A340,Map!$A:$A,Map!C:C)</f>
        <v>IS</v>
      </c>
      <c r="H340" t="str">
        <f>_xlfn.XLOOKUP($A340,Map!$A:$A,Map!D:D)</f>
        <v>Cost of sales</v>
      </c>
      <c r="I340" t="str">
        <f>_xlfn.XLOOKUP($A340,Map!$A:$A,Map!E:E)</f>
        <v>Direct Labor</v>
      </c>
      <c r="J340" t="str">
        <f>_xlfn.XLOOKUP($A340,Map!$A:$A,Map!F:F)</f>
        <v>Direct Labor</v>
      </c>
    </row>
    <row r="341" spans="1:10" x14ac:dyDescent="0.25">
      <c r="A341" s="90">
        <v>510002</v>
      </c>
      <c r="B341" s="90" t="s">
        <v>719</v>
      </c>
      <c r="D341" s="91">
        <v>1.0269999999999999</v>
      </c>
      <c r="E341" s="91">
        <v>0</v>
      </c>
      <c r="F341" s="91">
        <f t="shared" si="1"/>
        <v>1.0269999999999999</v>
      </c>
      <c r="G341" t="str">
        <f>_xlfn.XLOOKUP($A341,Map!$A:$A,Map!C:C)</f>
        <v>IS</v>
      </c>
      <c r="H341" t="str">
        <f>_xlfn.XLOOKUP($A341,Map!$A:$A,Map!D:D)</f>
        <v>Cost of sales</v>
      </c>
      <c r="I341" t="str">
        <f>_xlfn.XLOOKUP($A341,Map!$A:$A,Map!E:E)</f>
        <v>Direct Labor</v>
      </c>
      <c r="J341" t="str">
        <f>_xlfn.XLOOKUP($A341,Map!$A:$A,Map!F:F)</f>
        <v>Direct Labor</v>
      </c>
    </row>
    <row r="342" spans="1:10" x14ac:dyDescent="0.25">
      <c r="A342" s="90">
        <v>510002</v>
      </c>
      <c r="B342" s="90" t="s">
        <v>683</v>
      </c>
      <c r="D342" s="91">
        <v>14.374000000000001</v>
      </c>
      <c r="E342" s="91">
        <v>0</v>
      </c>
      <c r="F342" s="91">
        <f t="shared" si="1"/>
        <v>14.374000000000001</v>
      </c>
      <c r="G342" t="str">
        <f>_xlfn.XLOOKUP($A342,Map!$A:$A,Map!C:C)</f>
        <v>IS</v>
      </c>
      <c r="H342" t="str">
        <f>_xlfn.XLOOKUP($A342,Map!$A:$A,Map!D:D)</f>
        <v>Cost of sales</v>
      </c>
      <c r="I342" t="str">
        <f>_xlfn.XLOOKUP($A342,Map!$A:$A,Map!E:E)</f>
        <v>Direct Labor</v>
      </c>
      <c r="J342" t="str">
        <f>_xlfn.XLOOKUP($A342,Map!$A:$A,Map!F:F)</f>
        <v>Direct Labor</v>
      </c>
    </row>
    <row r="343" spans="1:10" x14ac:dyDescent="0.25">
      <c r="A343" s="90">
        <v>510002</v>
      </c>
      <c r="B343" s="90" t="s">
        <v>684</v>
      </c>
      <c r="D343" s="91">
        <v>4.8689999999999998</v>
      </c>
      <c r="E343" s="91">
        <v>0</v>
      </c>
      <c r="F343" s="91">
        <f t="shared" si="1"/>
        <v>4.8689999999999998</v>
      </c>
      <c r="G343" t="str">
        <f>_xlfn.XLOOKUP($A343,Map!$A:$A,Map!C:C)</f>
        <v>IS</v>
      </c>
      <c r="H343" t="str">
        <f>_xlfn.XLOOKUP($A343,Map!$A:$A,Map!D:D)</f>
        <v>Cost of sales</v>
      </c>
      <c r="I343" t="str">
        <f>_xlfn.XLOOKUP($A343,Map!$A:$A,Map!E:E)</f>
        <v>Direct Labor</v>
      </c>
      <c r="J343" t="str">
        <f>_xlfn.XLOOKUP($A343,Map!$A:$A,Map!F:F)</f>
        <v>Direct Labor</v>
      </c>
    </row>
    <row r="344" spans="1:10" x14ac:dyDescent="0.25">
      <c r="A344" s="90">
        <v>510002</v>
      </c>
      <c r="B344" s="90" t="s">
        <v>117</v>
      </c>
      <c r="D344" s="91">
        <v>0</v>
      </c>
      <c r="E344" s="91">
        <v>14104463.550000001</v>
      </c>
      <c r="F344" s="91">
        <f t="shared" si="1"/>
        <v>-14104463.550000001</v>
      </c>
      <c r="G344" t="str">
        <f>_xlfn.XLOOKUP($A344,Map!$A:$A,Map!C:C)</f>
        <v>IS</v>
      </c>
      <c r="H344" t="str">
        <f>_xlfn.XLOOKUP($A344,Map!$A:$A,Map!D:D)</f>
        <v>Cost of sales</v>
      </c>
      <c r="I344" t="str">
        <f>_xlfn.XLOOKUP($A344,Map!$A:$A,Map!E:E)</f>
        <v>Direct Labor</v>
      </c>
      <c r="J344" t="str">
        <f>_xlfn.XLOOKUP($A344,Map!$A:$A,Map!F:F)</f>
        <v>Direct Labor</v>
      </c>
    </row>
    <row r="345" spans="1:10" x14ac:dyDescent="0.25">
      <c r="A345" s="90">
        <v>510001</v>
      </c>
      <c r="B345" s="90" t="s">
        <v>686</v>
      </c>
      <c r="D345" s="91">
        <v>3465645.6690000002</v>
      </c>
      <c r="E345" s="91">
        <v>0</v>
      </c>
      <c r="F345" s="91">
        <f t="shared" si="1"/>
        <v>3465645.6690000002</v>
      </c>
      <c r="G345" t="str">
        <f>_xlfn.XLOOKUP($A345,Map!$A:$A,Map!C:C)</f>
        <v>IS</v>
      </c>
      <c r="H345" t="str">
        <f>_xlfn.XLOOKUP($A345,Map!$A:$A,Map!D:D)</f>
        <v>Cost of sales</v>
      </c>
      <c r="I345" t="str">
        <f>_xlfn.XLOOKUP($A345,Map!$A:$A,Map!E:E)</f>
        <v>Raw materials</v>
      </c>
      <c r="J345" t="str">
        <f>_xlfn.XLOOKUP($A345,Map!$A:$A,Map!F:F)</f>
        <v>Raw materials</v>
      </c>
    </row>
    <row r="346" spans="1:10" x14ac:dyDescent="0.25">
      <c r="A346" s="90">
        <v>510001</v>
      </c>
      <c r="B346" s="90" t="s">
        <v>720</v>
      </c>
      <c r="D346" s="91">
        <v>0</v>
      </c>
      <c r="E346" s="91">
        <v>481324</v>
      </c>
      <c r="F346" s="91">
        <f t="shared" si="1"/>
        <v>-481324</v>
      </c>
      <c r="G346" t="str">
        <f>_xlfn.XLOOKUP($A346,Map!$A:$A,Map!C:C)</f>
        <v>IS</v>
      </c>
      <c r="H346" t="str">
        <f>_xlfn.XLOOKUP($A346,Map!$A:$A,Map!D:D)</f>
        <v>Cost of sales</v>
      </c>
      <c r="I346" t="str">
        <f>_xlfn.XLOOKUP($A346,Map!$A:$A,Map!E:E)</f>
        <v>Raw materials</v>
      </c>
      <c r="J346" t="str">
        <f>_xlfn.XLOOKUP($A346,Map!$A:$A,Map!F:F)</f>
        <v>Raw materials</v>
      </c>
    </row>
    <row r="347" spans="1:10" x14ac:dyDescent="0.25">
      <c r="A347" s="90">
        <v>510001</v>
      </c>
      <c r="B347" s="90" t="s">
        <v>687</v>
      </c>
      <c r="D347" s="91">
        <v>45939654.425999999</v>
      </c>
      <c r="E347" s="91">
        <v>0</v>
      </c>
      <c r="F347" s="91">
        <f t="shared" si="1"/>
        <v>45939654.425999999</v>
      </c>
      <c r="G347" t="str">
        <f>_xlfn.XLOOKUP($A347,Map!$A:$A,Map!C:C)</f>
        <v>IS</v>
      </c>
      <c r="H347" t="str">
        <f>_xlfn.XLOOKUP($A347,Map!$A:$A,Map!D:D)</f>
        <v>Cost of sales</v>
      </c>
      <c r="I347" t="str">
        <f>_xlfn.XLOOKUP($A347,Map!$A:$A,Map!E:E)</f>
        <v>Raw materials</v>
      </c>
      <c r="J347" t="str">
        <f>_xlfn.XLOOKUP($A347,Map!$A:$A,Map!F:F)</f>
        <v>Raw materials</v>
      </c>
    </row>
    <row r="348" spans="1:10" x14ac:dyDescent="0.25">
      <c r="A348" s="90">
        <v>510001</v>
      </c>
      <c r="B348" s="90" t="s">
        <v>688</v>
      </c>
      <c r="D348" s="91">
        <v>2921199.0419999999</v>
      </c>
      <c r="E348" s="91">
        <v>0</v>
      </c>
      <c r="F348" s="91">
        <f t="shared" si="1"/>
        <v>2921199.0419999999</v>
      </c>
      <c r="G348" t="str">
        <f>_xlfn.XLOOKUP($A348,Map!$A:$A,Map!C:C)</f>
        <v>IS</v>
      </c>
      <c r="H348" t="str">
        <f>_xlfn.XLOOKUP($A348,Map!$A:$A,Map!D:D)</f>
        <v>Cost of sales</v>
      </c>
      <c r="I348" t="str">
        <f>_xlfn.XLOOKUP($A348,Map!$A:$A,Map!E:E)</f>
        <v>Raw materials</v>
      </c>
      <c r="J348" t="str">
        <f>_xlfn.XLOOKUP($A348,Map!$A:$A,Map!F:F)</f>
        <v>Raw materials</v>
      </c>
    </row>
    <row r="349" spans="1:10" x14ac:dyDescent="0.25">
      <c r="A349" s="90">
        <v>510001</v>
      </c>
      <c r="B349" s="90" t="s">
        <v>116</v>
      </c>
      <c r="D349" s="91">
        <v>53600</v>
      </c>
      <c r="E349" s="91">
        <v>0</v>
      </c>
      <c r="F349" s="91">
        <f t="shared" si="1"/>
        <v>53600</v>
      </c>
      <c r="G349" t="str">
        <f>_xlfn.XLOOKUP($A349,Map!$A:$A,Map!C:C)</f>
        <v>IS</v>
      </c>
      <c r="H349" t="str">
        <f>_xlfn.XLOOKUP($A349,Map!$A:$A,Map!D:D)</f>
        <v>Cost of sales</v>
      </c>
      <c r="I349" t="str">
        <f>_xlfn.XLOOKUP($A349,Map!$A:$A,Map!E:E)</f>
        <v>Raw materials</v>
      </c>
      <c r="J349" t="str">
        <f>_xlfn.XLOOKUP($A349,Map!$A:$A,Map!F:F)</f>
        <v>Raw materials</v>
      </c>
    </row>
    <row r="350" spans="1:10" x14ac:dyDescent="0.25">
      <c r="A350" s="90">
        <v>510001</v>
      </c>
      <c r="B350" s="90" t="s">
        <v>691</v>
      </c>
      <c r="D350" s="91">
        <v>808.51499999999999</v>
      </c>
      <c r="E350" s="91">
        <v>0</v>
      </c>
      <c r="F350" s="91">
        <f t="shared" si="1"/>
        <v>808.51499999999999</v>
      </c>
      <c r="G350" t="str">
        <f>_xlfn.XLOOKUP($A350,Map!$A:$A,Map!C:C)</f>
        <v>IS</v>
      </c>
      <c r="H350" t="str">
        <f>_xlfn.XLOOKUP($A350,Map!$A:$A,Map!D:D)</f>
        <v>Cost of sales</v>
      </c>
      <c r="I350" t="str">
        <f>_xlfn.XLOOKUP($A350,Map!$A:$A,Map!E:E)</f>
        <v>Raw materials</v>
      </c>
      <c r="J350" t="str">
        <f>_xlfn.XLOOKUP($A350,Map!$A:$A,Map!F:F)</f>
        <v>Raw materials</v>
      </c>
    </row>
    <row r="351" spans="1:10" x14ac:dyDescent="0.25">
      <c r="A351" s="90">
        <v>510001</v>
      </c>
      <c r="B351" s="90" t="s">
        <v>692</v>
      </c>
      <c r="D351" s="91">
        <v>5197253.5520000001</v>
      </c>
      <c r="E351" s="91">
        <v>0</v>
      </c>
      <c r="F351" s="91">
        <f t="shared" si="1"/>
        <v>5197253.5520000001</v>
      </c>
      <c r="G351" t="str">
        <f>_xlfn.XLOOKUP($A351,Map!$A:$A,Map!C:C)</f>
        <v>IS</v>
      </c>
      <c r="H351" t="str">
        <f>_xlfn.XLOOKUP($A351,Map!$A:$A,Map!D:D)</f>
        <v>Cost of sales</v>
      </c>
      <c r="I351" t="str">
        <f>_xlfn.XLOOKUP($A351,Map!$A:$A,Map!E:E)</f>
        <v>Raw materials</v>
      </c>
      <c r="J351" t="str">
        <f>_xlfn.XLOOKUP($A351,Map!$A:$A,Map!F:F)</f>
        <v>Raw materials</v>
      </c>
    </row>
    <row r="352" spans="1:10" x14ac:dyDescent="0.25">
      <c r="A352" s="90">
        <v>510001</v>
      </c>
      <c r="B352" s="90" t="s">
        <v>693</v>
      </c>
      <c r="D352" s="91">
        <v>59789.55</v>
      </c>
      <c r="E352" s="91">
        <v>0</v>
      </c>
      <c r="F352" s="91">
        <f t="shared" si="1"/>
        <v>59789.55</v>
      </c>
      <c r="G352" t="str">
        <f>_xlfn.XLOOKUP($A352,Map!$A:$A,Map!C:C)</f>
        <v>IS</v>
      </c>
      <c r="H352" t="str">
        <f>_xlfn.XLOOKUP($A352,Map!$A:$A,Map!D:D)</f>
        <v>Cost of sales</v>
      </c>
      <c r="I352" t="str">
        <f>_xlfn.XLOOKUP($A352,Map!$A:$A,Map!E:E)</f>
        <v>Raw materials</v>
      </c>
      <c r="J352" t="str">
        <f>_xlfn.XLOOKUP($A352,Map!$A:$A,Map!F:F)</f>
        <v>Raw materials</v>
      </c>
    </row>
    <row r="353" spans="1:10" x14ac:dyDescent="0.25">
      <c r="A353" s="90">
        <v>510001</v>
      </c>
      <c r="B353" s="90" t="s">
        <v>694</v>
      </c>
      <c r="D353" s="91">
        <v>3056.2979999999998</v>
      </c>
      <c r="E353" s="91">
        <v>0</v>
      </c>
      <c r="F353" s="91">
        <f t="shared" si="1"/>
        <v>3056.2979999999998</v>
      </c>
      <c r="G353" t="str">
        <f>_xlfn.XLOOKUP($A353,Map!$A:$A,Map!C:C)</f>
        <v>IS</v>
      </c>
      <c r="H353" t="str">
        <f>_xlfn.XLOOKUP($A353,Map!$A:$A,Map!D:D)</f>
        <v>Cost of sales</v>
      </c>
      <c r="I353" t="str">
        <f>_xlfn.XLOOKUP($A353,Map!$A:$A,Map!E:E)</f>
        <v>Raw materials</v>
      </c>
      <c r="J353" t="str">
        <f>_xlfn.XLOOKUP($A353,Map!$A:$A,Map!F:F)</f>
        <v>Raw materials</v>
      </c>
    </row>
    <row r="354" spans="1:10" x14ac:dyDescent="0.25">
      <c r="A354" s="90">
        <v>510001</v>
      </c>
      <c r="B354" s="90" t="s">
        <v>695</v>
      </c>
      <c r="D354" s="91">
        <v>29100899.267999999</v>
      </c>
      <c r="E354" s="91">
        <v>0</v>
      </c>
      <c r="F354" s="91">
        <f t="shared" si="1"/>
        <v>29100899.267999999</v>
      </c>
      <c r="G354" t="str">
        <f>_xlfn.XLOOKUP($A354,Map!$A:$A,Map!C:C)</f>
        <v>IS</v>
      </c>
      <c r="H354" t="str">
        <f>_xlfn.XLOOKUP($A354,Map!$A:$A,Map!D:D)</f>
        <v>Cost of sales</v>
      </c>
      <c r="I354" t="str">
        <f>_xlfn.XLOOKUP($A354,Map!$A:$A,Map!E:E)</f>
        <v>Raw materials</v>
      </c>
      <c r="J354" t="str">
        <f>_xlfn.XLOOKUP($A354,Map!$A:$A,Map!F:F)</f>
        <v>Raw materials</v>
      </c>
    </row>
    <row r="355" spans="1:10" x14ac:dyDescent="0.25">
      <c r="A355" s="90">
        <v>510001</v>
      </c>
      <c r="B355" s="90" t="s">
        <v>696</v>
      </c>
      <c r="D355" s="91">
        <v>8581043.7660000008</v>
      </c>
      <c r="E355" s="91">
        <v>0</v>
      </c>
      <c r="F355" s="91">
        <f t="shared" si="1"/>
        <v>8581043.7660000008</v>
      </c>
      <c r="G355" t="str">
        <f>_xlfn.XLOOKUP($A355,Map!$A:$A,Map!C:C)</f>
        <v>IS</v>
      </c>
      <c r="H355" t="str">
        <f>_xlfn.XLOOKUP($A355,Map!$A:$A,Map!D:D)</f>
        <v>Cost of sales</v>
      </c>
      <c r="I355" t="str">
        <f>_xlfn.XLOOKUP($A355,Map!$A:$A,Map!E:E)</f>
        <v>Raw materials</v>
      </c>
      <c r="J355" t="str">
        <f>_xlfn.XLOOKUP($A355,Map!$A:$A,Map!F:F)</f>
        <v>Raw materials</v>
      </c>
    </row>
    <row r="356" spans="1:10" x14ac:dyDescent="0.25">
      <c r="A356" s="90">
        <v>510001</v>
      </c>
      <c r="B356" s="90" t="s">
        <v>697</v>
      </c>
      <c r="D356" s="91">
        <v>28186380.557</v>
      </c>
      <c r="E356" s="91">
        <v>0</v>
      </c>
      <c r="F356" s="91">
        <f t="shared" si="1"/>
        <v>28186380.557</v>
      </c>
      <c r="G356" t="str">
        <f>_xlfn.XLOOKUP($A356,Map!$A:$A,Map!C:C)</f>
        <v>IS</v>
      </c>
      <c r="H356" t="str">
        <f>_xlfn.XLOOKUP($A356,Map!$A:$A,Map!D:D)</f>
        <v>Cost of sales</v>
      </c>
      <c r="I356" t="str">
        <f>_xlfn.XLOOKUP($A356,Map!$A:$A,Map!E:E)</f>
        <v>Raw materials</v>
      </c>
      <c r="J356" t="str">
        <f>_xlfn.XLOOKUP($A356,Map!$A:$A,Map!F:F)</f>
        <v>Raw materials</v>
      </c>
    </row>
    <row r="357" spans="1:10" x14ac:dyDescent="0.25">
      <c r="A357" s="90">
        <v>510001</v>
      </c>
      <c r="B357" s="90" t="s">
        <v>698</v>
      </c>
      <c r="D357" s="91">
        <v>0</v>
      </c>
      <c r="E357" s="91">
        <v>1388.1489999999999</v>
      </c>
      <c r="F357" s="91">
        <f t="shared" si="1"/>
        <v>-1388.1489999999999</v>
      </c>
      <c r="G357" t="str">
        <f>_xlfn.XLOOKUP($A357,Map!$A:$A,Map!C:C)</f>
        <v>IS</v>
      </c>
      <c r="H357" t="str">
        <f>_xlfn.XLOOKUP($A357,Map!$A:$A,Map!D:D)</f>
        <v>Cost of sales</v>
      </c>
      <c r="I357" t="str">
        <f>_xlfn.XLOOKUP($A357,Map!$A:$A,Map!E:E)</f>
        <v>Raw materials</v>
      </c>
      <c r="J357" t="str">
        <f>_xlfn.XLOOKUP($A357,Map!$A:$A,Map!F:F)</f>
        <v>Raw materials</v>
      </c>
    </row>
    <row r="358" spans="1:10" x14ac:dyDescent="0.25">
      <c r="A358" s="90">
        <v>510001</v>
      </c>
      <c r="B358" s="90" t="s">
        <v>699</v>
      </c>
      <c r="D358" s="91">
        <v>13678453.585000001</v>
      </c>
      <c r="E358" s="91">
        <v>0</v>
      </c>
      <c r="F358" s="91">
        <f t="shared" si="1"/>
        <v>13678453.585000001</v>
      </c>
      <c r="G358" t="str">
        <f>_xlfn.XLOOKUP($A358,Map!$A:$A,Map!C:C)</f>
        <v>IS</v>
      </c>
      <c r="H358" t="str">
        <f>_xlfn.XLOOKUP($A358,Map!$A:$A,Map!D:D)</f>
        <v>Cost of sales</v>
      </c>
      <c r="I358" t="str">
        <f>_xlfn.XLOOKUP($A358,Map!$A:$A,Map!E:E)</f>
        <v>Raw materials</v>
      </c>
      <c r="J358" t="str">
        <f>_xlfn.XLOOKUP($A358,Map!$A:$A,Map!F:F)</f>
        <v>Raw materials</v>
      </c>
    </row>
    <row r="359" spans="1:10" x14ac:dyDescent="0.25">
      <c r="A359" s="90">
        <v>510001</v>
      </c>
      <c r="B359" s="90" t="s">
        <v>700</v>
      </c>
      <c r="D359" s="91">
        <v>18573848.226</v>
      </c>
      <c r="E359" s="91">
        <v>0</v>
      </c>
      <c r="F359" s="91">
        <f t="shared" si="1"/>
        <v>18573848.226</v>
      </c>
      <c r="G359" t="str">
        <f>_xlfn.XLOOKUP($A359,Map!$A:$A,Map!C:C)</f>
        <v>IS</v>
      </c>
      <c r="H359" t="str">
        <f>_xlfn.XLOOKUP($A359,Map!$A:$A,Map!D:D)</f>
        <v>Cost of sales</v>
      </c>
      <c r="I359" t="str">
        <f>_xlfn.XLOOKUP($A359,Map!$A:$A,Map!E:E)</f>
        <v>Raw materials</v>
      </c>
      <c r="J359" t="str">
        <f>_xlfn.XLOOKUP($A359,Map!$A:$A,Map!F:F)</f>
        <v>Raw materials</v>
      </c>
    </row>
    <row r="360" spans="1:10" x14ac:dyDescent="0.25">
      <c r="A360" s="90">
        <v>510001</v>
      </c>
      <c r="B360" s="90" t="s">
        <v>701</v>
      </c>
      <c r="D360" s="91">
        <v>13636241.593</v>
      </c>
      <c r="E360" s="91">
        <v>0</v>
      </c>
      <c r="F360" s="91">
        <f t="shared" si="1"/>
        <v>13636241.593</v>
      </c>
      <c r="G360" t="str">
        <f>_xlfn.XLOOKUP($A360,Map!$A:$A,Map!C:C)</f>
        <v>IS</v>
      </c>
      <c r="H360" t="str">
        <f>_xlfn.XLOOKUP($A360,Map!$A:$A,Map!D:D)</f>
        <v>Cost of sales</v>
      </c>
      <c r="I360" t="str">
        <f>_xlfn.XLOOKUP($A360,Map!$A:$A,Map!E:E)</f>
        <v>Raw materials</v>
      </c>
      <c r="J360" t="str">
        <f>_xlfn.XLOOKUP($A360,Map!$A:$A,Map!F:F)</f>
        <v>Raw materials</v>
      </c>
    </row>
    <row r="361" spans="1:10" x14ac:dyDescent="0.25">
      <c r="A361" s="90">
        <v>510001</v>
      </c>
      <c r="B361" s="90" t="s">
        <v>702</v>
      </c>
      <c r="D361" s="91">
        <v>1851971.4129999999</v>
      </c>
      <c r="E361" s="91">
        <v>0</v>
      </c>
      <c r="F361" s="91">
        <f t="shared" si="1"/>
        <v>1851971.4129999999</v>
      </c>
      <c r="G361" t="str">
        <f>_xlfn.XLOOKUP($A361,Map!$A:$A,Map!C:C)</f>
        <v>IS</v>
      </c>
      <c r="H361" t="str">
        <f>_xlfn.XLOOKUP($A361,Map!$A:$A,Map!D:D)</f>
        <v>Cost of sales</v>
      </c>
      <c r="I361" t="str">
        <f>_xlfn.XLOOKUP($A361,Map!$A:$A,Map!E:E)</f>
        <v>Raw materials</v>
      </c>
      <c r="J361" t="str">
        <f>_xlfn.XLOOKUP($A361,Map!$A:$A,Map!F:F)</f>
        <v>Raw materials</v>
      </c>
    </row>
    <row r="362" spans="1:10" x14ac:dyDescent="0.25">
      <c r="A362" s="90">
        <v>510001</v>
      </c>
      <c r="B362" s="90" t="s">
        <v>628</v>
      </c>
      <c r="D362" s="91">
        <v>0</v>
      </c>
      <c r="E362" s="91">
        <v>158647044.16499999</v>
      </c>
      <c r="F362" s="91">
        <f t="shared" si="1"/>
        <v>-158647044.16499999</v>
      </c>
      <c r="G362" t="str">
        <f>_xlfn.XLOOKUP($A362,Map!$A:$A,Map!C:C)</f>
        <v>IS</v>
      </c>
      <c r="H362" t="str">
        <f>_xlfn.XLOOKUP($A362,Map!$A:$A,Map!D:D)</f>
        <v>Cost of sales</v>
      </c>
      <c r="I362" t="str">
        <f>_xlfn.XLOOKUP($A362,Map!$A:$A,Map!E:E)</f>
        <v>Raw materials</v>
      </c>
      <c r="J362" t="str">
        <f>_xlfn.XLOOKUP($A362,Map!$A:$A,Map!F:F)</f>
        <v>Raw materials</v>
      </c>
    </row>
    <row r="364" spans="1:10" x14ac:dyDescent="0.25">
      <c r="A364" s="90">
        <v>700034</v>
      </c>
      <c r="B364" s="90" t="s">
        <v>747</v>
      </c>
      <c r="D364" s="91">
        <v>0</v>
      </c>
      <c r="E364" s="91">
        <v>201.91200000000001</v>
      </c>
      <c r="F364" s="91">
        <f t="shared" ref="F364:F368" si="2">D364-E364</f>
        <v>-201.91200000000001</v>
      </c>
      <c r="G364" t="str">
        <f>_xlfn.XLOOKUP($A364,Map!$A:$A,Map!C:C)</f>
        <v>IS</v>
      </c>
      <c r="H364" t="str">
        <f>_xlfn.XLOOKUP($A364,Map!$A:$A,Map!D:D)</f>
        <v>General and Admin</v>
      </c>
      <c r="I364" t="str">
        <f>_xlfn.XLOOKUP($A364,Map!$A:$A,Map!E:E)</f>
        <v xml:space="preserve">Back office Support </v>
      </c>
      <c r="J364" t="str">
        <f>_xlfn.XLOOKUP($A364,Map!$A:$A,Map!F:F)</f>
        <v>Consumables</v>
      </c>
    </row>
    <row r="365" spans="1:10" x14ac:dyDescent="0.25">
      <c r="A365" s="90">
        <v>510004</v>
      </c>
      <c r="B365" s="90" t="s">
        <v>747</v>
      </c>
      <c r="D365" s="91">
        <v>23497156.940000001</v>
      </c>
      <c r="E365" s="91">
        <v>0</v>
      </c>
      <c r="F365" s="91">
        <f t="shared" si="2"/>
        <v>23497156.940000001</v>
      </c>
      <c r="G365" t="str">
        <f>_xlfn.XLOOKUP($A365,Map!$A:$A,Map!C:C)</f>
        <v>IS</v>
      </c>
      <c r="H365" t="str">
        <f>_xlfn.XLOOKUP($A365,Map!$A:$A,Map!D:D)</f>
        <v>Cost of sales</v>
      </c>
      <c r="I365" t="str">
        <f>_xlfn.XLOOKUP($A365,Map!$A:$A,Map!E:E)</f>
        <v>Raw materials</v>
      </c>
      <c r="J365" t="str">
        <f>_xlfn.XLOOKUP($A365,Map!$A:$A,Map!F:F)</f>
        <v>Other expenses</v>
      </c>
    </row>
    <row r="366" spans="1:10" x14ac:dyDescent="0.25">
      <c r="A366" s="90">
        <v>510003</v>
      </c>
      <c r="B366" s="90" t="s">
        <v>747</v>
      </c>
      <c r="D366" s="91">
        <v>0</v>
      </c>
      <c r="E366" s="91">
        <v>3451718.284</v>
      </c>
      <c r="F366" s="91">
        <f t="shared" si="2"/>
        <v>-3451718.284</v>
      </c>
      <c r="G366" t="str">
        <f>_xlfn.XLOOKUP($A366,Map!$A:$A,Map!C:C)</f>
        <v>IS</v>
      </c>
      <c r="H366" t="str">
        <f>_xlfn.XLOOKUP($A366,Map!$A:$A,Map!D:D)</f>
        <v>Cost of sales</v>
      </c>
      <c r="I366" t="str">
        <f>_xlfn.XLOOKUP($A366,Map!$A:$A,Map!E:E)</f>
        <v>Raw materials</v>
      </c>
      <c r="J366" t="str">
        <f>_xlfn.XLOOKUP($A366,Map!$A:$A,Map!F:F)</f>
        <v>Raw materials</v>
      </c>
    </row>
    <row r="367" spans="1:10" x14ac:dyDescent="0.25">
      <c r="A367" s="90">
        <v>510002</v>
      </c>
      <c r="B367" s="90" t="s">
        <v>747</v>
      </c>
      <c r="D367" s="91">
        <v>8436506.5960000008</v>
      </c>
      <c r="E367" s="91">
        <v>0</v>
      </c>
      <c r="F367" s="91">
        <f t="shared" si="2"/>
        <v>8436506.5960000008</v>
      </c>
      <c r="G367" t="str">
        <f>_xlfn.XLOOKUP($A367,Map!$A:$A,Map!C:C)</f>
        <v>IS</v>
      </c>
      <c r="H367" t="str">
        <f>_xlfn.XLOOKUP($A367,Map!$A:$A,Map!D:D)</f>
        <v>Cost of sales</v>
      </c>
      <c r="I367" t="str">
        <f>_xlfn.XLOOKUP($A367,Map!$A:$A,Map!E:E)</f>
        <v>Direct Labor</v>
      </c>
      <c r="J367" t="str">
        <f>_xlfn.XLOOKUP($A367,Map!$A:$A,Map!F:F)</f>
        <v>Direct Labor</v>
      </c>
    </row>
    <row r="368" spans="1:10" x14ac:dyDescent="0.25">
      <c r="A368" s="90">
        <v>510001</v>
      </c>
      <c r="B368" s="90" t="s">
        <v>747</v>
      </c>
      <c r="D368" s="91">
        <v>0</v>
      </c>
      <c r="E368" s="91">
        <v>28481743.34</v>
      </c>
      <c r="F368" s="91">
        <f t="shared" si="2"/>
        <v>-28481743.34</v>
      </c>
      <c r="G368" t="str">
        <f>_xlfn.XLOOKUP($A368,Map!$A:$A,Map!C:C)</f>
        <v>IS</v>
      </c>
      <c r="H368" t="str">
        <f>_xlfn.XLOOKUP($A368,Map!$A:$A,Map!D:D)</f>
        <v>Cost of sales</v>
      </c>
      <c r="I368" t="str">
        <f>_xlfn.XLOOKUP($A368,Map!$A:$A,Map!E:E)</f>
        <v>Raw materials</v>
      </c>
      <c r="J368" t="str">
        <f>_xlfn.XLOOKUP($A368,Map!$A:$A,Map!F:F)</f>
        <v>Raw materials</v>
      </c>
    </row>
    <row r="371" spans="1:10" s="1" customFormat="1" x14ac:dyDescent="0.25">
      <c r="A371" s="90">
        <v>170021</v>
      </c>
      <c r="B371" s="90" t="s">
        <v>535</v>
      </c>
      <c r="D371" s="161"/>
      <c r="F371" s="3">
        <f t="shared" ref="F371:F372" si="3">D371-E371</f>
        <v>0</v>
      </c>
      <c r="G371" t="str">
        <f>_xlfn.XLOOKUP($A371,Map!$A:$A,Map!C:C)</f>
        <v>BS</v>
      </c>
      <c r="H371" t="str">
        <f>_xlfn.XLOOKUP($A371,Map!$A:$A,Map!D:D)</f>
        <v>Current Assets</v>
      </c>
      <c r="I371" t="str">
        <f>_xlfn.XLOOKUP($A371,Map!$A:$A,Map!E:E)</f>
        <v>Prepaid expenses</v>
      </c>
      <c r="J371" t="str">
        <f>_xlfn.XLOOKUP($A371,Map!$A:$A,Map!F:F)</f>
        <v>Prepaid expense</v>
      </c>
    </row>
    <row r="372" spans="1:10" s="1" customFormat="1" x14ac:dyDescent="0.25">
      <c r="A372" s="1">
        <v>210001</v>
      </c>
      <c r="B372" s="1" t="s">
        <v>78</v>
      </c>
      <c r="E372" s="161">
        <f>D371</f>
        <v>0</v>
      </c>
      <c r="F372" s="3">
        <f t="shared" si="3"/>
        <v>0</v>
      </c>
      <c r="G372" t="str">
        <f>_xlfn.XLOOKUP($A372,Map!$A:$A,Map!C:C)</f>
        <v>BS</v>
      </c>
      <c r="H372" t="str">
        <f>_xlfn.XLOOKUP($A372,Map!$A:$A,Map!D:D)</f>
        <v>Current Liabilities</v>
      </c>
      <c r="I372" t="str">
        <f>_xlfn.XLOOKUP($A372,Map!$A:$A,Map!E:E)</f>
        <v>Tade payables and Accuals &amp; other credit balances</v>
      </c>
      <c r="J372" t="str">
        <f>_xlfn.XLOOKUP($A372,Map!$A:$A,Map!F:F)</f>
        <v>Trade payables - Foreign</v>
      </c>
    </row>
    <row r="375" spans="1:10" s="1" customFormat="1" x14ac:dyDescent="0.25">
      <c r="A375" s="1">
        <v>410001</v>
      </c>
      <c r="B375" s="163" t="s">
        <v>737</v>
      </c>
      <c r="D375" s="164">
        <v>12840704.702582996</v>
      </c>
      <c r="E375" s="164"/>
      <c r="F375" s="3">
        <f t="shared" ref="F375:F376" si="4">D375-E375</f>
        <v>12840704.702582996</v>
      </c>
      <c r="G375" t="str">
        <f>_xlfn.XLOOKUP($A375,Map!$A:$A,Map!C:C)</f>
        <v>IS</v>
      </c>
      <c r="H375" t="str">
        <f>_xlfn.XLOOKUP($A375,Map!$A:$A,Map!D:D)</f>
        <v>Sales</v>
      </c>
      <c r="I375" t="str">
        <f>_xlfn.XLOOKUP($A375,Map!$A:$A,Map!E:E)</f>
        <v>Sales</v>
      </c>
      <c r="J375" t="str">
        <f>_xlfn.XLOOKUP($A375,Map!$A:$A,Map!F:F)</f>
        <v>Trading revenue</v>
      </c>
    </row>
    <row r="376" spans="1:10" s="1" customFormat="1" x14ac:dyDescent="0.25">
      <c r="A376" s="1">
        <v>510001</v>
      </c>
      <c r="B376" s="163" t="s">
        <v>738</v>
      </c>
      <c r="D376" s="164"/>
      <c r="E376" s="164">
        <v>12415156.923218232</v>
      </c>
      <c r="F376" s="3">
        <f t="shared" si="4"/>
        <v>-12415156.923218232</v>
      </c>
      <c r="G376" t="str">
        <f>_xlfn.XLOOKUP($A376,Map!$A:$A,Map!C:C)</f>
        <v>IS</v>
      </c>
      <c r="H376" t="str">
        <f>_xlfn.XLOOKUP($A376,Map!$A:$A,Map!D:D)</f>
        <v>Cost of sales</v>
      </c>
      <c r="I376" t="str">
        <f>_xlfn.XLOOKUP($A376,Map!$A:$A,Map!E:E)</f>
        <v>Raw materials</v>
      </c>
      <c r="J376" t="str">
        <f>_xlfn.XLOOKUP($A376,Map!$A:$A,Map!F:F)</f>
        <v>Raw materials</v>
      </c>
    </row>
  </sheetData>
  <autoFilter ref="A4:J362" xr:uid="{08F946E2-1835-4B54-82A6-702BC9E20E50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8648-8736-41A4-ADF1-7387AC81FB9E}">
  <sheetPr filterMode="1"/>
  <dimension ref="A1:J383"/>
  <sheetViews>
    <sheetView zoomScale="90" zoomScaleNormal="90" workbookViewId="0">
      <pane ySplit="4" topLeftCell="A86" activePane="bottomLeft" state="frozen"/>
      <selection activeCell="F128" sqref="F128:F130"/>
      <selection pane="bottomLeft" activeCell="A240" sqref="A240"/>
    </sheetView>
  </sheetViews>
  <sheetFormatPr defaultColWidth="8.85546875" defaultRowHeight="15" x14ac:dyDescent="0.25"/>
  <cols>
    <col min="1" max="1" width="13.42578125" style="90" bestFit="1" customWidth="1"/>
    <col min="2" max="2" width="35.85546875" style="90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30.7109375" style="90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583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90">
        <v>110001</v>
      </c>
      <c r="B5" s="90" t="s">
        <v>0</v>
      </c>
      <c r="C5" s="91">
        <v>0</v>
      </c>
      <c r="D5" s="91">
        <v>0</v>
      </c>
      <c r="E5" s="91">
        <v>0</v>
      </c>
      <c r="F5" s="91">
        <v>0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90">
        <v>110002</v>
      </c>
      <c r="B6" s="90" t="s">
        <v>1</v>
      </c>
      <c r="C6" s="91">
        <v>106504996.56999999</v>
      </c>
      <c r="D6" s="91">
        <v>0</v>
      </c>
      <c r="E6" s="91">
        <v>0</v>
      </c>
      <c r="F6" s="91">
        <v>106504996.56999999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90">
        <v>110003</v>
      </c>
      <c r="B7" s="90" t="s">
        <v>2</v>
      </c>
      <c r="C7" s="91">
        <v>1765393.75</v>
      </c>
      <c r="D7" s="91">
        <v>0</v>
      </c>
      <c r="E7" s="91">
        <v>0</v>
      </c>
      <c r="F7" s="91">
        <v>1765393.75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90">
        <v>110004</v>
      </c>
      <c r="B8" s="90" t="s">
        <v>3</v>
      </c>
      <c r="C8" s="91">
        <v>80282872.049999997</v>
      </c>
      <c r="D8" s="91">
        <v>1450709.6980000001</v>
      </c>
      <c r="E8" s="91">
        <v>9255300.7180000003</v>
      </c>
      <c r="F8" s="91">
        <v>72478281.030000001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90">
        <v>110006</v>
      </c>
      <c r="B9" s="90" t="s">
        <v>4</v>
      </c>
      <c r="C9" s="91">
        <v>3033459.699</v>
      </c>
      <c r="D9" s="91">
        <v>57300</v>
      </c>
      <c r="E9" s="91">
        <v>4</v>
      </c>
      <c r="F9" s="91">
        <v>3090755.699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90">
        <v>110007</v>
      </c>
      <c r="B10" s="90" t="s">
        <v>5</v>
      </c>
      <c r="C10" s="91">
        <v>2100287.898</v>
      </c>
      <c r="D10" s="91">
        <v>0</v>
      </c>
      <c r="E10" s="91">
        <v>0</v>
      </c>
      <c r="F10" s="91">
        <v>2100287.898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90">
        <v>110008</v>
      </c>
      <c r="B11" s="90" t="s">
        <v>6</v>
      </c>
      <c r="C11" s="91">
        <v>1101801</v>
      </c>
      <c r="D11" s="91">
        <v>0</v>
      </c>
      <c r="E11" s="91">
        <v>0</v>
      </c>
      <c r="F11" s="91">
        <v>1101801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</v>
      </c>
    </row>
    <row r="12" spans="1:10" hidden="1" x14ac:dyDescent="0.25">
      <c r="A12" s="90">
        <v>111009</v>
      </c>
      <c r="B12" s="90" t="s">
        <v>7</v>
      </c>
      <c r="C12" s="91">
        <v>2020135</v>
      </c>
      <c r="D12" s="91">
        <v>0</v>
      </c>
      <c r="E12" s="91">
        <v>0</v>
      </c>
      <c r="F12" s="91">
        <v>2020135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Right of use</v>
      </c>
      <c r="J12" t="str">
        <f>_xlfn.XLOOKUP($A12,Map!$A:$A,Map!F:F)</f>
        <v>Leases - right of use assets</v>
      </c>
    </row>
    <row r="13" spans="1:10" hidden="1" x14ac:dyDescent="0.25">
      <c r="A13" s="90">
        <v>111010</v>
      </c>
      <c r="B13" s="90" t="s">
        <v>8</v>
      </c>
      <c r="C13" s="91">
        <v>0</v>
      </c>
      <c r="D13" s="91">
        <v>0</v>
      </c>
      <c r="E13" s="91">
        <v>0</v>
      </c>
      <c r="F13" s="91">
        <v>0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90">
        <v>111013</v>
      </c>
      <c r="B14" s="90" t="s">
        <v>9</v>
      </c>
      <c r="C14" s="91">
        <v>0</v>
      </c>
      <c r="D14" s="91">
        <v>1360670.017</v>
      </c>
      <c r="E14" s="91">
        <v>791200</v>
      </c>
      <c r="F14" s="91">
        <v>569470.01699999999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90">
        <v>111099</v>
      </c>
      <c r="B15" s="90" t="s">
        <v>10</v>
      </c>
      <c r="C15" s="91">
        <v>0</v>
      </c>
      <c r="D15" s="91">
        <v>0</v>
      </c>
      <c r="E15" s="91">
        <v>0</v>
      </c>
      <c r="F15" s="91">
        <v>0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90">
        <v>120001</v>
      </c>
      <c r="B16" s="90" t="s">
        <v>11</v>
      </c>
      <c r="C16" s="91">
        <v>-6886978.8799999999</v>
      </c>
      <c r="D16" s="91">
        <v>0</v>
      </c>
      <c r="E16" s="91">
        <v>1566844.2</v>
      </c>
      <c r="F16" s="91">
        <v>-8453823.0800000001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90">
        <v>120002</v>
      </c>
      <c r="B17" s="90" t="s">
        <v>12</v>
      </c>
      <c r="C17" s="91">
        <v>-1765393.774</v>
      </c>
      <c r="D17" s="91">
        <v>0</v>
      </c>
      <c r="E17" s="91">
        <v>0</v>
      </c>
      <c r="F17" s="91">
        <v>-1765393.774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90">
        <v>120003</v>
      </c>
      <c r="B18" s="90" t="s">
        <v>13</v>
      </c>
      <c r="C18" s="91">
        <v>-43870447.883000001</v>
      </c>
      <c r="D18" s="91">
        <v>6233316.2379999999</v>
      </c>
      <c r="E18" s="91">
        <v>3892923.0929999999</v>
      </c>
      <c r="F18" s="91">
        <v>-41530054.737999998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hidden="1" x14ac:dyDescent="0.25">
      <c r="A19" s="90">
        <v>120005</v>
      </c>
      <c r="B19" s="90" t="s">
        <v>14</v>
      </c>
      <c r="C19" s="91">
        <v>-2184859.4500000002</v>
      </c>
      <c r="D19" s="91">
        <v>0</v>
      </c>
      <c r="E19" s="91">
        <v>193147.36</v>
      </c>
      <c r="F19" s="91">
        <v>-2378006.81</v>
      </c>
      <c r="G19" t="str">
        <f>_xlfn.XLOOKUP($A19,Map!$A:$A,Map!C:C)</f>
        <v>BS</v>
      </c>
      <c r="H19" t="str">
        <f>_xlfn.XLOOKUP($A19,Map!$A:$A,Map!D:D)</f>
        <v>Non-Current Assets</v>
      </c>
      <c r="I19" t="str">
        <f>_xlfn.XLOOKUP($A19,Map!$A:$A,Map!E:E)</f>
        <v>Property, plant and equipment</v>
      </c>
      <c r="J19" t="str">
        <f>_xlfn.XLOOKUP($A19,Map!$A:$A,Map!F:F)</f>
        <v>Property, plant and equipment - Accumulated depreciation</v>
      </c>
    </row>
    <row r="20" spans="1:10" hidden="1" x14ac:dyDescent="0.25">
      <c r="A20" s="90">
        <v>120006</v>
      </c>
      <c r="B20" s="90" t="s">
        <v>15</v>
      </c>
      <c r="C20" s="91">
        <v>-1338351.8049999999</v>
      </c>
      <c r="D20" s="91">
        <v>0</v>
      </c>
      <c r="E20" s="91">
        <v>290954.66800000001</v>
      </c>
      <c r="F20" s="91">
        <v>-1629306.473</v>
      </c>
      <c r="G20" t="str">
        <f>_xlfn.XLOOKUP($A20,Map!$A:$A,Map!C:C)</f>
        <v>BS</v>
      </c>
      <c r="H20" t="str">
        <f>_xlfn.XLOOKUP($A20,Map!$A:$A,Map!D:D)</f>
        <v>Non-Current Assets</v>
      </c>
      <c r="I20" t="str">
        <f>_xlfn.XLOOKUP($A20,Map!$A:$A,Map!E:E)</f>
        <v>Property, plant and equipment</v>
      </c>
      <c r="J20" t="str">
        <f>_xlfn.XLOOKUP($A20,Map!$A:$A,Map!F:F)</f>
        <v>Property, plant and equipment - Accumulated depreciation</v>
      </c>
    </row>
    <row r="21" spans="1:10" hidden="1" x14ac:dyDescent="0.25">
      <c r="A21" s="90">
        <v>120007</v>
      </c>
      <c r="B21" s="90" t="s">
        <v>16</v>
      </c>
      <c r="C21" s="91">
        <v>-479538.73200000002</v>
      </c>
      <c r="D21" s="91">
        <v>0</v>
      </c>
      <c r="E21" s="91">
        <v>87931.763999999996</v>
      </c>
      <c r="F21" s="91">
        <v>-567470.49600000004</v>
      </c>
      <c r="G21" t="str">
        <f>_xlfn.XLOOKUP($A21,Map!$A:$A,Map!C:C)</f>
        <v>BS</v>
      </c>
      <c r="H21" t="str">
        <f>_xlfn.XLOOKUP($A21,Map!$A:$A,Map!D:D)</f>
        <v>Non-Current Assets</v>
      </c>
      <c r="I21" t="str">
        <f>_xlfn.XLOOKUP($A21,Map!$A:$A,Map!E:E)</f>
        <v>Property, plant and equipment</v>
      </c>
      <c r="J21" t="str">
        <f>_xlfn.XLOOKUP($A21,Map!$A:$A,Map!F:F)</f>
        <v>Property, plant and equipment - Accumulated depreciation</v>
      </c>
    </row>
    <row r="22" spans="1:10" hidden="1" x14ac:dyDescent="0.25">
      <c r="A22" s="90">
        <v>120008</v>
      </c>
      <c r="B22" s="90" t="s">
        <v>17</v>
      </c>
      <c r="C22" s="91">
        <v>-482953.92099999997</v>
      </c>
      <c r="D22" s="91">
        <v>0</v>
      </c>
      <c r="E22" s="91">
        <v>162906.99600000001</v>
      </c>
      <c r="F22" s="91">
        <v>-645860.91700000002</v>
      </c>
      <c r="G22" t="str">
        <f>_xlfn.XLOOKUP($A22,Map!$A:$A,Map!C:C)</f>
        <v>BS</v>
      </c>
      <c r="H22" t="str">
        <f>_xlfn.XLOOKUP($A22,Map!$A:$A,Map!D:D)</f>
        <v>Non-Current Assets</v>
      </c>
      <c r="I22" t="str">
        <f>_xlfn.XLOOKUP($A22,Map!$A:$A,Map!E:E)</f>
        <v>Right of use</v>
      </c>
      <c r="J22" t="str">
        <f>_xlfn.XLOOKUP($A22,Map!$A:$A,Map!F:F)</f>
        <v>Depreciation/amortization of rights of use assets</v>
      </c>
    </row>
    <row r="23" spans="1:10" hidden="1" x14ac:dyDescent="0.25">
      <c r="A23" s="90">
        <v>121001</v>
      </c>
      <c r="B23" s="90" t="s">
        <v>18</v>
      </c>
      <c r="C23" s="91">
        <v>13762616.130000001</v>
      </c>
      <c r="D23" s="91">
        <v>0</v>
      </c>
      <c r="E23" s="91">
        <v>0</v>
      </c>
      <c r="F23" s="91">
        <v>13762616.130000001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Prepaid expenses</v>
      </c>
      <c r="J23" t="str">
        <f>_xlfn.XLOOKUP($A23,Map!$A:$A,Map!F:F)</f>
        <v>Pre Operating Exps</v>
      </c>
    </row>
    <row r="24" spans="1:10" hidden="1" x14ac:dyDescent="0.25">
      <c r="A24" s="90">
        <v>121002</v>
      </c>
      <c r="B24" s="90" t="s">
        <v>19</v>
      </c>
      <c r="C24" s="91">
        <v>-13762616.130000001</v>
      </c>
      <c r="D24" s="91">
        <v>0</v>
      </c>
      <c r="E24" s="91">
        <v>0</v>
      </c>
      <c r="F24" s="91">
        <v>-13762616.130000001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Prepaid expenses</v>
      </c>
      <c r="J24" t="str">
        <f>_xlfn.XLOOKUP($A24,Map!$A:$A,Map!F:F)</f>
        <v>Amortization Of Pre Operating Exps</v>
      </c>
    </row>
    <row r="25" spans="1:10" hidden="1" x14ac:dyDescent="0.25">
      <c r="A25" s="90">
        <v>130001</v>
      </c>
      <c r="B25" s="90" t="s">
        <v>20</v>
      </c>
      <c r="C25" s="91">
        <v>0</v>
      </c>
      <c r="D25" s="91">
        <v>152754</v>
      </c>
      <c r="E25" s="91">
        <v>152754</v>
      </c>
      <c r="F25" s="91">
        <v>0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90">
        <v>130002</v>
      </c>
      <c r="B26" s="90" t="s">
        <v>21</v>
      </c>
      <c r="C26" s="91">
        <v>0</v>
      </c>
      <c r="D26" s="91">
        <v>152754</v>
      </c>
      <c r="E26" s="91">
        <v>152754</v>
      </c>
      <c r="F26" s="91">
        <v>0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90">
        <v>130003</v>
      </c>
      <c r="B27" s="90" t="s">
        <v>22</v>
      </c>
      <c r="C27" s="91">
        <v>0</v>
      </c>
      <c r="D27" s="91">
        <v>0</v>
      </c>
      <c r="E27" s="91">
        <v>0</v>
      </c>
      <c r="F27" s="91">
        <v>0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90">
        <v>130004</v>
      </c>
      <c r="B28" s="90" t="s">
        <v>23</v>
      </c>
      <c r="C28" s="91">
        <v>15028.8</v>
      </c>
      <c r="D28" s="91">
        <v>84032.23</v>
      </c>
      <c r="E28" s="91">
        <v>99061.03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hidden="1" x14ac:dyDescent="0.25">
      <c r="A29" s="90">
        <v>130005</v>
      </c>
      <c r="B29" s="90" t="s">
        <v>24</v>
      </c>
      <c r="C29" s="91">
        <v>0</v>
      </c>
      <c r="D29" s="91">
        <v>0</v>
      </c>
      <c r="E29" s="91">
        <v>0</v>
      </c>
      <c r="F29" s="91">
        <v>0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hidden="1" x14ac:dyDescent="0.25">
      <c r="A30" s="90">
        <v>130006</v>
      </c>
      <c r="B30" s="90" t="s">
        <v>25</v>
      </c>
      <c r="C30" s="91">
        <v>0</v>
      </c>
      <c r="D30" s="91">
        <v>0</v>
      </c>
      <c r="E30" s="91">
        <v>0</v>
      </c>
      <c r="F30" s="91">
        <v>0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Bank balances</v>
      </c>
    </row>
    <row r="31" spans="1:10" hidden="1" x14ac:dyDescent="0.25">
      <c r="A31" s="90">
        <v>130007</v>
      </c>
      <c r="B31" s="90" t="s">
        <v>26</v>
      </c>
      <c r="C31" s="91">
        <v>1397141.99</v>
      </c>
      <c r="D31" s="91">
        <v>16000</v>
      </c>
      <c r="E31" s="91">
        <v>1413141.99</v>
      </c>
      <c r="F31" s="91">
        <v>0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Cash and cash equivalents</v>
      </c>
      <c r="J31" t="str">
        <f>_xlfn.XLOOKUP($A31,Map!$A:$A,Map!F:F)</f>
        <v>Bank balances</v>
      </c>
    </row>
    <row r="32" spans="1:10" hidden="1" x14ac:dyDescent="0.25">
      <c r="A32" s="90">
        <v>130008</v>
      </c>
      <c r="B32" s="90" t="s">
        <v>247</v>
      </c>
      <c r="C32" s="91">
        <v>125346.061</v>
      </c>
      <c r="D32" s="91">
        <v>123175481.20999999</v>
      </c>
      <c r="E32" s="91">
        <v>123048093.471</v>
      </c>
      <c r="F32" s="91">
        <v>252733.8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Bank balances</v>
      </c>
    </row>
    <row r="33" spans="1:10" hidden="1" x14ac:dyDescent="0.25">
      <c r="A33" s="90">
        <v>130009</v>
      </c>
      <c r="B33" s="90" t="s">
        <v>27</v>
      </c>
      <c r="C33" s="91">
        <v>4424114.9989999998</v>
      </c>
      <c r="D33" s="91">
        <v>135754607.98100001</v>
      </c>
      <c r="E33" s="91">
        <v>139603258.30000001</v>
      </c>
      <c r="F33" s="91">
        <v>575464.68000000005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Bank balances</v>
      </c>
    </row>
    <row r="34" spans="1:10" hidden="1" x14ac:dyDescent="0.25">
      <c r="A34" s="90">
        <v>130010</v>
      </c>
      <c r="B34" s="90" t="s">
        <v>28</v>
      </c>
      <c r="C34" s="91">
        <v>4858085.3859999999</v>
      </c>
      <c r="D34" s="91">
        <v>119941869.65099999</v>
      </c>
      <c r="E34" s="91">
        <v>123887213.087</v>
      </c>
      <c r="F34" s="91">
        <v>912741.95</v>
      </c>
      <c r="G34" t="str">
        <f>_xlfn.XLOOKUP($A34,Map!$A:$A,Map!C:C)</f>
        <v>BS</v>
      </c>
      <c r="H34" t="str">
        <f>_xlfn.XLOOKUP($A34,Map!$A:$A,Map!D:D)</f>
        <v>Current Assets</v>
      </c>
      <c r="I34" t="str">
        <f>_xlfn.XLOOKUP($A34,Map!$A:$A,Map!E:E)</f>
        <v>Cash and cash equivalents</v>
      </c>
      <c r="J34" t="str">
        <f>_xlfn.XLOOKUP($A34,Map!$A:$A,Map!F:F)</f>
        <v>Bank balances</v>
      </c>
    </row>
    <row r="35" spans="1:10" hidden="1" x14ac:dyDescent="0.25">
      <c r="A35" s="90">
        <v>130011</v>
      </c>
      <c r="B35" s="90" t="s">
        <v>29</v>
      </c>
      <c r="C35" s="91">
        <v>1029152.88</v>
      </c>
      <c r="D35" s="91">
        <v>55320041.762000002</v>
      </c>
      <c r="E35" s="91">
        <v>55977556.372000001</v>
      </c>
      <c r="F35" s="91">
        <v>371638.27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Cash and cash equivalents</v>
      </c>
      <c r="J35" t="str">
        <f>_xlfn.XLOOKUP($A35,Map!$A:$A,Map!F:F)</f>
        <v>Bank balances</v>
      </c>
    </row>
    <row r="36" spans="1:10" hidden="1" x14ac:dyDescent="0.25">
      <c r="A36" s="90">
        <v>130012</v>
      </c>
      <c r="B36" s="90" t="s">
        <v>248</v>
      </c>
      <c r="C36" s="91">
        <v>1252439.537</v>
      </c>
      <c r="D36" s="91">
        <v>39849843.245999999</v>
      </c>
      <c r="E36" s="91">
        <v>40176533.142999999</v>
      </c>
      <c r="F36" s="91">
        <v>925749.64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Cash and cash equivalents</v>
      </c>
      <c r="J36" t="str">
        <f>_xlfn.XLOOKUP($A36,Map!$A:$A,Map!F:F)</f>
        <v>Bank balances</v>
      </c>
    </row>
    <row r="37" spans="1:10" hidden="1" x14ac:dyDescent="0.25">
      <c r="A37" s="90">
        <v>130013</v>
      </c>
      <c r="B37" s="90" t="s">
        <v>30</v>
      </c>
      <c r="C37" s="91">
        <v>300937.83799999999</v>
      </c>
      <c r="D37" s="91">
        <v>31198778.577</v>
      </c>
      <c r="E37" s="91">
        <v>31262096.136</v>
      </c>
      <c r="F37" s="91">
        <v>237620.27900000001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Cash and cash equivalents</v>
      </c>
      <c r="J37" t="str">
        <f>_xlfn.XLOOKUP($A37,Map!$A:$A,Map!F:F)</f>
        <v>Bank balances</v>
      </c>
    </row>
    <row r="38" spans="1:10" hidden="1" x14ac:dyDescent="0.25">
      <c r="A38" s="90">
        <v>130014</v>
      </c>
      <c r="B38" s="90" t="s">
        <v>31</v>
      </c>
      <c r="C38" s="91">
        <v>275731.75</v>
      </c>
      <c r="D38" s="91">
        <v>2089521.25</v>
      </c>
      <c r="E38" s="91">
        <v>1990016.75</v>
      </c>
      <c r="F38" s="91">
        <v>375236.25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Cash and cash equivalents</v>
      </c>
      <c r="J38" t="str">
        <f>_xlfn.XLOOKUP($A38,Map!$A:$A,Map!F:F)</f>
        <v>Bank balances</v>
      </c>
    </row>
    <row r="39" spans="1:10" hidden="1" x14ac:dyDescent="0.25">
      <c r="A39" s="90">
        <v>130015</v>
      </c>
      <c r="B39" s="90" t="s">
        <v>32</v>
      </c>
      <c r="C39" s="91">
        <v>0</v>
      </c>
      <c r="D39" s="91">
        <v>60920</v>
      </c>
      <c r="E39" s="91">
        <v>28886.42</v>
      </c>
      <c r="F39" s="91">
        <v>32033.58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Cash and cash equivalents</v>
      </c>
      <c r="J39" t="str">
        <f>_xlfn.XLOOKUP($A39,Map!$A:$A,Map!F:F)</f>
        <v>Bank balances</v>
      </c>
    </row>
    <row r="40" spans="1:10" hidden="1" x14ac:dyDescent="0.25">
      <c r="A40" s="90">
        <v>130016</v>
      </c>
      <c r="B40" s="90" t="s">
        <v>33</v>
      </c>
      <c r="C40" s="91">
        <v>0</v>
      </c>
      <c r="D40" s="91">
        <v>4984742.75</v>
      </c>
      <c r="E40" s="91">
        <v>4617248</v>
      </c>
      <c r="F40" s="91">
        <v>367494.75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Cash and cash equivalents</v>
      </c>
      <c r="J40" t="str">
        <f>_xlfn.XLOOKUP($A40,Map!$A:$A,Map!F:F)</f>
        <v>Bank balances</v>
      </c>
    </row>
    <row r="41" spans="1:10" hidden="1" x14ac:dyDescent="0.25">
      <c r="A41" s="90">
        <v>130099</v>
      </c>
      <c r="B41" s="90" t="s">
        <v>34</v>
      </c>
      <c r="C41" s="91">
        <v>0</v>
      </c>
      <c r="D41" s="91">
        <v>197045524.84</v>
      </c>
      <c r="E41" s="91">
        <v>197045524.84</v>
      </c>
      <c r="F41" s="91">
        <v>0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Cash and cash equivalents</v>
      </c>
      <c r="J41" t="str">
        <f>_xlfn.XLOOKUP($A41,Map!$A:$A,Map!F:F)</f>
        <v>Bank balances</v>
      </c>
    </row>
    <row r="42" spans="1:10" hidden="1" x14ac:dyDescent="0.25">
      <c r="A42" s="90">
        <v>140001</v>
      </c>
      <c r="B42" s="90" t="s">
        <v>35</v>
      </c>
      <c r="C42" s="91">
        <v>73001860.419</v>
      </c>
      <c r="D42" s="91">
        <v>153987876.34099999</v>
      </c>
      <c r="E42" s="91">
        <v>181526382.958</v>
      </c>
      <c r="F42" s="91">
        <v>45463353.802000001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Trade receivables</v>
      </c>
      <c r="J42" t="str">
        <f>_xlfn.XLOOKUP($A42,Map!$A:$A,Map!F:F)</f>
        <v>Trade receivables - current</v>
      </c>
    </row>
    <row r="43" spans="1:10" hidden="1" x14ac:dyDescent="0.25">
      <c r="A43" s="90">
        <v>140010</v>
      </c>
      <c r="B43" s="90" t="s">
        <v>36</v>
      </c>
      <c r="C43" s="91">
        <v>0</v>
      </c>
      <c r="D43" s="91">
        <v>0</v>
      </c>
      <c r="E43" s="91">
        <v>0</v>
      </c>
      <c r="F43" s="91">
        <v>0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Trade receivables</v>
      </c>
      <c r="J43" t="str">
        <f>_xlfn.XLOOKUP($A43,Map!$A:$A,Map!F:F)</f>
        <v>Trade receivables - current</v>
      </c>
    </row>
    <row r="44" spans="1:10" hidden="1" x14ac:dyDescent="0.25">
      <c r="A44" s="90">
        <v>150001</v>
      </c>
      <c r="B44" s="90" t="s">
        <v>37</v>
      </c>
      <c r="C44" s="91">
        <v>19000.5</v>
      </c>
      <c r="D44" s="91">
        <v>157007.34700000001</v>
      </c>
      <c r="E44" s="91">
        <v>44819.67</v>
      </c>
      <c r="F44" s="91">
        <v>131188.177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Prepaid expenses</v>
      </c>
      <c r="J44" t="str">
        <f>_xlfn.XLOOKUP($A44,Map!$A:$A,Map!F:F)</f>
        <v>Advances - current</v>
      </c>
    </row>
    <row r="45" spans="1:10" hidden="1" x14ac:dyDescent="0.25">
      <c r="A45" s="90">
        <v>150002</v>
      </c>
      <c r="B45" s="90" t="s">
        <v>38</v>
      </c>
      <c r="C45" s="91">
        <v>2374238</v>
      </c>
      <c r="D45" s="91">
        <v>10750</v>
      </c>
      <c r="E45" s="91">
        <v>13000</v>
      </c>
      <c r="F45" s="91">
        <v>2371988</v>
      </c>
      <c r="G45" t="str">
        <f>_xlfn.XLOOKUP($A45,Map!$A:$A,Map!C:C)</f>
        <v>BS</v>
      </c>
      <c r="H45" t="str">
        <f>_xlfn.XLOOKUP($A45,Map!$A:$A,Map!D:D)</f>
        <v>Non-Current Liabilities</v>
      </c>
      <c r="I45" t="str">
        <f>_xlfn.XLOOKUP($A45,Map!$A:$A,Map!E:E)</f>
        <v xml:space="preserve">End-of-service indemnities </v>
      </c>
      <c r="J45" t="str">
        <f>_xlfn.XLOOKUP($A45,Map!$A:$A,Map!F:F)</f>
        <v xml:space="preserve">End-of-service indemnities </v>
      </c>
    </row>
    <row r="46" spans="1:10" hidden="1" x14ac:dyDescent="0.25">
      <c r="A46" s="90">
        <v>160001</v>
      </c>
      <c r="B46" s="90" t="s">
        <v>39</v>
      </c>
      <c r="C46" s="91">
        <v>17049.689999999999</v>
      </c>
      <c r="D46" s="91">
        <v>74145.149999999994</v>
      </c>
      <c r="E46" s="91">
        <v>78383.64</v>
      </c>
      <c r="F46" s="91">
        <v>12811.2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Cash and cash equivalents</v>
      </c>
      <c r="J46" t="str">
        <f>_xlfn.XLOOKUP($A46,Map!$A:$A,Map!F:F)</f>
        <v>Petty cash</v>
      </c>
    </row>
    <row r="47" spans="1:10" hidden="1" x14ac:dyDescent="0.25">
      <c r="A47" s="90">
        <v>170000</v>
      </c>
      <c r="B47" s="90" t="s">
        <v>40</v>
      </c>
      <c r="C47" s="91">
        <v>717348.08100000001</v>
      </c>
      <c r="D47" s="91">
        <v>2197946.44</v>
      </c>
      <c r="E47" s="91">
        <v>2086302.155</v>
      </c>
      <c r="F47" s="91">
        <v>828992.36600000004</v>
      </c>
      <c r="G47" t="str">
        <f>_xlfn.XLOOKUP($A47,Map!$A:$A,Map!C:C)</f>
        <v>BS</v>
      </c>
      <c r="H47" t="str">
        <f>_xlfn.XLOOKUP($A47,Map!$A:$A,Map!D:D)</f>
        <v>Current Liabilities</v>
      </c>
      <c r="I47" t="str">
        <f>_xlfn.XLOOKUP($A47,Map!$A:$A,Map!E:E)</f>
        <v>Short-term Murabaha loans</v>
      </c>
      <c r="J47" t="str">
        <f>_xlfn.XLOOKUP($A47,Map!$A:$A,Map!F:F)</f>
        <v>Prepayments - current</v>
      </c>
    </row>
    <row r="48" spans="1:10" hidden="1" x14ac:dyDescent="0.25">
      <c r="A48" s="90">
        <v>170001</v>
      </c>
      <c r="B48" s="90" t="s">
        <v>41</v>
      </c>
      <c r="C48" s="91">
        <v>1188833.976</v>
      </c>
      <c r="D48" s="91">
        <v>1842650.709</v>
      </c>
      <c r="E48" s="91">
        <v>2186474.9530000002</v>
      </c>
      <c r="F48" s="91">
        <v>845009.73199999996</v>
      </c>
      <c r="G48" t="str">
        <f>_xlfn.XLOOKUP($A48,Map!$A:$A,Map!C:C)</f>
        <v>BS</v>
      </c>
      <c r="H48" t="str">
        <f>_xlfn.XLOOKUP($A48,Map!$A:$A,Map!D:D)</f>
        <v>Current Liabilities</v>
      </c>
      <c r="I48" t="str">
        <f>_xlfn.XLOOKUP($A48,Map!$A:$A,Map!E:E)</f>
        <v>Short-term Murabaha loans</v>
      </c>
      <c r="J48" t="str">
        <f>_xlfn.XLOOKUP($A48,Map!$A:$A,Map!F:F)</f>
        <v>Prepayments - current</v>
      </c>
    </row>
    <row r="49" spans="1:10" hidden="1" x14ac:dyDescent="0.25">
      <c r="A49" s="90">
        <v>170002</v>
      </c>
      <c r="B49" s="90" t="s">
        <v>42</v>
      </c>
      <c r="C49" s="91">
        <v>682659.36300000001</v>
      </c>
      <c r="D49" s="91">
        <v>2047996.6</v>
      </c>
      <c r="E49" s="91">
        <v>2038034.7590000001</v>
      </c>
      <c r="F49" s="91">
        <v>692621.20400000003</v>
      </c>
      <c r="G49" t="str">
        <f>_xlfn.XLOOKUP($A49,Map!$A:$A,Map!C:C)</f>
        <v>BS</v>
      </c>
      <c r="H49" t="str">
        <f>_xlfn.XLOOKUP($A49,Map!$A:$A,Map!D:D)</f>
        <v>Current Liabilities</v>
      </c>
      <c r="I49" t="str">
        <f>_xlfn.XLOOKUP($A49,Map!$A:$A,Map!E:E)</f>
        <v>Short-term Murabaha loans</v>
      </c>
      <c r="J49" t="str">
        <f>_xlfn.XLOOKUP($A49,Map!$A:$A,Map!F:F)</f>
        <v>Prepayments - current</v>
      </c>
    </row>
    <row r="50" spans="1:10" hidden="1" x14ac:dyDescent="0.25">
      <c r="A50" s="90">
        <v>170003</v>
      </c>
      <c r="B50" s="90" t="s">
        <v>43</v>
      </c>
      <c r="C50" s="91">
        <v>0</v>
      </c>
      <c r="D50" s="91">
        <v>0</v>
      </c>
      <c r="E50" s="91">
        <v>0</v>
      </c>
      <c r="F50" s="91">
        <v>0</v>
      </c>
      <c r="G50" t="str">
        <f>_xlfn.XLOOKUP($A50,Map!$A:$A,Map!C:C)</f>
        <v>BS</v>
      </c>
      <c r="H50" t="str">
        <f>_xlfn.XLOOKUP($A50,Map!$A:$A,Map!D:D)</f>
        <v>Current Liabilities</v>
      </c>
      <c r="I50" t="str">
        <f>_xlfn.XLOOKUP($A50,Map!$A:$A,Map!E:E)</f>
        <v>Short-term Murabaha loans</v>
      </c>
      <c r="J50" t="str">
        <f>_xlfn.XLOOKUP($A50,Map!$A:$A,Map!F:F)</f>
        <v>Prepayments - current</v>
      </c>
    </row>
    <row r="51" spans="1:10" hidden="1" x14ac:dyDescent="0.25">
      <c r="A51" s="90">
        <v>170004</v>
      </c>
      <c r="B51" s="90" t="s">
        <v>244</v>
      </c>
      <c r="C51" s="91">
        <v>0</v>
      </c>
      <c r="D51" s="91">
        <v>0</v>
      </c>
      <c r="E51" s="91">
        <v>0</v>
      </c>
      <c r="F51" s="91">
        <v>0</v>
      </c>
      <c r="G51" t="str">
        <f>_xlfn.XLOOKUP($A51,Map!$A:$A,Map!C:C)</f>
        <v>BS</v>
      </c>
      <c r="H51" t="str">
        <f>_xlfn.XLOOKUP($A51,Map!$A:$A,Map!D:D)</f>
        <v>Current Liabilities</v>
      </c>
      <c r="I51" t="str">
        <f>_xlfn.XLOOKUP($A51,Map!$A:$A,Map!E:E)</f>
        <v>Short-term Murabaha loans</v>
      </c>
      <c r="J51" t="str">
        <f>_xlfn.XLOOKUP($A51,Map!$A:$A,Map!F:F)</f>
        <v>Prepayments - current</v>
      </c>
    </row>
    <row r="52" spans="1:10" hidden="1" x14ac:dyDescent="0.25">
      <c r="A52" s="90">
        <v>170005</v>
      </c>
      <c r="B52" s="90" t="s">
        <v>44</v>
      </c>
      <c r="C52" s="91">
        <v>0</v>
      </c>
      <c r="D52" s="91">
        <v>0</v>
      </c>
      <c r="E52" s="91">
        <v>0</v>
      </c>
      <c r="F52" s="91">
        <v>0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Prepaid expenses</v>
      </c>
      <c r="J52" t="str">
        <f>_xlfn.XLOOKUP($A52,Map!$A:$A,Map!F:F)</f>
        <v>Deposits - current</v>
      </c>
    </row>
    <row r="53" spans="1:10" hidden="1" x14ac:dyDescent="0.25">
      <c r="A53" s="90">
        <v>170006</v>
      </c>
      <c r="B53" s="90" t="s">
        <v>45</v>
      </c>
      <c r="C53" s="91">
        <v>18329.419999999998</v>
      </c>
      <c r="D53" s="91">
        <v>398475</v>
      </c>
      <c r="E53" s="91">
        <v>416804.42</v>
      </c>
      <c r="F53" s="91">
        <v>0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Prepaid expenses</v>
      </c>
      <c r="J53" t="str">
        <f>_xlfn.XLOOKUP($A53,Map!$A:$A,Map!F:F)</f>
        <v>Deposits - current</v>
      </c>
    </row>
    <row r="54" spans="1:10" hidden="1" x14ac:dyDescent="0.25">
      <c r="A54" s="90">
        <v>170007</v>
      </c>
      <c r="B54" s="90" t="s">
        <v>46</v>
      </c>
      <c r="C54" s="91">
        <v>0</v>
      </c>
      <c r="D54" s="91">
        <v>0</v>
      </c>
      <c r="E54" s="91">
        <v>0</v>
      </c>
      <c r="F54" s="91">
        <v>0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Prepaid expenses</v>
      </c>
      <c r="J54" t="str">
        <f>_xlfn.XLOOKUP($A54,Map!$A:$A,Map!F:F)</f>
        <v>Deposits - current</v>
      </c>
    </row>
    <row r="55" spans="1:10" hidden="1" x14ac:dyDescent="0.25">
      <c r="A55" s="90">
        <v>170008</v>
      </c>
      <c r="B55" s="90" t="s">
        <v>47</v>
      </c>
      <c r="C55" s="91">
        <v>0</v>
      </c>
      <c r="D55" s="91">
        <v>669651.71799999999</v>
      </c>
      <c r="E55" s="91">
        <v>669651.71799999999</v>
      </c>
      <c r="F55" s="91">
        <v>0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Prepaid expenses</v>
      </c>
      <c r="J55" t="str">
        <f>_xlfn.XLOOKUP($A55,Map!$A:$A,Map!F:F)</f>
        <v>Deposits - current</v>
      </c>
    </row>
    <row r="56" spans="1:10" hidden="1" x14ac:dyDescent="0.25">
      <c r="A56" s="90">
        <v>170009</v>
      </c>
      <c r="B56" s="90" t="s">
        <v>48</v>
      </c>
      <c r="C56" s="91">
        <v>62777</v>
      </c>
      <c r="D56" s="91">
        <v>277040</v>
      </c>
      <c r="E56" s="91">
        <v>278855</v>
      </c>
      <c r="F56" s="91">
        <v>60962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Prepaid expenses</v>
      </c>
      <c r="J56" t="str">
        <f>_xlfn.XLOOKUP($A56,Map!$A:$A,Map!F:F)</f>
        <v>Rent</v>
      </c>
    </row>
    <row r="57" spans="1:10" hidden="1" x14ac:dyDescent="0.25">
      <c r="A57" s="90">
        <v>170010</v>
      </c>
      <c r="B57" s="90" t="s">
        <v>49</v>
      </c>
      <c r="C57" s="91">
        <v>0</v>
      </c>
      <c r="D57" s="91">
        <v>625947</v>
      </c>
      <c r="E57" s="91">
        <v>625947</v>
      </c>
      <c r="F57" s="91">
        <v>0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Prepaid expenses</v>
      </c>
      <c r="J57" t="str">
        <f>_xlfn.XLOOKUP($A57,Map!$A:$A,Map!F:F)</f>
        <v>Housing allowance</v>
      </c>
    </row>
    <row r="58" spans="1:10" hidden="1" x14ac:dyDescent="0.25">
      <c r="A58" s="90">
        <v>170011</v>
      </c>
      <c r="B58" s="90" t="s">
        <v>50</v>
      </c>
      <c r="C58" s="91">
        <v>0</v>
      </c>
      <c r="D58" s="91">
        <v>73000</v>
      </c>
      <c r="E58" s="91">
        <v>73000</v>
      </c>
      <c r="F58" s="91">
        <v>0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Prepaid expenses</v>
      </c>
      <c r="J58" t="str">
        <f>_xlfn.XLOOKUP($A58,Map!$A:$A,Map!F:F)</f>
        <v>Air tickets</v>
      </c>
    </row>
    <row r="59" spans="1:10" hidden="1" x14ac:dyDescent="0.25">
      <c r="A59" s="90">
        <v>170012</v>
      </c>
      <c r="B59" s="90" t="s">
        <v>51</v>
      </c>
      <c r="C59" s="91">
        <v>-6.0000000000000001E-3</v>
      </c>
      <c r="D59" s="91">
        <v>6.0000000000000001E-3</v>
      </c>
      <c r="E59" s="91">
        <v>0</v>
      </c>
      <c r="F59" s="91">
        <v>0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Prepaid expenses</v>
      </c>
      <c r="J59" t="str">
        <f>_xlfn.XLOOKUP($A59,Map!$A:$A,Map!F:F)</f>
        <v>Furniture allowance</v>
      </c>
    </row>
    <row r="60" spans="1:10" hidden="1" x14ac:dyDescent="0.25">
      <c r="A60" s="90">
        <v>170013</v>
      </c>
      <c r="B60" s="90" t="s">
        <v>52</v>
      </c>
      <c r="C60" s="91">
        <v>0</v>
      </c>
      <c r="D60" s="91">
        <v>0</v>
      </c>
      <c r="E60" s="91">
        <v>0</v>
      </c>
      <c r="F60" s="91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Prepaid expenses</v>
      </c>
      <c r="J60" t="str">
        <f>_xlfn.XLOOKUP($A60,Map!$A:$A,Map!F:F)</f>
        <v>Insurance</v>
      </c>
    </row>
    <row r="61" spans="1:10" hidden="1" x14ac:dyDescent="0.25">
      <c r="A61" s="90">
        <v>170014</v>
      </c>
      <c r="B61" s="90" t="s">
        <v>53</v>
      </c>
      <c r="C61" s="91">
        <v>569660.51</v>
      </c>
      <c r="D61" s="91">
        <v>675876.01800000004</v>
      </c>
      <c r="E61" s="91">
        <v>907598.52800000005</v>
      </c>
      <c r="F61" s="91">
        <v>337938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Prepaid expenses</v>
      </c>
      <c r="J61" t="str">
        <f>_xlfn.XLOOKUP($A61,Map!$A:$A,Map!F:F)</f>
        <v>Insurance</v>
      </c>
    </row>
    <row r="62" spans="1:10" hidden="1" x14ac:dyDescent="0.25">
      <c r="A62" s="90">
        <v>170015</v>
      </c>
      <c r="B62" s="90" t="s">
        <v>54</v>
      </c>
      <c r="C62" s="91">
        <v>0</v>
      </c>
      <c r="D62" s="91">
        <v>0</v>
      </c>
      <c r="E62" s="91">
        <v>0</v>
      </c>
      <c r="F62" s="91">
        <v>0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Prepaid expenses</v>
      </c>
      <c r="J62" t="str">
        <f>_xlfn.XLOOKUP($A62,Map!$A:$A,Map!F:F)</f>
        <v>Salaries and wages</v>
      </c>
    </row>
    <row r="63" spans="1:10" hidden="1" x14ac:dyDescent="0.25">
      <c r="A63" s="90">
        <v>170016</v>
      </c>
      <c r="B63" s="90" t="s">
        <v>55</v>
      </c>
      <c r="C63" s="91">
        <v>437398.6</v>
      </c>
      <c r="D63" s="91">
        <v>0</v>
      </c>
      <c r="E63" s="91">
        <v>437398.6</v>
      </c>
      <c r="F63" s="91">
        <v>0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Prepaid expenses</v>
      </c>
      <c r="J63" t="str">
        <f>_xlfn.XLOOKUP($A63,Map!$A:$A,Map!F:F)</f>
        <v>Other receivables - current</v>
      </c>
    </row>
    <row r="64" spans="1:10" hidden="1" x14ac:dyDescent="0.25">
      <c r="A64" s="90">
        <v>170017</v>
      </c>
      <c r="B64" s="90" t="s">
        <v>56</v>
      </c>
      <c r="C64" s="91">
        <v>0</v>
      </c>
      <c r="D64" s="91">
        <v>0</v>
      </c>
      <c r="E64" s="91">
        <v>0</v>
      </c>
      <c r="F64" s="91">
        <v>0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Prepaid expenses</v>
      </c>
      <c r="J64" t="str">
        <f>_xlfn.XLOOKUP($A64,Map!$A:$A,Map!F:F)</f>
        <v>Family allowance</v>
      </c>
    </row>
    <row r="65" spans="1:10" hidden="1" x14ac:dyDescent="0.25">
      <c r="A65" s="90">
        <v>170018</v>
      </c>
      <c r="B65" s="90" t="s">
        <v>57</v>
      </c>
      <c r="C65" s="91">
        <v>0</v>
      </c>
      <c r="D65" s="91">
        <v>61596.357000000004</v>
      </c>
      <c r="E65" s="91">
        <v>61596.357000000004</v>
      </c>
      <c r="F65" s="91">
        <v>0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Prepaid expenses</v>
      </c>
      <c r="J65" t="str">
        <f>_xlfn.XLOOKUP($A65,Map!$A:$A,Map!F:F)</f>
        <v>Other receivables - current</v>
      </c>
    </row>
    <row r="66" spans="1:10" hidden="1" x14ac:dyDescent="0.25">
      <c r="A66" s="90">
        <v>170019</v>
      </c>
      <c r="B66" s="90" t="s">
        <v>58</v>
      </c>
      <c r="C66" s="91">
        <v>0</v>
      </c>
      <c r="D66" s="91">
        <v>2364865.6519999998</v>
      </c>
      <c r="E66" s="91">
        <v>2364865.6519999998</v>
      </c>
      <c r="F66" s="91">
        <v>0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Prepaid expenses</v>
      </c>
      <c r="J66" t="str">
        <f>_xlfn.XLOOKUP($A66,Map!$A:$A,Map!F:F)</f>
        <v>Other receivables - current</v>
      </c>
    </row>
    <row r="67" spans="1:10" hidden="1" x14ac:dyDescent="0.25">
      <c r="A67" s="90">
        <v>170020</v>
      </c>
      <c r="B67" s="90" t="s">
        <v>59</v>
      </c>
      <c r="C67" s="91">
        <v>0</v>
      </c>
      <c r="D67" s="91">
        <v>187932.64</v>
      </c>
      <c r="E67" s="91">
        <v>0</v>
      </c>
      <c r="F67" s="91">
        <v>187932.64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Prepaid expenses</v>
      </c>
      <c r="J67" t="str">
        <f>_xlfn.XLOOKUP($A67,Map!$A:$A,Map!F:F)</f>
        <v>Insurance</v>
      </c>
    </row>
    <row r="68" spans="1:10" hidden="1" x14ac:dyDescent="0.25">
      <c r="A68" s="90">
        <v>180001</v>
      </c>
      <c r="B68" s="90" t="s">
        <v>60</v>
      </c>
      <c r="C68" s="91">
        <v>579715.09400000004</v>
      </c>
      <c r="D68" s="91">
        <v>1471579.915</v>
      </c>
      <c r="E68" s="91">
        <v>1657698.236</v>
      </c>
      <c r="F68" s="91">
        <v>393596.77299999999</v>
      </c>
      <c r="G68" t="str">
        <f>_xlfn.XLOOKUP($A68,Map!$A:$A,Map!C:C)</f>
        <v>BS</v>
      </c>
      <c r="H68" t="str">
        <f>_xlfn.XLOOKUP($A68,Map!$A:$A,Map!D:D)</f>
        <v>Current Assets</v>
      </c>
      <c r="I68" t="str">
        <f>_xlfn.XLOOKUP($A68,Map!$A:$A,Map!E:E)</f>
        <v>Inventories</v>
      </c>
      <c r="J68" t="str">
        <f>_xlfn.XLOOKUP($A68,Map!$A:$A,Map!F:F)</f>
        <v>Raw materials - Inventory</v>
      </c>
    </row>
    <row r="69" spans="1:10" hidden="1" x14ac:dyDescent="0.25">
      <c r="A69" s="90">
        <v>180002</v>
      </c>
      <c r="B69" s="90" t="s">
        <v>61</v>
      </c>
      <c r="C69" s="91">
        <v>0</v>
      </c>
      <c r="D69" s="91">
        <v>15055.01</v>
      </c>
      <c r="E69" s="91">
        <v>15055.01</v>
      </c>
      <c r="F69" s="91">
        <v>0</v>
      </c>
      <c r="G69" t="str">
        <f>_xlfn.XLOOKUP($A69,Map!$A:$A,Map!C:C)</f>
        <v>BS</v>
      </c>
      <c r="H69" t="str">
        <f>_xlfn.XLOOKUP($A69,Map!$A:$A,Map!D:D)</f>
        <v>Current Assets</v>
      </c>
      <c r="I69" t="str">
        <f>_xlfn.XLOOKUP($A69,Map!$A:$A,Map!E:E)</f>
        <v>Inventories</v>
      </c>
      <c r="J69" t="str">
        <f>_xlfn.XLOOKUP($A69,Map!$A:$A,Map!F:F)</f>
        <v>Raw materials - Inventory</v>
      </c>
    </row>
    <row r="70" spans="1:10" hidden="1" x14ac:dyDescent="0.25">
      <c r="A70" s="90">
        <v>180003</v>
      </c>
      <c r="B70" s="90" t="s">
        <v>62</v>
      </c>
      <c r="C70" s="91">
        <v>8453179.3629999999</v>
      </c>
      <c r="D70" s="91">
        <v>676527.72900000005</v>
      </c>
      <c r="E70" s="91">
        <v>2094841.9950000001</v>
      </c>
      <c r="F70" s="91">
        <v>7034865.0970000001</v>
      </c>
      <c r="G70" t="str">
        <f>_xlfn.XLOOKUP($A70,Map!$A:$A,Map!C:C)</f>
        <v>BS</v>
      </c>
      <c r="H70" t="str">
        <f>_xlfn.XLOOKUP($A70,Map!$A:$A,Map!D:D)</f>
        <v>Current Assets</v>
      </c>
      <c r="I70" t="str">
        <f>_xlfn.XLOOKUP($A70,Map!$A:$A,Map!E:E)</f>
        <v>Inventories</v>
      </c>
      <c r="J70" t="str">
        <f>_xlfn.XLOOKUP($A70,Map!$A:$A,Map!F:F)</f>
        <v>Spare parts - Inventory</v>
      </c>
    </row>
    <row r="71" spans="1:10" hidden="1" x14ac:dyDescent="0.25">
      <c r="A71" s="90">
        <v>180004</v>
      </c>
      <c r="B71" s="90" t="s">
        <v>63</v>
      </c>
      <c r="C71" s="91">
        <v>24628808.791000001</v>
      </c>
      <c r="D71" s="91">
        <v>31738048.017999999</v>
      </c>
      <c r="E71" s="91">
        <v>43645335.689000003</v>
      </c>
      <c r="F71" s="91">
        <v>12721521.119999999</v>
      </c>
      <c r="G71" t="str">
        <f>_xlfn.XLOOKUP($A71,Map!$A:$A,Map!C:C)</f>
        <v>BS</v>
      </c>
      <c r="H71" t="str">
        <f>_xlfn.XLOOKUP($A71,Map!$A:$A,Map!D:D)</f>
        <v>Current Assets</v>
      </c>
      <c r="I71" t="str">
        <f>_xlfn.XLOOKUP($A71,Map!$A:$A,Map!E:E)</f>
        <v>Inventories</v>
      </c>
      <c r="J71" t="str">
        <f>_xlfn.XLOOKUP($A71,Map!$A:$A,Map!F:F)</f>
        <v>Raw materials - Inventory</v>
      </c>
    </row>
    <row r="72" spans="1:10" hidden="1" x14ac:dyDescent="0.25">
      <c r="A72" s="90">
        <v>180005</v>
      </c>
      <c r="B72" s="90" t="s">
        <v>64</v>
      </c>
      <c r="C72" s="91">
        <v>22323654.041999999</v>
      </c>
      <c r="D72" s="91">
        <v>4262311.3949999996</v>
      </c>
      <c r="E72" s="91">
        <v>20164898.947000001</v>
      </c>
      <c r="F72" s="91">
        <v>6421066.4900000002</v>
      </c>
      <c r="G72" t="str">
        <f>_xlfn.XLOOKUP($A72,Map!$A:$A,Map!C:C)</f>
        <v>BS</v>
      </c>
      <c r="H72" t="str">
        <f>_xlfn.XLOOKUP($A72,Map!$A:$A,Map!D:D)</f>
        <v>Current Assets</v>
      </c>
      <c r="I72" t="str">
        <f>_xlfn.XLOOKUP($A72,Map!$A:$A,Map!E:E)</f>
        <v>Inventories</v>
      </c>
      <c r="J72" t="str">
        <f>_xlfn.XLOOKUP($A72,Map!$A:$A,Map!F:F)</f>
        <v>Raw materials - Inventory</v>
      </c>
    </row>
    <row r="73" spans="1:10" hidden="1" x14ac:dyDescent="0.25">
      <c r="A73" s="90">
        <v>180006</v>
      </c>
      <c r="B73" s="90" t="s">
        <v>65</v>
      </c>
      <c r="C73" s="91">
        <v>1300362.7749999999</v>
      </c>
      <c r="D73" s="91">
        <v>669430.46100000001</v>
      </c>
      <c r="E73" s="91">
        <v>1484653.885</v>
      </c>
      <c r="F73" s="91">
        <v>485139.35100000002</v>
      </c>
      <c r="G73" t="str">
        <f>_xlfn.XLOOKUP($A73,Map!$A:$A,Map!C:C)</f>
        <v>BS</v>
      </c>
      <c r="H73" t="str">
        <f>_xlfn.XLOOKUP($A73,Map!$A:$A,Map!D:D)</f>
        <v>Current Assets</v>
      </c>
      <c r="I73" t="str">
        <f>_xlfn.XLOOKUP($A73,Map!$A:$A,Map!E:E)</f>
        <v>Inventories</v>
      </c>
      <c r="J73" t="str">
        <f>_xlfn.XLOOKUP($A73,Map!$A:$A,Map!F:F)</f>
        <v>Raw materials - Inventory</v>
      </c>
    </row>
    <row r="74" spans="1:10" hidden="1" x14ac:dyDescent="0.25">
      <c r="A74" s="90">
        <v>180007</v>
      </c>
      <c r="B74" s="90" t="s">
        <v>66</v>
      </c>
      <c r="C74" s="91">
        <v>6583839.9369999999</v>
      </c>
      <c r="D74" s="91">
        <v>0</v>
      </c>
      <c r="E74" s="91">
        <v>6439473.4359999998</v>
      </c>
      <c r="F74" s="91">
        <v>144366.50099999999</v>
      </c>
      <c r="G74" t="str">
        <f>_xlfn.XLOOKUP($A74,Map!$A:$A,Map!C:C)</f>
        <v>BS</v>
      </c>
      <c r="H74" t="str">
        <f>_xlfn.XLOOKUP($A74,Map!$A:$A,Map!D:D)</f>
        <v>Current Assets</v>
      </c>
      <c r="I74" t="str">
        <f>_xlfn.XLOOKUP($A74,Map!$A:$A,Map!E:E)</f>
        <v>Inventories</v>
      </c>
      <c r="J74" t="str">
        <f>_xlfn.XLOOKUP($A74,Map!$A:$A,Map!F:F)</f>
        <v>Raw materials - Inventory</v>
      </c>
    </row>
    <row r="75" spans="1:10" hidden="1" x14ac:dyDescent="0.25">
      <c r="A75" s="90">
        <v>180008</v>
      </c>
      <c r="B75" s="90" t="s">
        <v>67</v>
      </c>
      <c r="C75" s="91">
        <v>0</v>
      </c>
      <c r="D75" s="91">
        <v>0</v>
      </c>
      <c r="E75" s="91">
        <v>0</v>
      </c>
      <c r="F75" s="91">
        <v>0</v>
      </c>
      <c r="G75" t="str">
        <f>_xlfn.XLOOKUP($A75,Map!$A:$A,Map!C:C)</f>
        <v>BS</v>
      </c>
      <c r="H75" t="str">
        <f>_xlfn.XLOOKUP($A75,Map!$A:$A,Map!D:D)</f>
        <v>Current Assets</v>
      </c>
      <c r="I75" t="str">
        <f>_xlfn.XLOOKUP($A75,Map!$A:$A,Map!E:E)</f>
        <v>Inventories</v>
      </c>
      <c r="J75" t="str">
        <f>_xlfn.XLOOKUP($A75,Map!$A:$A,Map!F:F)</f>
        <v>Raw materials - Inventory</v>
      </c>
    </row>
    <row r="76" spans="1:10" hidden="1" x14ac:dyDescent="0.25">
      <c r="A76" s="90">
        <v>180009</v>
      </c>
      <c r="B76" s="90" t="s">
        <v>68</v>
      </c>
      <c r="C76" s="91">
        <v>0</v>
      </c>
      <c r="D76" s="91">
        <v>0</v>
      </c>
      <c r="E76" s="91">
        <v>0</v>
      </c>
      <c r="F76" s="91">
        <v>0</v>
      </c>
      <c r="G76" t="str">
        <f>_xlfn.XLOOKUP($A76,Map!$A:$A,Map!C:C)</f>
        <v>BS</v>
      </c>
      <c r="H76" t="str">
        <f>_xlfn.XLOOKUP($A76,Map!$A:$A,Map!D:D)</f>
        <v>Current Assets</v>
      </c>
      <c r="I76" t="str">
        <f>_xlfn.XLOOKUP($A76,Map!$A:$A,Map!E:E)</f>
        <v>Inventories</v>
      </c>
      <c r="J76" t="str">
        <f>_xlfn.XLOOKUP($A76,Map!$A:$A,Map!F:F)</f>
        <v>Raw materials - Inventory</v>
      </c>
    </row>
    <row r="77" spans="1:10" hidden="1" x14ac:dyDescent="0.25">
      <c r="A77" s="90">
        <v>180010</v>
      </c>
      <c r="B77" s="90" t="s">
        <v>69</v>
      </c>
      <c r="C77" s="91">
        <v>3804138.2889999999</v>
      </c>
      <c r="D77" s="91">
        <v>3560337.875</v>
      </c>
      <c r="E77" s="91">
        <v>5159349.0199999996</v>
      </c>
      <c r="F77" s="91">
        <v>2205127.1439999999</v>
      </c>
      <c r="G77" t="str">
        <f>_xlfn.XLOOKUP($A77,Map!$A:$A,Map!C:C)</f>
        <v>BS</v>
      </c>
      <c r="H77" t="str">
        <f>_xlfn.XLOOKUP($A77,Map!$A:$A,Map!D:D)</f>
        <v>Current Assets</v>
      </c>
      <c r="I77" t="str">
        <f>_xlfn.XLOOKUP($A77,Map!$A:$A,Map!E:E)</f>
        <v>Inventories</v>
      </c>
      <c r="J77" t="str">
        <f>_xlfn.XLOOKUP($A77,Map!$A:$A,Map!F:F)</f>
        <v>Packaging materials - Inventory</v>
      </c>
    </row>
    <row r="78" spans="1:10" hidden="1" x14ac:dyDescent="0.25">
      <c r="A78" s="90">
        <v>180011</v>
      </c>
      <c r="B78" s="90" t="s">
        <v>70</v>
      </c>
      <c r="C78" s="91">
        <v>15057738.582</v>
      </c>
      <c r="D78" s="91">
        <v>41795237.869000003</v>
      </c>
      <c r="E78" s="91">
        <v>47197359.660999998</v>
      </c>
      <c r="F78" s="91">
        <v>9655616.7899999991</v>
      </c>
      <c r="G78" t="str">
        <f>_xlfn.XLOOKUP($A78,Map!$A:$A,Map!C:C)</f>
        <v>BS</v>
      </c>
      <c r="H78" t="str">
        <f>_xlfn.XLOOKUP($A78,Map!$A:$A,Map!D:D)</f>
        <v>Current Assets</v>
      </c>
      <c r="I78" t="str">
        <f>_xlfn.XLOOKUP($A78,Map!$A:$A,Map!E:E)</f>
        <v>Inventories</v>
      </c>
      <c r="J78" t="str">
        <f>_xlfn.XLOOKUP($A78,Map!$A:$A,Map!F:F)</f>
        <v>Finished goods - Inventory</v>
      </c>
    </row>
    <row r="79" spans="1:10" hidden="1" x14ac:dyDescent="0.25">
      <c r="A79" s="90">
        <v>180012</v>
      </c>
      <c r="B79" s="90" t="s">
        <v>71</v>
      </c>
      <c r="C79" s="91">
        <v>5027391.8600000003</v>
      </c>
      <c r="D79" s="91">
        <v>13099645.653999999</v>
      </c>
      <c r="E79" s="91">
        <v>16627848.443</v>
      </c>
      <c r="F79" s="91">
        <v>1499189.071</v>
      </c>
      <c r="G79" t="str">
        <f>_xlfn.XLOOKUP($A79,Map!$A:$A,Map!C:C)</f>
        <v>BS</v>
      </c>
      <c r="H79" t="str">
        <f>_xlfn.XLOOKUP($A79,Map!$A:$A,Map!D:D)</f>
        <v>Current Assets</v>
      </c>
      <c r="I79" t="str">
        <f>_xlfn.XLOOKUP($A79,Map!$A:$A,Map!E:E)</f>
        <v>Inventories</v>
      </c>
      <c r="J79" t="str">
        <f>_xlfn.XLOOKUP($A79,Map!$A:$A,Map!F:F)</f>
        <v>Work in progress - Inventory</v>
      </c>
    </row>
    <row r="80" spans="1:10" hidden="1" x14ac:dyDescent="0.25">
      <c r="A80" s="90">
        <v>180013</v>
      </c>
      <c r="B80" s="90" t="s">
        <v>72</v>
      </c>
      <c r="C80" s="91">
        <v>5656636.4230000004</v>
      </c>
      <c r="D80" s="91">
        <v>4582374.7630000003</v>
      </c>
      <c r="E80" s="91">
        <v>5387894.96</v>
      </c>
      <c r="F80" s="91">
        <v>4851116.2259999998</v>
      </c>
      <c r="G80" t="str">
        <f>_xlfn.XLOOKUP($A80,Map!$A:$A,Map!C:C)</f>
        <v>BS</v>
      </c>
      <c r="H80" t="str">
        <f>_xlfn.XLOOKUP($A80,Map!$A:$A,Map!D:D)</f>
        <v>Current Assets</v>
      </c>
      <c r="I80" t="str">
        <f>_xlfn.XLOOKUP($A80,Map!$A:$A,Map!E:E)</f>
        <v>Inventories</v>
      </c>
      <c r="J80" t="str">
        <f>_xlfn.XLOOKUP($A80,Map!$A:$A,Map!F:F)</f>
        <v>Finished goods - Inventory</v>
      </c>
    </row>
    <row r="81" spans="1:10" hidden="1" x14ac:dyDescent="0.25">
      <c r="A81" s="90">
        <v>180014</v>
      </c>
      <c r="B81" s="90" t="s">
        <v>73</v>
      </c>
      <c r="C81" s="91">
        <v>-0.01</v>
      </c>
      <c r="D81" s="91">
        <v>29258757.963</v>
      </c>
      <c r="E81" s="91">
        <v>29258757.953000002</v>
      </c>
      <c r="F81" s="91">
        <v>0</v>
      </c>
      <c r="G81" t="str">
        <f>_xlfn.XLOOKUP($A81,Map!$A:$A,Map!C:C)</f>
        <v>BS</v>
      </c>
      <c r="H81" t="str">
        <f>_xlfn.XLOOKUP($A81,Map!$A:$A,Map!D:D)</f>
        <v>Current Assets</v>
      </c>
      <c r="I81" t="str">
        <f>_xlfn.XLOOKUP($A81,Map!$A:$A,Map!E:E)</f>
        <v>Inventories</v>
      </c>
      <c r="J81" t="str">
        <f>_xlfn.XLOOKUP($A81,Map!$A:$A,Map!F:F)</f>
        <v>Work in progress - Inventory</v>
      </c>
    </row>
    <row r="82" spans="1:10" hidden="1" x14ac:dyDescent="0.25">
      <c r="A82" s="90">
        <v>180096</v>
      </c>
      <c r="B82" s="90" t="s">
        <v>74</v>
      </c>
      <c r="C82" s="91">
        <v>0</v>
      </c>
      <c r="D82" s="91">
        <v>5124608.8770000003</v>
      </c>
      <c r="E82" s="91">
        <v>5124608.8770000003</v>
      </c>
      <c r="F82" s="91">
        <v>0</v>
      </c>
      <c r="G82" t="str">
        <f>_xlfn.XLOOKUP($A82,Map!$A:$A,Map!C:C)</f>
        <v>BS</v>
      </c>
      <c r="H82" t="str">
        <f>_xlfn.XLOOKUP($A82,Map!$A:$A,Map!D:D)</f>
        <v>Current Assets</v>
      </c>
      <c r="I82" t="str">
        <f>_xlfn.XLOOKUP($A82,Map!$A:$A,Map!E:E)</f>
        <v>Inventories</v>
      </c>
      <c r="J82" t="str">
        <f>_xlfn.XLOOKUP($A82,Map!$A:$A,Map!F:F)</f>
        <v>Work in progress - Inventory</v>
      </c>
    </row>
    <row r="83" spans="1:10" hidden="1" x14ac:dyDescent="0.25">
      <c r="A83" s="90">
        <v>180097</v>
      </c>
      <c r="B83" s="90" t="s">
        <v>75</v>
      </c>
      <c r="C83" s="91">
        <v>0</v>
      </c>
      <c r="D83" s="91">
        <v>0</v>
      </c>
      <c r="E83" s="91">
        <v>0</v>
      </c>
      <c r="F83" s="91">
        <v>0</v>
      </c>
      <c r="G83" t="str">
        <f>_xlfn.XLOOKUP($A83,Map!$A:$A,Map!C:C)</f>
        <v>BS</v>
      </c>
      <c r="H83" t="str">
        <f>_xlfn.XLOOKUP($A83,Map!$A:$A,Map!D:D)</f>
        <v>Current Assets</v>
      </c>
      <c r="I83" t="str">
        <f>_xlfn.XLOOKUP($A83,Map!$A:$A,Map!E:E)</f>
        <v>Inventories</v>
      </c>
      <c r="J83" t="str">
        <f>_xlfn.XLOOKUP($A83,Map!$A:$A,Map!F:F)</f>
        <v>Work in progress - Inventory</v>
      </c>
    </row>
    <row r="84" spans="1:10" hidden="1" x14ac:dyDescent="0.25">
      <c r="A84" s="90">
        <v>180098</v>
      </c>
      <c r="B84" s="90" t="s">
        <v>76</v>
      </c>
      <c r="C84" s="91">
        <v>1E-3</v>
      </c>
      <c r="D84" s="91">
        <v>0</v>
      </c>
      <c r="E84" s="91">
        <v>0</v>
      </c>
      <c r="F84" s="91">
        <v>1E-3</v>
      </c>
      <c r="G84" t="str">
        <f>_xlfn.XLOOKUP($A84,Map!$A:$A,Map!C:C)</f>
        <v>BS</v>
      </c>
      <c r="H84" t="str">
        <f>_xlfn.XLOOKUP($A84,Map!$A:$A,Map!D:D)</f>
        <v>Current Assets</v>
      </c>
      <c r="I84" t="str">
        <f>_xlfn.XLOOKUP($A84,Map!$A:$A,Map!E:E)</f>
        <v>Inventories</v>
      </c>
      <c r="J84" t="str">
        <f>_xlfn.XLOOKUP($A84,Map!$A:$A,Map!F:F)</f>
        <v>Work in progress - Inventory</v>
      </c>
    </row>
    <row r="85" spans="1:10" hidden="1" x14ac:dyDescent="0.25">
      <c r="A85" s="90">
        <v>180099</v>
      </c>
      <c r="B85" s="90" t="s">
        <v>77</v>
      </c>
      <c r="C85" s="91">
        <v>0</v>
      </c>
      <c r="D85" s="91">
        <v>0</v>
      </c>
      <c r="E85" s="91">
        <v>0</v>
      </c>
      <c r="F85" s="91">
        <v>0</v>
      </c>
      <c r="G85" t="str">
        <f>_xlfn.XLOOKUP($A85,Map!$A:$A,Map!C:C)</f>
        <v>BS</v>
      </c>
      <c r="H85" t="str">
        <f>_xlfn.XLOOKUP($A85,Map!$A:$A,Map!D:D)</f>
        <v>Current Assets</v>
      </c>
      <c r="I85" t="str">
        <f>_xlfn.XLOOKUP($A85,Map!$A:$A,Map!E:E)</f>
        <v>Inventories</v>
      </c>
      <c r="J85" t="str">
        <f>_xlfn.XLOOKUP($A85,Map!$A:$A,Map!F:F)</f>
        <v>Goods in transit - Inventory</v>
      </c>
    </row>
    <row r="86" spans="1:10" hidden="1" x14ac:dyDescent="0.25">
      <c r="A86" s="90">
        <v>210001</v>
      </c>
      <c r="B86" s="90" t="s">
        <v>78</v>
      </c>
      <c r="C86" s="91">
        <v>327947.576</v>
      </c>
      <c r="D86" s="91">
        <v>29705472.221000001</v>
      </c>
      <c r="E86" s="91">
        <v>29320857.57</v>
      </c>
      <c r="F86" s="91">
        <v>712562.22699999996</v>
      </c>
      <c r="G86" t="str">
        <f>_xlfn.XLOOKUP($A86,Map!$A:$A,Map!C:C)</f>
        <v>BS</v>
      </c>
      <c r="H86" t="str">
        <f>_xlfn.XLOOKUP($A86,Map!$A:$A,Map!D:D)</f>
        <v>Current Liabilities</v>
      </c>
      <c r="I86" t="str">
        <f>_xlfn.XLOOKUP($A86,Map!$A:$A,Map!E:E)</f>
        <v>Tade payables and Accuals &amp; other credit balances</v>
      </c>
      <c r="J86" t="str">
        <f>_xlfn.XLOOKUP($A86,Map!$A:$A,Map!F:F)</f>
        <v>Trade payables - Foreign</v>
      </c>
    </row>
    <row r="87" spans="1:10" hidden="1" x14ac:dyDescent="0.25">
      <c r="A87" s="90">
        <v>210002</v>
      </c>
      <c r="B87" s="90" t="s">
        <v>79</v>
      </c>
      <c r="C87" s="91">
        <v>-5604504.5329999998</v>
      </c>
      <c r="D87" s="91">
        <v>201100792.317</v>
      </c>
      <c r="E87" s="91">
        <v>197729628.98300001</v>
      </c>
      <c r="F87" s="91">
        <v>-2233341.199</v>
      </c>
      <c r="G87" t="str">
        <f>_xlfn.XLOOKUP($A87,Map!$A:$A,Map!C:C)</f>
        <v>BS</v>
      </c>
      <c r="H87" t="str">
        <f>_xlfn.XLOOKUP($A87,Map!$A:$A,Map!D:D)</f>
        <v>Current Liabilities</v>
      </c>
      <c r="I87" t="str">
        <f>_xlfn.XLOOKUP($A87,Map!$A:$A,Map!E:E)</f>
        <v>Tade payables and Accuals &amp; other credit balances</v>
      </c>
      <c r="J87" t="str">
        <f>_xlfn.XLOOKUP($A87,Map!$A:$A,Map!F:F)</f>
        <v>Trade payables - Local</v>
      </c>
    </row>
    <row r="88" spans="1:10" hidden="1" x14ac:dyDescent="0.25">
      <c r="A88" s="90">
        <v>220001</v>
      </c>
      <c r="B88" s="90" t="s">
        <v>80</v>
      </c>
      <c r="C88" s="91">
        <v>0</v>
      </c>
      <c r="D88" s="91">
        <v>9764796.9959999993</v>
      </c>
      <c r="E88" s="91">
        <v>9764796.9959999993</v>
      </c>
      <c r="F88" s="91">
        <v>0</v>
      </c>
      <c r="G88" t="str">
        <f>_xlfn.XLOOKUP($A88,Map!$A:$A,Map!C:C)</f>
        <v>BS</v>
      </c>
      <c r="H88" t="str">
        <f>_xlfn.XLOOKUP($A88,Map!$A:$A,Map!D:D)</f>
        <v>Current Liabilities</v>
      </c>
      <c r="I88" t="str">
        <f>_xlfn.XLOOKUP($A88,Map!$A:$A,Map!E:E)</f>
        <v>Short-term Murabaha loans</v>
      </c>
      <c r="J88" t="str">
        <f>_xlfn.XLOOKUP($A88,Map!$A:$A,Map!F:F)</f>
        <v>Other loans - current</v>
      </c>
    </row>
    <row r="89" spans="1:10" hidden="1" x14ac:dyDescent="0.25">
      <c r="A89" s="90">
        <v>220002</v>
      </c>
      <c r="B89" s="90" t="s">
        <v>81</v>
      </c>
      <c r="C89" s="91">
        <v>0</v>
      </c>
      <c r="D89" s="91">
        <v>0</v>
      </c>
      <c r="E89" s="91">
        <v>0</v>
      </c>
      <c r="F89" s="91">
        <v>0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Short-term Murabaha loans</v>
      </c>
      <c r="J89" t="str">
        <f>_xlfn.XLOOKUP($A89,Map!$A:$A,Map!F:F)</f>
        <v>Other loans - current</v>
      </c>
    </row>
    <row r="90" spans="1:10" hidden="1" x14ac:dyDescent="0.25">
      <c r="A90" s="90">
        <v>220003</v>
      </c>
      <c r="B90" s="90" t="s">
        <v>82</v>
      </c>
      <c r="C90" s="91">
        <v>0</v>
      </c>
      <c r="D90" s="91">
        <v>0</v>
      </c>
      <c r="E90" s="91">
        <v>0</v>
      </c>
      <c r="F90" s="91">
        <v>0</v>
      </c>
      <c r="G90" t="str">
        <f>_xlfn.XLOOKUP($A90,Map!$A:$A,Map!C:C)</f>
        <v>BS</v>
      </c>
      <c r="H90" t="str">
        <f>_xlfn.XLOOKUP($A90,Map!$A:$A,Map!D:D)</f>
        <v>Current Liabilities</v>
      </c>
      <c r="I90" t="str">
        <f>_xlfn.XLOOKUP($A90,Map!$A:$A,Map!E:E)</f>
        <v>Short-term Murabaha loans</v>
      </c>
      <c r="J90" t="str">
        <f>_xlfn.XLOOKUP($A90,Map!$A:$A,Map!F:F)</f>
        <v>Other loans - current</v>
      </c>
    </row>
    <row r="91" spans="1:10" hidden="1" x14ac:dyDescent="0.25">
      <c r="A91" s="90">
        <v>220004</v>
      </c>
      <c r="B91" s="90" t="s">
        <v>83</v>
      </c>
      <c r="C91" s="91">
        <v>-36611517.880999997</v>
      </c>
      <c r="D91" s="91">
        <v>95532704.231999993</v>
      </c>
      <c r="E91" s="91">
        <v>84055594.990999997</v>
      </c>
      <c r="F91" s="91">
        <v>-25134408.640000001</v>
      </c>
      <c r="G91" t="str">
        <f>_xlfn.XLOOKUP($A91,Map!$A:$A,Map!C:C)</f>
        <v>BS</v>
      </c>
      <c r="H91" t="str">
        <f>_xlfn.XLOOKUP($A91,Map!$A:$A,Map!D:D)</f>
        <v>Current Liabilities</v>
      </c>
      <c r="I91" t="str">
        <f>_xlfn.XLOOKUP($A91,Map!$A:$A,Map!E:E)</f>
        <v>Short-term Murabaha loans</v>
      </c>
      <c r="J91" t="str">
        <f>_xlfn.XLOOKUP($A91,Map!$A:$A,Map!F:F)</f>
        <v>Other loans - current</v>
      </c>
    </row>
    <row r="92" spans="1:10" hidden="1" x14ac:dyDescent="0.25">
      <c r="A92" s="90">
        <v>220005</v>
      </c>
      <c r="B92" s="90" t="s">
        <v>84</v>
      </c>
      <c r="C92" s="91">
        <v>-59089378.502999999</v>
      </c>
      <c r="D92" s="91">
        <v>142361979.27000001</v>
      </c>
      <c r="E92" s="91">
        <v>88658523.267000005</v>
      </c>
      <c r="F92" s="91">
        <v>-5385922.5</v>
      </c>
      <c r="G92" t="str">
        <f>_xlfn.XLOOKUP($A92,Map!$A:$A,Map!C:C)</f>
        <v>BS</v>
      </c>
      <c r="H92" t="str">
        <f>_xlfn.XLOOKUP($A92,Map!$A:$A,Map!D:D)</f>
        <v>Current Liabilities</v>
      </c>
      <c r="I92" t="str">
        <f>_xlfn.XLOOKUP($A92,Map!$A:$A,Map!E:E)</f>
        <v>Short-term Murabaha loans</v>
      </c>
      <c r="J92" t="str">
        <f>_xlfn.XLOOKUP($A92,Map!$A:$A,Map!F:F)</f>
        <v>Other loans - current</v>
      </c>
    </row>
    <row r="93" spans="1:10" hidden="1" x14ac:dyDescent="0.25">
      <c r="A93" s="90">
        <v>220006</v>
      </c>
      <c r="B93" s="90" t="s">
        <v>85</v>
      </c>
      <c r="C93" s="91">
        <v>-36069107.965999998</v>
      </c>
      <c r="D93" s="91">
        <v>38256824.710000001</v>
      </c>
      <c r="E93" s="91">
        <v>57733252.167999998</v>
      </c>
      <c r="F93" s="91">
        <v>-55545535.424000002</v>
      </c>
      <c r="G93" t="str">
        <f>_xlfn.XLOOKUP($A93,Map!$A:$A,Map!C:C)</f>
        <v>BS</v>
      </c>
      <c r="H93" t="str">
        <f>_xlfn.XLOOKUP($A93,Map!$A:$A,Map!D:D)</f>
        <v>Current Liabilities</v>
      </c>
      <c r="I93" t="str">
        <f>_xlfn.XLOOKUP($A93,Map!$A:$A,Map!E:E)</f>
        <v>Short-term Murabaha loans</v>
      </c>
      <c r="J93" t="str">
        <f>_xlfn.XLOOKUP($A93,Map!$A:$A,Map!F:F)</f>
        <v>Other loans - current</v>
      </c>
    </row>
    <row r="94" spans="1:10" hidden="1" x14ac:dyDescent="0.25">
      <c r="A94" s="90">
        <v>230001</v>
      </c>
      <c r="B94" s="90" t="s">
        <v>86</v>
      </c>
      <c r="C94" s="91">
        <v>0</v>
      </c>
      <c r="D94" s="91">
        <v>51386779.752999999</v>
      </c>
      <c r="E94" s="91">
        <v>51386779.752999999</v>
      </c>
      <c r="F94" s="91">
        <v>0</v>
      </c>
      <c r="G94" t="str">
        <f>_xlfn.XLOOKUP($A94,Map!$A:$A,Map!C:C)</f>
        <v>BS</v>
      </c>
      <c r="H94" t="str">
        <f>_xlfn.XLOOKUP($A94,Map!$A:$A,Map!D:D)</f>
        <v>Current Liabilities</v>
      </c>
      <c r="I94" t="str">
        <f>_xlfn.XLOOKUP($A94,Map!$A:$A,Map!E:E)</f>
        <v>Tade payables and Accuals &amp; other credit balances</v>
      </c>
      <c r="J94" t="str">
        <f>_xlfn.XLOOKUP($A94,Map!$A:$A,Map!F:F)</f>
        <v>Clearing account</v>
      </c>
    </row>
    <row r="95" spans="1:10" hidden="1" x14ac:dyDescent="0.25">
      <c r="A95" s="90">
        <v>240001</v>
      </c>
      <c r="B95" s="90" t="s">
        <v>87</v>
      </c>
      <c r="C95" s="91">
        <v>0</v>
      </c>
      <c r="D95" s="91">
        <v>1247629.557</v>
      </c>
      <c r="E95" s="91">
        <v>1180129.9469999999</v>
      </c>
      <c r="F95" s="91">
        <v>67499.61</v>
      </c>
      <c r="G95" t="str">
        <f>_xlfn.XLOOKUP($A95,Map!$A:$A,Map!C:C)</f>
        <v>BS</v>
      </c>
      <c r="H95" t="str">
        <f>_xlfn.XLOOKUP($A95,Map!$A:$A,Map!D:D)</f>
        <v>Current Liabilities</v>
      </c>
      <c r="I95" t="str">
        <f>_xlfn.XLOOKUP($A95,Map!$A:$A,Map!E:E)</f>
        <v>Tade payables and Accuals &amp; other credit balances</v>
      </c>
      <c r="J95" t="str">
        <f>_xlfn.XLOOKUP($A95,Map!$A:$A,Map!F:F)</f>
        <v>Overhead</v>
      </c>
    </row>
    <row r="96" spans="1:10" hidden="1" x14ac:dyDescent="0.25">
      <c r="A96" s="90">
        <v>240002</v>
      </c>
      <c r="B96" s="90" t="s">
        <v>88</v>
      </c>
      <c r="C96" s="91">
        <v>0</v>
      </c>
      <c r="D96" s="91">
        <v>0</v>
      </c>
      <c r="E96" s="91">
        <v>0</v>
      </c>
      <c r="F96" s="91">
        <v>0</v>
      </c>
      <c r="G96" t="str">
        <f>_xlfn.XLOOKUP($A96,Map!$A:$A,Map!C:C)</f>
        <v>BS</v>
      </c>
      <c r="H96" t="str">
        <f>_xlfn.XLOOKUP($A96,Map!$A:$A,Map!D:D)</f>
        <v>Current Liabilities</v>
      </c>
      <c r="I96" t="str">
        <f>_xlfn.XLOOKUP($A96,Map!$A:$A,Map!E:E)</f>
        <v>Tade payables and Accuals &amp; other credit balances</v>
      </c>
      <c r="J96" t="str">
        <f>_xlfn.XLOOKUP($A96,Map!$A:$A,Map!F:F)</f>
        <v>Landed Cost - Customs</v>
      </c>
    </row>
    <row r="97" spans="1:10" hidden="1" x14ac:dyDescent="0.25">
      <c r="A97" s="90">
        <v>240003</v>
      </c>
      <c r="B97" s="90" t="s">
        <v>89</v>
      </c>
      <c r="C97" s="91">
        <v>-1596797.0260000001</v>
      </c>
      <c r="D97" s="91">
        <v>172674.95699999999</v>
      </c>
      <c r="E97" s="91">
        <v>81723</v>
      </c>
      <c r="F97" s="91">
        <v>-1505845.0689999999</v>
      </c>
      <c r="G97" t="str">
        <f>_xlfn.XLOOKUP($A97,Map!$A:$A,Map!C:C)</f>
        <v>BS</v>
      </c>
      <c r="H97" t="str">
        <f>_xlfn.XLOOKUP($A97,Map!$A:$A,Map!D:D)</f>
        <v>Non-Current Liabilities</v>
      </c>
      <c r="I97" t="str">
        <f>_xlfn.XLOOKUP($A97,Map!$A:$A,Map!E:E)</f>
        <v xml:space="preserve">Lease liabilities non-current </v>
      </c>
      <c r="J97" t="str">
        <f>_xlfn.XLOOKUP($A97,Map!$A:$A,Map!F:F)</f>
        <v xml:space="preserve"> Lease Obligation</v>
      </c>
    </row>
    <row r="98" spans="1:10" hidden="1" x14ac:dyDescent="0.25">
      <c r="A98" s="90">
        <v>250001</v>
      </c>
      <c r="B98" s="90" t="s">
        <v>90</v>
      </c>
      <c r="C98" s="91">
        <v>0</v>
      </c>
      <c r="D98" s="91">
        <v>11824437.300000001</v>
      </c>
      <c r="E98" s="91">
        <v>11824437.300000001</v>
      </c>
      <c r="F98" s="91">
        <v>0</v>
      </c>
      <c r="G98" t="str">
        <f>_xlfn.XLOOKUP($A98,Map!$A:$A,Map!C:C)</f>
        <v>BS</v>
      </c>
      <c r="H98" t="str">
        <f>_xlfn.XLOOKUP($A98,Map!$A:$A,Map!D:D)</f>
        <v>Current Liabilities</v>
      </c>
      <c r="I98" t="str">
        <f>_xlfn.XLOOKUP($A98,Map!$A:$A,Map!E:E)</f>
        <v>Tade payables and Accuals &amp; other credit balances</v>
      </c>
      <c r="J98" t="str">
        <f>_xlfn.XLOOKUP($A98,Map!$A:$A,Map!F:F)</f>
        <v>Accrued salaries and wages</v>
      </c>
    </row>
    <row r="99" spans="1:10" hidden="1" x14ac:dyDescent="0.25">
      <c r="A99" s="90">
        <v>250002</v>
      </c>
      <c r="B99" s="90" t="s">
        <v>91</v>
      </c>
      <c r="C99" s="91">
        <v>0</v>
      </c>
      <c r="D99" s="91">
        <v>0</v>
      </c>
      <c r="E99" s="91">
        <v>0</v>
      </c>
      <c r="F99" s="91">
        <v>0</v>
      </c>
      <c r="G99" t="str">
        <f>_xlfn.XLOOKUP($A99,Map!$A:$A,Map!C:C)</f>
        <v>BS</v>
      </c>
      <c r="H99" t="str">
        <f>_xlfn.XLOOKUP($A99,Map!$A:$A,Map!D:D)</f>
        <v>Current Liabilities</v>
      </c>
      <c r="I99" t="str">
        <f>_xlfn.XLOOKUP($A99,Map!$A:$A,Map!E:E)</f>
        <v>Tade payables and Accuals &amp; other credit balances</v>
      </c>
      <c r="J99" t="str">
        <f>_xlfn.XLOOKUP($A99,Map!$A:$A,Map!F:F)</f>
        <v>Accrued utilities</v>
      </c>
    </row>
    <row r="100" spans="1:10" hidden="1" x14ac:dyDescent="0.25">
      <c r="A100" s="90">
        <v>250003</v>
      </c>
      <c r="B100" s="90" t="s">
        <v>92</v>
      </c>
      <c r="C100" s="91">
        <v>0</v>
      </c>
      <c r="D100" s="91">
        <v>388623</v>
      </c>
      <c r="E100" s="91">
        <v>1356670.97</v>
      </c>
      <c r="F100" s="91">
        <v>-968047.97</v>
      </c>
      <c r="G100" t="str">
        <f>_xlfn.XLOOKUP($A100,Map!$A:$A,Map!C:C)</f>
        <v>BS</v>
      </c>
      <c r="H100" t="str">
        <f>_xlfn.XLOOKUP($A100,Map!$A:$A,Map!D:D)</f>
        <v>Current Liabilities</v>
      </c>
      <c r="I100" t="str">
        <f>_xlfn.XLOOKUP($A100,Map!$A:$A,Map!E:E)</f>
        <v>Zakat provision</v>
      </c>
      <c r="J100" t="str">
        <f>_xlfn.XLOOKUP($A100,Map!$A:$A,Map!F:F)</f>
        <v>Zakat provision</v>
      </c>
    </row>
    <row r="101" spans="1:10" hidden="1" x14ac:dyDescent="0.25">
      <c r="A101" s="90">
        <v>250004</v>
      </c>
      <c r="B101" s="90" t="s">
        <v>93</v>
      </c>
      <c r="C101" s="91">
        <v>0</v>
      </c>
      <c r="D101" s="91">
        <v>300000</v>
      </c>
      <c r="E101" s="91">
        <v>300000</v>
      </c>
      <c r="F101" s="91">
        <v>0</v>
      </c>
      <c r="G101" t="str">
        <f>_xlfn.XLOOKUP($A101,Map!$A:$A,Map!C:C)</f>
        <v>BS</v>
      </c>
      <c r="H101" t="str">
        <f>_xlfn.XLOOKUP($A101,Map!$A:$A,Map!D:D)</f>
        <v>Current Liabilities</v>
      </c>
      <c r="I101" t="str">
        <f>_xlfn.XLOOKUP($A101,Map!$A:$A,Map!E:E)</f>
        <v>Tade payables and Accuals &amp; other credit balances</v>
      </c>
      <c r="J101" t="str">
        <f>_xlfn.XLOOKUP($A101,Map!$A:$A,Map!F:F)</f>
        <v>Accrued bonus</v>
      </c>
    </row>
    <row r="102" spans="1:10" hidden="1" x14ac:dyDescent="0.25">
      <c r="A102" s="90">
        <v>250005</v>
      </c>
      <c r="B102" s="90" t="s">
        <v>94</v>
      </c>
      <c r="C102" s="91">
        <v>0</v>
      </c>
      <c r="D102" s="91">
        <v>1443958.41</v>
      </c>
      <c r="E102" s="91">
        <v>1443958.41</v>
      </c>
      <c r="F102" s="91">
        <v>0</v>
      </c>
      <c r="G102" t="str">
        <f>_xlfn.XLOOKUP($A102,Map!$A:$A,Map!C:C)</f>
        <v>BS</v>
      </c>
      <c r="H102" t="str">
        <f>_xlfn.XLOOKUP($A102,Map!$A:$A,Map!D:D)</f>
        <v>Current Liabilities</v>
      </c>
      <c r="I102" t="str">
        <f>_xlfn.XLOOKUP($A102,Map!$A:$A,Map!E:E)</f>
        <v>Tade payables and Accuals &amp; other credit balances</v>
      </c>
      <c r="J102" t="str">
        <f>_xlfn.XLOOKUP($A102,Map!$A:$A,Map!F:F)</f>
        <v>Accrued expenses</v>
      </c>
    </row>
    <row r="103" spans="1:10" hidden="1" x14ac:dyDescent="0.25">
      <c r="A103" s="90">
        <v>250006</v>
      </c>
      <c r="B103" s="90" t="s">
        <v>95</v>
      </c>
      <c r="C103" s="91">
        <v>0</v>
      </c>
      <c r="D103" s="91">
        <v>9921</v>
      </c>
      <c r="E103" s="91">
        <v>9921</v>
      </c>
      <c r="F103" s="91">
        <v>0</v>
      </c>
      <c r="G103" t="str">
        <f>_xlfn.XLOOKUP($A103,Map!$A:$A,Map!C:C)</f>
        <v>BS</v>
      </c>
      <c r="H103" t="str">
        <f>_xlfn.XLOOKUP($A103,Map!$A:$A,Map!D:D)</f>
        <v>Current Liabilities</v>
      </c>
      <c r="I103" t="str">
        <f>_xlfn.XLOOKUP($A103,Map!$A:$A,Map!E:E)</f>
        <v>Tade payables and Accuals &amp; other credit balances</v>
      </c>
      <c r="J103" t="str">
        <f>_xlfn.XLOOKUP($A103,Map!$A:$A,Map!F:F)</f>
        <v>Accrued leave</v>
      </c>
    </row>
    <row r="104" spans="1:10" hidden="1" x14ac:dyDescent="0.25">
      <c r="A104" s="90">
        <v>260001</v>
      </c>
      <c r="B104" s="90" t="s">
        <v>96</v>
      </c>
      <c r="C104" s="91">
        <v>-7846137</v>
      </c>
      <c r="D104" s="91">
        <v>5500</v>
      </c>
      <c r="E104" s="91">
        <v>5500</v>
      </c>
      <c r="F104" s="91">
        <v>-7846137</v>
      </c>
      <c r="G104" t="str">
        <f>_xlfn.XLOOKUP($A104,Map!$A:$A,Map!C:C)</f>
        <v>BS</v>
      </c>
      <c r="H104" t="str">
        <f>_xlfn.XLOOKUP($A104,Map!$A:$A,Map!D:D)</f>
        <v>Stockholder's equity</v>
      </c>
      <c r="I104" t="str">
        <f>_xlfn.XLOOKUP($A104,Map!$A:$A,Map!E:E)</f>
        <v>Statutory reserve</v>
      </c>
      <c r="J104" t="str">
        <f>_xlfn.XLOOKUP($A104,Map!$A:$A,Map!F:F)</f>
        <v>Statutory reserve</v>
      </c>
    </row>
    <row r="105" spans="1:10" hidden="1" x14ac:dyDescent="0.25">
      <c r="A105" s="90">
        <v>260002</v>
      </c>
      <c r="B105" s="90" t="s">
        <v>97</v>
      </c>
      <c r="C105" s="91">
        <v>-6809005</v>
      </c>
      <c r="D105" s="91">
        <v>851943.68</v>
      </c>
      <c r="E105" s="91">
        <v>2214197</v>
      </c>
      <c r="F105" s="91">
        <v>-8171258.3200000003</v>
      </c>
      <c r="G105" t="str">
        <f>_xlfn.XLOOKUP($A105,Map!$A:$A,Map!C:C)</f>
        <v>BS</v>
      </c>
      <c r="H105" t="str">
        <f>_xlfn.XLOOKUP($A105,Map!$A:$A,Map!D:D)</f>
        <v>Non-Current Liabilities</v>
      </c>
      <c r="I105" t="str">
        <f>_xlfn.XLOOKUP($A105,Map!$A:$A,Map!E:E)</f>
        <v xml:space="preserve">End-of-service indemnities </v>
      </c>
      <c r="J105" t="str">
        <f>_xlfn.XLOOKUP($A105,Map!$A:$A,Map!F:F)</f>
        <v xml:space="preserve">End-of-service indemnities </v>
      </c>
    </row>
    <row r="106" spans="1:10" hidden="1" x14ac:dyDescent="0.25">
      <c r="A106" s="90">
        <v>260003</v>
      </c>
      <c r="B106" s="90" t="s">
        <v>98</v>
      </c>
      <c r="C106" s="91">
        <v>-3557438</v>
      </c>
      <c r="D106" s="91">
        <v>0</v>
      </c>
      <c r="E106" s="91">
        <v>8931099.4389999993</v>
      </c>
      <c r="F106" s="91">
        <v>-12488537.438999999</v>
      </c>
      <c r="G106" t="str">
        <f>_xlfn.XLOOKUP($A106,Map!$A:$A,Map!C:C)</f>
        <v>BS</v>
      </c>
      <c r="H106" t="str">
        <f>_xlfn.XLOOKUP($A106,Map!$A:$A,Map!D:D)</f>
        <v>Current Assets</v>
      </c>
      <c r="I106" t="str">
        <f>_xlfn.XLOOKUP($A106,Map!$A:$A,Map!E:E)</f>
        <v>Trade receivables</v>
      </c>
      <c r="J106" t="str">
        <f>_xlfn.XLOOKUP($A106,Map!$A:$A,Map!F:F)</f>
        <v>Provisions</v>
      </c>
    </row>
    <row r="107" spans="1:10" hidden="1" x14ac:dyDescent="0.25">
      <c r="A107" s="90">
        <v>260004</v>
      </c>
      <c r="B107" s="90" t="s">
        <v>99</v>
      </c>
      <c r="C107" s="91">
        <v>0</v>
      </c>
      <c r="D107" s="91">
        <v>0</v>
      </c>
      <c r="E107" s="91">
        <v>0</v>
      </c>
      <c r="F107" s="91">
        <v>0</v>
      </c>
      <c r="G107" t="str">
        <f>_xlfn.XLOOKUP($A107,Map!$A:$A,Map!C:C)</f>
        <v>BS</v>
      </c>
      <c r="H107" t="str">
        <f>_xlfn.XLOOKUP($A107,Map!$A:$A,Map!D:D)</f>
        <v>Current Assets</v>
      </c>
      <c r="I107" t="str">
        <f>_xlfn.XLOOKUP($A107,Map!$A:$A,Map!E:E)</f>
        <v>Inventories</v>
      </c>
      <c r="J107" t="str">
        <f>_xlfn.XLOOKUP($A107,Map!$A:$A,Map!F:F)</f>
        <v>Allowance for slow moving/obsolete inventories - Inventory</v>
      </c>
    </row>
    <row r="108" spans="1:10" hidden="1" x14ac:dyDescent="0.25">
      <c r="A108" s="90">
        <v>260005</v>
      </c>
      <c r="B108" s="90" t="s">
        <v>100</v>
      </c>
      <c r="C108" s="91">
        <v>-4426579.7149999999</v>
      </c>
      <c r="D108" s="91">
        <v>0</v>
      </c>
      <c r="E108" s="91">
        <v>271791.99400000001</v>
      </c>
      <c r="F108" s="91">
        <v>-4698371.7089999998</v>
      </c>
      <c r="G108" t="str">
        <f>_xlfn.XLOOKUP($A108,Map!$A:$A,Map!C:C)</f>
        <v>BS</v>
      </c>
      <c r="H108" t="str">
        <f>_xlfn.XLOOKUP($A108,Map!$A:$A,Map!D:D)</f>
        <v>Non-Current Liabilities</v>
      </c>
      <c r="I108" t="str">
        <f>_xlfn.XLOOKUP($A108,Map!$A:$A,Map!E:E)</f>
        <v>Provision for evacuation</v>
      </c>
      <c r="J108" t="str">
        <f>_xlfn.XLOOKUP($A108,Map!$A:$A,Map!F:F)</f>
        <v>Provision for evacuation</v>
      </c>
    </row>
    <row r="109" spans="1:10" hidden="1" x14ac:dyDescent="0.25">
      <c r="A109" s="90">
        <v>270001</v>
      </c>
      <c r="B109" s="90" t="s">
        <v>101</v>
      </c>
      <c r="C109" s="91">
        <v>-1098996.6040000001</v>
      </c>
      <c r="D109" s="91">
        <v>9582672.0999999996</v>
      </c>
      <c r="E109" s="91">
        <v>12259838.495999999</v>
      </c>
      <c r="F109" s="91">
        <v>-3776163</v>
      </c>
      <c r="G109" t="str">
        <f>_xlfn.XLOOKUP($A109,Map!$A:$A,Map!C:C)</f>
        <v>BS</v>
      </c>
      <c r="H109" t="str">
        <f>_xlfn.XLOOKUP($A109,Map!$A:$A,Map!D:D)</f>
        <v>Non-Current Liabilities</v>
      </c>
      <c r="I109" t="str">
        <f>_xlfn.XLOOKUP($A109,Map!$A:$A,Map!E:E)</f>
        <v xml:space="preserve">Due to related parties </v>
      </c>
      <c r="J109" t="str">
        <f>_xlfn.XLOOKUP($A109,Map!$A:$A,Map!F:F)</f>
        <v>Aims Holding  Current Acc</v>
      </c>
    </row>
    <row r="110" spans="1:10" hidden="1" x14ac:dyDescent="0.25">
      <c r="A110" s="90">
        <v>270002</v>
      </c>
      <c r="B110" s="90" t="s">
        <v>102</v>
      </c>
      <c r="C110" s="91">
        <v>0</v>
      </c>
      <c r="D110" s="91">
        <v>14127205.227</v>
      </c>
      <c r="E110" s="91">
        <v>14127205.227</v>
      </c>
      <c r="F110" s="91">
        <v>0</v>
      </c>
      <c r="G110" t="str">
        <f>_xlfn.XLOOKUP($A110,Map!$A:$A,Map!C:C)</f>
        <v>BS</v>
      </c>
      <c r="H110" t="str">
        <f>_xlfn.XLOOKUP($A110,Map!$A:$A,Map!D:D)</f>
        <v>Current Liabilities</v>
      </c>
      <c r="I110" t="str">
        <f>_xlfn.XLOOKUP($A110,Map!$A:$A,Map!E:E)</f>
        <v>Tade payables and Accuals &amp; other credit balances</v>
      </c>
      <c r="J110" t="str">
        <f>_xlfn.XLOOKUP($A110,Map!$A:$A,Map!F:F)</f>
        <v>VAT payables</v>
      </c>
    </row>
    <row r="111" spans="1:10" hidden="1" x14ac:dyDescent="0.25">
      <c r="A111" s="90">
        <v>270003</v>
      </c>
      <c r="B111" s="90" t="s">
        <v>103</v>
      </c>
      <c r="C111" s="91">
        <v>0</v>
      </c>
      <c r="D111" s="91">
        <v>4625830.2369999997</v>
      </c>
      <c r="E111" s="91">
        <v>4625830.2369999997</v>
      </c>
      <c r="F111" s="91">
        <v>0</v>
      </c>
      <c r="G111" t="str">
        <f>_xlfn.XLOOKUP($A111,Map!$A:$A,Map!C:C)</f>
        <v>BS</v>
      </c>
      <c r="H111" t="str">
        <f>_xlfn.XLOOKUP($A111,Map!$A:$A,Map!D:D)</f>
        <v>Current Liabilities</v>
      </c>
      <c r="I111" t="str">
        <f>_xlfn.XLOOKUP($A111,Map!$A:$A,Map!E:E)</f>
        <v>Tade payables and Accuals &amp; other credit balances</v>
      </c>
      <c r="J111" t="str">
        <f>_xlfn.XLOOKUP($A111,Map!$A:$A,Map!F:F)</f>
        <v>VAT payables</v>
      </c>
    </row>
    <row r="112" spans="1:10" hidden="1" x14ac:dyDescent="0.25">
      <c r="A112" s="90">
        <v>270004</v>
      </c>
      <c r="B112" s="90" t="s">
        <v>104</v>
      </c>
      <c r="C112" s="91">
        <v>-1160277.96</v>
      </c>
      <c r="D112" s="91">
        <v>9009010.0099999998</v>
      </c>
      <c r="E112" s="91">
        <v>8913885.2699999996</v>
      </c>
      <c r="F112" s="91">
        <v>-1065153.22</v>
      </c>
      <c r="G112" t="str">
        <f>_xlfn.XLOOKUP($A112,Map!$A:$A,Map!C:C)</f>
        <v>BS</v>
      </c>
      <c r="H112" t="str">
        <f>_xlfn.XLOOKUP($A112,Map!$A:$A,Map!D:D)</f>
        <v>Current Liabilities</v>
      </c>
      <c r="I112" t="str">
        <f>_xlfn.XLOOKUP($A112,Map!$A:$A,Map!E:E)</f>
        <v>Tade payables and Accuals &amp; other credit balances</v>
      </c>
      <c r="J112" t="str">
        <f>_xlfn.XLOOKUP($A112,Map!$A:$A,Map!F:F)</f>
        <v>VAT payables</v>
      </c>
    </row>
    <row r="113" spans="1:10" hidden="1" x14ac:dyDescent="0.25">
      <c r="A113" s="90">
        <v>270005</v>
      </c>
      <c r="B113" s="90" t="s">
        <v>105</v>
      </c>
      <c r="C113" s="91">
        <v>0</v>
      </c>
      <c r="D113" s="91">
        <v>31495207.576000001</v>
      </c>
      <c r="E113" s="91">
        <v>10795684.84</v>
      </c>
      <c r="F113" s="91">
        <v>20699522.736000001</v>
      </c>
      <c r="G113" t="str">
        <f>_xlfn.XLOOKUP($A113,Map!$A:$A,Map!C:C)</f>
        <v>BS</v>
      </c>
      <c r="H113" t="str">
        <f>_xlfn.XLOOKUP($A113,Map!$A:$A,Map!D:D)</f>
        <v>Non-Current Liabilities</v>
      </c>
      <c r="I113" t="str">
        <f>_xlfn.XLOOKUP($A113,Map!$A:$A,Map!E:E)</f>
        <v xml:space="preserve">Due to related parties </v>
      </c>
      <c r="J113" t="str">
        <f>_xlfn.XLOOKUP($A113,Map!$A:$A,Map!F:F)</f>
        <v>Vision Horzon Indestrial Company</v>
      </c>
    </row>
    <row r="114" spans="1:10" hidden="1" x14ac:dyDescent="0.25">
      <c r="A114" s="90">
        <v>310001</v>
      </c>
      <c r="B114" s="90" t="s">
        <v>106</v>
      </c>
      <c r="C114" s="91">
        <v>-24850913.840999998</v>
      </c>
      <c r="D114" s="91">
        <v>0</v>
      </c>
      <c r="E114" s="91">
        <v>0</v>
      </c>
      <c r="F114" s="91">
        <v>-24850913.840999998</v>
      </c>
      <c r="G114" t="str">
        <f>_xlfn.XLOOKUP($A114,Map!$A:$A,Map!C:C)</f>
        <v>BS</v>
      </c>
      <c r="H114" t="str">
        <f>_xlfn.XLOOKUP($A114,Map!$A:$A,Map!D:D)</f>
        <v>Stockholder's equity</v>
      </c>
      <c r="I114" t="str">
        <f>_xlfn.XLOOKUP($A114,Map!$A:$A,Map!E:E)</f>
        <v>Retained earnings</v>
      </c>
      <c r="J114" t="str">
        <f>_xlfn.XLOOKUP($A114,Map!$A:$A,Map!F:F)</f>
        <v>Retained earnings</v>
      </c>
    </row>
    <row r="115" spans="1:10" hidden="1" x14ac:dyDescent="0.25">
      <c r="A115" s="90">
        <v>330001</v>
      </c>
      <c r="B115" s="90" t="s">
        <v>107</v>
      </c>
      <c r="C115" s="91">
        <v>0</v>
      </c>
      <c r="D115" s="91">
        <v>0</v>
      </c>
      <c r="E115" s="91">
        <v>0</v>
      </c>
      <c r="F115" s="91">
        <v>0</v>
      </c>
      <c r="G115" t="str">
        <f>_xlfn.XLOOKUP($A115,Map!$A:$A,Map!C:C)</f>
        <v>BS</v>
      </c>
      <c r="H115" t="str">
        <f>_xlfn.XLOOKUP($A115,Map!$A:$A,Map!D:D)</f>
        <v>Stockholder's equity</v>
      </c>
      <c r="I115" t="str">
        <f>_xlfn.XLOOKUP($A115,Map!$A:$A,Map!E:E)</f>
        <v>Retained earnings</v>
      </c>
      <c r="J115" t="str">
        <f>_xlfn.XLOOKUP($A115,Map!$A:$A,Map!F:F)</f>
        <v>Retained earnings</v>
      </c>
    </row>
    <row r="116" spans="1:10" hidden="1" x14ac:dyDescent="0.25">
      <c r="A116" s="90">
        <v>330002</v>
      </c>
      <c r="B116" s="90" t="s">
        <v>108</v>
      </c>
      <c r="C116" s="91">
        <v>-35335000</v>
      </c>
      <c r="D116" s="91">
        <v>707.93</v>
      </c>
      <c r="E116" s="91">
        <v>707.93</v>
      </c>
      <c r="F116" s="91">
        <v>-35335000</v>
      </c>
      <c r="G116" t="str">
        <f>_xlfn.XLOOKUP($A116,Map!$A:$A,Map!C:C)</f>
        <v>BS</v>
      </c>
      <c r="H116" t="str">
        <f>_xlfn.XLOOKUP($A116,Map!$A:$A,Map!D:D)</f>
        <v>Stockholder's equity</v>
      </c>
      <c r="I116" t="str">
        <f>_xlfn.XLOOKUP($A116,Map!$A:$A,Map!E:E)</f>
        <v>Share capital</v>
      </c>
      <c r="J116" t="str">
        <f>_xlfn.XLOOKUP($A116,Map!$A:$A,Map!F:F)</f>
        <v>Share capital</v>
      </c>
    </row>
    <row r="117" spans="1:10" hidden="1" x14ac:dyDescent="0.25">
      <c r="A117" s="90">
        <v>330003</v>
      </c>
      <c r="B117" s="90" t="s">
        <v>109</v>
      </c>
      <c r="C117" s="91">
        <v>-102255315.01000001</v>
      </c>
      <c r="D117" s="91">
        <v>0</v>
      </c>
      <c r="E117" s="91">
        <v>0</v>
      </c>
      <c r="F117" s="91">
        <v>-102255315.01000001</v>
      </c>
      <c r="G117" t="str">
        <f>_xlfn.XLOOKUP($A117,Map!$A:$A,Map!C:C)</f>
        <v>BS</v>
      </c>
      <c r="H117" t="str">
        <f>_xlfn.XLOOKUP($A117,Map!$A:$A,Map!D:D)</f>
        <v>Stockholder's equity</v>
      </c>
      <c r="I117" t="str">
        <f>_xlfn.XLOOKUP($A117,Map!$A:$A,Map!E:E)</f>
        <v>Additional contribution from shareholders</v>
      </c>
      <c r="J117" t="str">
        <f>_xlfn.XLOOKUP($A117,Map!$A:$A,Map!F:F)</f>
        <v>Additional contribution from shareholders</v>
      </c>
    </row>
    <row r="118" spans="1:10" hidden="1" x14ac:dyDescent="0.25">
      <c r="A118" s="90">
        <v>410001</v>
      </c>
      <c r="B118" s="90" t="s">
        <v>110</v>
      </c>
      <c r="C118" s="91">
        <v>0</v>
      </c>
      <c r="D118" s="91">
        <v>3670995.9130000002</v>
      </c>
      <c r="E118" s="91">
        <v>112607455.145</v>
      </c>
      <c r="F118" s="91">
        <v>-108936459.23199999</v>
      </c>
      <c r="G118" t="str">
        <f>_xlfn.XLOOKUP($A118,Map!$A:$A,Map!C:C)</f>
        <v>IS</v>
      </c>
      <c r="H118" t="str">
        <f>_xlfn.XLOOKUP($A118,Map!$A:$A,Map!D:D)</f>
        <v>Sales</v>
      </c>
      <c r="I118" t="str">
        <f>_xlfn.XLOOKUP($A118,Map!$A:$A,Map!E:E)</f>
        <v>Sales</v>
      </c>
      <c r="J118" t="str">
        <f>_xlfn.XLOOKUP($A118,Map!$A:$A,Map!F:F)</f>
        <v>Trading revenue</v>
      </c>
    </row>
    <row r="119" spans="1:10" hidden="1" x14ac:dyDescent="0.25">
      <c r="A119" s="90">
        <v>410002</v>
      </c>
      <c r="B119" s="90" t="s">
        <v>111</v>
      </c>
      <c r="C119" s="91">
        <v>0</v>
      </c>
      <c r="D119" s="91">
        <v>1079316.101</v>
      </c>
      <c r="E119" s="91">
        <v>0</v>
      </c>
      <c r="F119" s="91">
        <v>1079316.101</v>
      </c>
      <c r="G119" t="str">
        <f>_xlfn.XLOOKUP($A119,Map!$A:$A,Map!C:C)</f>
        <v>IS</v>
      </c>
      <c r="H119" t="str">
        <f>_xlfn.XLOOKUP($A119,Map!$A:$A,Map!D:D)</f>
        <v>Sales</v>
      </c>
      <c r="I119" t="str">
        <f>_xlfn.XLOOKUP($A119,Map!$A:$A,Map!E:E)</f>
        <v>Sales</v>
      </c>
      <c r="J119" t="str">
        <f>_xlfn.XLOOKUP($A119,Map!$A:$A,Map!F:F)</f>
        <v>Trading revenue</v>
      </c>
    </row>
    <row r="120" spans="1:10" hidden="1" x14ac:dyDescent="0.25">
      <c r="A120" s="90">
        <v>410003</v>
      </c>
      <c r="B120" s="90" t="s">
        <v>112</v>
      </c>
      <c r="C120" s="91">
        <v>0</v>
      </c>
      <c r="D120" s="91">
        <v>1702.06</v>
      </c>
      <c r="E120" s="91">
        <v>0</v>
      </c>
      <c r="F120" s="91">
        <v>1702.06</v>
      </c>
      <c r="G120" t="str">
        <f>_xlfn.XLOOKUP($A120,Map!$A:$A,Map!C:C)</f>
        <v>IS</v>
      </c>
      <c r="H120" t="str">
        <f>_xlfn.XLOOKUP($A120,Map!$A:$A,Map!D:D)</f>
        <v>Sales</v>
      </c>
      <c r="I120" t="str">
        <f>_xlfn.XLOOKUP($A120,Map!$A:$A,Map!E:E)</f>
        <v>Sales</v>
      </c>
      <c r="J120" t="str">
        <f>_xlfn.XLOOKUP($A120,Map!$A:$A,Map!F:F)</f>
        <v>Trading revenue</v>
      </c>
    </row>
    <row r="121" spans="1:10" hidden="1" x14ac:dyDescent="0.25">
      <c r="A121" s="90">
        <v>410004</v>
      </c>
      <c r="B121" s="90" t="s">
        <v>113</v>
      </c>
      <c r="C121" s="91">
        <v>0</v>
      </c>
      <c r="D121" s="91">
        <v>60261</v>
      </c>
      <c r="E121" s="91">
        <v>650599.68200000003</v>
      </c>
      <c r="F121" s="91">
        <v>-590338.68200000003</v>
      </c>
      <c r="G121" t="str">
        <f>_xlfn.XLOOKUP($A121,Map!$A:$A,Map!C:C)</f>
        <v>IS</v>
      </c>
      <c r="H121" t="str">
        <f>_xlfn.XLOOKUP($A121,Map!$A:$A,Map!D:D)</f>
        <v>Sales</v>
      </c>
      <c r="I121" t="str">
        <f>_xlfn.XLOOKUP($A121,Map!$A:$A,Map!E:E)</f>
        <v>Sales</v>
      </c>
      <c r="J121" t="str">
        <f>_xlfn.XLOOKUP($A121,Map!$A:$A,Map!F:F)</f>
        <v>Scrap sales</v>
      </c>
    </row>
    <row r="122" spans="1:10" hidden="1" x14ac:dyDescent="0.25">
      <c r="A122" s="90">
        <v>420001</v>
      </c>
      <c r="B122" s="90" t="s">
        <v>114</v>
      </c>
      <c r="C122" s="91">
        <v>0</v>
      </c>
      <c r="D122" s="91">
        <v>0</v>
      </c>
      <c r="E122" s="91">
        <v>0</v>
      </c>
      <c r="F122" s="91">
        <v>0</v>
      </c>
      <c r="G122" t="str">
        <f>_xlfn.XLOOKUP($A122,Map!$A:$A,Map!C:C)</f>
        <v>IS</v>
      </c>
      <c r="H122" t="str">
        <f>_xlfn.XLOOKUP($A122,Map!$A:$A,Map!D:D)</f>
        <v>Sales</v>
      </c>
      <c r="I122" t="str">
        <f>_xlfn.XLOOKUP($A122,Map!$A:$A,Map!E:E)</f>
        <v>Sales</v>
      </c>
      <c r="J122" t="str">
        <f>_xlfn.XLOOKUP($A122,Map!$A:$A,Map!F:F)</f>
        <v>Other income</v>
      </c>
    </row>
    <row r="123" spans="1:10" hidden="1" x14ac:dyDescent="0.25">
      <c r="A123" s="90">
        <v>420003</v>
      </c>
      <c r="B123" s="90" t="s">
        <v>115</v>
      </c>
      <c r="C123" s="91">
        <v>0</v>
      </c>
      <c r="D123" s="91">
        <v>0.51</v>
      </c>
      <c r="E123" s="91">
        <v>0.51</v>
      </c>
      <c r="F123" s="91">
        <v>0</v>
      </c>
      <c r="G123" t="str">
        <f>_xlfn.XLOOKUP($A123,Map!$A:$A,Map!C:C)</f>
        <v>IS</v>
      </c>
      <c r="H123" t="str">
        <f>_xlfn.XLOOKUP($A123,Map!$A:$A,Map!D:D)</f>
        <v>Sales</v>
      </c>
      <c r="I123" t="str">
        <f>_xlfn.XLOOKUP($A123,Map!$A:$A,Map!E:E)</f>
        <v>Sales</v>
      </c>
      <c r="J123" t="str">
        <f>_xlfn.XLOOKUP($A123,Map!$A:$A,Map!F:F)</f>
        <v>Scrap sales</v>
      </c>
    </row>
    <row r="124" spans="1:10" hidden="1" x14ac:dyDescent="0.25">
      <c r="A124" s="90">
        <v>510001</v>
      </c>
      <c r="B124" s="90" t="s">
        <v>116</v>
      </c>
      <c r="C124" s="91">
        <v>0</v>
      </c>
      <c r="D124" s="91">
        <v>188640897.33199999</v>
      </c>
      <c r="E124" s="91">
        <v>95878352.891000003</v>
      </c>
      <c r="F124" s="91">
        <v>92762544.441</v>
      </c>
      <c r="G124" t="str">
        <f>_xlfn.XLOOKUP($A124,Map!$A:$A,Map!C:C)</f>
        <v>IS</v>
      </c>
      <c r="H124" t="str">
        <f>_xlfn.XLOOKUP($A124,Map!$A:$A,Map!D:D)</f>
        <v>Cost of sales</v>
      </c>
      <c r="I124" t="str">
        <f>_xlfn.XLOOKUP($A124,Map!$A:$A,Map!E:E)</f>
        <v>Raw materials</v>
      </c>
      <c r="J124" t="str">
        <f>_xlfn.XLOOKUP($A124,Map!$A:$A,Map!F:F)</f>
        <v>Raw materials</v>
      </c>
    </row>
    <row r="125" spans="1:10" hidden="1" x14ac:dyDescent="0.25">
      <c r="A125" s="90">
        <v>510002</v>
      </c>
      <c r="B125" s="90" t="s">
        <v>117</v>
      </c>
      <c r="C125" s="91">
        <v>0</v>
      </c>
      <c r="D125" s="91">
        <v>7290736.2889999999</v>
      </c>
      <c r="E125" s="91">
        <v>46.61</v>
      </c>
      <c r="F125" s="91">
        <v>7290689.6789999995</v>
      </c>
      <c r="G125" t="str">
        <f>_xlfn.XLOOKUP($A125,Map!$A:$A,Map!C:C)</f>
        <v>IS</v>
      </c>
      <c r="H125" t="str">
        <f>_xlfn.XLOOKUP($A125,Map!$A:$A,Map!D:D)</f>
        <v>Cost of sales</v>
      </c>
      <c r="I125" t="str">
        <f>_xlfn.XLOOKUP($A125,Map!$A:$A,Map!E:E)</f>
        <v>Direct Labor</v>
      </c>
      <c r="J125" t="str">
        <f>_xlfn.XLOOKUP($A125,Map!$A:$A,Map!F:F)</f>
        <v>Direct Labor</v>
      </c>
    </row>
    <row r="126" spans="1:10" hidden="1" x14ac:dyDescent="0.25">
      <c r="A126" s="90">
        <v>510003</v>
      </c>
      <c r="B126" s="90" t="s">
        <v>118</v>
      </c>
      <c r="C126" s="91">
        <v>0</v>
      </c>
      <c r="D126" s="91">
        <v>5152762.6160000004</v>
      </c>
      <c r="E126" s="91">
        <v>2542057.514</v>
      </c>
      <c r="F126" s="91">
        <v>2610705.102</v>
      </c>
      <c r="G126" t="str">
        <f>_xlfn.XLOOKUP($A126,Map!$A:$A,Map!C:C)</f>
        <v>IS</v>
      </c>
      <c r="H126" t="str">
        <f>_xlfn.XLOOKUP($A126,Map!$A:$A,Map!D:D)</f>
        <v>Cost of sales</v>
      </c>
      <c r="I126" t="str">
        <f>_xlfn.XLOOKUP($A126,Map!$A:$A,Map!E:E)</f>
        <v>Raw materials</v>
      </c>
      <c r="J126" t="str">
        <f>_xlfn.XLOOKUP($A126,Map!$A:$A,Map!F:F)</f>
        <v>Raw materials</v>
      </c>
    </row>
    <row r="127" spans="1:10" hidden="1" x14ac:dyDescent="0.25">
      <c r="A127" s="90">
        <v>510004</v>
      </c>
      <c r="B127" s="90" t="s">
        <v>119</v>
      </c>
      <c r="C127" s="91">
        <v>0</v>
      </c>
      <c r="D127" s="91">
        <v>12976306.972999999</v>
      </c>
      <c r="E127" s="91">
        <v>3268398.7089999998</v>
      </c>
      <c r="F127" s="91">
        <v>9707908.2640000004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Raw materials</v>
      </c>
      <c r="J127" t="str">
        <f>_xlfn.XLOOKUP($A127,Map!$A:$A,Map!F:F)</f>
        <v>Other expenses</v>
      </c>
    </row>
    <row r="128" spans="1:10" hidden="1" x14ac:dyDescent="0.25">
      <c r="A128" s="90">
        <v>510005</v>
      </c>
      <c r="B128" s="90" t="s">
        <v>120</v>
      </c>
      <c r="C128" s="91">
        <v>0</v>
      </c>
      <c r="D128" s="91">
        <v>83096.134000000005</v>
      </c>
      <c r="E128" s="91">
        <v>83096.134000000005</v>
      </c>
      <c r="F128" s="91">
        <v>0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Raw materials</v>
      </c>
      <c r="J128" t="str">
        <f>_xlfn.XLOOKUP($A128,Map!$A:$A,Map!F:F)</f>
        <v>Other expenses</v>
      </c>
    </row>
    <row r="129" spans="1:10" hidden="1" x14ac:dyDescent="0.25">
      <c r="A129" s="90">
        <v>520001</v>
      </c>
      <c r="B129" s="90" t="s">
        <v>121</v>
      </c>
      <c r="C129" s="91">
        <v>0</v>
      </c>
      <c r="D129" s="91">
        <v>3511854.37</v>
      </c>
      <c r="E129" s="91">
        <v>3511854.37</v>
      </c>
      <c r="F129" s="91">
        <v>0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Direct Labor</v>
      </c>
      <c r="J129" t="str">
        <f>_xlfn.XLOOKUP($A129,Map!$A:$A,Map!F:F)</f>
        <v>Salaries and wages</v>
      </c>
    </row>
    <row r="130" spans="1:10" hidden="1" x14ac:dyDescent="0.25">
      <c r="A130" s="90">
        <v>520002</v>
      </c>
      <c r="B130" s="90" t="s">
        <v>122</v>
      </c>
      <c r="C130" s="91">
        <v>0</v>
      </c>
      <c r="D130" s="91">
        <v>0</v>
      </c>
      <c r="E130" s="91">
        <v>0</v>
      </c>
      <c r="F130" s="91">
        <v>0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Direct Labor</v>
      </c>
      <c r="J130" t="str">
        <f>_xlfn.XLOOKUP($A130,Map!$A:$A,Map!F:F)</f>
        <v>Overtime pay</v>
      </c>
    </row>
    <row r="131" spans="1:10" hidden="1" x14ac:dyDescent="0.25">
      <c r="A131" s="90">
        <v>520003</v>
      </c>
      <c r="B131" s="90" t="s">
        <v>123</v>
      </c>
      <c r="C131" s="91">
        <v>0</v>
      </c>
      <c r="D131" s="91">
        <v>329306.02</v>
      </c>
      <c r="E131" s="91">
        <v>329306.02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Direct Labor</v>
      </c>
      <c r="J131" t="str">
        <f>_xlfn.XLOOKUP($A131,Map!$A:$A,Map!F:F)</f>
        <v>Transportation allowance</v>
      </c>
    </row>
    <row r="132" spans="1:10" hidden="1" x14ac:dyDescent="0.25">
      <c r="A132" s="90">
        <v>520004</v>
      </c>
      <c r="B132" s="90" t="s">
        <v>124</v>
      </c>
      <c r="C132" s="91">
        <v>0</v>
      </c>
      <c r="D132" s="91">
        <v>0</v>
      </c>
      <c r="E132" s="91">
        <v>0</v>
      </c>
      <c r="F132" s="4">
        <v>0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Direct Labor</v>
      </c>
      <c r="J132" t="str">
        <f>_xlfn.XLOOKUP($A132,Map!$A:$A,Map!F:F)</f>
        <v>Food and housing</v>
      </c>
    </row>
    <row r="133" spans="1:10" hidden="1" x14ac:dyDescent="0.25">
      <c r="A133" s="90">
        <v>520005</v>
      </c>
      <c r="B133" s="90" t="s">
        <v>125</v>
      </c>
      <c r="C133" s="91">
        <v>0</v>
      </c>
      <c r="D133" s="91">
        <v>114314.51</v>
      </c>
      <c r="E133" s="91">
        <v>114314.51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Direct Labor</v>
      </c>
      <c r="J133" t="str">
        <f>_xlfn.XLOOKUP($A133,Map!$A:$A,Map!F:F)</f>
        <v>Leave pay</v>
      </c>
    </row>
    <row r="134" spans="1:10" hidden="1" x14ac:dyDescent="0.25">
      <c r="A134" s="90">
        <v>520006</v>
      </c>
      <c r="B134" s="90" t="s">
        <v>126</v>
      </c>
      <c r="C134" s="91">
        <v>0</v>
      </c>
      <c r="D134" s="91">
        <v>289565.61300000001</v>
      </c>
      <c r="E134" s="91">
        <v>289565.61300000001</v>
      </c>
      <c r="F134" s="91">
        <v>0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Direct Labor</v>
      </c>
      <c r="J134" t="str">
        <f>_xlfn.XLOOKUP($A134,Map!$A:$A,Map!F:F)</f>
        <v>Medical insurance</v>
      </c>
    </row>
    <row r="135" spans="1:10" hidden="1" x14ac:dyDescent="0.25">
      <c r="A135" s="90">
        <v>520010</v>
      </c>
      <c r="B135" s="90" t="s">
        <v>127</v>
      </c>
      <c r="C135" s="91">
        <v>0</v>
      </c>
      <c r="D135" s="91">
        <v>0</v>
      </c>
      <c r="E135" s="91">
        <v>0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Direct Labor</v>
      </c>
      <c r="J135" t="str">
        <f>_xlfn.XLOOKUP($A135,Map!$A:$A,Map!F:F)</f>
        <v>Salaries and wages</v>
      </c>
    </row>
    <row r="136" spans="1:10" hidden="1" x14ac:dyDescent="0.25">
      <c r="A136" s="90">
        <v>520011</v>
      </c>
      <c r="B136" s="90" t="s">
        <v>122</v>
      </c>
      <c r="C136" s="91">
        <v>0</v>
      </c>
      <c r="D136" s="91">
        <v>0</v>
      </c>
      <c r="E136" s="91">
        <v>0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Direct Labor</v>
      </c>
      <c r="J136" t="str">
        <f>_xlfn.XLOOKUP($A136,Map!$A:$A,Map!F:F)</f>
        <v>Overtime pay</v>
      </c>
    </row>
    <row r="137" spans="1:10" hidden="1" x14ac:dyDescent="0.25">
      <c r="A137" s="90">
        <v>520013</v>
      </c>
      <c r="B137" s="90" t="s">
        <v>124</v>
      </c>
      <c r="C137" s="91">
        <v>0</v>
      </c>
      <c r="D137" s="91">
        <v>0</v>
      </c>
      <c r="E137" s="91">
        <v>0</v>
      </c>
      <c r="F137" s="91">
        <v>0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Direct Labor</v>
      </c>
      <c r="J137" t="str">
        <f>_xlfn.XLOOKUP($A137,Map!$A:$A,Map!F:F)</f>
        <v>Food and housing</v>
      </c>
    </row>
    <row r="138" spans="1:10" hidden="1" x14ac:dyDescent="0.25">
      <c r="A138" s="90">
        <v>520014</v>
      </c>
      <c r="B138" s="90" t="s">
        <v>125</v>
      </c>
      <c r="C138" s="91">
        <v>0</v>
      </c>
      <c r="D138" s="91">
        <v>0</v>
      </c>
      <c r="E138" s="91">
        <v>0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Direct Labor</v>
      </c>
      <c r="J138" t="str">
        <f>_xlfn.XLOOKUP($A138,Map!$A:$A,Map!F:F)</f>
        <v>Leave pay</v>
      </c>
    </row>
    <row r="139" spans="1:10" hidden="1" x14ac:dyDescent="0.25">
      <c r="A139" s="90">
        <v>520015</v>
      </c>
      <c r="B139" s="90" t="s">
        <v>128</v>
      </c>
      <c r="C139" s="91">
        <v>0</v>
      </c>
      <c r="D139" s="91">
        <v>292511.38</v>
      </c>
      <c r="E139" s="91">
        <v>292511.38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Direct Labor</v>
      </c>
      <c r="J139" t="str">
        <f>_xlfn.XLOOKUP($A139,Map!$A:$A,Map!F:F)</f>
        <v>Food and housing</v>
      </c>
    </row>
    <row r="140" spans="1:10" hidden="1" x14ac:dyDescent="0.25">
      <c r="A140" s="90">
        <v>520021</v>
      </c>
      <c r="B140" s="90" t="s">
        <v>129</v>
      </c>
      <c r="C140" s="91">
        <v>0</v>
      </c>
      <c r="D140" s="91">
        <v>300</v>
      </c>
      <c r="E140" s="91">
        <v>300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Direct Labor</v>
      </c>
      <c r="J140" t="str">
        <f>_xlfn.XLOOKUP($A140,Map!$A:$A,Map!F:F)</f>
        <v>Medical insurance</v>
      </c>
    </row>
    <row r="141" spans="1:10" hidden="1" x14ac:dyDescent="0.25">
      <c r="A141" s="90">
        <v>520022</v>
      </c>
      <c r="B141" s="90" t="s">
        <v>130</v>
      </c>
      <c r="C141" s="91">
        <v>0</v>
      </c>
      <c r="D141" s="91">
        <v>0</v>
      </c>
      <c r="E141" s="91">
        <v>0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Direct Labor</v>
      </c>
      <c r="J141" t="str">
        <f>_xlfn.XLOOKUP($A141,Map!$A:$A,Map!F:F)</f>
        <v>Iqama renewal</v>
      </c>
    </row>
    <row r="142" spans="1:10" hidden="1" x14ac:dyDescent="0.25">
      <c r="A142" s="90">
        <v>520023</v>
      </c>
      <c r="B142" s="90" t="s">
        <v>255</v>
      </c>
      <c r="C142" s="91">
        <v>0</v>
      </c>
      <c r="D142" s="91">
        <v>0</v>
      </c>
      <c r="E142" s="91">
        <v>0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Direct Labor</v>
      </c>
      <c r="J142" t="str">
        <f>_xlfn.XLOOKUP($A142,Map!$A:$A,Map!F:F)</f>
        <v>Medical insurance</v>
      </c>
    </row>
    <row r="143" spans="1:10" hidden="1" x14ac:dyDescent="0.25">
      <c r="A143" s="90">
        <v>520032</v>
      </c>
      <c r="B143" s="90" t="s">
        <v>131</v>
      </c>
      <c r="C143" s="91">
        <v>0</v>
      </c>
      <c r="D143" s="91">
        <v>0</v>
      </c>
      <c r="E143" s="91">
        <v>0</v>
      </c>
      <c r="F143" s="91">
        <v>0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Raw materials</v>
      </c>
      <c r="J143" t="str">
        <f>_xlfn.XLOOKUP($A143,Map!$A:$A,Map!F:F)</f>
        <v>Consumables</v>
      </c>
    </row>
    <row r="144" spans="1:10" hidden="1" x14ac:dyDescent="0.25">
      <c r="A144" s="90">
        <v>520036</v>
      </c>
      <c r="B144" s="90" t="s">
        <v>132</v>
      </c>
      <c r="C144" s="91">
        <v>0</v>
      </c>
      <c r="D144" s="91">
        <v>0.05</v>
      </c>
      <c r="E144" s="91">
        <v>0.05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Raw materials</v>
      </c>
      <c r="J144" t="str">
        <f>_xlfn.XLOOKUP($A144,Map!$A:$A,Map!F:F)</f>
        <v>Raw materials</v>
      </c>
    </row>
    <row r="145" spans="1:10" hidden="1" x14ac:dyDescent="0.25">
      <c r="A145" s="90">
        <v>520037</v>
      </c>
      <c r="B145" s="90" t="s">
        <v>133</v>
      </c>
      <c r="C145" s="91">
        <v>0</v>
      </c>
      <c r="D145" s="91">
        <v>209109.84400000001</v>
      </c>
      <c r="E145" s="91">
        <v>209109.84400000001</v>
      </c>
      <c r="F145" s="91">
        <v>0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Raw materials</v>
      </c>
      <c r="J145" t="str">
        <f>_xlfn.XLOOKUP($A145,Map!$A:$A,Map!F:F)</f>
        <v>Raw materials</v>
      </c>
    </row>
    <row r="146" spans="1:10" hidden="1" x14ac:dyDescent="0.25">
      <c r="A146" s="90">
        <v>520040</v>
      </c>
      <c r="B146" s="90" t="s">
        <v>134</v>
      </c>
      <c r="C146" s="91">
        <v>0</v>
      </c>
      <c r="D146" s="91">
        <v>0</v>
      </c>
      <c r="E146" s="91">
        <v>0</v>
      </c>
      <c r="F146" s="91">
        <v>0</v>
      </c>
      <c r="G146" t="str">
        <f>_xlfn.XLOOKUP($A146,Map!$A:$A,Map!C:C)</f>
        <v>IS</v>
      </c>
      <c r="H146" t="str">
        <f>_xlfn.XLOOKUP($A146,Map!$A:$A,Map!D:D)</f>
        <v>Cost of sales</v>
      </c>
      <c r="I146" t="str">
        <f>_xlfn.XLOOKUP($A146,Map!$A:$A,Map!E:E)</f>
        <v>Raw materials</v>
      </c>
      <c r="J146" t="str">
        <f>_xlfn.XLOOKUP($A146,Map!$A:$A,Map!F:F)</f>
        <v>Other expenses</v>
      </c>
    </row>
    <row r="147" spans="1:10" hidden="1" x14ac:dyDescent="0.25">
      <c r="A147" s="90">
        <v>520041</v>
      </c>
      <c r="B147" s="90" t="s">
        <v>135</v>
      </c>
      <c r="C147" s="91">
        <v>0</v>
      </c>
      <c r="D147" s="91">
        <v>7931145.6780000003</v>
      </c>
      <c r="E147" s="91">
        <v>7931145.6780000003</v>
      </c>
      <c r="F147" s="91">
        <v>0</v>
      </c>
      <c r="G147" t="str">
        <f>_xlfn.XLOOKUP($A147,Map!$A:$A,Map!C:C)</f>
        <v>IS</v>
      </c>
      <c r="H147" t="str">
        <f>_xlfn.XLOOKUP($A147,Map!$A:$A,Map!D:D)</f>
        <v>Cost of sales</v>
      </c>
      <c r="I147" t="str">
        <f>_xlfn.XLOOKUP($A147,Map!$A:$A,Map!E:E)</f>
        <v>Raw materials</v>
      </c>
      <c r="J147" t="str">
        <f>_xlfn.XLOOKUP($A147,Map!$A:$A,Map!F:F)</f>
        <v>Other expenses</v>
      </c>
    </row>
    <row r="148" spans="1:10" hidden="1" x14ac:dyDescent="0.25">
      <c r="A148" s="90">
        <v>520042</v>
      </c>
      <c r="B148" s="90" t="s">
        <v>136</v>
      </c>
      <c r="C148" s="91">
        <v>0</v>
      </c>
      <c r="D148" s="91">
        <v>2405869.9879999999</v>
      </c>
      <c r="E148" s="91">
        <v>2405869.9879999999</v>
      </c>
      <c r="F148" s="91">
        <v>0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Raw materials</v>
      </c>
      <c r="J148" t="str">
        <f>_xlfn.XLOOKUP($A148,Map!$A:$A,Map!F:F)</f>
        <v>Inventory Adjustment</v>
      </c>
    </row>
    <row r="149" spans="1:10" hidden="1" x14ac:dyDescent="0.25">
      <c r="A149" s="90">
        <v>600001</v>
      </c>
      <c r="B149" s="90" t="s">
        <v>137</v>
      </c>
      <c r="C149" s="91">
        <v>0</v>
      </c>
      <c r="D149" s="91">
        <v>2298569.54</v>
      </c>
      <c r="E149" s="91">
        <v>2298569.54</v>
      </c>
      <c r="F149" s="91">
        <v>0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Overhead - Labor Cost</v>
      </c>
      <c r="J149" t="str">
        <f>_xlfn.XLOOKUP($A149,Map!$A:$A,Map!F:F)</f>
        <v>Salaries and wages</v>
      </c>
    </row>
    <row r="150" spans="1:10" hidden="1" x14ac:dyDescent="0.25">
      <c r="A150" s="90">
        <v>600002</v>
      </c>
      <c r="B150" s="90" t="s">
        <v>138</v>
      </c>
      <c r="C150" s="91">
        <v>0</v>
      </c>
      <c r="D150" s="91">
        <v>74</v>
      </c>
      <c r="E150" s="91">
        <v>74</v>
      </c>
      <c r="F150" s="91">
        <v>0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Overhead - Labor Cost</v>
      </c>
      <c r="J150" t="str">
        <f>_xlfn.XLOOKUP($A150,Map!$A:$A,Map!F:F)</f>
        <v>Overtime pay</v>
      </c>
    </row>
    <row r="151" spans="1:10" hidden="1" x14ac:dyDescent="0.25">
      <c r="A151" s="90">
        <v>600003</v>
      </c>
      <c r="B151" s="90" t="s">
        <v>139</v>
      </c>
      <c r="C151" s="91">
        <v>0</v>
      </c>
      <c r="D151" s="91">
        <v>884347.2</v>
      </c>
      <c r="E151" s="91">
        <v>884347.2</v>
      </c>
      <c r="F151" s="91">
        <v>0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Overhead - Labor Cost</v>
      </c>
      <c r="J151" t="str">
        <f>_xlfn.XLOOKUP($A151,Map!$A:$A,Map!F:F)</f>
        <v xml:space="preserve">Food &amp; Housing </v>
      </c>
    </row>
    <row r="152" spans="1:10" hidden="1" x14ac:dyDescent="0.25">
      <c r="A152" s="90">
        <v>600004</v>
      </c>
      <c r="B152" s="90" t="s">
        <v>140</v>
      </c>
      <c r="C152" s="91">
        <v>0</v>
      </c>
      <c r="D152" s="91">
        <v>405544.04300000001</v>
      </c>
      <c r="E152" s="91">
        <v>405544.04300000001</v>
      </c>
      <c r="F152" s="91">
        <v>0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Overhead - Labor Cost</v>
      </c>
      <c r="J152" t="str">
        <f>_xlfn.XLOOKUP($A152,Map!$A:$A,Map!F:F)</f>
        <v>Medical insurance</v>
      </c>
    </row>
    <row r="153" spans="1:10" hidden="1" x14ac:dyDescent="0.25">
      <c r="A153" s="90">
        <v>600005</v>
      </c>
      <c r="B153" s="90" t="s">
        <v>141</v>
      </c>
      <c r="C153" s="91">
        <v>0</v>
      </c>
      <c r="D153" s="91">
        <v>201285.76000000001</v>
      </c>
      <c r="E153" s="91">
        <v>201285.76000000001</v>
      </c>
      <c r="F153" s="91">
        <v>0</v>
      </c>
      <c r="G153" t="str">
        <f>_xlfn.XLOOKUP($A153,Map!$A:$A,Map!C:C)</f>
        <v>IS</v>
      </c>
      <c r="H153" t="str">
        <f>_xlfn.XLOOKUP($A153,Map!$A:$A,Map!D:D)</f>
        <v>General and Admin</v>
      </c>
      <c r="I153" t="str">
        <f>_xlfn.XLOOKUP($A153,Map!$A:$A,Map!E:E)</f>
        <v>Govt license and fees (including modon)</v>
      </c>
      <c r="J153" t="str">
        <f>_xlfn.XLOOKUP($A153,Map!$A:$A,Map!F:F)</f>
        <v>Government fees</v>
      </c>
    </row>
    <row r="154" spans="1:10" hidden="1" x14ac:dyDescent="0.25">
      <c r="A154" s="90">
        <v>600006</v>
      </c>
      <c r="B154" s="90" t="s">
        <v>142</v>
      </c>
      <c r="C154" s="91">
        <v>0</v>
      </c>
      <c r="D154" s="91">
        <v>1100797.699</v>
      </c>
      <c r="E154" s="91">
        <v>1100797.699</v>
      </c>
      <c r="F154" s="91">
        <v>0</v>
      </c>
      <c r="G154" t="str">
        <f>_xlfn.XLOOKUP($A154,Map!$A:$A,Map!C:C)</f>
        <v>IS</v>
      </c>
      <c r="H154" t="str">
        <f>_xlfn.XLOOKUP($A154,Map!$A:$A,Map!D:D)</f>
        <v>Cost of sales</v>
      </c>
      <c r="I154" t="str">
        <f>_xlfn.XLOOKUP($A154,Map!$A:$A,Map!E:E)</f>
        <v>Overhead - Labor Cost</v>
      </c>
      <c r="J154" t="str">
        <f>_xlfn.XLOOKUP($A154,Map!$A:$A,Map!F:F)</f>
        <v xml:space="preserve">Food &amp; Housing </v>
      </c>
    </row>
    <row r="155" spans="1:10" hidden="1" x14ac:dyDescent="0.25">
      <c r="A155" s="90">
        <v>600007</v>
      </c>
      <c r="B155" s="90" t="s">
        <v>143</v>
      </c>
      <c r="C155" s="91">
        <v>0</v>
      </c>
      <c r="D155" s="91">
        <v>0</v>
      </c>
      <c r="E155" s="91">
        <v>0</v>
      </c>
      <c r="F155" s="91">
        <v>0</v>
      </c>
      <c r="G155" t="str">
        <f>_xlfn.XLOOKUP($A155,Map!$A:$A,Map!C:C)</f>
        <v>IS</v>
      </c>
      <c r="H155" t="str">
        <f>_xlfn.XLOOKUP($A155,Map!$A:$A,Map!D:D)</f>
        <v>Cost of sales</v>
      </c>
      <c r="I155" t="str">
        <f>_xlfn.XLOOKUP($A155,Map!$A:$A,Map!E:E)</f>
        <v>Overhead - Labor Cost</v>
      </c>
      <c r="J155" t="str">
        <f>_xlfn.XLOOKUP($A155,Map!$A:$A,Map!F:F)</f>
        <v>Transportation allowance</v>
      </c>
    </row>
    <row r="156" spans="1:10" hidden="1" x14ac:dyDescent="0.25">
      <c r="A156" s="90">
        <v>600008</v>
      </c>
      <c r="B156" s="90" t="s">
        <v>144</v>
      </c>
      <c r="C156" s="91">
        <v>0</v>
      </c>
      <c r="D156" s="91">
        <v>322112.43599999999</v>
      </c>
      <c r="E156" s="91">
        <v>322112.43599999999</v>
      </c>
      <c r="F156" s="91">
        <v>0</v>
      </c>
      <c r="G156" t="str">
        <f>_xlfn.XLOOKUP($A156,Map!$A:$A,Map!C:C)</f>
        <v>IS</v>
      </c>
      <c r="H156" t="str">
        <f>_xlfn.XLOOKUP($A156,Map!$A:$A,Map!D:D)</f>
        <v>Cost of sales</v>
      </c>
      <c r="I156" t="str">
        <f>_xlfn.XLOOKUP($A156,Map!$A:$A,Map!E:E)</f>
        <v>Overhead - Labor Cost</v>
      </c>
      <c r="J156" t="str">
        <f>_xlfn.XLOOKUP($A156,Map!$A:$A,Map!F:F)</f>
        <v>Air tickets</v>
      </c>
    </row>
    <row r="157" spans="1:10" hidden="1" x14ac:dyDescent="0.25">
      <c r="A157" s="90">
        <v>600009</v>
      </c>
      <c r="B157" s="90" t="s">
        <v>145</v>
      </c>
      <c r="C157" s="91">
        <v>0</v>
      </c>
      <c r="D157" s="91">
        <v>328949.90000000002</v>
      </c>
      <c r="E157" s="91">
        <v>328949.90000000002</v>
      </c>
      <c r="F157" s="91">
        <v>0</v>
      </c>
      <c r="G157" t="str">
        <f>_xlfn.XLOOKUP($A157,Map!$A:$A,Map!C:C)</f>
        <v>IS</v>
      </c>
      <c r="H157" t="str">
        <f>_xlfn.XLOOKUP($A157,Map!$A:$A,Map!D:D)</f>
        <v>Cost of sales</v>
      </c>
      <c r="I157" t="str">
        <f>_xlfn.XLOOKUP($A157,Map!$A:$A,Map!E:E)</f>
        <v>Overhead - Labor Cost</v>
      </c>
      <c r="J157" t="str">
        <f>_xlfn.XLOOKUP($A157,Map!$A:$A,Map!F:F)</f>
        <v>Vacation pay</v>
      </c>
    </row>
    <row r="158" spans="1:10" hidden="1" x14ac:dyDescent="0.25">
      <c r="A158" s="90">
        <v>600010</v>
      </c>
      <c r="B158" s="90" t="s">
        <v>146</v>
      </c>
      <c r="C158" s="91">
        <v>0</v>
      </c>
      <c r="D158" s="91">
        <v>22591</v>
      </c>
      <c r="E158" s="91">
        <v>22591</v>
      </c>
      <c r="F158" s="91">
        <v>0</v>
      </c>
      <c r="G158" t="str">
        <f>_xlfn.XLOOKUP($A158,Map!$A:$A,Map!C:C)</f>
        <v>IS</v>
      </c>
      <c r="H158" t="str">
        <f>_xlfn.XLOOKUP($A158,Map!$A:$A,Map!D:D)</f>
        <v>Cost of sales</v>
      </c>
      <c r="I158" t="str">
        <f>_xlfn.XLOOKUP($A158,Map!$A:$A,Map!E:E)</f>
        <v>Overhead - Labor Cost</v>
      </c>
      <c r="J158" t="str">
        <f>_xlfn.XLOOKUP($A158,Map!$A:$A,Map!F:F)</f>
        <v>EOS expenses</v>
      </c>
    </row>
    <row r="159" spans="1:10" hidden="1" x14ac:dyDescent="0.25">
      <c r="A159" s="90">
        <v>600011</v>
      </c>
      <c r="B159" s="90" t="s">
        <v>147</v>
      </c>
      <c r="C159" s="91">
        <v>0</v>
      </c>
      <c r="D159" s="91">
        <v>12000</v>
      </c>
      <c r="E159" s="91">
        <v>12000</v>
      </c>
      <c r="F159" s="91">
        <v>0</v>
      </c>
      <c r="G159" t="str">
        <f>_xlfn.XLOOKUP($A159,Map!$A:$A,Map!C:C)</f>
        <v>IS</v>
      </c>
      <c r="H159" t="str">
        <f>_xlfn.XLOOKUP($A159,Map!$A:$A,Map!D:D)</f>
        <v>Cost of sales</v>
      </c>
      <c r="I159" t="str">
        <f>_xlfn.XLOOKUP($A159,Map!$A:$A,Map!E:E)</f>
        <v>Overhead - Labor Cost</v>
      </c>
      <c r="J159" t="str">
        <f>_xlfn.XLOOKUP($A159,Map!$A:$A,Map!F:F)</f>
        <v>Air tickets</v>
      </c>
    </row>
    <row r="160" spans="1:10" hidden="1" x14ac:dyDescent="0.25">
      <c r="A160" s="90">
        <v>600012</v>
      </c>
      <c r="B160" s="90" t="s">
        <v>148</v>
      </c>
      <c r="C160" s="91">
        <v>0</v>
      </c>
      <c r="D160" s="91">
        <v>0</v>
      </c>
      <c r="E160" s="91">
        <v>0</v>
      </c>
      <c r="F160" s="91">
        <v>0</v>
      </c>
      <c r="G160" t="str">
        <f>_xlfn.XLOOKUP($A160,Map!$A:$A,Map!C:C)</f>
        <v>IS</v>
      </c>
      <c r="H160" t="str">
        <f>_xlfn.XLOOKUP($A160,Map!$A:$A,Map!D:D)</f>
        <v>Cost of sales</v>
      </c>
      <c r="I160" t="str">
        <f>_xlfn.XLOOKUP($A160,Map!$A:$A,Map!E:E)</f>
        <v>Overhead - Labor Cost</v>
      </c>
      <c r="J160" t="str">
        <f>_xlfn.XLOOKUP($A160,Map!$A:$A,Map!F:F)</f>
        <v xml:space="preserve">Education &amp; Furniture Allowances </v>
      </c>
    </row>
    <row r="161" spans="1:10" hidden="1" x14ac:dyDescent="0.25">
      <c r="A161" s="90">
        <v>600013</v>
      </c>
      <c r="B161" s="90" t="s">
        <v>149</v>
      </c>
      <c r="C161" s="91">
        <v>0</v>
      </c>
      <c r="D161" s="91">
        <v>0</v>
      </c>
      <c r="E161" s="91">
        <v>0</v>
      </c>
      <c r="F161" s="91">
        <v>0</v>
      </c>
      <c r="G161" t="str">
        <f>_xlfn.XLOOKUP($A161,Map!$A:$A,Map!C:C)</f>
        <v>IS</v>
      </c>
      <c r="H161" t="str">
        <f>_xlfn.XLOOKUP($A161,Map!$A:$A,Map!D:D)</f>
        <v>Cost of sales</v>
      </c>
      <c r="I161" t="str">
        <f>_xlfn.XLOOKUP($A161,Map!$A:$A,Map!E:E)</f>
        <v>Overhead - Labor Cost</v>
      </c>
      <c r="J161" t="str">
        <f>_xlfn.XLOOKUP($A161,Map!$A:$A,Map!F:F)</f>
        <v>Telephone allowance</v>
      </c>
    </row>
    <row r="162" spans="1:10" hidden="1" x14ac:dyDescent="0.25">
      <c r="A162" s="90">
        <v>600014</v>
      </c>
      <c r="B162" s="90" t="s">
        <v>60</v>
      </c>
      <c r="C162" s="91">
        <v>0</v>
      </c>
      <c r="D162" s="91">
        <v>2121649.3220000002</v>
      </c>
      <c r="E162" s="91">
        <v>2121649.3220000002</v>
      </c>
      <c r="F162" s="91">
        <v>0</v>
      </c>
      <c r="G162" t="str">
        <f>_xlfn.XLOOKUP($A162,Map!$A:$A,Map!C:C)</f>
        <v>IS</v>
      </c>
      <c r="H162" t="str">
        <f>_xlfn.XLOOKUP($A162,Map!$A:$A,Map!D:D)</f>
        <v>Cost of sales</v>
      </c>
      <c r="I162" t="str">
        <f>_xlfn.XLOOKUP($A162,Map!$A:$A,Map!E:E)</f>
        <v>Overhead - Consumables &amp; SP</v>
      </c>
      <c r="J162" t="str">
        <f>_xlfn.XLOOKUP($A162,Map!$A:$A,Map!F:F)</f>
        <v>Consumables</v>
      </c>
    </row>
    <row r="163" spans="1:10" hidden="1" x14ac:dyDescent="0.25">
      <c r="A163" s="90">
        <v>600015</v>
      </c>
      <c r="B163" s="90" t="s">
        <v>150</v>
      </c>
      <c r="C163" s="91">
        <v>0</v>
      </c>
      <c r="D163" s="91">
        <v>0</v>
      </c>
      <c r="E163" s="91">
        <v>0</v>
      </c>
      <c r="F163" s="91">
        <v>0</v>
      </c>
      <c r="G163" t="str">
        <f>_xlfn.XLOOKUP($A163,Map!$A:$A,Map!C:C)</f>
        <v>IS</v>
      </c>
      <c r="H163" t="str">
        <f>_xlfn.XLOOKUP($A163,Map!$A:$A,Map!D:D)</f>
        <v>Cost of sales</v>
      </c>
      <c r="I163" t="str">
        <f>_xlfn.XLOOKUP($A163,Map!$A:$A,Map!E:E)</f>
        <v>Overhead - Consumables &amp; SP</v>
      </c>
      <c r="J163" t="str">
        <f>_xlfn.XLOOKUP($A163,Map!$A:$A,Map!F:F)</f>
        <v>Consumables</v>
      </c>
    </row>
    <row r="164" spans="1:10" hidden="1" x14ac:dyDescent="0.25">
      <c r="A164" s="90">
        <v>600016</v>
      </c>
      <c r="B164" s="90" t="s">
        <v>151</v>
      </c>
      <c r="C164" s="91">
        <v>0</v>
      </c>
      <c r="D164" s="91">
        <v>2368143.1830000002</v>
      </c>
      <c r="E164" s="91">
        <v>2368143.1830000002</v>
      </c>
      <c r="F164" s="91">
        <v>0</v>
      </c>
      <c r="G164" t="str">
        <f>_xlfn.XLOOKUP($A164,Map!$A:$A,Map!C:C)</f>
        <v>IS</v>
      </c>
      <c r="H164" t="str">
        <f>_xlfn.XLOOKUP($A164,Map!$A:$A,Map!D:D)</f>
        <v>Cost of sales</v>
      </c>
      <c r="I164" t="str">
        <f>_xlfn.XLOOKUP($A164,Map!$A:$A,Map!E:E)</f>
        <v>Overhead - Consumables &amp; SP</v>
      </c>
      <c r="J164" t="str">
        <f>_xlfn.XLOOKUP($A164,Map!$A:$A,Map!F:F)</f>
        <v>Tools</v>
      </c>
    </row>
    <row r="165" spans="1:10" hidden="1" x14ac:dyDescent="0.25">
      <c r="A165" s="90">
        <v>600017</v>
      </c>
      <c r="B165" s="90" t="s">
        <v>152</v>
      </c>
      <c r="C165" s="91">
        <v>0</v>
      </c>
      <c r="D165" s="91">
        <v>1447152.747</v>
      </c>
      <c r="E165" s="91">
        <v>1447152.747</v>
      </c>
      <c r="F165" s="91">
        <v>0</v>
      </c>
      <c r="G165" t="str">
        <f>_xlfn.XLOOKUP($A165,Map!$A:$A,Map!C:C)</f>
        <v>IS</v>
      </c>
      <c r="H165" t="str">
        <f>_xlfn.XLOOKUP($A165,Map!$A:$A,Map!D:D)</f>
        <v>Cost of sales</v>
      </c>
      <c r="I165" t="str">
        <f>_xlfn.XLOOKUP($A165,Map!$A:$A,Map!E:E)</f>
        <v>Overhead - Utility</v>
      </c>
      <c r="J165" t="str">
        <f>_xlfn.XLOOKUP($A165,Map!$A:$A,Map!F:F)</f>
        <v>Electricity expenses</v>
      </c>
    </row>
    <row r="166" spans="1:10" hidden="1" x14ac:dyDescent="0.25">
      <c r="A166" s="90">
        <v>600018</v>
      </c>
      <c r="B166" s="90" t="s">
        <v>153</v>
      </c>
      <c r="C166" s="91">
        <v>0</v>
      </c>
      <c r="D166" s="91">
        <v>135380.5</v>
      </c>
      <c r="E166" s="91">
        <v>135380.5</v>
      </c>
      <c r="F166" s="91">
        <v>0</v>
      </c>
      <c r="G166" t="str">
        <f>_xlfn.XLOOKUP($A166,Map!$A:$A,Map!C:C)</f>
        <v>IS</v>
      </c>
      <c r="H166" t="str">
        <f>_xlfn.XLOOKUP($A166,Map!$A:$A,Map!D:D)</f>
        <v>Cost of sales</v>
      </c>
      <c r="I166" t="str">
        <f>_xlfn.XLOOKUP($A166,Map!$A:$A,Map!E:E)</f>
        <v>Overhead - Utility</v>
      </c>
      <c r="J166" t="str">
        <f>_xlfn.XLOOKUP($A166,Map!$A:$A,Map!F:F)</f>
        <v>Water expenses</v>
      </c>
    </row>
    <row r="167" spans="1:10" hidden="1" x14ac:dyDescent="0.25">
      <c r="A167" s="90">
        <v>600019</v>
      </c>
      <c r="B167" s="90" t="s">
        <v>154</v>
      </c>
      <c r="C167" s="91">
        <v>0</v>
      </c>
      <c r="D167" s="91">
        <v>74965.739000000001</v>
      </c>
      <c r="E167" s="91">
        <v>74965.739000000001</v>
      </c>
      <c r="F167" s="91">
        <v>0</v>
      </c>
      <c r="G167" t="str">
        <f>_xlfn.XLOOKUP($A167,Map!$A:$A,Map!C:C)</f>
        <v>IS</v>
      </c>
      <c r="H167" t="str">
        <f>_xlfn.XLOOKUP($A167,Map!$A:$A,Map!D:D)</f>
        <v>Cost of sales</v>
      </c>
      <c r="I167" t="str">
        <f>_xlfn.XLOOKUP($A167,Map!$A:$A,Map!E:E)</f>
        <v>Overhead - Utility</v>
      </c>
      <c r="J167" t="str">
        <f>_xlfn.XLOOKUP($A167,Map!$A:$A,Map!F:F)</f>
        <v>Fuel and oil</v>
      </c>
    </row>
    <row r="168" spans="1:10" hidden="1" x14ac:dyDescent="0.25">
      <c r="A168" s="90">
        <v>600020</v>
      </c>
      <c r="B168" s="90" t="s">
        <v>155</v>
      </c>
      <c r="C168" s="91">
        <v>0</v>
      </c>
      <c r="D168" s="91">
        <v>295843.37900000002</v>
      </c>
      <c r="E168" s="91">
        <v>295843.37900000002</v>
      </c>
      <c r="F168" s="91">
        <v>0</v>
      </c>
      <c r="G168" t="str">
        <f>_xlfn.XLOOKUP($A168,Map!$A:$A,Map!C:C)</f>
        <v>IS</v>
      </c>
      <c r="H168" t="str">
        <f>_xlfn.XLOOKUP($A168,Map!$A:$A,Map!D:D)</f>
        <v>Cost of sales</v>
      </c>
      <c r="I168" t="str">
        <f>_xlfn.XLOOKUP($A168,Map!$A:$A,Map!E:E)</f>
        <v>Overhead - R&amp;M</v>
      </c>
      <c r="J168" t="str">
        <f>_xlfn.XLOOKUP($A168,Map!$A:$A,Map!F:F)</f>
        <v>Machine and equipment</v>
      </c>
    </row>
    <row r="169" spans="1:10" hidden="1" x14ac:dyDescent="0.25">
      <c r="A169" s="90">
        <v>600021</v>
      </c>
      <c r="B169" s="90" t="s">
        <v>156</v>
      </c>
      <c r="C169" s="91">
        <v>0</v>
      </c>
      <c r="D169" s="91">
        <v>25387.22</v>
      </c>
      <c r="E169" s="91">
        <v>25387.22</v>
      </c>
      <c r="F169" s="91">
        <v>0</v>
      </c>
      <c r="G169" t="str">
        <f>_xlfn.XLOOKUP($A169,Map!$A:$A,Map!C:C)</f>
        <v>IS</v>
      </c>
      <c r="H169" t="str">
        <f>_xlfn.XLOOKUP($A169,Map!$A:$A,Map!D:D)</f>
        <v>Cost of sales</v>
      </c>
      <c r="I169" t="str">
        <f>_xlfn.XLOOKUP($A169,Map!$A:$A,Map!E:E)</f>
        <v>Overhead - R&amp;M</v>
      </c>
      <c r="J169" t="str">
        <f>_xlfn.XLOOKUP($A169,Map!$A:$A,Map!F:F)</f>
        <v>Vehicle maintenance</v>
      </c>
    </row>
    <row r="170" spans="1:10" hidden="1" x14ac:dyDescent="0.25">
      <c r="A170" s="90">
        <v>600022</v>
      </c>
      <c r="B170" s="90" t="s">
        <v>157</v>
      </c>
      <c r="C170" s="91">
        <v>0</v>
      </c>
      <c r="D170" s="91">
        <v>35757.97</v>
      </c>
      <c r="E170" s="91">
        <v>35757.97</v>
      </c>
      <c r="F170" s="91">
        <v>0</v>
      </c>
      <c r="G170" t="str">
        <f>_xlfn.XLOOKUP($A170,Map!$A:$A,Map!C:C)</f>
        <v>IS</v>
      </c>
      <c r="H170" t="str">
        <f>_xlfn.XLOOKUP($A170,Map!$A:$A,Map!D:D)</f>
        <v>Cost of sales</v>
      </c>
      <c r="I170" t="str">
        <f>_xlfn.XLOOKUP($A170,Map!$A:$A,Map!E:E)</f>
        <v>Overhead - R&amp;M</v>
      </c>
      <c r="J170" t="str">
        <f>_xlfn.XLOOKUP($A170,Map!$A:$A,Map!F:F)</f>
        <v>Building maintenance</v>
      </c>
    </row>
    <row r="171" spans="1:10" hidden="1" x14ac:dyDescent="0.25">
      <c r="A171" s="90">
        <v>600023</v>
      </c>
      <c r="B171" s="90" t="s">
        <v>158</v>
      </c>
      <c r="C171" s="91">
        <v>0</v>
      </c>
      <c r="D171" s="91">
        <v>0</v>
      </c>
      <c r="E171" s="91">
        <v>0</v>
      </c>
      <c r="F171" s="91">
        <v>0</v>
      </c>
      <c r="G171" t="str">
        <f>_xlfn.XLOOKUP($A171,Map!$A:$A,Map!C:C)</f>
        <v>IS</v>
      </c>
      <c r="H171" t="str">
        <f>_xlfn.XLOOKUP($A171,Map!$A:$A,Map!D:D)</f>
        <v>Cost of sales</v>
      </c>
      <c r="I171" t="str">
        <f>_xlfn.XLOOKUP($A171,Map!$A:$A,Map!E:E)</f>
        <v>Overhead - R&amp;M</v>
      </c>
      <c r="J171" t="str">
        <f>_xlfn.XLOOKUP($A171,Map!$A:$A,Map!F:F)</f>
        <v>Office equipment maintenance</v>
      </c>
    </row>
    <row r="172" spans="1:10" hidden="1" x14ac:dyDescent="0.25">
      <c r="A172" s="90">
        <v>600024</v>
      </c>
      <c r="B172" s="90" t="s">
        <v>159</v>
      </c>
      <c r="C172" s="91">
        <v>0</v>
      </c>
      <c r="D172" s="91">
        <v>0</v>
      </c>
      <c r="E172" s="91">
        <v>0</v>
      </c>
      <c r="F172" s="91">
        <v>0</v>
      </c>
      <c r="G172" t="str">
        <f>_xlfn.XLOOKUP($A172,Map!$A:$A,Map!C:C)</f>
        <v>IS</v>
      </c>
      <c r="H172" t="str">
        <f>_xlfn.XLOOKUP($A172,Map!$A:$A,Map!D:D)</f>
        <v>Cost of sales</v>
      </c>
      <c r="I172" t="str">
        <f>_xlfn.XLOOKUP($A172,Map!$A:$A,Map!E:E)</f>
        <v>Overhead - Rent</v>
      </c>
      <c r="J172" t="str">
        <f>_xlfn.XLOOKUP($A172,Map!$A:$A,Map!F:F)</f>
        <v>Pump rental expenses</v>
      </c>
    </row>
    <row r="173" spans="1:10" hidden="1" x14ac:dyDescent="0.25">
      <c r="A173" s="90">
        <v>600025</v>
      </c>
      <c r="B173" s="90" t="s">
        <v>160</v>
      </c>
      <c r="C173" s="91">
        <v>0</v>
      </c>
      <c r="D173" s="91">
        <v>0</v>
      </c>
      <c r="E173" s="91">
        <v>0</v>
      </c>
      <c r="F173" s="91">
        <v>0</v>
      </c>
      <c r="G173" t="str">
        <f>_xlfn.XLOOKUP($A173,Map!$A:$A,Map!C:C)</f>
        <v>IS</v>
      </c>
      <c r="H173" t="str">
        <f>_xlfn.XLOOKUP($A173,Map!$A:$A,Map!D:D)</f>
        <v>Cost of sales</v>
      </c>
      <c r="I173" t="str">
        <f>_xlfn.XLOOKUP($A173,Map!$A:$A,Map!E:E)</f>
        <v>Overhead - Insurance</v>
      </c>
      <c r="J173" t="str">
        <f>_xlfn.XLOOKUP($A173,Map!$A:$A,Map!F:F)</f>
        <v>Building insurance</v>
      </c>
    </row>
    <row r="174" spans="1:10" hidden="1" x14ac:dyDescent="0.25">
      <c r="A174" s="90">
        <v>600026</v>
      </c>
      <c r="B174" s="90" t="s">
        <v>161</v>
      </c>
      <c r="C174" s="91">
        <v>0</v>
      </c>
      <c r="D174" s="91">
        <v>0</v>
      </c>
      <c r="E174" s="91">
        <v>0</v>
      </c>
      <c r="F174" s="91">
        <v>0</v>
      </c>
      <c r="G174" t="str">
        <f>_xlfn.XLOOKUP($A174,Map!$A:$A,Map!C:C)</f>
        <v>IS</v>
      </c>
      <c r="H174" t="str">
        <f>_xlfn.XLOOKUP($A174,Map!$A:$A,Map!D:D)</f>
        <v>Cost of sales</v>
      </c>
      <c r="I174" t="str">
        <f>_xlfn.XLOOKUP($A174,Map!$A:$A,Map!E:E)</f>
        <v>Overhead - Insurance</v>
      </c>
      <c r="J174" t="str">
        <f>_xlfn.XLOOKUP($A174,Map!$A:$A,Map!F:F)</f>
        <v>Machine and equipment insurance</v>
      </c>
    </row>
    <row r="175" spans="1:10" hidden="1" x14ac:dyDescent="0.25">
      <c r="A175" s="90">
        <v>600027</v>
      </c>
      <c r="B175" s="90" t="s">
        <v>162</v>
      </c>
      <c r="C175" s="91">
        <v>0</v>
      </c>
      <c r="D175" s="91">
        <v>0</v>
      </c>
      <c r="E175" s="91">
        <v>0</v>
      </c>
      <c r="F175" s="91">
        <v>0</v>
      </c>
      <c r="G175" t="str">
        <f>_xlfn.XLOOKUP($A175,Map!$A:$A,Map!C:C)</f>
        <v>IS</v>
      </c>
      <c r="H175" t="str">
        <f>_xlfn.XLOOKUP($A175,Map!$A:$A,Map!D:D)</f>
        <v>Cost of sales</v>
      </c>
      <c r="I175" t="str">
        <f>_xlfn.XLOOKUP($A175,Map!$A:$A,Map!E:E)</f>
        <v>Overhead - Rent</v>
      </c>
      <c r="J175" t="str">
        <f>_xlfn.XLOOKUP($A175,Map!$A:$A,Map!F:F)</f>
        <v>Production hall rental</v>
      </c>
    </row>
    <row r="176" spans="1:10" hidden="1" x14ac:dyDescent="0.25">
      <c r="A176" s="90">
        <v>600028</v>
      </c>
      <c r="B176" s="90" t="s">
        <v>163</v>
      </c>
      <c r="C176" s="91">
        <v>0</v>
      </c>
      <c r="D176" s="91">
        <v>0</v>
      </c>
      <c r="E176" s="91">
        <v>0</v>
      </c>
      <c r="F176" s="91">
        <v>0</v>
      </c>
      <c r="G176" t="str">
        <f>_xlfn.XLOOKUP($A176,Map!$A:$A,Map!C:C)</f>
        <v>IS</v>
      </c>
      <c r="H176" t="str">
        <f>_xlfn.XLOOKUP($A176,Map!$A:$A,Map!D:D)</f>
        <v>Cost of sales</v>
      </c>
      <c r="I176" t="str">
        <f>_xlfn.XLOOKUP($A176,Map!$A:$A,Map!E:E)</f>
        <v>Overhead - Consumables &amp; SP</v>
      </c>
      <c r="J176" t="str">
        <f>_xlfn.XLOOKUP($A176,Map!$A:$A,Map!F:F)</f>
        <v xml:space="preserve">Education &amp; Furniture Allowances </v>
      </c>
    </row>
    <row r="177" spans="1:10" hidden="1" x14ac:dyDescent="0.25">
      <c r="A177" s="90">
        <v>600029</v>
      </c>
      <c r="B177" s="90" t="s">
        <v>164</v>
      </c>
      <c r="C177" s="91">
        <v>0</v>
      </c>
      <c r="D177" s="91">
        <v>3892923.0929999999</v>
      </c>
      <c r="E177" s="91">
        <v>3892923.0929999999</v>
      </c>
      <c r="F177" s="91">
        <v>0</v>
      </c>
      <c r="G177" t="str">
        <f>_xlfn.XLOOKUP($A177,Map!$A:$A,Map!C:C)</f>
        <v>IS</v>
      </c>
      <c r="H177" t="str">
        <f>_xlfn.XLOOKUP($A177,Map!$A:$A,Map!D:D)</f>
        <v>Cost of sales</v>
      </c>
      <c r="I177" t="str">
        <f>_xlfn.XLOOKUP($A177,Map!$A:$A,Map!E:E)</f>
        <v>Depreciation - Machines</v>
      </c>
      <c r="J177" t="str">
        <f>_xlfn.XLOOKUP($A177,Map!$A:$A,Map!F:F)</f>
        <v>Depreciation of property, plant and equipment</v>
      </c>
    </row>
    <row r="178" spans="1:10" hidden="1" x14ac:dyDescent="0.25">
      <c r="A178" s="90">
        <v>600030</v>
      </c>
      <c r="B178" s="90" t="s">
        <v>165</v>
      </c>
      <c r="C178" s="91">
        <v>0</v>
      </c>
      <c r="D178" s="91">
        <v>87931.763999999996</v>
      </c>
      <c r="E178" s="91">
        <v>87931.763999999996</v>
      </c>
      <c r="F178" s="91">
        <v>0</v>
      </c>
      <c r="G178" t="str">
        <f>_xlfn.XLOOKUP($A178,Map!$A:$A,Map!C:C)</f>
        <v>IS</v>
      </c>
      <c r="H178" t="str">
        <f>_xlfn.XLOOKUP($A178,Map!$A:$A,Map!D:D)</f>
        <v>Depreciation expenses</v>
      </c>
      <c r="I178" t="str">
        <f>_xlfn.XLOOKUP($A178,Map!$A:$A,Map!E:E)</f>
        <v>Depreciation expenses</v>
      </c>
      <c r="J178" t="str">
        <f>_xlfn.XLOOKUP($A178,Map!$A:$A,Map!F:F)</f>
        <v>Depreciation of property, plant and equipment</v>
      </c>
    </row>
    <row r="179" spans="1:10" hidden="1" x14ac:dyDescent="0.25">
      <c r="A179" s="90">
        <v>600031</v>
      </c>
      <c r="B179" s="90" t="s">
        <v>166</v>
      </c>
      <c r="C179" s="91">
        <v>0</v>
      </c>
      <c r="D179" s="91">
        <v>0</v>
      </c>
      <c r="E179" s="91">
        <v>0</v>
      </c>
      <c r="F179" s="91">
        <v>0</v>
      </c>
      <c r="G179" t="str">
        <f>_xlfn.XLOOKUP($A179,Map!$A:$A,Map!C:C)</f>
        <v>IS</v>
      </c>
      <c r="H179" t="str">
        <f>_xlfn.XLOOKUP($A179,Map!$A:$A,Map!D:D)</f>
        <v>Depreciation expenses</v>
      </c>
      <c r="I179" t="str">
        <f>_xlfn.XLOOKUP($A179,Map!$A:$A,Map!E:E)</f>
        <v>Depreciation expenses</v>
      </c>
      <c r="J179" t="str">
        <f>_xlfn.XLOOKUP($A179,Map!$A:$A,Map!F:F)</f>
        <v>Depreciation of property, plant and equipment</v>
      </c>
    </row>
    <row r="180" spans="1:10" hidden="1" x14ac:dyDescent="0.25">
      <c r="A180" s="90">
        <v>600032</v>
      </c>
      <c r="B180" s="90" t="s">
        <v>167</v>
      </c>
      <c r="C180" s="91">
        <v>0</v>
      </c>
      <c r="D180" s="91">
        <v>1566844.2</v>
      </c>
      <c r="E180" s="91">
        <v>1566844.2</v>
      </c>
      <c r="F180" s="91">
        <v>0</v>
      </c>
      <c r="G180" t="str">
        <f>_xlfn.XLOOKUP($A180,Map!$A:$A,Map!C:C)</f>
        <v>IS</v>
      </c>
      <c r="H180" t="str">
        <f>_xlfn.XLOOKUP($A180,Map!$A:$A,Map!D:D)</f>
        <v>Depreciation expenses</v>
      </c>
      <c r="I180" t="str">
        <f>_xlfn.XLOOKUP($A180,Map!$A:$A,Map!E:E)</f>
        <v>Depreciation expenses</v>
      </c>
      <c r="J180" t="str">
        <f>_xlfn.XLOOKUP($A180,Map!$A:$A,Map!F:F)</f>
        <v>Depreciation of property, plant and equipment</v>
      </c>
    </row>
    <row r="181" spans="1:10" hidden="1" x14ac:dyDescent="0.25">
      <c r="A181" s="90">
        <v>600033</v>
      </c>
      <c r="B181" s="90" t="s">
        <v>168</v>
      </c>
      <c r="C181" s="91">
        <v>0</v>
      </c>
      <c r="D181" s="91">
        <v>162906.99600000001</v>
      </c>
      <c r="E181" s="91">
        <v>162906.99600000001</v>
      </c>
      <c r="F181" s="91">
        <v>0</v>
      </c>
      <c r="G181" t="str">
        <f>_xlfn.XLOOKUP($A181,Map!$A:$A,Map!C:C)</f>
        <v>IS</v>
      </c>
      <c r="H181" t="str">
        <f>_xlfn.XLOOKUP($A181,Map!$A:$A,Map!D:D)</f>
        <v>Depreciation expenses</v>
      </c>
      <c r="I181" t="str">
        <f>_xlfn.XLOOKUP($A181,Map!$A:$A,Map!E:E)</f>
        <v>Depreciation expenses</v>
      </c>
      <c r="J181" t="str">
        <f>_xlfn.XLOOKUP($A181,Map!$A:$A,Map!F:F)</f>
        <v>Depreciation of property, plant and equipment</v>
      </c>
    </row>
    <row r="182" spans="1:10" hidden="1" x14ac:dyDescent="0.25">
      <c r="A182" s="90">
        <v>600034</v>
      </c>
      <c r="B182" s="90" t="s">
        <v>169</v>
      </c>
      <c r="C182" s="91">
        <v>0</v>
      </c>
      <c r="D182" s="91">
        <v>853044.42599999998</v>
      </c>
      <c r="E182" s="91">
        <v>853044.42599999998</v>
      </c>
      <c r="F182" s="91">
        <v>0</v>
      </c>
      <c r="G182" t="str">
        <f>_xlfn.XLOOKUP($A182,Map!$A:$A,Map!C:C)</f>
        <v>IS</v>
      </c>
      <c r="H182" t="str">
        <f>_xlfn.XLOOKUP($A182,Map!$A:$A,Map!D:D)</f>
        <v>Cost of sales</v>
      </c>
      <c r="I182" t="str">
        <f>_xlfn.XLOOKUP($A182,Map!$A:$A,Map!E:E)</f>
        <v>Overhead - Rent Labor</v>
      </c>
      <c r="J182" t="str">
        <f>_xlfn.XLOOKUP($A182,Map!$A:$A,Map!F:F)</f>
        <v>Rental labor</v>
      </c>
    </row>
    <row r="183" spans="1:10" hidden="1" x14ac:dyDescent="0.25">
      <c r="A183" s="90">
        <v>600060</v>
      </c>
      <c r="B183" s="90" t="s">
        <v>170</v>
      </c>
      <c r="C183" s="91">
        <v>0</v>
      </c>
      <c r="D183" s="91">
        <v>790007.2</v>
      </c>
      <c r="E183" s="91">
        <v>790007.2</v>
      </c>
      <c r="F183" s="91">
        <v>0</v>
      </c>
      <c r="G183" t="str">
        <f>_xlfn.XLOOKUP($A183,Map!$A:$A,Map!C:C)</f>
        <v>IS</v>
      </c>
      <c r="H183" t="str">
        <f>_xlfn.XLOOKUP($A183,Map!$A:$A,Map!D:D)</f>
        <v>Other Income</v>
      </c>
      <c r="I183" t="str">
        <f>_xlfn.XLOOKUP($A183,Map!$A:$A,Map!E:E)</f>
        <v>Other Income</v>
      </c>
      <c r="J183" t="str">
        <f>_xlfn.XLOOKUP($A183,Map!$A:$A,Map!F:F)</f>
        <v>Hadaf program</v>
      </c>
    </row>
    <row r="184" spans="1:10" hidden="1" x14ac:dyDescent="0.25">
      <c r="A184" s="90">
        <v>700001</v>
      </c>
      <c r="B184" s="90" t="s">
        <v>171</v>
      </c>
      <c r="C184" s="91">
        <v>0</v>
      </c>
      <c r="D184" s="91">
        <v>5032049.4000000004</v>
      </c>
      <c r="E184" s="91">
        <v>14368</v>
      </c>
      <c r="F184" s="91">
        <v>5017681.4000000004</v>
      </c>
      <c r="G184" t="str">
        <f>_xlfn.XLOOKUP($A184,Map!$A:$A,Map!C:C)</f>
        <v>IS</v>
      </c>
      <c r="H184" t="str">
        <f>_xlfn.XLOOKUP($A184,Map!$A:$A,Map!D:D)</f>
        <v>General and Admin</v>
      </c>
      <c r="I184" t="str">
        <f>_xlfn.XLOOKUP($A184,Map!$A:$A,Map!E:E)</f>
        <v>Salaries and wages</v>
      </c>
      <c r="J184" t="str">
        <f>_xlfn.XLOOKUP($A184,Map!$A:$A,Map!F:F)</f>
        <v>Salaries and wages</v>
      </c>
    </row>
    <row r="185" spans="1:10" hidden="1" x14ac:dyDescent="0.25">
      <c r="A185" s="90">
        <v>700002</v>
      </c>
      <c r="B185" s="90" t="s">
        <v>172</v>
      </c>
      <c r="C185" s="91">
        <v>0</v>
      </c>
      <c r="D185" s="91">
        <v>5730.22</v>
      </c>
      <c r="E185" s="91">
        <v>0</v>
      </c>
      <c r="F185" s="91">
        <v>5730.22</v>
      </c>
      <c r="G185" t="str">
        <f>_xlfn.XLOOKUP($A185,Map!$A:$A,Map!C:C)</f>
        <v>IS</v>
      </c>
      <c r="H185" t="str">
        <f>_xlfn.XLOOKUP($A185,Map!$A:$A,Map!D:D)</f>
        <v>General and Admin</v>
      </c>
      <c r="I185" t="str">
        <f>_xlfn.XLOOKUP($A185,Map!$A:$A,Map!E:E)</f>
        <v>Salaries and wages</v>
      </c>
      <c r="J185" t="str">
        <f>_xlfn.XLOOKUP($A185,Map!$A:$A,Map!F:F)</f>
        <v>Overtime pay</v>
      </c>
    </row>
    <row r="186" spans="1:10" hidden="1" x14ac:dyDescent="0.25">
      <c r="A186" s="90">
        <v>700003</v>
      </c>
      <c r="B186" s="90" t="s">
        <v>173</v>
      </c>
      <c r="C186" s="91">
        <v>0</v>
      </c>
      <c r="D186" s="91">
        <v>9600</v>
      </c>
      <c r="E186" s="91">
        <v>0</v>
      </c>
      <c r="F186" s="91">
        <v>9600</v>
      </c>
      <c r="G186" t="str">
        <f>_xlfn.XLOOKUP($A186,Map!$A:$A,Map!C:C)</f>
        <v>IS</v>
      </c>
      <c r="H186" t="str">
        <f>_xlfn.XLOOKUP($A186,Map!$A:$A,Map!D:D)</f>
        <v>General and Admin</v>
      </c>
      <c r="I186" t="str">
        <f>_xlfn.XLOOKUP($A186,Map!$A:$A,Map!E:E)</f>
        <v>Salaries and wages</v>
      </c>
      <c r="J186" t="str">
        <f>_xlfn.XLOOKUP($A186,Map!$A:$A,Map!F:F)</f>
        <v xml:space="preserve">Food &amp; Housing </v>
      </c>
    </row>
    <row r="187" spans="1:10" hidden="1" x14ac:dyDescent="0.25">
      <c r="A187" s="90">
        <v>700004</v>
      </c>
      <c r="B187" s="90" t="s">
        <v>174</v>
      </c>
      <c r="C187" s="91">
        <v>0</v>
      </c>
      <c r="D187" s="91">
        <v>341975.08799999999</v>
      </c>
      <c r="E187" s="91">
        <v>0</v>
      </c>
      <c r="F187" s="91">
        <v>341975.08799999999</v>
      </c>
      <c r="G187" t="str">
        <f>_xlfn.XLOOKUP($A187,Map!$A:$A,Map!C:C)</f>
        <v>IS</v>
      </c>
      <c r="H187" t="str">
        <f>_xlfn.XLOOKUP($A187,Map!$A:$A,Map!D:D)</f>
        <v>General and Admin</v>
      </c>
      <c r="I187" t="str">
        <f>_xlfn.XLOOKUP($A187,Map!$A:$A,Map!E:E)</f>
        <v>Salaries and wages</v>
      </c>
      <c r="J187" t="str">
        <f>_xlfn.XLOOKUP($A187,Map!$A:$A,Map!F:F)</f>
        <v>Medical insurance</v>
      </c>
    </row>
    <row r="188" spans="1:10" hidden="1" x14ac:dyDescent="0.25">
      <c r="A188" s="90">
        <v>700005</v>
      </c>
      <c r="B188" s="90" t="s">
        <v>175</v>
      </c>
      <c r="C188" s="91">
        <v>0</v>
      </c>
      <c r="D188" s="91">
        <v>152832.95999999999</v>
      </c>
      <c r="E188" s="91">
        <v>19985.5</v>
      </c>
      <c r="F188" s="91">
        <v>132847.46</v>
      </c>
      <c r="G188" t="str">
        <f>_xlfn.XLOOKUP($A188,Map!$A:$A,Map!C:C)</f>
        <v>IS</v>
      </c>
      <c r="H188" t="str">
        <f>_xlfn.XLOOKUP($A188,Map!$A:$A,Map!D:D)</f>
        <v>General and Admin</v>
      </c>
      <c r="I188" t="str">
        <f>_xlfn.XLOOKUP($A188,Map!$A:$A,Map!E:E)</f>
        <v>Govt license and fees (including modon)</v>
      </c>
      <c r="J188" t="str">
        <f>_xlfn.XLOOKUP($A188,Map!$A:$A,Map!F:F)</f>
        <v>Government fees</v>
      </c>
    </row>
    <row r="189" spans="1:10" hidden="1" x14ac:dyDescent="0.25">
      <c r="A189" s="90">
        <v>700006</v>
      </c>
      <c r="B189" s="90" t="s">
        <v>176</v>
      </c>
      <c r="C189" s="91">
        <v>0</v>
      </c>
      <c r="D189" s="91">
        <v>998821.82900000003</v>
      </c>
      <c r="E189" s="91">
        <v>10528</v>
      </c>
      <c r="F189" s="91">
        <v>988293.82900000003</v>
      </c>
      <c r="G189" t="str">
        <f>_xlfn.XLOOKUP($A189,Map!$A:$A,Map!C:C)</f>
        <v>IS</v>
      </c>
      <c r="H189" t="str">
        <f>_xlfn.XLOOKUP($A189,Map!$A:$A,Map!D:D)</f>
        <v>General and Admin</v>
      </c>
      <c r="I189" t="str">
        <f>_xlfn.XLOOKUP($A189,Map!$A:$A,Map!E:E)</f>
        <v>Salaries and wages</v>
      </c>
      <c r="J189" t="str">
        <f>_xlfn.XLOOKUP($A189,Map!$A:$A,Map!F:F)</f>
        <v xml:space="preserve">Food &amp; Housing </v>
      </c>
    </row>
    <row r="190" spans="1:10" hidden="1" x14ac:dyDescent="0.25">
      <c r="A190" s="90">
        <v>700007</v>
      </c>
      <c r="B190" s="90" t="s">
        <v>177</v>
      </c>
      <c r="C190" s="91">
        <v>0</v>
      </c>
      <c r="D190" s="91">
        <v>514862.5</v>
      </c>
      <c r="E190" s="91">
        <v>0</v>
      </c>
      <c r="F190" s="91">
        <v>514862.5</v>
      </c>
      <c r="G190" t="str">
        <f>_xlfn.XLOOKUP($A190,Map!$A:$A,Map!C:C)</f>
        <v>IS</v>
      </c>
      <c r="H190" t="str">
        <f>_xlfn.XLOOKUP($A190,Map!$A:$A,Map!D:D)</f>
        <v>General and Admin</v>
      </c>
      <c r="I190" t="str">
        <f>_xlfn.XLOOKUP($A190,Map!$A:$A,Map!E:E)</f>
        <v>Salaries and wages</v>
      </c>
      <c r="J190" t="str">
        <f>_xlfn.XLOOKUP($A190,Map!$A:$A,Map!F:F)</f>
        <v>Transportation allowance</v>
      </c>
    </row>
    <row r="191" spans="1:10" hidden="1" x14ac:dyDescent="0.25">
      <c r="A191" s="90">
        <v>700008</v>
      </c>
      <c r="B191" s="90" t="s">
        <v>178</v>
      </c>
      <c r="C191" s="91">
        <v>0</v>
      </c>
      <c r="D191" s="91">
        <v>170163.93599999999</v>
      </c>
      <c r="E191" s="91">
        <v>32177.698</v>
      </c>
      <c r="F191" s="91">
        <v>137986.23800000001</v>
      </c>
      <c r="G191" t="str">
        <f>_xlfn.XLOOKUP($A191,Map!$A:$A,Map!C:C)</f>
        <v>IS</v>
      </c>
      <c r="H191" t="str">
        <f>_xlfn.XLOOKUP($A191,Map!$A:$A,Map!D:D)</f>
        <v>General and Admin</v>
      </c>
      <c r="I191" t="str">
        <f>_xlfn.XLOOKUP($A191,Map!$A:$A,Map!E:E)</f>
        <v>Salaries and wages</v>
      </c>
      <c r="J191" t="str">
        <f>_xlfn.XLOOKUP($A191,Map!$A:$A,Map!F:F)</f>
        <v>Air tickets</v>
      </c>
    </row>
    <row r="192" spans="1:10" hidden="1" x14ac:dyDescent="0.25">
      <c r="A192" s="90">
        <v>700009</v>
      </c>
      <c r="B192" s="90" t="s">
        <v>179</v>
      </c>
      <c r="C192" s="91">
        <v>0</v>
      </c>
      <c r="D192" s="91">
        <v>224753.43</v>
      </c>
      <c r="E192" s="91">
        <v>17459</v>
      </c>
      <c r="F192" s="91">
        <v>207294.43</v>
      </c>
      <c r="G192" t="str">
        <f>_xlfn.XLOOKUP($A192,Map!$A:$A,Map!C:C)</f>
        <v>IS</v>
      </c>
      <c r="H192" t="str">
        <f>_xlfn.XLOOKUP($A192,Map!$A:$A,Map!D:D)</f>
        <v>General and Admin</v>
      </c>
      <c r="I192" t="str">
        <f>_xlfn.XLOOKUP($A192,Map!$A:$A,Map!E:E)</f>
        <v>Salaries and wages</v>
      </c>
      <c r="J192" t="str">
        <f>_xlfn.XLOOKUP($A192,Map!$A:$A,Map!F:F)</f>
        <v>Leave pay</v>
      </c>
    </row>
    <row r="193" spans="1:10" hidden="1" x14ac:dyDescent="0.25">
      <c r="A193" s="90">
        <v>700010</v>
      </c>
      <c r="B193" s="90" t="s">
        <v>180</v>
      </c>
      <c r="C193" s="91">
        <v>0</v>
      </c>
      <c r="D193" s="91">
        <v>1015763.133</v>
      </c>
      <c r="E193" s="91">
        <v>280236.93300000002</v>
      </c>
      <c r="F193" s="91">
        <v>735526.2</v>
      </c>
      <c r="G193" t="str">
        <f>_xlfn.XLOOKUP($A193,Map!$A:$A,Map!C:C)</f>
        <v>IS</v>
      </c>
      <c r="H193" t="str">
        <f>_xlfn.XLOOKUP($A193,Map!$A:$A,Map!D:D)</f>
        <v>General and Admin</v>
      </c>
      <c r="I193" t="str">
        <f>_xlfn.XLOOKUP($A193,Map!$A:$A,Map!E:E)</f>
        <v>Salaries and wages</v>
      </c>
      <c r="J193" t="str">
        <f>_xlfn.XLOOKUP($A193,Map!$A:$A,Map!F:F)</f>
        <v>Indemnities</v>
      </c>
    </row>
    <row r="194" spans="1:10" hidden="1" x14ac:dyDescent="0.25">
      <c r="A194" s="90">
        <v>700011</v>
      </c>
      <c r="B194" s="90" t="s">
        <v>181</v>
      </c>
      <c r="C194" s="91">
        <v>0</v>
      </c>
      <c r="D194" s="91">
        <v>66000.002999999997</v>
      </c>
      <c r="E194" s="91">
        <v>2333</v>
      </c>
      <c r="F194" s="91">
        <v>63667.002999999997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Salaries and wages</v>
      </c>
      <c r="J194" t="str">
        <f>_xlfn.XLOOKUP($A194,Map!$A:$A,Map!F:F)</f>
        <v>Air tickets</v>
      </c>
    </row>
    <row r="195" spans="1:10" hidden="1" x14ac:dyDescent="0.25">
      <c r="A195" s="90">
        <v>700012</v>
      </c>
      <c r="B195" s="90" t="s">
        <v>182</v>
      </c>
      <c r="C195" s="91">
        <v>0</v>
      </c>
      <c r="D195" s="91">
        <v>275807.88</v>
      </c>
      <c r="E195" s="91">
        <v>0</v>
      </c>
      <c r="F195" s="91">
        <v>275807.88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Salaries and wages</v>
      </c>
      <c r="J195" t="str">
        <f>_xlfn.XLOOKUP($A195,Map!$A:$A,Map!F:F)</f>
        <v xml:space="preserve">Education &amp; Furniture Allowances </v>
      </c>
    </row>
    <row r="196" spans="1:10" hidden="1" x14ac:dyDescent="0.25">
      <c r="A196" s="90">
        <v>700013</v>
      </c>
      <c r="B196" s="90" t="s">
        <v>183</v>
      </c>
      <c r="C196" s="91">
        <v>0</v>
      </c>
      <c r="D196" s="91">
        <v>34333</v>
      </c>
      <c r="E196" s="91">
        <v>0</v>
      </c>
      <c r="F196" s="91">
        <v>34333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>Utilities</v>
      </c>
      <c r="J196" t="str">
        <f>_xlfn.XLOOKUP($A196,Map!$A:$A,Map!F:F)</f>
        <v>Other general and administrative expenses</v>
      </c>
    </row>
    <row r="197" spans="1:10" hidden="1" x14ac:dyDescent="0.25">
      <c r="A197" s="90">
        <v>700014</v>
      </c>
      <c r="B197" s="90" t="s">
        <v>184</v>
      </c>
      <c r="C197" s="91">
        <v>0</v>
      </c>
      <c r="D197" s="91">
        <v>900</v>
      </c>
      <c r="E197" s="91">
        <v>0</v>
      </c>
      <c r="F197" s="91">
        <v>900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Salaries and wages</v>
      </c>
      <c r="J197" t="str">
        <f>_xlfn.XLOOKUP($A197,Map!$A:$A,Map!F:F)</f>
        <v xml:space="preserve">Education &amp; Furniture Allowances </v>
      </c>
    </row>
    <row r="198" spans="1:10" hidden="1" x14ac:dyDescent="0.25">
      <c r="A198" s="90">
        <v>700015</v>
      </c>
      <c r="B198" s="90" t="s">
        <v>185</v>
      </c>
      <c r="C198" s="91">
        <v>0</v>
      </c>
      <c r="D198" s="91">
        <v>65340.118999999999</v>
      </c>
      <c r="E198" s="91">
        <v>8790.4</v>
      </c>
      <c r="F198" s="91">
        <v>56549.718999999997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Business travel</v>
      </c>
      <c r="J198" t="str">
        <f>_xlfn.XLOOKUP($A198,Map!$A:$A,Map!F:F)</f>
        <v>Transportation expenses</v>
      </c>
    </row>
    <row r="199" spans="1:10" hidden="1" x14ac:dyDescent="0.25">
      <c r="A199" s="90">
        <v>700016</v>
      </c>
      <c r="B199" s="90" t="s">
        <v>186</v>
      </c>
      <c r="C199" s="91">
        <v>0</v>
      </c>
      <c r="D199" s="91">
        <v>5411.4570000000003</v>
      </c>
      <c r="E199" s="91">
        <v>0</v>
      </c>
      <c r="F199" s="91">
        <v>5411.4570000000003</v>
      </c>
      <c r="G199" t="str">
        <f>_xlfn.XLOOKUP($A199,Map!$A:$A,Map!C:C)</f>
        <v>IS</v>
      </c>
      <c r="H199" t="str">
        <f>_xlfn.XLOOKUP($A199,Map!$A:$A,Map!D:D)</f>
        <v>Selling and Marketing</v>
      </c>
      <c r="I199" t="str">
        <f>_xlfn.XLOOKUP($A199,Map!$A:$A,Map!E:E)</f>
        <v>Buffet expenses</v>
      </c>
      <c r="J199" t="str">
        <f>_xlfn.XLOOKUP($A199,Map!$A:$A,Map!F:F)</f>
        <v>Food expenses</v>
      </c>
    </row>
    <row r="200" spans="1:10" hidden="1" x14ac:dyDescent="0.25">
      <c r="A200" s="90">
        <v>700017</v>
      </c>
      <c r="B200" s="90" t="s">
        <v>187</v>
      </c>
      <c r="C200" s="91">
        <v>0</v>
      </c>
      <c r="D200" s="91">
        <v>0</v>
      </c>
      <c r="E200" s="91">
        <v>0</v>
      </c>
      <c r="F200" s="91">
        <v>0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Salaries and wages</v>
      </c>
      <c r="J200" t="str">
        <f>_xlfn.XLOOKUP($A200,Map!$A:$A,Map!F:F)</f>
        <v>Accommodation expenses</v>
      </c>
    </row>
    <row r="201" spans="1:10" hidden="1" x14ac:dyDescent="0.25">
      <c r="A201" s="90">
        <v>700018</v>
      </c>
      <c r="B201" s="90" t="s">
        <v>188</v>
      </c>
      <c r="C201" s="91">
        <v>0</v>
      </c>
      <c r="D201" s="91">
        <v>0</v>
      </c>
      <c r="E201" s="91">
        <v>0</v>
      </c>
      <c r="F201" s="91">
        <v>0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Salaries and wages</v>
      </c>
      <c r="J201" t="str">
        <f>_xlfn.XLOOKUP($A201,Map!$A:$A,Map!F:F)</f>
        <v xml:space="preserve">Employee Medical Emergency Expenses </v>
      </c>
    </row>
    <row r="202" spans="1:10" hidden="1" x14ac:dyDescent="0.25">
      <c r="A202" s="90">
        <v>700019</v>
      </c>
      <c r="B202" s="90" t="s">
        <v>189</v>
      </c>
      <c r="C202" s="91">
        <v>0</v>
      </c>
      <c r="D202" s="91">
        <v>300000</v>
      </c>
      <c r="E202" s="91">
        <v>300000</v>
      </c>
      <c r="F202" s="91">
        <v>0</v>
      </c>
      <c r="G202" t="str">
        <f>_xlfn.XLOOKUP($A202,Map!$A:$A,Map!C:C)</f>
        <v>IS</v>
      </c>
      <c r="H202" t="str">
        <f>_xlfn.XLOOKUP($A202,Map!$A:$A,Map!D:D)</f>
        <v>General and Admin</v>
      </c>
      <c r="I202" t="str">
        <f>_xlfn.XLOOKUP($A202,Map!$A:$A,Map!E:E)</f>
        <v>Salaries and wages</v>
      </c>
      <c r="J202" t="str">
        <f>_xlfn.XLOOKUP($A202,Map!$A:$A,Map!F:F)</f>
        <v xml:space="preserve">Incentives </v>
      </c>
    </row>
    <row r="203" spans="1:10" hidden="1" x14ac:dyDescent="0.25">
      <c r="A203" s="90">
        <v>700020</v>
      </c>
      <c r="B203" s="90" t="s">
        <v>190</v>
      </c>
      <c r="C203" s="91">
        <v>0</v>
      </c>
      <c r="D203" s="91">
        <v>29908.76</v>
      </c>
      <c r="E203" s="91">
        <v>98.76</v>
      </c>
      <c r="F203" s="91">
        <v>29810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>Utilities</v>
      </c>
      <c r="J203" t="str">
        <f>_xlfn.XLOOKUP($A203,Map!$A:$A,Map!F:F)</f>
        <v>Electricity expenses</v>
      </c>
    </row>
    <row r="204" spans="1:10" hidden="1" x14ac:dyDescent="0.25">
      <c r="A204" s="90">
        <v>700021</v>
      </c>
      <c r="B204" s="90" t="s">
        <v>191</v>
      </c>
      <c r="C204" s="91">
        <v>0</v>
      </c>
      <c r="D204" s="91">
        <v>1871</v>
      </c>
      <c r="E204" s="91">
        <v>0</v>
      </c>
      <c r="F204" s="91">
        <v>1871</v>
      </c>
      <c r="G204" t="str">
        <f>_xlfn.XLOOKUP($A204,Map!$A:$A,Map!C:C)</f>
        <v>IS</v>
      </c>
      <c r="H204" t="str">
        <f>_xlfn.XLOOKUP($A204,Map!$A:$A,Map!D:D)</f>
        <v>General and Admin</v>
      </c>
      <c r="I204" t="str">
        <f>_xlfn.XLOOKUP($A204,Map!$A:$A,Map!E:E)</f>
        <v>Utilities</v>
      </c>
      <c r="J204" t="str">
        <f>_xlfn.XLOOKUP($A204,Map!$A:$A,Map!F:F)</f>
        <v>Other general and administrative expenses</v>
      </c>
    </row>
    <row r="205" spans="1:10" hidden="1" x14ac:dyDescent="0.25">
      <c r="A205" s="90">
        <v>700022</v>
      </c>
      <c r="B205" s="90" t="s">
        <v>192</v>
      </c>
      <c r="C205" s="91">
        <v>0</v>
      </c>
      <c r="D205" s="91">
        <v>93087.872000000003</v>
      </c>
      <c r="E205" s="91">
        <v>0</v>
      </c>
      <c r="F205" s="91">
        <v>93087.872000000003</v>
      </c>
      <c r="G205" t="str">
        <f>_xlfn.XLOOKUP($A205,Map!$A:$A,Map!C:C)</f>
        <v>IS</v>
      </c>
      <c r="H205" t="str">
        <f>_xlfn.XLOOKUP($A205,Map!$A:$A,Map!D:D)</f>
        <v>General and Admin</v>
      </c>
      <c r="I205" t="str">
        <f>_xlfn.XLOOKUP($A205,Map!$A:$A,Map!E:E)</f>
        <v>Utilities</v>
      </c>
      <c r="J205" t="str">
        <f>_xlfn.XLOOKUP($A205,Map!$A:$A,Map!F:F)</f>
        <v>Other general and administrative expenses</v>
      </c>
    </row>
    <row r="206" spans="1:10" hidden="1" x14ac:dyDescent="0.25">
      <c r="A206" s="90">
        <v>700023</v>
      </c>
      <c r="B206" s="90" t="s">
        <v>193</v>
      </c>
      <c r="C206" s="91">
        <v>0</v>
      </c>
      <c r="D206" s="91">
        <v>34329.83</v>
      </c>
      <c r="E206" s="91">
        <v>156</v>
      </c>
      <c r="F206" s="91">
        <v>34173.83</v>
      </c>
      <c r="G206" t="str">
        <f>_xlfn.XLOOKUP($A206,Map!$A:$A,Map!C:C)</f>
        <v>IS</v>
      </c>
      <c r="H206" t="str">
        <f>_xlfn.XLOOKUP($A206,Map!$A:$A,Map!D:D)</f>
        <v>General and Admin</v>
      </c>
      <c r="I206" t="str">
        <f>_xlfn.XLOOKUP($A206,Map!$A:$A,Map!E:E)</f>
        <v>Utilities</v>
      </c>
      <c r="J206" t="str">
        <f>_xlfn.XLOOKUP($A206,Map!$A:$A,Map!F:F)</f>
        <v xml:space="preserve">Postage &amp; Printing </v>
      </c>
    </row>
    <row r="207" spans="1:10" hidden="1" x14ac:dyDescent="0.25">
      <c r="A207" s="90">
        <v>700024</v>
      </c>
      <c r="B207" s="90" t="s">
        <v>194</v>
      </c>
      <c r="C207" s="91">
        <v>0</v>
      </c>
      <c r="D207" s="91">
        <v>932342.06099999999</v>
      </c>
      <c r="E207" s="91">
        <v>174534.47099999999</v>
      </c>
      <c r="F207" s="91">
        <v>757807.59</v>
      </c>
      <c r="G207" t="str">
        <f>_xlfn.XLOOKUP($A207,Map!$A:$A,Map!C:C)</f>
        <v>IS</v>
      </c>
      <c r="H207" t="str">
        <f>_xlfn.XLOOKUP($A207,Map!$A:$A,Map!D:D)</f>
        <v>General and Admin</v>
      </c>
      <c r="I207" t="str">
        <f>_xlfn.XLOOKUP($A207,Map!$A:$A,Map!E:E)</f>
        <v>IT expenses</v>
      </c>
      <c r="J207" t="str">
        <f>_xlfn.XLOOKUP($A207,Map!$A:$A,Map!F:F)</f>
        <v>Other general and administrative expenses</v>
      </c>
    </row>
    <row r="208" spans="1:10" hidden="1" x14ac:dyDescent="0.25">
      <c r="A208" s="90">
        <v>700025</v>
      </c>
      <c r="B208" s="90" t="s">
        <v>195</v>
      </c>
      <c r="C208" s="91">
        <v>0</v>
      </c>
      <c r="D208" s="91">
        <v>3860634.2030000002</v>
      </c>
      <c r="E208" s="91">
        <v>2379419.5559999999</v>
      </c>
      <c r="F208" s="91">
        <v>1481214.6470000001</v>
      </c>
      <c r="G208" t="str">
        <f>_xlfn.XLOOKUP($A208,Map!$A:$A,Map!C:C)</f>
        <v>IS</v>
      </c>
      <c r="H208" t="str">
        <f>_xlfn.XLOOKUP($A208,Map!$A:$A,Map!D:D)</f>
        <v>General and Admin</v>
      </c>
      <c r="I208" t="str">
        <f>_xlfn.XLOOKUP($A208,Map!$A:$A,Map!E:E)</f>
        <v>Salaries and wages</v>
      </c>
      <c r="J208" t="str">
        <f>_xlfn.XLOOKUP($A208,Map!$A:$A,Map!F:F)</f>
        <v>Salaries and wages</v>
      </c>
    </row>
    <row r="209" spans="1:10" hidden="1" x14ac:dyDescent="0.25">
      <c r="A209" s="90">
        <v>700026</v>
      </c>
      <c r="B209" s="90" t="s">
        <v>196</v>
      </c>
      <c r="C209" s="91">
        <v>0</v>
      </c>
      <c r="D209" s="91">
        <v>0</v>
      </c>
      <c r="E209" s="91">
        <v>0</v>
      </c>
      <c r="F209" s="91">
        <v>0</v>
      </c>
      <c r="G209" t="str">
        <f>_xlfn.XLOOKUP($A209,Map!$A:$A,Map!C:C)</f>
        <v>IS</v>
      </c>
      <c r="H209" t="str">
        <f>_xlfn.XLOOKUP($A209,Map!$A:$A,Map!D:D)</f>
        <v>General and Admin</v>
      </c>
      <c r="I209" t="str">
        <f>_xlfn.XLOOKUP($A209,Map!$A:$A,Map!E:E)</f>
        <v>Utilities</v>
      </c>
      <c r="J209" t="str">
        <f>_xlfn.XLOOKUP($A209,Map!$A:$A,Map!F:F)</f>
        <v>Magazines &amp; News Papers Exp.</v>
      </c>
    </row>
    <row r="210" spans="1:10" hidden="1" x14ac:dyDescent="0.25">
      <c r="A210" s="90">
        <v>700027</v>
      </c>
      <c r="B210" s="90" t="s">
        <v>197</v>
      </c>
      <c r="C210" s="91">
        <v>0</v>
      </c>
      <c r="D210" s="91">
        <v>3329</v>
      </c>
      <c r="E210" s="91">
        <v>0</v>
      </c>
      <c r="F210" s="91">
        <v>3329</v>
      </c>
      <c r="G210" t="str">
        <f>_xlfn.XLOOKUP($A210,Map!$A:$A,Map!C:C)</f>
        <v>IS</v>
      </c>
      <c r="H210" t="str">
        <f>_xlfn.XLOOKUP($A210,Map!$A:$A,Map!D:D)</f>
        <v>General and Admin</v>
      </c>
      <c r="I210" t="str">
        <f>_xlfn.XLOOKUP($A210,Map!$A:$A,Map!E:E)</f>
        <v>Training</v>
      </c>
      <c r="J210" t="str">
        <f>_xlfn.XLOOKUP($A210,Map!$A:$A,Map!F:F)</f>
        <v>Training</v>
      </c>
    </row>
    <row r="211" spans="1:10" hidden="1" x14ac:dyDescent="0.25">
      <c r="A211" s="90">
        <v>700028</v>
      </c>
      <c r="B211" s="90" t="s">
        <v>198</v>
      </c>
      <c r="C211" s="91">
        <v>0</v>
      </c>
      <c r="D211" s="91">
        <v>1388.7</v>
      </c>
      <c r="E211" s="91">
        <v>0</v>
      </c>
      <c r="F211" s="91">
        <v>1388.7</v>
      </c>
      <c r="G211" t="str">
        <f>_xlfn.XLOOKUP($A211,Map!$A:$A,Map!C:C)</f>
        <v>IS</v>
      </c>
      <c r="H211" t="str">
        <f>_xlfn.XLOOKUP($A211,Map!$A:$A,Map!D:D)</f>
        <v>General and Admin</v>
      </c>
      <c r="I211" t="str">
        <f>_xlfn.XLOOKUP($A211,Map!$A:$A,Map!E:E)</f>
        <v xml:space="preserve">Back office Support </v>
      </c>
      <c r="J211" t="str">
        <f>_xlfn.XLOOKUP($A211,Map!$A:$A,Map!F:F)</f>
        <v>Stationery expenses</v>
      </c>
    </row>
    <row r="212" spans="1:10" hidden="1" x14ac:dyDescent="0.25">
      <c r="A212" s="90">
        <v>700029</v>
      </c>
      <c r="B212" s="90" t="s">
        <v>199</v>
      </c>
      <c r="C212" s="91">
        <v>0</v>
      </c>
      <c r="D212" s="91">
        <v>1191.6199999999999</v>
      </c>
      <c r="E212" s="91">
        <v>0</v>
      </c>
      <c r="F212" s="91">
        <v>1191.6199999999999</v>
      </c>
      <c r="G212" t="str">
        <f>_xlfn.XLOOKUP($A212,Map!$A:$A,Map!C:C)</f>
        <v>IS</v>
      </c>
      <c r="H212" t="str">
        <f>_xlfn.XLOOKUP($A212,Map!$A:$A,Map!D:D)</f>
        <v>General and Admin</v>
      </c>
      <c r="I212" t="str">
        <f>_xlfn.XLOOKUP($A212,Map!$A:$A,Map!E:E)</f>
        <v>Utilities</v>
      </c>
      <c r="J212" t="str">
        <f>_xlfn.XLOOKUP($A212,Map!$A:$A,Map!F:F)</f>
        <v xml:space="preserve">Postage &amp; Printing </v>
      </c>
    </row>
    <row r="213" spans="1:10" hidden="1" x14ac:dyDescent="0.25">
      <c r="A213" s="90">
        <v>700030</v>
      </c>
      <c r="B213" s="90" t="s">
        <v>200</v>
      </c>
      <c r="C213" s="91">
        <v>0</v>
      </c>
      <c r="D213" s="91">
        <v>12567</v>
      </c>
      <c r="E213" s="91">
        <v>0</v>
      </c>
      <c r="F213" s="91">
        <v>12567</v>
      </c>
      <c r="G213" t="str">
        <f>_xlfn.XLOOKUP($A213,Map!$A:$A,Map!C:C)</f>
        <v>IS</v>
      </c>
      <c r="H213" t="str">
        <f>_xlfn.XLOOKUP($A213,Map!$A:$A,Map!D:D)</f>
        <v>General and Admin</v>
      </c>
      <c r="I213" t="str">
        <f>_xlfn.XLOOKUP($A213,Map!$A:$A,Map!E:E)</f>
        <v>Utilities</v>
      </c>
      <c r="J213" t="str">
        <f>_xlfn.XLOOKUP($A213,Map!$A:$A,Map!F:F)</f>
        <v>Building maintenance</v>
      </c>
    </row>
    <row r="214" spans="1:10" hidden="1" x14ac:dyDescent="0.25">
      <c r="A214" s="90">
        <v>700031</v>
      </c>
      <c r="B214" s="90" t="s">
        <v>201</v>
      </c>
      <c r="C214" s="91">
        <v>0</v>
      </c>
      <c r="D214" s="91">
        <v>600</v>
      </c>
      <c r="E214" s="91">
        <v>0</v>
      </c>
      <c r="F214" s="91">
        <v>600</v>
      </c>
      <c r="G214" t="str">
        <f>_xlfn.XLOOKUP($A214,Map!$A:$A,Map!C:C)</f>
        <v>IS</v>
      </c>
      <c r="H214" t="str">
        <f>_xlfn.XLOOKUP($A214,Map!$A:$A,Map!D:D)</f>
        <v>General and Admin</v>
      </c>
      <c r="I214" t="str">
        <f>_xlfn.XLOOKUP($A214,Map!$A:$A,Map!E:E)</f>
        <v>Utilities</v>
      </c>
      <c r="J214" t="str">
        <f>_xlfn.XLOOKUP($A214,Map!$A:$A,Map!F:F)</f>
        <v>Office equipment maintenance</v>
      </c>
    </row>
    <row r="215" spans="1:10" hidden="1" x14ac:dyDescent="0.25">
      <c r="A215" s="90">
        <v>700032</v>
      </c>
      <c r="B215" s="90" t="s">
        <v>202</v>
      </c>
      <c r="C215" s="91">
        <v>0</v>
      </c>
      <c r="D215" s="91">
        <v>92753.231</v>
      </c>
      <c r="E215" s="91">
        <v>0</v>
      </c>
      <c r="F215" s="91">
        <v>92753.231</v>
      </c>
      <c r="G215" t="str">
        <f>_xlfn.XLOOKUP($A215,Map!$A:$A,Map!C:C)</f>
        <v>IS</v>
      </c>
      <c r="H215" t="str">
        <f>_xlfn.XLOOKUP($A215,Map!$A:$A,Map!D:D)</f>
        <v>General and Admin</v>
      </c>
      <c r="I215" t="str">
        <f>_xlfn.XLOOKUP($A215,Map!$A:$A,Map!E:E)</f>
        <v>Utilities</v>
      </c>
      <c r="J215" t="str">
        <f>_xlfn.XLOOKUP($A215,Map!$A:$A,Map!F:F)</f>
        <v>Vehicle maintenance</v>
      </c>
    </row>
    <row r="216" spans="1:10" hidden="1" x14ac:dyDescent="0.25">
      <c r="A216" s="90">
        <v>700033</v>
      </c>
      <c r="B216" s="90" t="s">
        <v>203</v>
      </c>
      <c r="C216" s="91">
        <v>0</v>
      </c>
      <c r="D216" s="91">
        <v>11587.82</v>
      </c>
      <c r="E216" s="91">
        <v>0</v>
      </c>
      <c r="F216" s="91">
        <v>11587.82</v>
      </c>
      <c r="G216" t="str">
        <f>_xlfn.XLOOKUP($A216,Map!$A:$A,Map!C:C)</f>
        <v>IS</v>
      </c>
      <c r="H216" t="str">
        <f>_xlfn.XLOOKUP($A216,Map!$A:$A,Map!D:D)</f>
        <v>General and Admin</v>
      </c>
      <c r="I216" t="str">
        <f>_xlfn.XLOOKUP($A216,Map!$A:$A,Map!E:E)</f>
        <v>Utilities</v>
      </c>
      <c r="J216" t="str">
        <f>_xlfn.XLOOKUP($A216,Map!$A:$A,Map!F:F)</f>
        <v>Fuel and oil</v>
      </c>
    </row>
    <row r="217" spans="1:10" hidden="1" x14ac:dyDescent="0.25">
      <c r="A217" s="90">
        <v>700034</v>
      </c>
      <c r="B217" s="90" t="s">
        <v>204</v>
      </c>
      <c r="C217" s="91">
        <v>0</v>
      </c>
      <c r="D217" s="91">
        <v>7565.26</v>
      </c>
      <c r="E217" s="91">
        <v>0</v>
      </c>
      <c r="F217" s="91">
        <v>7565.26</v>
      </c>
      <c r="G217" t="str">
        <f>_xlfn.XLOOKUP($A217,Map!$A:$A,Map!C:C)</f>
        <v>IS</v>
      </c>
      <c r="H217" t="str">
        <f>_xlfn.XLOOKUP($A217,Map!$A:$A,Map!D:D)</f>
        <v>General and Admin</v>
      </c>
      <c r="I217" t="str">
        <f>_xlfn.XLOOKUP($A217,Map!$A:$A,Map!E:E)</f>
        <v xml:space="preserve">Back office Support </v>
      </c>
      <c r="J217" t="str">
        <f>_xlfn.XLOOKUP($A217,Map!$A:$A,Map!F:F)</f>
        <v>Consumables</v>
      </c>
    </row>
    <row r="218" spans="1:10" hidden="1" x14ac:dyDescent="0.25">
      <c r="A218" s="90">
        <v>700035</v>
      </c>
      <c r="B218" s="90" t="s">
        <v>205</v>
      </c>
      <c r="C218" s="91">
        <v>0</v>
      </c>
      <c r="D218" s="159">
        <v>1563054</v>
      </c>
      <c r="E218" s="91">
        <v>411078.68</v>
      </c>
      <c r="F218" s="91">
        <v>1151975.32</v>
      </c>
      <c r="G218" t="str">
        <f>_xlfn.XLOOKUP($A218,Map!$A:$A,Map!C:C)</f>
        <v>IS</v>
      </c>
      <c r="H218" t="str">
        <f>_xlfn.XLOOKUP($A218,Map!$A:$A,Map!D:D)</f>
        <v>General and Admin</v>
      </c>
      <c r="I218" t="str">
        <f>_xlfn.XLOOKUP($A218,Map!$A:$A,Map!E:E)</f>
        <v>Actuarial gains and losses</v>
      </c>
      <c r="J218" t="str">
        <f>_xlfn.XLOOKUP($A218,Map!$A:$A,Map!F:F)</f>
        <v>Other general and administrative expenses</v>
      </c>
    </row>
    <row r="219" spans="1:10" hidden="1" x14ac:dyDescent="0.25">
      <c r="A219" s="90">
        <v>700036</v>
      </c>
      <c r="B219" s="90" t="s">
        <v>206</v>
      </c>
      <c r="C219" s="91">
        <v>0</v>
      </c>
      <c r="D219" s="91">
        <v>40368.449999999997</v>
      </c>
      <c r="E219" s="91">
        <v>0</v>
      </c>
      <c r="F219" s="91">
        <v>40368.449999999997</v>
      </c>
      <c r="G219" t="str">
        <f>_xlfn.XLOOKUP($A219,Map!$A:$A,Map!C:C)</f>
        <v>IS</v>
      </c>
      <c r="H219" t="str">
        <f>_xlfn.XLOOKUP($A219,Map!$A:$A,Map!D:D)</f>
        <v>General and Admin</v>
      </c>
      <c r="I219" t="str">
        <f>_xlfn.XLOOKUP($A219,Map!$A:$A,Map!E:E)</f>
        <v>Utilities</v>
      </c>
      <c r="J219" t="str">
        <f>_xlfn.XLOOKUP($A219,Map!$A:$A,Map!F:F)</f>
        <v>Vehicle insurance</v>
      </c>
    </row>
    <row r="220" spans="1:10" hidden="1" x14ac:dyDescent="0.25">
      <c r="A220" s="90">
        <v>700037</v>
      </c>
      <c r="B220" s="90" t="s">
        <v>207</v>
      </c>
      <c r="C220" s="91">
        <v>0</v>
      </c>
      <c r="D220" s="91">
        <v>0</v>
      </c>
      <c r="E220" s="91">
        <v>0</v>
      </c>
      <c r="F220" s="91">
        <v>0</v>
      </c>
      <c r="G220" t="str">
        <f>_xlfn.XLOOKUP($A220,Map!$A:$A,Map!C:C)</f>
        <v>IS</v>
      </c>
      <c r="H220" t="str">
        <f>_xlfn.XLOOKUP($A220,Map!$A:$A,Map!D:D)</f>
        <v>Finance cost</v>
      </c>
      <c r="I220" t="str">
        <f>_xlfn.XLOOKUP($A220,Map!$A:$A,Map!E:E)</f>
        <v>Finance cost</v>
      </c>
      <c r="J220" t="str">
        <f>_xlfn.XLOOKUP($A220,Map!$A:$A,Map!F:F)</f>
        <v>Lease interest</v>
      </c>
    </row>
    <row r="221" spans="1:10" hidden="1" x14ac:dyDescent="0.25">
      <c r="A221" s="90">
        <v>700038</v>
      </c>
      <c r="B221" s="90" t="s">
        <v>208</v>
      </c>
      <c r="C221" s="91">
        <v>0</v>
      </c>
      <c r="D221" s="91">
        <v>270394.35800000001</v>
      </c>
      <c r="E221" s="91">
        <v>0</v>
      </c>
      <c r="F221" s="91">
        <v>270394.35800000001</v>
      </c>
      <c r="G221" t="str">
        <f>_xlfn.XLOOKUP($A221,Map!$A:$A,Map!C:C)</f>
        <v>IS</v>
      </c>
      <c r="H221" t="str">
        <f>_xlfn.XLOOKUP($A221,Map!$A:$A,Map!D:D)</f>
        <v>General and Admin</v>
      </c>
      <c r="I221" t="str">
        <f>_xlfn.XLOOKUP($A221,Map!$A:$A,Map!E:E)</f>
        <v>Business travel</v>
      </c>
      <c r="J221" t="str">
        <f>_xlfn.XLOOKUP($A221,Map!$A:$A,Map!F:F)</f>
        <v>Bussiness trip expenses</v>
      </c>
    </row>
    <row r="222" spans="1:10" hidden="1" x14ac:dyDescent="0.25">
      <c r="A222" s="90">
        <v>700039</v>
      </c>
      <c r="B222" s="90" t="s">
        <v>209</v>
      </c>
      <c r="C222" s="91">
        <v>0</v>
      </c>
      <c r="D222" s="91">
        <v>3358.87</v>
      </c>
      <c r="E222" s="91">
        <v>0</v>
      </c>
      <c r="F222" s="91">
        <v>3358.87</v>
      </c>
      <c r="G222" t="str">
        <f>_xlfn.XLOOKUP($A222,Map!$A:$A,Map!C:C)</f>
        <v>IS</v>
      </c>
      <c r="H222" t="str">
        <f>_xlfn.XLOOKUP($A222,Map!$A:$A,Map!D:D)</f>
        <v>Selling and Marketing</v>
      </c>
      <c r="I222" t="str">
        <f>_xlfn.XLOOKUP($A222,Map!$A:$A,Map!E:E)</f>
        <v>Buffet expenses</v>
      </c>
      <c r="J222" t="str">
        <f>_xlfn.XLOOKUP($A222,Map!$A:$A,Map!F:F)</f>
        <v>Buffet expenses</v>
      </c>
    </row>
    <row r="223" spans="1:10" hidden="1" x14ac:dyDescent="0.25">
      <c r="A223" s="90">
        <v>700040</v>
      </c>
      <c r="B223" s="90" t="s">
        <v>210</v>
      </c>
      <c r="C223" s="91">
        <v>0</v>
      </c>
      <c r="D223" s="91">
        <v>258748.342</v>
      </c>
      <c r="E223" s="91">
        <v>4782.6400000000003</v>
      </c>
      <c r="F223" s="91">
        <v>253965.70199999999</v>
      </c>
      <c r="G223" t="str">
        <f>_xlfn.XLOOKUP($A223,Map!$A:$A,Map!C:C)</f>
        <v>IS</v>
      </c>
      <c r="H223" t="str">
        <f>_xlfn.XLOOKUP($A223,Map!$A:$A,Map!D:D)</f>
        <v>General and Admin</v>
      </c>
      <c r="I223" t="str">
        <f>_xlfn.XLOOKUP($A223,Map!$A:$A,Map!E:E)</f>
        <v>Utilities</v>
      </c>
      <c r="J223" t="str">
        <f>_xlfn.XLOOKUP($A223,Map!$A:$A,Map!F:F)</f>
        <v xml:space="preserve">Cleaning Expenses </v>
      </c>
    </row>
    <row r="224" spans="1:10" hidden="1" x14ac:dyDescent="0.25">
      <c r="A224" s="90">
        <v>700041</v>
      </c>
      <c r="B224" s="90" t="s">
        <v>211</v>
      </c>
      <c r="C224" s="91">
        <v>0</v>
      </c>
      <c r="D224" s="91">
        <v>0</v>
      </c>
      <c r="E224" s="91">
        <v>0</v>
      </c>
      <c r="F224" s="91">
        <v>0</v>
      </c>
      <c r="G224" t="str">
        <f>_xlfn.XLOOKUP($A224,Map!$A:$A,Map!C:C)</f>
        <v>IS</v>
      </c>
      <c r="H224" t="str">
        <f>_xlfn.XLOOKUP($A224,Map!$A:$A,Map!D:D)</f>
        <v>General and Admin</v>
      </c>
      <c r="I224" t="str">
        <f>_xlfn.XLOOKUP($A224,Map!$A:$A,Map!E:E)</f>
        <v>Salaries and wages</v>
      </c>
      <c r="J224" t="str">
        <f>_xlfn.XLOOKUP($A224,Map!$A:$A,Map!F:F)</f>
        <v>Recruitment</v>
      </c>
    </row>
    <row r="225" spans="1:10" hidden="1" x14ac:dyDescent="0.25">
      <c r="A225" s="90">
        <v>700042</v>
      </c>
      <c r="B225" s="90" t="s">
        <v>212</v>
      </c>
      <c r="C225" s="91">
        <v>0</v>
      </c>
      <c r="D225" s="91">
        <v>0</v>
      </c>
      <c r="E225" s="91">
        <v>0</v>
      </c>
      <c r="F225" s="91">
        <v>0</v>
      </c>
      <c r="G225" t="str">
        <f>_xlfn.XLOOKUP($A225,Map!$A:$A,Map!C:C)</f>
        <v>IS</v>
      </c>
      <c r="H225" t="str">
        <f>_xlfn.XLOOKUP($A225,Map!$A:$A,Map!D:D)</f>
        <v>General and Admin</v>
      </c>
      <c r="I225" t="str">
        <f>_xlfn.XLOOKUP($A225,Map!$A:$A,Map!E:E)</f>
        <v xml:space="preserve">Back office Support </v>
      </c>
      <c r="J225" t="str">
        <f>_xlfn.XLOOKUP($A225,Map!$A:$A,Map!F:F)</f>
        <v>Other expenses</v>
      </c>
    </row>
    <row r="226" spans="1:10" hidden="1" x14ac:dyDescent="0.25">
      <c r="A226" s="90">
        <v>700043</v>
      </c>
      <c r="B226" s="90" t="s">
        <v>213</v>
      </c>
      <c r="C226" s="91">
        <v>0</v>
      </c>
      <c r="D226" s="91">
        <v>9944</v>
      </c>
      <c r="E226" s="91">
        <v>1810</v>
      </c>
      <c r="F226" s="91">
        <v>8134</v>
      </c>
      <c r="G226" t="str">
        <f>_xlfn.XLOOKUP($A226,Map!$A:$A,Map!C:C)</f>
        <v>IS</v>
      </c>
      <c r="H226" t="str">
        <f>_xlfn.XLOOKUP($A226,Map!$A:$A,Map!D:D)</f>
        <v>General and Admin</v>
      </c>
      <c r="I226" t="str">
        <f>_xlfn.XLOOKUP($A226,Map!$A:$A,Map!E:E)</f>
        <v>Govt license and fees (including modon)</v>
      </c>
      <c r="J226" t="str">
        <f>_xlfn.XLOOKUP($A226,Map!$A:$A,Map!F:F)</f>
        <v>Licenses and fees</v>
      </c>
    </row>
    <row r="227" spans="1:10" hidden="1" x14ac:dyDescent="0.25">
      <c r="A227" s="90">
        <v>700044</v>
      </c>
      <c r="B227" s="90" t="s">
        <v>214</v>
      </c>
      <c r="C227" s="91">
        <v>0</v>
      </c>
      <c r="D227" s="91">
        <v>80839.509999999995</v>
      </c>
      <c r="E227" s="91">
        <v>0</v>
      </c>
      <c r="F227" s="91">
        <v>80839.509999999995</v>
      </c>
      <c r="G227" t="str">
        <f>_xlfn.XLOOKUP($A227,Map!$A:$A,Map!C:C)</f>
        <v>IS</v>
      </c>
      <c r="H227" t="str">
        <f>_xlfn.XLOOKUP($A227,Map!$A:$A,Map!D:D)</f>
        <v>General and Admin</v>
      </c>
      <c r="I227" t="str">
        <f>_xlfn.XLOOKUP($A227,Map!$A:$A,Map!E:E)</f>
        <v>Govt license and fees (including modon)</v>
      </c>
      <c r="J227" t="str">
        <f>_xlfn.XLOOKUP($A227,Map!$A:$A,Map!F:F)</f>
        <v>Government fees</v>
      </c>
    </row>
    <row r="228" spans="1:10" hidden="1" x14ac:dyDescent="0.25">
      <c r="A228" s="90">
        <v>700045</v>
      </c>
      <c r="B228" s="90" t="s">
        <v>215</v>
      </c>
      <c r="C228" s="91">
        <v>0</v>
      </c>
      <c r="D228" s="91">
        <v>6986715.8609999996</v>
      </c>
      <c r="E228" s="91">
        <v>1171070.31</v>
      </c>
      <c r="F228" s="91">
        <v>5815645.551</v>
      </c>
      <c r="G228" t="str">
        <f>_xlfn.XLOOKUP($A228,Map!$A:$A,Map!C:C)</f>
        <v>IS</v>
      </c>
      <c r="H228" t="str">
        <f>_xlfn.XLOOKUP($A228,Map!$A:$A,Map!D:D)</f>
        <v>Finance cost</v>
      </c>
      <c r="I228" t="str">
        <f>_xlfn.XLOOKUP($A228,Map!$A:$A,Map!E:E)</f>
        <v>Finance cost</v>
      </c>
      <c r="J228" t="str">
        <f>_xlfn.XLOOKUP($A228,Map!$A:$A,Map!F:F)</f>
        <v>Bank charges</v>
      </c>
    </row>
    <row r="229" spans="1:10" hidden="1" x14ac:dyDescent="0.25">
      <c r="A229" s="90">
        <v>700048</v>
      </c>
      <c r="B229" s="90" t="s">
        <v>216</v>
      </c>
      <c r="C229" s="91">
        <v>0</v>
      </c>
      <c r="D229" s="91">
        <v>515302.94</v>
      </c>
      <c r="E229" s="91">
        <v>280000</v>
      </c>
      <c r="F229" s="91">
        <v>235302.94</v>
      </c>
      <c r="G229" t="str">
        <f>_xlfn.XLOOKUP($A229,Map!$A:$A,Map!C:C)</f>
        <v>IS</v>
      </c>
      <c r="H229" t="str">
        <f>_xlfn.XLOOKUP($A229,Map!$A:$A,Map!D:D)</f>
        <v>Zakat</v>
      </c>
      <c r="I229" t="str">
        <f>_xlfn.XLOOKUP($A229,Map!$A:$A,Map!E:E)</f>
        <v>Zakat expenses</v>
      </c>
      <c r="J229" t="str">
        <f>_xlfn.XLOOKUP($A229,Map!$A:$A,Map!F:F)</f>
        <v>Zakat expenses</v>
      </c>
    </row>
    <row r="230" spans="1:10" hidden="1" x14ac:dyDescent="0.25">
      <c r="A230" s="90">
        <v>700049</v>
      </c>
      <c r="B230" s="90" t="s">
        <v>217</v>
      </c>
      <c r="C230" s="91">
        <v>0</v>
      </c>
      <c r="D230" s="91">
        <v>0</v>
      </c>
      <c r="E230" s="91">
        <v>0</v>
      </c>
      <c r="F230" s="91">
        <v>0</v>
      </c>
      <c r="G230" t="str">
        <f>_xlfn.XLOOKUP($A230,Map!$A:$A,Map!C:C)</f>
        <v>IS</v>
      </c>
      <c r="H230" t="str">
        <f>_xlfn.XLOOKUP($A230,Map!$A:$A,Map!D:D)</f>
        <v>General and Admin</v>
      </c>
      <c r="I230" t="str">
        <f>_xlfn.XLOOKUP($A230,Map!$A:$A,Map!E:E)</f>
        <v>Salaries and wages</v>
      </c>
      <c r="J230" t="str">
        <f>_xlfn.XLOOKUP($A230,Map!$A:$A,Map!F:F)</f>
        <v>Sadagat expense</v>
      </c>
    </row>
    <row r="231" spans="1:10" hidden="1" x14ac:dyDescent="0.25">
      <c r="A231" s="90">
        <v>700050</v>
      </c>
      <c r="B231" s="90" t="s">
        <v>218</v>
      </c>
      <c r="C231" s="91">
        <v>0</v>
      </c>
      <c r="D231" s="91">
        <v>20</v>
      </c>
      <c r="E231" s="91">
        <v>20</v>
      </c>
      <c r="F231" s="91">
        <v>0</v>
      </c>
      <c r="G231" t="str">
        <f>_xlfn.XLOOKUP($A231,Map!$A:$A,Map!C:C)</f>
        <v>IS</v>
      </c>
      <c r="H231" t="str">
        <f>_xlfn.XLOOKUP($A231,Map!$A:$A,Map!D:D)</f>
        <v>Depreciation expenses</v>
      </c>
      <c r="I231" t="str">
        <f>_xlfn.XLOOKUP($A231,Map!$A:$A,Map!E:E)</f>
        <v>Depreciation expenses</v>
      </c>
      <c r="J231" t="str">
        <f>_xlfn.XLOOKUP($A231,Map!$A:$A,Map!F:F)</f>
        <v>Depreciation of property, plant and equipment</v>
      </c>
    </row>
    <row r="232" spans="1:10" hidden="1" x14ac:dyDescent="0.25">
      <c r="A232" s="90">
        <v>700052</v>
      </c>
      <c r="B232" s="90" t="s">
        <v>219</v>
      </c>
      <c r="C232" s="91">
        <v>0</v>
      </c>
      <c r="D232" s="91">
        <v>0</v>
      </c>
      <c r="E232" s="91">
        <v>0</v>
      </c>
      <c r="F232" s="91">
        <v>0</v>
      </c>
      <c r="G232" t="str">
        <f>_xlfn.XLOOKUP($A232,Map!$A:$A,Map!C:C)</f>
        <v>IS</v>
      </c>
      <c r="H232" t="str">
        <f>_xlfn.XLOOKUP($A232,Map!$A:$A,Map!D:D)</f>
        <v>Depreciation expenses</v>
      </c>
      <c r="I232" t="str">
        <f>_xlfn.XLOOKUP($A232,Map!$A:$A,Map!E:E)</f>
        <v>Depreciation expenses</v>
      </c>
      <c r="J232" t="str">
        <f>_xlfn.XLOOKUP($A232,Map!$A:$A,Map!F:F)</f>
        <v>Depreciation of property, plant and equipment</v>
      </c>
    </row>
    <row r="233" spans="1:10" hidden="1" x14ac:dyDescent="0.25">
      <c r="A233" s="90">
        <v>700053</v>
      </c>
      <c r="B233" s="90" t="s">
        <v>220</v>
      </c>
      <c r="C233" s="91">
        <v>0</v>
      </c>
      <c r="D233" s="91">
        <v>0</v>
      </c>
      <c r="E233" s="91">
        <v>0</v>
      </c>
      <c r="F233" s="91">
        <v>0</v>
      </c>
      <c r="G233" t="str">
        <f>_xlfn.XLOOKUP($A233,Map!$A:$A,Map!C:C)</f>
        <v>IS</v>
      </c>
      <c r="H233" t="str">
        <f>_xlfn.XLOOKUP($A233,Map!$A:$A,Map!D:D)</f>
        <v>Depreciation expenses</v>
      </c>
      <c r="I233" t="str">
        <f>_xlfn.XLOOKUP($A233,Map!$A:$A,Map!E:E)</f>
        <v>Depreciation expenses</v>
      </c>
      <c r="J233" t="str">
        <f>_xlfn.XLOOKUP($A233,Map!$A:$A,Map!F:F)</f>
        <v>Depreciation of property, plant and equipment</v>
      </c>
    </row>
    <row r="234" spans="1:10" hidden="1" x14ac:dyDescent="0.25">
      <c r="A234" s="90">
        <v>700054</v>
      </c>
      <c r="B234" s="90" t="s">
        <v>221</v>
      </c>
      <c r="C234" s="91">
        <v>0</v>
      </c>
      <c r="D234" s="91">
        <v>193147.36</v>
      </c>
      <c r="E234" s="91">
        <v>0</v>
      </c>
      <c r="F234" s="91">
        <v>193147.36</v>
      </c>
      <c r="G234" t="str">
        <f>_xlfn.XLOOKUP($A234,Map!$A:$A,Map!C:C)</f>
        <v>IS</v>
      </c>
      <c r="H234" t="str">
        <f>_xlfn.XLOOKUP($A234,Map!$A:$A,Map!D:D)</f>
        <v>Depreciation expenses</v>
      </c>
      <c r="I234" t="str">
        <f>_xlfn.XLOOKUP($A234,Map!$A:$A,Map!E:E)</f>
        <v>Depreciation expenses</v>
      </c>
      <c r="J234" t="str">
        <f>_xlfn.XLOOKUP($A234,Map!$A:$A,Map!F:F)</f>
        <v>Depreciation of property, plant and equipment</v>
      </c>
    </row>
    <row r="235" spans="1:10" hidden="1" x14ac:dyDescent="0.25">
      <c r="A235" s="90">
        <v>700055</v>
      </c>
      <c r="B235" s="90" t="s">
        <v>222</v>
      </c>
      <c r="C235" s="91">
        <v>0</v>
      </c>
      <c r="D235" s="91">
        <v>290954.66800000001</v>
      </c>
      <c r="E235" s="91">
        <v>0</v>
      </c>
      <c r="F235" s="91">
        <v>290954.66800000001</v>
      </c>
      <c r="G235" t="str">
        <f>_xlfn.XLOOKUP($A235,Map!$A:$A,Map!C:C)</f>
        <v>IS</v>
      </c>
      <c r="H235" t="str">
        <f>_xlfn.XLOOKUP($A235,Map!$A:$A,Map!D:D)</f>
        <v>Depreciation expenses</v>
      </c>
      <c r="I235" t="str">
        <f>_xlfn.XLOOKUP($A235,Map!$A:$A,Map!E:E)</f>
        <v>Depreciation expenses</v>
      </c>
      <c r="J235" t="str">
        <f>_xlfn.XLOOKUP($A235,Map!$A:$A,Map!F:F)</f>
        <v>Depreciation of property, plant and equipment</v>
      </c>
    </row>
    <row r="236" spans="1:10" hidden="1" x14ac:dyDescent="0.25">
      <c r="A236" s="90">
        <v>700056</v>
      </c>
      <c r="B236" s="90" t="s">
        <v>223</v>
      </c>
      <c r="C236" s="91">
        <v>0</v>
      </c>
      <c r="D236" s="91">
        <v>0</v>
      </c>
      <c r="E236" s="91">
        <v>0</v>
      </c>
      <c r="F236" s="91">
        <v>0</v>
      </c>
      <c r="G236" t="str">
        <f>_xlfn.XLOOKUP($A236,Map!$A:$A,Map!C:C)</f>
        <v>IS</v>
      </c>
      <c r="H236" t="str">
        <f>_xlfn.XLOOKUP($A236,Map!$A:$A,Map!D:D)</f>
        <v>Depreciation expenses</v>
      </c>
      <c r="I236" t="str">
        <f>_xlfn.XLOOKUP($A236,Map!$A:$A,Map!E:E)</f>
        <v>Depreciation expenses</v>
      </c>
      <c r="J236" t="str">
        <f>_xlfn.XLOOKUP($A236,Map!$A:$A,Map!F:F)</f>
        <v>Depreciation of property, plant and equipment</v>
      </c>
    </row>
    <row r="237" spans="1:10" hidden="1" x14ac:dyDescent="0.25">
      <c r="A237" s="90">
        <v>700057</v>
      </c>
      <c r="B237" s="90" t="s">
        <v>224</v>
      </c>
      <c r="C237" s="91">
        <v>0</v>
      </c>
      <c r="D237" s="91">
        <v>277040</v>
      </c>
      <c r="E237" s="91">
        <v>0</v>
      </c>
      <c r="F237" s="91">
        <v>277040</v>
      </c>
      <c r="G237" t="str">
        <f>_xlfn.XLOOKUP($A237,Map!$A:$A,Map!C:C)</f>
        <v>IS</v>
      </c>
      <c r="H237" t="str">
        <f>_xlfn.XLOOKUP($A237,Map!$A:$A,Map!D:D)</f>
        <v>Cost of sales</v>
      </c>
      <c r="I237" t="str">
        <f>_xlfn.XLOOKUP($A237,Map!$A:$A,Map!E:E)</f>
        <v>Overhead - Rent</v>
      </c>
      <c r="J237" t="str">
        <f>_xlfn.XLOOKUP($A237,Map!$A:$A,Map!F:F)</f>
        <v>Warehouse Rent ( Khamis, Rioyadh, Dammam)</v>
      </c>
    </row>
    <row r="238" spans="1:10" hidden="1" x14ac:dyDescent="0.25">
      <c r="A238" s="90">
        <v>700058</v>
      </c>
      <c r="B238" s="90" t="s">
        <v>225</v>
      </c>
      <c r="C238" s="91">
        <v>0</v>
      </c>
      <c r="D238" s="91">
        <v>139474.67000000001</v>
      </c>
      <c r="E238" s="91">
        <v>12338.377</v>
      </c>
      <c r="F238" s="91">
        <v>127136.29300000001</v>
      </c>
      <c r="G238" t="str">
        <f>_xlfn.XLOOKUP($A238,Map!$A:$A,Map!C:C)</f>
        <v>IS</v>
      </c>
      <c r="H238" t="str">
        <f>_xlfn.XLOOKUP($A238,Map!$A:$A,Map!D:D)</f>
        <v>Selling and Marketing</v>
      </c>
      <c r="I238" t="str">
        <f>_xlfn.XLOOKUP($A238,Map!$A:$A,Map!E:E)</f>
        <v>Advertising and promotion expenses</v>
      </c>
      <c r="J238" t="str">
        <f>_xlfn.XLOOKUP($A238,Map!$A:$A,Map!F:F)</f>
        <v>Advertising and promotion expenses</v>
      </c>
    </row>
    <row r="239" spans="1:10" hidden="1" x14ac:dyDescent="0.25">
      <c r="A239" s="90">
        <v>700059</v>
      </c>
      <c r="B239" s="90" t="s">
        <v>226</v>
      </c>
      <c r="C239" s="91">
        <v>0</v>
      </c>
      <c r="D239" s="91">
        <v>95860.812999999995</v>
      </c>
      <c r="E239" s="91">
        <v>34321.813000000002</v>
      </c>
      <c r="F239" s="91">
        <v>61539</v>
      </c>
      <c r="G239" t="str">
        <f>_xlfn.XLOOKUP($A239,Map!$A:$A,Map!C:C)</f>
        <v>IS</v>
      </c>
      <c r="H239" t="str">
        <f>_xlfn.XLOOKUP($A239,Map!$A:$A,Map!D:D)</f>
        <v>Selling and Marketing</v>
      </c>
      <c r="I239" t="str">
        <f>_xlfn.XLOOKUP($A239,Map!$A:$A,Map!E:E)</f>
        <v>Exhibitions</v>
      </c>
      <c r="J239" t="str">
        <f>_xlfn.XLOOKUP($A239,Map!$A:$A,Map!F:F)</f>
        <v>Exhibitions</v>
      </c>
    </row>
    <row r="240" spans="1:10" x14ac:dyDescent="0.25">
      <c r="A240" s="90">
        <v>700060</v>
      </c>
      <c r="B240" s="90" t="s">
        <v>227</v>
      </c>
      <c r="C240" s="91">
        <v>0</v>
      </c>
      <c r="D240" s="91">
        <v>3099014.2919999999</v>
      </c>
      <c r="E240" s="91">
        <v>459526.84100000001</v>
      </c>
      <c r="F240" s="91">
        <v>2639487.4509999999</v>
      </c>
      <c r="G240" t="str">
        <f>_xlfn.XLOOKUP($A240,Map!$A:$A,Map!C:C)</f>
        <v>IS</v>
      </c>
      <c r="H240" t="str">
        <f>_xlfn.XLOOKUP($A240,Map!$A:$A,Map!D:D)</f>
        <v>Cost of sales</v>
      </c>
      <c r="I240" t="str">
        <f>_xlfn.XLOOKUP($A240,Map!$A:$A,Map!E:E)</f>
        <v>Freight expenses</v>
      </c>
      <c r="J240" t="str">
        <f>_xlfn.XLOOKUP($A240,Map!$A:$A,Map!F:F)</f>
        <v>Freight expenses</v>
      </c>
    </row>
    <row r="241" spans="1:10" hidden="1" x14ac:dyDescent="0.25">
      <c r="A241" s="90">
        <v>700061</v>
      </c>
      <c r="B241" s="90" t="s">
        <v>228</v>
      </c>
      <c r="C241" s="91">
        <v>0</v>
      </c>
      <c r="D241" s="91">
        <v>43952.72</v>
      </c>
      <c r="E241" s="91">
        <v>0</v>
      </c>
      <c r="F241" s="91">
        <v>43952.72</v>
      </c>
      <c r="G241" t="str">
        <f>_xlfn.XLOOKUP($A241,Map!$A:$A,Map!C:C)</f>
        <v>IS</v>
      </c>
      <c r="H241" t="str">
        <f>_xlfn.XLOOKUP($A241,Map!$A:$A,Map!D:D)</f>
        <v>Selling and Marketing</v>
      </c>
      <c r="I241" t="str">
        <f>_xlfn.XLOOKUP($A241,Map!$A:$A,Map!E:E)</f>
        <v>Commission expenses</v>
      </c>
      <c r="J241" t="str">
        <f>_xlfn.XLOOKUP($A241,Map!$A:$A,Map!F:F)</f>
        <v>Commission expenses</v>
      </c>
    </row>
    <row r="242" spans="1:10" hidden="1" x14ac:dyDescent="0.25">
      <c r="A242" s="90">
        <v>700062</v>
      </c>
      <c r="B242" s="90" t="s">
        <v>229</v>
      </c>
      <c r="C242" s="91">
        <v>0</v>
      </c>
      <c r="D242" s="91">
        <v>8931099.4389999993</v>
      </c>
      <c r="E242" s="91">
        <v>0</v>
      </c>
      <c r="F242" s="91">
        <v>8931099.4389999993</v>
      </c>
      <c r="G242" t="str">
        <f>_xlfn.XLOOKUP($A242,Map!$A:$A,Map!C:C)</f>
        <v>IS</v>
      </c>
      <c r="H242" t="str">
        <f>_xlfn.XLOOKUP($A242,Map!$A:$A,Map!D:D)</f>
        <v>Revised provision on Bad Debts</v>
      </c>
      <c r="I242" t="str">
        <f>_xlfn.XLOOKUP($A242,Map!$A:$A,Map!E:E)</f>
        <v>Bad debts expense</v>
      </c>
      <c r="J242" t="str">
        <f>_xlfn.XLOOKUP($A242,Map!$A:$A,Map!F:F)</f>
        <v>Bad debts expense</v>
      </c>
    </row>
    <row r="243" spans="1:10" hidden="1" x14ac:dyDescent="0.25">
      <c r="A243" s="90">
        <v>700063</v>
      </c>
      <c r="B243" s="90" t="s">
        <v>230</v>
      </c>
      <c r="C243" s="91">
        <v>0</v>
      </c>
      <c r="D243" s="91">
        <v>1370946.26</v>
      </c>
      <c r="E243" s="91">
        <v>478083.39</v>
      </c>
      <c r="F243" s="91">
        <v>892862.87</v>
      </c>
      <c r="G243" t="str">
        <f>_xlfn.XLOOKUP($A243,Map!$A:$A,Map!C:C)</f>
        <v>IS</v>
      </c>
      <c r="H243" t="str">
        <f>_xlfn.XLOOKUP($A243,Map!$A:$A,Map!D:D)</f>
        <v>General and Admin</v>
      </c>
      <c r="I243" t="str">
        <f>_xlfn.XLOOKUP($A243,Map!$A:$A,Map!E:E)</f>
        <v>Salaries and wages</v>
      </c>
      <c r="J243" t="str">
        <f>_xlfn.XLOOKUP($A243,Map!$A:$A,Map!F:F)</f>
        <v>GOSI</v>
      </c>
    </row>
    <row r="244" spans="1:10" hidden="1" x14ac:dyDescent="0.25">
      <c r="A244" s="90">
        <v>700064</v>
      </c>
      <c r="B244" s="90" t="s">
        <v>231</v>
      </c>
      <c r="C244" s="91">
        <v>0</v>
      </c>
      <c r="D244" s="91">
        <v>0</v>
      </c>
      <c r="E244" s="91">
        <v>0</v>
      </c>
      <c r="F244" s="91">
        <v>0</v>
      </c>
      <c r="G244" t="str">
        <f>_xlfn.XLOOKUP($A244,Map!$A:$A,Map!C:C)</f>
        <v>IS</v>
      </c>
      <c r="H244" t="str">
        <f>_xlfn.XLOOKUP($A244,Map!$A:$A,Map!D:D)</f>
        <v>Pre-operating expenses</v>
      </c>
      <c r="I244" t="str">
        <f>_xlfn.XLOOKUP($A244,Map!$A:$A,Map!E:E)</f>
        <v>Pre-operating expenses</v>
      </c>
      <c r="J244" t="str">
        <f>_xlfn.XLOOKUP($A244,Map!$A:$A,Map!F:F)</f>
        <v>Amortization</v>
      </c>
    </row>
    <row r="245" spans="1:10" hidden="1" x14ac:dyDescent="0.25">
      <c r="A245" s="90">
        <v>700065</v>
      </c>
      <c r="B245" s="90" t="s">
        <v>245</v>
      </c>
      <c r="C245" s="91">
        <v>0</v>
      </c>
      <c r="D245" s="91">
        <v>81723</v>
      </c>
      <c r="E245" s="91">
        <v>3244</v>
      </c>
      <c r="F245" s="91">
        <v>78479</v>
      </c>
      <c r="G245" t="str">
        <f>_xlfn.XLOOKUP($A245,Map!$A:$A,Map!C:C)</f>
        <v>IS</v>
      </c>
      <c r="H245" t="str">
        <f>_xlfn.XLOOKUP($A245,Map!$A:$A,Map!D:D)</f>
        <v>Finance cost</v>
      </c>
      <c r="I245" t="str">
        <f>_xlfn.XLOOKUP($A245,Map!$A:$A,Map!E:E)</f>
        <v>Finance cost</v>
      </c>
      <c r="J245" t="str">
        <f>_xlfn.XLOOKUP($A245,Map!$A:$A,Map!F:F)</f>
        <v>Lease interest</v>
      </c>
    </row>
    <row r="246" spans="1:10" hidden="1" x14ac:dyDescent="0.25">
      <c r="A246" s="90">
        <v>700066</v>
      </c>
      <c r="B246" s="90" t="s">
        <v>233</v>
      </c>
      <c r="C246" s="91">
        <v>0</v>
      </c>
      <c r="D246" s="91">
        <v>271791.99400000001</v>
      </c>
      <c r="E246" s="91">
        <v>0</v>
      </c>
      <c r="F246" s="91">
        <v>271791.99400000001</v>
      </c>
      <c r="G246" t="str">
        <f>_xlfn.XLOOKUP($A246,Map!$A:$A,Map!C:C)</f>
        <v>IS</v>
      </c>
      <c r="H246" t="str">
        <f>_xlfn.XLOOKUP($A246,Map!$A:$A,Map!D:D)</f>
        <v>General and Admin</v>
      </c>
      <c r="I246" t="str">
        <f>_xlfn.XLOOKUP($A246,Map!$A:$A,Map!E:E)</f>
        <v>Govt license and fees (including modon)</v>
      </c>
      <c r="J246" t="str">
        <f>_xlfn.XLOOKUP($A246,Map!$A:$A,Map!F:F)</f>
        <v>3rd Industrial Area Lease Provision</v>
      </c>
    </row>
    <row r="247" spans="1:10" x14ac:dyDescent="0.25">
      <c r="A247" s="90">
        <v>700067</v>
      </c>
      <c r="B247" s="90" t="s">
        <v>234</v>
      </c>
      <c r="C247" s="91">
        <v>0</v>
      </c>
      <c r="D247" s="91">
        <v>272752.8</v>
      </c>
      <c r="E247" s="91">
        <v>199663.815</v>
      </c>
      <c r="F247" s="91">
        <v>73088.985000000001</v>
      </c>
      <c r="G247" t="str">
        <f>_xlfn.XLOOKUP($A247,Map!$A:$A,Map!C:C)</f>
        <v>IS</v>
      </c>
      <c r="H247" t="str">
        <f>_xlfn.XLOOKUP($A247,Map!$A:$A,Map!D:D)</f>
        <v>Cost of sales</v>
      </c>
      <c r="I247" t="str">
        <f>_xlfn.XLOOKUP($A247,Map!$A:$A,Map!E:E)</f>
        <v>Freight expenses</v>
      </c>
      <c r="J247" t="str">
        <f>_xlfn.XLOOKUP($A247,Map!$A:$A,Map!F:F)</f>
        <v>Freight expenses</v>
      </c>
    </row>
    <row r="248" spans="1:10" hidden="1" x14ac:dyDescent="0.25">
      <c r="A248" s="90">
        <v>800001</v>
      </c>
      <c r="B248" s="90" t="s">
        <v>235</v>
      </c>
      <c r="C248" s="91">
        <v>0</v>
      </c>
      <c r="D248" s="91">
        <v>0</v>
      </c>
      <c r="E248" s="91">
        <v>0</v>
      </c>
      <c r="F248" s="91">
        <v>0</v>
      </c>
      <c r="G248" t="str">
        <f>_xlfn.XLOOKUP($A248,Map!$A:$A,Map!C:C)</f>
        <v>BS</v>
      </c>
      <c r="H248" t="str">
        <f>_xlfn.XLOOKUP($A248,Map!$A:$A,Map!D:D)</f>
        <v>Non-Current Liabilities</v>
      </c>
      <c r="I248" t="str">
        <f>_xlfn.XLOOKUP($A248,Map!$A:$A,Map!E:E)</f>
        <v xml:space="preserve">Due to related parties </v>
      </c>
      <c r="J248" t="str">
        <f>_xlfn.XLOOKUP($A248,Map!$A:$A,Map!F:F)</f>
        <v>Aims Holding  Current Acc</v>
      </c>
    </row>
    <row r="249" spans="1:10" hidden="1" x14ac:dyDescent="0.25">
      <c r="A249" s="90">
        <v>800002</v>
      </c>
      <c r="B249" s="90" t="s">
        <v>236</v>
      </c>
      <c r="C249" s="91">
        <v>0</v>
      </c>
      <c r="D249" s="91">
        <v>0</v>
      </c>
      <c r="E249" s="91">
        <v>0</v>
      </c>
      <c r="F249" s="91">
        <v>0</v>
      </c>
      <c r="G249" t="str">
        <f>_xlfn.XLOOKUP($A249,Map!$A:$A,Map!C:C)</f>
        <v>IS</v>
      </c>
      <c r="H249" t="str">
        <f>_xlfn.XLOOKUP($A249,Map!$A:$A,Map!D:D)</f>
        <v>General and Admin</v>
      </c>
      <c r="I249" t="str">
        <f>_xlfn.XLOOKUP($A249,Map!$A:$A,Map!E:E)</f>
        <v>AIMS expenses</v>
      </c>
      <c r="J249" t="str">
        <f>_xlfn.XLOOKUP($A249,Map!$A:$A,Map!F:F)</f>
        <v>Aims Holding  Current Acc</v>
      </c>
    </row>
    <row r="250" spans="1:10" hidden="1" x14ac:dyDescent="0.25">
      <c r="G250"/>
      <c r="H250"/>
      <c r="I250"/>
      <c r="J250"/>
    </row>
    <row r="251" spans="1:10" hidden="1" x14ac:dyDescent="0.25">
      <c r="C251" s="93">
        <f>SUBTOTAL(9,C5:C250)</f>
        <v>0</v>
      </c>
      <c r="D251" s="93">
        <f>SUBTOTAL(9,D5:D250)</f>
        <v>3371767.0919999997</v>
      </c>
      <c r="E251" s="93">
        <f>SUBTOTAL(9,E5:E250)</f>
        <v>659190.65599999996</v>
      </c>
      <c r="F251" s="93">
        <f>SUBTOTAL(9,F5:F250)</f>
        <v>2712576.4359999998</v>
      </c>
    </row>
    <row r="252" spans="1:10" hidden="1" x14ac:dyDescent="0.25">
      <c r="C252" s="93"/>
      <c r="D252" s="93"/>
      <c r="E252" s="93"/>
      <c r="F252" s="93"/>
    </row>
    <row r="253" spans="1:10" hidden="1" x14ac:dyDescent="0.25">
      <c r="A253" s="5" t="s">
        <v>531</v>
      </c>
    </row>
    <row r="254" spans="1:10" hidden="1" x14ac:dyDescent="0.25">
      <c r="A254" s="90">
        <v>600060</v>
      </c>
      <c r="B254" s="90" t="s">
        <v>600</v>
      </c>
      <c r="D254" s="91">
        <v>0</v>
      </c>
      <c r="E254" s="91">
        <v>776507.2</v>
      </c>
      <c r="F254" s="91">
        <f>D254-E254</f>
        <v>-776507.2</v>
      </c>
      <c r="G254" t="str">
        <f>_xlfn.XLOOKUP($A254,Map!$A:$A,Map!C:C)</f>
        <v>IS</v>
      </c>
      <c r="H254" t="str">
        <f>_xlfn.XLOOKUP($A254,Map!$A:$A,Map!D:D)</f>
        <v>Other Income</v>
      </c>
      <c r="I254" t="str">
        <f>_xlfn.XLOOKUP($A254,Map!$A:$A,Map!E:E)</f>
        <v>Other Income</v>
      </c>
      <c r="J254" t="str">
        <f>_xlfn.XLOOKUP($A254,Map!$A:$A,Map!F:F)</f>
        <v>Hadaf program</v>
      </c>
    </row>
    <row r="255" spans="1:10" hidden="1" x14ac:dyDescent="0.25">
      <c r="A255" s="90">
        <v>600034</v>
      </c>
      <c r="B255" s="90" t="s">
        <v>601</v>
      </c>
      <c r="D255" s="91">
        <v>511007.99800000002</v>
      </c>
      <c r="E255" s="91">
        <v>0</v>
      </c>
      <c r="F255" s="91">
        <f t="shared" ref="F255:F318" si="0">D255-E255</f>
        <v>511007.99800000002</v>
      </c>
      <c r="G255" t="str">
        <f>_xlfn.XLOOKUP($A255,Map!$A:$A,Map!C:C)</f>
        <v>IS</v>
      </c>
      <c r="H255" t="str">
        <f>_xlfn.XLOOKUP($A255,Map!$A:$A,Map!D:D)</f>
        <v>Cost of sales</v>
      </c>
      <c r="I255" t="str">
        <f>_xlfn.XLOOKUP($A255,Map!$A:$A,Map!E:E)</f>
        <v>Overhead - Rent Labor</v>
      </c>
      <c r="J255" t="str">
        <f>_xlfn.XLOOKUP($A255,Map!$A:$A,Map!F:F)</f>
        <v>Rental labor</v>
      </c>
    </row>
    <row r="256" spans="1:10" hidden="1" x14ac:dyDescent="0.25">
      <c r="A256" s="90">
        <v>600034</v>
      </c>
      <c r="B256" s="90" t="s">
        <v>169</v>
      </c>
      <c r="D256" s="91">
        <v>7200</v>
      </c>
      <c r="E256" s="91">
        <v>0</v>
      </c>
      <c r="F256" s="91">
        <f t="shared" si="0"/>
        <v>7200</v>
      </c>
      <c r="G256" t="str">
        <f>_xlfn.XLOOKUP($A256,Map!$A:$A,Map!C:C)</f>
        <v>IS</v>
      </c>
      <c r="H256" t="str">
        <f>_xlfn.XLOOKUP($A256,Map!$A:$A,Map!D:D)</f>
        <v>Cost of sales</v>
      </c>
      <c r="I256" t="str">
        <f>_xlfn.XLOOKUP($A256,Map!$A:$A,Map!E:E)</f>
        <v>Overhead - Rent Labor</v>
      </c>
      <c r="J256" t="str">
        <f>_xlfn.XLOOKUP($A256,Map!$A:$A,Map!F:F)</f>
        <v>Rental labor</v>
      </c>
    </row>
    <row r="257" spans="1:10" hidden="1" x14ac:dyDescent="0.25">
      <c r="A257" s="90">
        <v>600033</v>
      </c>
      <c r="B257" s="90" t="s">
        <v>602</v>
      </c>
      <c r="D257" s="91">
        <v>162906.99600000001</v>
      </c>
      <c r="E257" s="91">
        <v>0</v>
      </c>
      <c r="F257" s="91">
        <f t="shared" si="0"/>
        <v>162906.99600000001</v>
      </c>
      <c r="G257" t="str">
        <f>_xlfn.XLOOKUP($A257,Map!$A:$A,Map!C:C)</f>
        <v>IS</v>
      </c>
      <c r="H257" t="str">
        <f>_xlfn.XLOOKUP($A257,Map!$A:$A,Map!D:D)</f>
        <v>Depreciation expenses</v>
      </c>
      <c r="I257" t="str">
        <f>_xlfn.XLOOKUP($A257,Map!$A:$A,Map!E:E)</f>
        <v>Depreciation expenses</v>
      </c>
      <c r="J257" t="str">
        <f>_xlfn.XLOOKUP($A257,Map!$A:$A,Map!F:F)</f>
        <v>Depreciation of property, plant and equipment</v>
      </c>
    </row>
    <row r="258" spans="1:10" hidden="1" x14ac:dyDescent="0.25">
      <c r="A258" s="90">
        <v>600032</v>
      </c>
      <c r="B258" s="90" t="s">
        <v>603</v>
      </c>
      <c r="D258" s="91">
        <v>1566844.2</v>
      </c>
      <c r="E258" s="91">
        <v>0</v>
      </c>
      <c r="F258" s="91">
        <f t="shared" si="0"/>
        <v>1566844.2</v>
      </c>
      <c r="G258" t="str">
        <f>_xlfn.XLOOKUP($A258,Map!$A:$A,Map!C:C)</f>
        <v>IS</v>
      </c>
      <c r="H258" t="str">
        <f>_xlfn.XLOOKUP($A258,Map!$A:$A,Map!D:D)</f>
        <v>Depreciation expenses</v>
      </c>
      <c r="I258" t="str">
        <f>_xlfn.XLOOKUP($A258,Map!$A:$A,Map!E:E)</f>
        <v>Depreciation expenses</v>
      </c>
      <c r="J258" t="str">
        <f>_xlfn.XLOOKUP($A258,Map!$A:$A,Map!F:F)</f>
        <v>Depreciation of property, plant and equipment</v>
      </c>
    </row>
    <row r="259" spans="1:10" hidden="1" x14ac:dyDescent="0.25">
      <c r="A259" s="90">
        <v>600030</v>
      </c>
      <c r="B259" s="90" t="s">
        <v>604</v>
      </c>
      <c r="D259" s="91">
        <v>87931.763999999996</v>
      </c>
      <c r="E259" s="91">
        <v>0</v>
      </c>
      <c r="F259" s="91">
        <f t="shared" si="0"/>
        <v>87931.763999999996</v>
      </c>
      <c r="G259" t="str">
        <f>_xlfn.XLOOKUP($A259,Map!$A:$A,Map!C:C)</f>
        <v>IS</v>
      </c>
      <c r="H259" t="str">
        <f>_xlfn.XLOOKUP($A259,Map!$A:$A,Map!D:D)</f>
        <v>Depreciation expenses</v>
      </c>
      <c r="I259" t="str">
        <f>_xlfn.XLOOKUP($A259,Map!$A:$A,Map!E:E)</f>
        <v>Depreciation expenses</v>
      </c>
      <c r="J259" t="str">
        <f>_xlfn.XLOOKUP($A259,Map!$A:$A,Map!F:F)</f>
        <v>Depreciation of property, plant and equipment</v>
      </c>
    </row>
    <row r="260" spans="1:10" hidden="1" x14ac:dyDescent="0.25">
      <c r="A260" s="90">
        <v>600029</v>
      </c>
      <c r="B260" s="90" t="s">
        <v>605</v>
      </c>
      <c r="D260" s="91">
        <v>3892923.0929999999</v>
      </c>
      <c r="E260" s="91">
        <v>0</v>
      </c>
      <c r="F260" s="91">
        <f t="shared" si="0"/>
        <v>3892923.0929999999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Depreciation - Machines</v>
      </c>
      <c r="J260" t="str">
        <f>_xlfn.XLOOKUP($A260,Map!$A:$A,Map!F:F)</f>
        <v>Depreciation of property, plant and equipment</v>
      </c>
    </row>
    <row r="261" spans="1:10" hidden="1" x14ac:dyDescent="0.25">
      <c r="A261" s="90">
        <v>600022</v>
      </c>
      <c r="B261" s="90" t="s">
        <v>606</v>
      </c>
      <c r="D261" s="91">
        <v>5883</v>
      </c>
      <c r="E261" s="91">
        <v>0</v>
      </c>
      <c r="F261" s="91">
        <f t="shared" si="0"/>
        <v>5883</v>
      </c>
      <c r="G261" t="str">
        <f>_xlfn.XLOOKUP($A261,Map!$A:$A,Map!C:C)</f>
        <v>IS</v>
      </c>
      <c r="H261" t="str">
        <f>_xlfn.XLOOKUP($A261,Map!$A:$A,Map!D:D)</f>
        <v>Cost of sales</v>
      </c>
      <c r="I261" t="str">
        <f>_xlfn.XLOOKUP($A261,Map!$A:$A,Map!E:E)</f>
        <v>Overhead - R&amp;M</v>
      </c>
      <c r="J261" t="str">
        <f>_xlfn.XLOOKUP($A261,Map!$A:$A,Map!F:F)</f>
        <v>Building maintenance</v>
      </c>
    </row>
    <row r="262" spans="1:10" hidden="1" x14ac:dyDescent="0.25">
      <c r="A262" s="90">
        <v>600022</v>
      </c>
      <c r="B262" s="90" t="s">
        <v>157</v>
      </c>
      <c r="D262" s="91">
        <v>0</v>
      </c>
      <c r="E262" s="91">
        <v>20774.97</v>
      </c>
      <c r="F262" s="91">
        <f t="shared" si="0"/>
        <v>-20774.97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Overhead - R&amp;M</v>
      </c>
      <c r="J262" t="str">
        <f>_xlfn.XLOOKUP($A262,Map!$A:$A,Map!F:F)</f>
        <v>Building maintenance</v>
      </c>
    </row>
    <row r="263" spans="1:10" hidden="1" x14ac:dyDescent="0.25">
      <c r="A263" s="90">
        <v>600021</v>
      </c>
      <c r="B263" s="90" t="s">
        <v>607</v>
      </c>
      <c r="D263" s="91">
        <v>22187.22</v>
      </c>
      <c r="E263" s="91">
        <v>0</v>
      </c>
      <c r="F263" s="91">
        <f t="shared" si="0"/>
        <v>22187.22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Overhead - R&amp;M</v>
      </c>
      <c r="J263" t="str">
        <f>_xlfn.XLOOKUP($A263,Map!$A:$A,Map!F:F)</f>
        <v>Vehicle maintenance</v>
      </c>
    </row>
    <row r="264" spans="1:10" hidden="1" x14ac:dyDescent="0.25">
      <c r="A264" s="90">
        <v>600020</v>
      </c>
      <c r="B264" s="90" t="s">
        <v>608</v>
      </c>
      <c r="D264" s="91">
        <v>278086.342</v>
      </c>
      <c r="E264" s="91">
        <v>0</v>
      </c>
      <c r="F264" s="91">
        <f t="shared" si="0"/>
        <v>278086.342</v>
      </c>
      <c r="G264" t="str">
        <f>_xlfn.XLOOKUP($A264,Map!$A:$A,Map!C:C)</f>
        <v>IS</v>
      </c>
      <c r="H264" t="str">
        <f>_xlfn.XLOOKUP($A264,Map!$A:$A,Map!D:D)</f>
        <v>Cost of sales</v>
      </c>
      <c r="I264" t="str">
        <f>_xlfn.XLOOKUP($A264,Map!$A:$A,Map!E:E)</f>
        <v>Overhead - R&amp;M</v>
      </c>
      <c r="J264" t="str">
        <f>_xlfn.XLOOKUP($A264,Map!$A:$A,Map!F:F)</f>
        <v>Machine and equipment</v>
      </c>
    </row>
    <row r="265" spans="1:10" hidden="1" x14ac:dyDescent="0.25">
      <c r="A265" s="90">
        <v>600019</v>
      </c>
      <c r="B265" s="90" t="s">
        <v>609</v>
      </c>
      <c r="D265" s="91">
        <v>74965.739000000001</v>
      </c>
      <c r="E265" s="91">
        <v>0</v>
      </c>
      <c r="F265" s="91">
        <f t="shared" si="0"/>
        <v>74965.739000000001</v>
      </c>
      <c r="G265" t="str">
        <f>_xlfn.XLOOKUP($A265,Map!$A:$A,Map!C:C)</f>
        <v>IS</v>
      </c>
      <c r="H265" t="str">
        <f>_xlfn.XLOOKUP($A265,Map!$A:$A,Map!D:D)</f>
        <v>Cost of sales</v>
      </c>
      <c r="I265" t="str">
        <f>_xlfn.XLOOKUP($A265,Map!$A:$A,Map!E:E)</f>
        <v>Overhead - Utility</v>
      </c>
      <c r="J265" t="str">
        <f>_xlfn.XLOOKUP($A265,Map!$A:$A,Map!F:F)</f>
        <v>Fuel and oil</v>
      </c>
    </row>
    <row r="266" spans="1:10" hidden="1" x14ac:dyDescent="0.25">
      <c r="A266" s="90">
        <v>600018</v>
      </c>
      <c r="B266" s="90" t="s">
        <v>610</v>
      </c>
      <c r="D266" s="91">
        <v>106290.5</v>
      </c>
      <c r="E266" s="91">
        <v>0</v>
      </c>
      <c r="F266" s="91">
        <f t="shared" si="0"/>
        <v>106290.5</v>
      </c>
      <c r="G266" t="str">
        <f>_xlfn.XLOOKUP($A266,Map!$A:$A,Map!C:C)</f>
        <v>IS</v>
      </c>
      <c r="H266" t="str">
        <f>_xlfn.XLOOKUP($A266,Map!$A:$A,Map!D:D)</f>
        <v>Cost of sales</v>
      </c>
      <c r="I266" t="str">
        <f>_xlfn.XLOOKUP($A266,Map!$A:$A,Map!E:E)</f>
        <v>Overhead - Utility</v>
      </c>
      <c r="J266" t="str">
        <f>_xlfn.XLOOKUP($A266,Map!$A:$A,Map!F:F)</f>
        <v>Water expenses</v>
      </c>
    </row>
    <row r="267" spans="1:10" hidden="1" x14ac:dyDescent="0.25">
      <c r="A267" s="90">
        <v>600018</v>
      </c>
      <c r="B267" s="90" t="s">
        <v>611</v>
      </c>
      <c r="D267" s="91">
        <v>0</v>
      </c>
      <c r="E267" s="91">
        <v>0</v>
      </c>
      <c r="F267" s="91">
        <f t="shared" si="0"/>
        <v>0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Overhead - Utility</v>
      </c>
      <c r="J267" t="str">
        <f>_xlfn.XLOOKUP($A267,Map!$A:$A,Map!F:F)</f>
        <v>Water expenses</v>
      </c>
    </row>
    <row r="268" spans="1:10" hidden="1" x14ac:dyDescent="0.25">
      <c r="A268" s="90">
        <v>600018</v>
      </c>
      <c r="B268" s="90" t="s">
        <v>612</v>
      </c>
      <c r="D268" s="91">
        <v>10070</v>
      </c>
      <c r="E268" s="91">
        <v>0</v>
      </c>
      <c r="F268" s="91">
        <f t="shared" si="0"/>
        <v>10070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Overhead - Utility</v>
      </c>
      <c r="J268" t="str">
        <f>_xlfn.XLOOKUP($A268,Map!$A:$A,Map!F:F)</f>
        <v>Water expenses</v>
      </c>
    </row>
    <row r="269" spans="1:10" hidden="1" x14ac:dyDescent="0.25">
      <c r="A269" s="90">
        <v>600018</v>
      </c>
      <c r="B269" s="90" t="s">
        <v>153</v>
      </c>
      <c r="D269" s="91">
        <v>19020</v>
      </c>
      <c r="E269" s="91">
        <v>0</v>
      </c>
      <c r="F269" s="91">
        <f t="shared" si="0"/>
        <v>19020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Overhead - Utility</v>
      </c>
      <c r="J269" t="str">
        <f>_xlfn.XLOOKUP($A269,Map!$A:$A,Map!F:F)</f>
        <v>Water expenses</v>
      </c>
    </row>
    <row r="270" spans="1:10" hidden="1" x14ac:dyDescent="0.25">
      <c r="A270" s="90">
        <v>600017</v>
      </c>
      <c r="B270" s="90" t="s">
        <v>613</v>
      </c>
      <c r="D270" s="91">
        <v>1446669.747</v>
      </c>
      <c r="E270" s="91">
        <v>0</v>
      </c>
      <c r="F270" s="91">
        <f t="shared" si="0"/>
        <v>1446669.747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Overhead - Utility</v>
      </c>
      <c r="J270" t="str">
        <f>_xlfn.XLOOKUP($A270,Map!$A:$A,Map!F:F)</f>
        <v>Electricity expenses</v>
      </c>
    </row>
    <row r="271" spans="1:10" hidden="1" x14ac:dyDescent="0.25">
      <c r="A271" s="90">
        <v>600016</v>
      </c>
      <c r="B271" s="90" t="s">
        <v>614</v>
      </c>
      <c r="D271" s="91">
        <v>146659.15400000001</v>
      </c>
      <c r="E271" s="91">
        <v>0</v>
      </c>
      <c r="F271" s="91">
        <f t="shared" si="0"/>
        <v>146659.15400000001</v>
      </c>
      <c r="G271" t="str">
        <f>_xlfn.XLOOKUP($A271,Map!$A:$A,Map!C:C)</f>
        <v>IS</v>
      </c>
      <c r="H271" t="str">
        <f>_xlfn.XLOOKUP($A271,Map!$A:$A,Map!D:D)</f>
        <v>Cost of sales</v>
      </c>
      <c r="I271" t="str">
        <f>_xlfn.XLOOKUP($A271,Map!$A:$A,Map!E:E)</f>
        <v>Overhead - Consumables &amp; SP</v>
      </c>
      <c r="J271" t="str">
        <f>_xlfn.XLOOKUP($A271,Map!$A:$A,Map!F:F)</f>
        <v>Tools</v>
      </c>
    </row>
    <row r="272" spans="1:10" hidden="1" x14ac:dyDescent="0.25">
      <c r="A272" s="90">
        <v>600016</v>
      </c>
      <c r="B272" s="90" t="s">
        <v>151</v>
      </c>
      <c r="D272" s="91">
        <v>2220400.0240000002</v>
      </c>
      <c r="E272" s="91">
        <v>0</v>
      </c>
      <c r="F272" s="91">
        <f t="shared" si="0"/>
        <v>2220400.0240000002</v>
      </c>
      <c r="G272" t="str">
        <f>_xlfn.XLOOKUP($A272,Map!$A:$A,Map!C:C)</f>
        <v>IS</v>
      </c>
      <c r="H272" t="str">
        <f>_xlfn.XLOOKUP($A272,Map!$A:$A,Map!D:D)</f>
        <v>Cost of sales</v>
      </c>
      <c r="I272" t="str">
        <f>_xlfn.XLOOKUP($A272,Map!$A:$A,Map!E:E)</f>
        <v>Overhead - Consumables &amp; SP</v>
      </c>
      <c r="J272" t="str">
        <f>_xlfn.XLOOKUP($A272,Map!$A:$A,Map!F:F)</f>
        <v>Tools</v>
      </c>
    </row>
    <row r="273" spans="1:10" hidden="1" x14ac:dyDescent="0.25">
      <c r="A273" s="90">
        <v>600014</v>
      </c>
      <c r="B273" s="90" t="s">
        <v>615</v>
      </c>
      <c r="D273" s="91">
        <v>63251.538</v>
      </c>
      <c r="E273" s="91">
        <v>0</v>
      </c>
      <c r="F273" s="91">
        <f t="shared" si="0"/>
        <v>63251.538</v>
      </c>
      <c r="G273" t="str">
        <f>_xlfn.XLOOKUP($A273,Map!$A:$A,Map!C:C)</f>
        <v>IS</v>
      </c>
      <c r="H273" t="str">
        <f>_xlfn.XLOOKUP($A273,Map!$A:$A,Map!D:D)</f>
        <v>Cost of sales</v>
      </c>
      <c r="I273" t="str">
        <f>_xlfn.XLOOKUP($A273,Map!$A:$A,Map!E:E)</f>
        <v>Overhead - Consumables &amp; SP</v>
      </c>
      <c r="J273" t="str">
        <f>_xlfn.XLOOKUP($A273,Map!$A:$A,Map!F:F)</f>
        <v>Consumables</v>
      </c>
    </row>
    <row r="274" spans="1:10" hidden="1" x14ac:dyDescent="0.25">
      <c r="A274" s="90">
        <v>600014</v>
      </c>
      <c r="B274" s="90" t="s">
        <v>60</v>
      </c>
      <c r="D274" s="91">
        <v>2031503.598</v>
      </c>
      <c r="E274" s="91">
        <v>0</v>
      </c>
      <c r="F274" s="91">
        <f t="shared" si="0"/>
        <v>2031503.598</v>
      </c>
      <c r="G274" t="str">
        <f>_xlfn.XLOOKUP($A274,Map!$A:$A,Map!C:C)</f>
        <v>IS</v>
      </c>
      <c r="H274" t="str">
        <f>_xlfn.XLOOKUP($A274,Map!$A:$A,Map!D:D)</f>
        <v>Cost of sales</v>
      </c>
      <c r="I274" t="str">
        <f>_xlfn.XLOOKUP($A274,Map!$A:$A,Map!E:E)</f>
        <v>Overhead - Consumables &amp; SP</v>
      </c>
      <c r="J274" t="str">
        <f>_xlfn.XLOOKUP($A274,Map!$A:$A,Map!F:F)</f>
        <v>Consumables</v>
      </c>
    </row>
    <row r="275" spans="1:10" hidden="1" x14ac:dyDescent="0.25">
      <c r="A275" s="90">
        <v>600011</v>
      </c>
      <c r="B275" s="90" t="s">
        <v>616</v>
      </c>
      <c r="D275" s="91">
        <v>12000</v>
      </c>
      <c r="E275" s="91">
        <v>0</v>
      </c>
      <c r="F275" s="91">
        <f t="shared" si="0"/>
        <v>12000</v>
      </c>
      <c r="G275" t="str">
        <f>_xlfn.XLOOKUP($A275,Map!$A:$A,Map!C:C)</f>
        <v>IS</v>
      </c>
      <c r="H275" t="str">
        <f>_xlfn.XLOOKUP($A275,Map!$A:$A,Map!D:D)</f>
        <v>Cost of sales</v>
      </c>
      <c r="I275" t="str">
        <f>_xlfn.XLOOKUP($A275,Map!$A:$A,Map!E:E)</f>
        <v>Overhead - Labor Cost</v>
      </c>
      <c r="J275" t="str">
        <f>_xlfn.XLOOKUP($A275,Map!$A:$A,Map!F:F)</f>
        <v>Air tickets</v>
      </c>
    </row>
    <row r="276" spans="1:10" hidden="1" x14ac:dyDescent="0.25">
      <c r="A276" s="90">
        <v>600010</v>
      </c>
      <c r="B276" s="90" t="s">
        <v>617</v>
      </c>
      <c r="D276" s="91">
        <v>22591</v>
      </c>
      <c r="E276" s="91">
        <v>0</v>
      </c>
      <c r="F276" s="91">
        <f t="shared" si="0"/>
        <v>22591</v>
      </c>
      <c r="G276" t="str">
        <f>_xlfn.XLOOKUP($A276,Map!$A:$A,Map!C:C)</f>
        <v>IS</v>
      </c>
      <c r="H276" t="str">
        <f>_xlfn.XLOOKUP($A276,Map!$A:$A,Map!D:D)</f>
        <v>Cost of sales</v>
      </c>
      <c r="I276" t="str">
        <f>_xlfn.XLOOKUP($A276,Map!$A:$A,Map!E:E)</f>
        <v>Overhead - Labor Cost</v>
      </c>
      <c r="J276" t="str">
        <f>_xlfn.XLOOKUP($A276,Map!$A:$A,Map!F:F)</f>
        <v>EOS expenses</v>
      </c>
    </row>
    <row r="277" spans="1:10" hidden="1" x14ac:dyDescent="0.25">
      <c r="A277" s="90">
        <v>600009</v>
      </c>
      <c r="B277" s="90" t="s">
        <v>618</v>
      </c>
      <c r="D277" s="91">
        <v>327325.90000000002</v>
      </c>
      <c r="E277" s="91">
        <v>0</v>
      </c>
      <c r="F277" s="91">
        <f t="shared" si="0"/>
        <v>327325.90000000002</v>
      </c>
      <c r="G277" t="str">
        <f>_xlfn.XLOOKUP($A277,Map!$A:$A,Map!C:C)</f>
        <v>IS</v>
      </c>
      <c r="H277" t="str">
        <f>_xlfn.XLOOKUP($A277,Map!$A:$A,Map!D:D)</f>
        <v>Cost of sales</v>
      </c>
      <c r="I277" t="str">
        <f>_xlfn.XLOOKUP($A277,Map!$A:$A,Map!E:E)</f>
        <v>Overhead - Labor Cost</v>
      </c>
      <c r="J277" t="str">
        <f>_xlfn.XLOOKUP($A277,Map!$A:$A,Map!F:F)</f>
        <v>Vacation pay</v>
      </c>
    </row>
    <row r="278" spans="1:10" hidden="1" x14ac:dyDescent="0.25">
      <c r="A278" s="90">
        <v>600008</v>
      </c>
      <c r="B278" s="90" t="s">
        <v>619</v>
      </c>
      <c r="D278" s="91">
        <v>313336.43599999999</v>
      </c>
      <c r="E278" s="91">
        <v>0</v>
      </c>
      <c r="F278" s="91">
        <f t="shared" si="0"/>
        <v>313336.43599999999</v>
      </c>
      <c r="G278" t="str">
        <f>_xlfn.XLOOKUP($A278,Map!$A:$A,Map!C:C)</f>
        <v>IS</v>
      </c>
      <c r="H278" t="str">
        <f>_xlfn.XLOOKUP($A278,Map!$A:$A,Map!D:D)</f>
        <v>Cost of sales</v>
      </c>
      <c r="I278" t="str">
        <f>_xlfn.XLOOKUP($A278,Map!$A:$A,Map!E:E)</f>
        <v>Overhead - Labor Cost</v>
      </c>
      <c r="J278" t="str">
        <f>_xlfn.XLOOKUP($A278,Map!$A:$A,Map!F:F)</f>
        <v>Air tickets</v>
      </c>
    </row>
    <row r="279" spans="1:10" hidden="1" x14ac:dyDescent="0.25">
      <c r="A279" s="90">
        <v>600006</v>
      </c>
      <c r="B279" s="90" t="s">
        <v>620</v>
      </c>
      <c r="D279" s="91">
        <v>1093343.699</v>
      </c>
      <c r="E279" s="91">
        <v>0</v>
      </c>
      <c r="F279" s="91">
        <f t="shared" si="0"/>
        <v>1093343.699</v>
      </c>
      <c r="G279" t="str">
        <f>_xlfn.XLOOKUP($A279,Map!$A:$A,Map!C:C)</f>
        <v>IS</v>
      </c>
      <c r="H279" t="str">
        <f>_xlfn.XLOOKUP($A279,Map!$A:$A,Map!D:D)</f>
        <v>Cost of sales</v>
      </c>
      <c r="I279" t="str">
        <f>_xlfn.XLOOKUP($A279,Map!$A:$A,Map!E:E)</f>
        <v>Overhead - Labor Cost</v>
      </c>
      <c r="J279" t="str">
        <f>_xlfn.XLOOKUP($A279,Map!$A:$A,Map!F:F)</f>
        <v xml:space="preserve">Food &amp; Housing </v>
      </c>
    </row>
    <row r="280" spans="1:10" hidden="1" x14ac:dyDescent="0.25">
      <c r="A280" s="90">
        <v>600005</v>
      </c>
      <c r="B280" s="90" t="s">
        <v>621</v>
      </c>
      <c r="D280" s="91">
        <v>148435.76</v>
      </c>
      <c r="E280" s="91">
        <v>0</v>
      </c>
      <c r="F280" s="91">
        <f t="shared" si="0"/>
        <v>148435.76</v>
      </c>
      <c r="G280" t="str">
        <f>_xlfn.XLOOKUP($A280,Map!$A:$A,Map!C:C)</f>
        <v>IS</v>
      </c>
      <c r="H280" t="str">
        <f>_xlfn.XLOOKUP($A280,Map!$A:$A,Map!D:D)</f>
        <v>General and Admin</v>
      </c>
      <c r="I280" t="str">
        <f>_xlfn.XLOOKUP($A280,Map!$A:$A,Map!E:E)</f>
        <v>Govt license and fees (including modon)</v>
      </c>
      <c r="J280" t="str">
        <f>_xlfn.XLOOKUP($A280,Map!$A:$A,Map!F:F)</f>
        <v>Government fees</v>
      </c>
    </row>
    <row r="281" spans="1:10" hidden="1" x14ac:dyDescent="0.25">
      <c r="A281" s="90">
        <v>600005</v>
      </c>
      <c r="B281" s="90" t="s">
        <v>622</v>
      </c>
      <c r="D281" s="91">
        <v>18200</v>
      </c>
      <c r="E281" s="91">
        <v>0</v>
      </c>
      <c r="F281" s="91">
        <f t="shared" si="0"/>
        <v>18200</v>
      </c>
      <c r="G281" t="str">
        <f>_xlfn.XLOOKUP($A281,Map!$A:$A,Map!C:C)</f>
        <v>IS</v>
      </c>
      <c r="H281" t="str">
        <f>_xlfn.XLOOKUP($A281,Map!$A:$A,Map!D:D)</f>
        <v>General and Admin</v>
      </c>
      <c r="I281" t="str">
        <f>_xlfn.XLOOKUP($A281,Map!$A:$A,Map!E:E)</f>
        <v>Govt license and fees (including modon)</v>
      </c>
      <c r="J281" t="str">
        <f>_xlfn.XLOOKUP($A281,Map!$A:$A,Map!F:F)</f>
        <v>Government fees</v>
      </c>
    </row>
    <row r="282" spans="1:10" hidden="1" x14ac:dyDescent="0.25">
      <c r="A282" s="90">
        <v>600004</v>
      </c>
      <c r="B282" s="90" t="s">
        <v>623</v>
      </c>
      <c r="D282" s="91">
        <v>209710.383</v>
      </c>
      <c r="E282" s="91">
        <v>0</v>
      </c>
      <c r="F282" s="91">
        <f t="shared" si="0"/>
        <v>209710.383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Overhead - Labor Cost</v>
      </c>
      <c r="J282" t="str">
        <f>_xlfn.XLOOKUP($A282,Map!$A:$A,Map!F:F)</f>
        <v>Medical insurance</v>
      </c>
    </row>
    <row r="283" spans="1:10" hidden="1" x14ac:dyDescent="0.25">
      <c r="A283" s="90">
        <v>600003</v>
      </c>
      <c r="B283" s="90" t="s">
        <v>624</v>
      </c>
      <c r="D283" s="91">
        <v>835991.2</v>
      </c>
      <c r="E283" s="91">
        <v>0</v>
      </c>
      <c r="F283" s="91">
        <f t="shared" si="0"/>
        <v>835991.2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Overhead - Labor Cost</v>
      </c>
      <c r="J283" t="str">
        <f>_xlfn.XLOOKUP($A283,Map!$A:$A,Map!F:F)</f>
        <v xml:space="preserve">Food &amp; Housing </v>
      </c>
    </row>
    <row r="284" spans="1:10" hidden="1" x14ac:dyDescent="0.25">
      <c r="A284" s="90">
        <v>600003</v>
      </c>
      <c r="B284" s="90" t="s">
        <v>139</v>
      </c>
      <c r="D284" s="91">
        <v>48356</v>
      </c>
      <c r="E284" s="91">
        <v>0</v>
      </c>
      <c r="F284" s="91">
        <f t="shared" si="0"/>
        <v>48356</v>
      </c>
      <c r="G284" t="str">
        <f>_xlfn.XLOOKUP($A284,Map!$A:$A,Map!C:C)</f>
        <v>IS</v>
      </c>
      <c r="H284" t="str">
        <f>_xlfn.XLOOKUP($A284,Map!$A:$A,Map!D:D)</f>
        <v>Cost of sales</v>
      </c>
      <c r="I284" t="str">
        <f>_xlfn.XLOOKUP($A284,Map!$A:$A,Map!E:E)</f>
        <v>Overhead - Labor Cost</v>
      </c>
      <c r="J284" t="str">
        <f>_xlfn.XLOOKUP($A284,Map!$A:$A,Map!F:F)</f>
        <v xml:space="preserve">Food &amp; Housing </v>
      </c>
    </row>
    <row r="285" spans="1:10" hidden="1" x14ac:dyDescent="0.25">
      <c r="A285" s="90">
        <v>600002</v>
      </c>
      <c r="B285" s="90" t="s">
        <v>625</v>
      </c>
      <c r="D285" s="91">
        <v>74</v>
      </c>
      <c r="E285" s="91">
        <v>0</v>
      </c>
      <c r="F285" s="91">
        <f t="shared" si="0"/>
        <v>74</v>
      </c>
      <c r="G285" t="str">
        <f>_xlfn.XLOOKUP($A285,Map!$A:$A,Map!C:C)</f>
        <v>IS</v>
      </c>
      <c r="H285" t="str">
        <f>_xlfn.XLOOKUP($A285,Map!$A:$A,Map!D:D)</f>
        <v>Cost of sales</v>
      </c>
      <c r="I285" t="str">
        <f>_xlfn.XLOOKUP($A285,Map!$A:$A,Map!E:E)</f>
        <v>Overhead - Labor Cost</v>
      </c>
      <c r="J285" t="str">
        <f>_xlfn.XLOOKUP($A285,Map!$A:$A,Map!F:F)</f>
        <v>Overtime pay</v>
      </c>
    </row>
    <row r="286" spans="1:10" hidden="1" x14ac:dyDescent="0.25">
      <c r="A286" s="90">
        <v>600001</v>
      </c>
      <c r="B286" s="90" t="s">
        <v>626</v>
      </c>
      <c r="D286" s="91">
        <v>7545.5</v>
      </c>
      <c r="E286" s="91">
        <v>0</v>
      </c>
      <c r="F286" s="91">
        <f t="shared" si="0"/>
        <v>7545.5</v>
      </c>
      <c r="G286" t="str">
        <f>_xlfn.XLOOKUP($A286,Map!$A:$A,Map!C:C)</f>
        <v>IS</v>
      </c>
      <c r="H286" t="str">
        <f>_xlfn.XLOOKUP($A286,Map!$A:$A,Map!D:D)</f>
        <v>Cost of sales</v>
      </c>
      <c r="I286" t="str">
        <f>_xlfn.XLOOKUP($A286,Map!$A:$A,Map!E:E)</f>
        <v>Overhead - Labor Cost</v>
      </c>
      <c r="J286" t="str">
        <f>_xlfn.XLOOKUP($A286,Map!$A:$A,Map!F:F)</f>
        <v>Salaries and wages</v>
      </c>
    </row>
    <row r="287" spans="1:10" hidden="1" x14ac:dyDescent="0.25">
      <c r="A287" s="90">
        <v>600001</v>
      </c>
      <c r="B287" s="90" t="s">
        <v>627</v>
      </c>
      <c r="D287" s="91">
        <v>2251770.04</v>
      </c>
      <c r="E287" s="91">
        <v>0</v>
      </c>
      <c r="F287" s="91">
        <f t="shared" si="0"/>
        <v>2251770.04</v>
      </c>
      <c r="G287" t="str">
        <f>_xlfn.XLOOKUP($A287,Map!$A:$A,Map!C:C)</f>
        <v>IS</v>
      </c>
      <c r="H287" t="str">
        <f>_xlfn.XLOOKUP($A287,Map!$A:$A,Map!D:D)</f>
        <v>Cost of sales</v>
      </c>
      <c r="I287" t="str">
        <f>_xlfn.XLOOKUP($A287,Map!$A:$A,Map!E:E)</f>
        <v>Overhead - Labor Cost</v>
      </c>
      <c r="J287" t="str">
        <f>_xlfn.XLOOKUP($A287,Map!$A:$A,Map!F:F)</f>
        <v>Salaries and wages</v>
      </c>
    </row>
    <row r="288" spans="1:10" hidden="1" x14ac:dyDescent="0.25">
      <c r="A288" s="90">
        <v>520042</v>
      </c>
      <c r="B288" s="90" t="s">
        <v>628</v>
      </c>
      <c r="D288" s="91">
        <v>0</v>
      </c>
      <c r="E288" s="91">
        <v>585646.31799999997</v>
      </c>
      <c r="F288" s="91">
        <f t="shared" si="0"/>
        <v>-585646.31799999997</v>
      </c>
      <c r="G288" t="str">
        <f>_xlfn.XLOOKUP($A288,Map!$A:$A,Map!C:C)</f>
        <v>IS</v>
      </c>
      <c r="H288" t="str">
        <f>_xlfn.XLOOKUP($A288,Map!$A:$A,Map!D:D)</f>
        <v>Cost of sales</v>
      </c>
      <c r="I288" t="str">
        <f>_xlfn.XLOOKUP($A288,Map!$A:$A,Map!E:E)</f>
        <v>Raw materials</v>
      </c>
      <c r="J288" t="str">
        <f>_xlfn.XLOOKUP($A288,Map!$A:$A,Map!F:F)</f>
        <v>Inventory Adjustment</v>
      </c>
    </row>
    <row r="289" spans="1:10" hidden="1" x14ac:dyDescent="0.25">
      <c r="A289" s="90">
        <v>520041</v>
      </c>
      <c r="B289" s="90" t="s">
        <v>135</v>
      </c>
      <c r="D289" s="91">
        <v>0</v>
      </c>
      <c r="E289" s="91">
        <v>7931145.6780000003</v>
      </c>
      <c r="F289" s="91">
        <f t="shared" si="0"/>
        <v>-7931145.6780000003</v>
      </c>
      <c r="G289" t="str">
        <f>_xlfn.XLOOKUP($A289,Map!$A:$A,Map!C:C)</f>
        <v>IS</v>
      </c>
      <c r="H289" t="str">
        <f>_xlfn.XLOOKUP($A289,Map!$A:$A,Map!D:D)</f>
        <v>Cost of sales</v>
      </c>
      <c r="I289" t="str">
        <f>_xlfn.XLOOKUP($A289,Map!$A:$A,Map!E:E)</f>
        <v>Raw materials</v>
      </c>
      <c r="J289" t="str">
        <f>_xlfn.XLOOKUP($A289,Map!$A:$A,Map!F:F)</f>
        <v>Other expenses</v>
      </c>
    </row>
    <row r="290" spans="1:10" hidden="1" x14ac:dyDescent="0.25">
      <c r="A290" s="90">
        <v>520037</v>
      </c>
      <c r="B290" s="90" t="s">
        <v>629</v>
      </c>
      <c r="D290" s="91">
        <v>0</v>
      </c>
      <c r="E290" s="91">
        <v>25.948</v>
      </c>
      <c r="F290" s="91">
        <f t="shared" si="0"/>
        <v>-25.948</v>
      </c>
      <c r="G290" t="str">
        <f>_xlfn.XLOOKUP($A290,Map!$A:$A,Map!C:C)</f>
        <v>IS</v>
      </c>
      <c r="H290" t="str">
        <f>_xlfn.XLOOKUP($A290,Map!$A:$A,Map!D:D)</f>
        <v>Cost of sales</v>
      </c>
      <c r="I290" t="str">
        <f>_xlfn.XLOOKUP($A290,Map!$A:$A,Map!E:E)</f>
        <v>Raw materials</v>
      </c>
      <c r="J290" t="str">
        <f>_xlfn.XLOOKUP($A290,Map!$A:$A,Map!F:F)</f>
        <v>Raw materials</v>
      </c>
    </row>
    <row r="291" spans="1:10" hidden="1" x14ac:dyDescent="0.25">
      <c r="A291" s="90">
        <v>520037</v>
      </c>
      <c r="B291" s="90" t="s">
        <v>630</v>
      </c>
      <c r="D291" s="91">
        <v>0</v>
      </c>
      <c r="E291" s="91">
        <v>1.53</v>
      </c>
      <c r="F291" s="91">
        <f t="shared" si="0"/>
        <v>-1.53</v>
      </c>
      <c r="G291" t="str">
        <f>_xlfn.XLOOKUP($A291,Map!$A:$A,Map!C:C)</f>
        <v>IS</v>
      </c>
      <c r="H291" t="str">
        <f>_xlfn.XLOOKUP($A291,Map!$A:$A,Map!D:D)</f>
        <v>Cost of sales</v>
      </c>
      <c r="I291" t="str">
        <f>_xlfn.XLOOKUP($A291,Map!$A:$A,Map!E:E)</f>
        <v>Raw materials</v>
      </c>
      <c r="J291" t="str">
        <f>_xlfn.XLOOKUP($A291,Map!$A:$A,Map!F:F)</f>
        <v>Raw materials</v>
      </c>
    </row>
    <row r="292" spans="1:10" hidden="1" x14ac:dyDescent="0.25">
      <c r="A292" s="90">
        <v>520037</v>
      </c>
      <c r="B292" s="90" t="s">
        <v>133</v>
      </c>
      <c r="D292" s="91">
        <v>232.964</v>
      </c>
      <c r="E292" s="91">
        <v>0</v>
      </c>
      <c r="F292" s="91">
        <f t="shared" si="0"/>
        <v>232.964</v>
      </c>
      <c r="G292" t="str">
        <f>_xlfn.XLOOKUP($A292,Map!$A:$A,Map!C:C)</f>
        <v>IS</v>
      </c>
      <c r="H292" t="str">
        <f>_xlfn.XLOOKUP($A292,Map!$A:$A,Map!D:D)</f>
        <v>Cost of sales</v>
      </c>
      <c r="I292" t="str">
        <f>_xlfn.XLOOKUP($A292,Map!$A:$A,Map!E:E)</f>
        <v>Raw materials</v>
      </c>
      <c r="J292" t="str">
        <f>_xlfn.XLOOKUP($A292,Map!$A:$A,Map!F:F)</f>
        <v>Raw materials</v>
      </c>
    </row>
    <row r="293" spans="1:10" hidden="1" x14ac:dyDescent="0.25">
      <c r="A293" s="90">
        <v>520037</v>
      </c>
      <c r="B293" s="90" t="s">
        <v>631</v>
      </c>
      <c r="D293" s="91">
        <v>0</v>
      </c>
      <c r="E293" s="91">
        <v>0.20200000000000001</v>
      </c>
      <c r="F293" s="91">
        <f t="shared" si="0"/>
        <v>-0.20200000000000001</v>
      </c>
      <c r="G293" t="str">
        <f>_xlfn.XLOOKUP($A293,Map!$A:$A,Map!C:C)</f>
        <v>IS</v>
      </c>
      <c r="H293" t="str">
        <f>_xlfn.XLOOKUP($A293,Map!$A:$A,Map!D:D)</f>
        <v>Cost of sales</v>
      </c>
      <c r="I293" t="str">
        <f>_xlfn.XLOOKUP($A293,Map!$A:$A,Map!E:E)</f>
        <v>Raw materials</v>
      </c>
      <c r="J293" t="str">
        <f>_xlfn.XLOOKUP($A293,Map!$A:$A,Map!F:F)</f>
        <v>Raw materials</v>
      </c>
    </row>
    <row r="294" spans="1:10" hidden="1" x14ac:dyDescent="0.25">
      <c r="A294" s="90">
        <v>520037</v>
      </c>
      <c r="B294" s="90" t="s">
        <v>632</v>
      </c>
      <c r="D294" s="91">
        <v>737.85900000000004</v>
      </c>
      <c r="E294" s="91">
        <v>0</v>
      </c>
      <c r="F294" s="91">
        <f t="shared" si="0"/>
        <v>737.85900000000004</v>
      </c>
      <c r="G294" t="str">
        <f>_xlfn.XLOOKUP($A294,Map!$A:$A,Map!C:C)</f>
        <v>IS</v>
      </c>
      <c r="H294" t="str">
        <f>_xlfn.XLOOKUP($A294,Map!$A:$A,Map!D:D)</f>
        <v>Cost of sales</v>
      </c>
      <c r="I294" t="str">
        <f>_xlfn.XLOOKUP($A294,Map!$A:$A,Map!E:E)</f>
        <v>Raw materials</v>
      </c>
      <c r="J294" t="str">
        <f>_xlfn.XLOOKUP($A294,Map!$A:$A,Map!F:F)</f>
        <v>Raw materials</v>
      </c>
    </row>
    <row r="295" spans="1:10" hidden="1" x14ac:dyDescent="0.25">
      <c r="A295" s="90">
        <v>520037</v>
      </c>
      <c r="B295" s="90" t="s">
        <v>133</v>
      </c>
      <c r="D295" s="91">
        <v>98059.807000000001</v>
      </c>
      <c r="E295" s="91">
        <v>0</v>
      </c>
      <c r="F295" s="91">
        <f t="shared" si="0"/>
        <v>98059.807000000001</v>
      </c>
      <c r="G295" t="str">
        <f>_xlfn.XLOOKUP($A295,Map!$A:$A,Map!C:C)</f>
        <v>IS</v>
      </c>
      <c r="H295" t="str">
        <f>_xlfn.XLOOKUP($A295,Map!$A:$A,Map!D:D)</f>
        <v>Cost of sales</v>
      </c>
      <c r="I295" t="str">
        <f>_xlfn.XLOOKUP($A295,Map!$A:$A,Map!E:E)</f>
        <v>Raw materials</v>
      </c>
      <c r="J295" t="str">
        <f>_xlfn.XLOOKUP($A295,Map!$A:$A,Map!F:F)</f>
        <v>Raw materials</v>
      </c>
    </row>
    <row r="296" spans="1:10" hidden="1" x14ac:dyDescent="0.25">
      <c r="A296" s="90">
        <v>520036</v>
      </c>
      <c r="B296" s="90" t="s">
        <v>132</v>
      </c>
      <c r="D296" s="91">
        <v>1.2E-2</v>
      </c>
      <c r="E296" s="91">
        <v>0</v>
      </c>
      <c r="F296" s="91">
        <f t="shared" si="0"/>
        <v>1.2E-2</v>
      </c>
      <c r="G296" t="str">
        <f>_xlfn.XLOOKUP($A296,Map!$A:$A,Map!C:C)</f>
        <v>IS</v>
      </c>
      <c r="H296" t="str">
        <f>_xlfn.XLOOKUP($A296,Map!$A:$A,Map!D:D)</f>
        <v>Cost of sales</v>
      </c>
      <c r="I296" t="str">
        <f>_xlfn.XLOOKUP($A296,Map!$A:$A,Map!E:E)</f>
        <v>Raw materials</v>
      </c>
      <c r="J296" t="str">
        <f>_xlfn.XLOOKUP($A296,Map!$A:$A,Map!F:F)</f>
        <v>Raw materials</v>
      </c>
    </row>
    <row r="297" spans="1:10" hidden="1" x14ac:dyDescent="0.25">
      <c r="A297" s="90">
        <v>520021</v>
      </c>
      <c r="B297" s="90" t="s">
        <v>633</v>
      </c>
      <c r="D297" s="91">
        <v>300</v>
      </c>
      <c r="E297" s="91">
        <v>0</v>
      </c>
      <c r="F297" s="91">
        <f t="shared" si="0"/>
        <v>300</v>
      </c>
      <c r="G297" t="str">
        <f>_xlfn.XLOOKUP($A297,Map!$A:$A,Map!C:C)</f>
        <v>IS</v>
      </c>
      <c r="H297" t="str">
        <f>_xlfn.XLOOKUP($A297,Map!$A:$A,Map!D:D)</f>
        <v>Cost of sales</v>
      </c>
      <c r="I297" t="str">
        <f>_xlfn.XLOOKUP($A297,Map!$A:$A,Map!E:E)</f>
        <v>Direct Labor</v>
      </c>
      <c r="J297" t="str">
        <f>_xlfn.XLOOKUP($A297,Map!$A:$A,Map!F:F)</f>
        <v>Medical insurance</v>
      </c>
    </row>
    <row r="298" spans="1:10" hidden="1" x14ac:dyDescent="0.25">
      <c r="A298" s="90">
        <v>520015</v>
      </c>
      <c r="B298" s="90" t="s">
        <v>634</v>
      </c>
      <c r="D298" s="91">
        <v>164142.76999999999</v>
      </c>
      <c r="E298" s="91">
        <v>0</v>
      </c>
      <c r="F298" s="91">
        <f t="shared" si="0"/>
        <v>164142.76999999999</v>
      </c>
      <c r="G298" t="str">
        <f>_xlfn.XLOOKUP($A298,Map!$A:$A,Map!C:C)</f>
        <v>IS</v>
      </c>
      <c r="H298" t="str">
        <f>_xlfn.XLOOKUP($A298,Map!$A:$A,Map!D:D)</f>
        <v>Cost of sales</v>
      </c>
      <c r="I298" t="str">
        <f>_xlfn.XLOOKUP($A298,Map!$A:$A,Map!E:E)</f>
        <v>Direct Labor</v>
      </c>
      <c r="J298" t="str">
        <f>_xlfn.XLOOKUP($A298,Map!$A:$A,Map!F:F)</f>
        <v>Food and housing</v>
      </c>
    </row>
    <row r="299" spans="1:10" hidden="1" x14ac:dyDescent="0.25">
      <c r="A299" s="90">
        <v>520015</v>
      </c>
      <c r="B299" s="90" t="s">
        <v>635</v>
      </c>
      <c r="D299" s="91">
        <v>38464.61</v>
      </c>
      <c r="E299" s="91">
        <v>0</v>
      </c>
      <c r="F299" s="91">
        <f t="shared" si="0"/>
        <v>38464.61</v>
      </c>
      <c r="G299" t="str">
        <f>_xlfn.XLOOKUP($A299,Map!$A:$A,Map!C:C)</f>
        <v>IS</v>
      </c>
      <c r="H299" t="str">
        <f>_xlfn.XLOOKUP($A299,Map!$A:$A,Map!D:D)</f>
        <v>Cost of sales</v>
      </c>
      <c r="I299" t="str">
        <f>_xlfn.XLOOKUP($A299,Map!$A:$A,Map!E:E)</f>
        <v>Direct Labor</v>
      </c>
      <c r="J299" t="str">
        <f>_xlfn.XLOOKUP($A299,Map!$A:$A,Map!F:F)</f>
        <v>Food and housing</v>
      </c>
    </row>
    <row r="300" spans="1:10" hidden="1" x14ac:dyDescent="0.25">
      <c r="A300" s="90">
        <v>520015</v>
      </c>
      <c r="B300" s="90" t="s">
        <v>636</v>
      </c>
      <c r="D300" s="91">
        <v>48003.040000000001</v>
      </c>
      <c r="E300" s="91">
        <v>0</v>
      </c>
      <c r="F300" s="91">
        <f t="shared" si="0"/>
        <v>48003.040000000001</v>
      </c>
      <c r="G300" t="str">
        <f>_xlfn.XLOOKUP($A300,Map!$A:$A,Map!C:C)</f>
        <v>IS</v>
      </c>
      <c r="H300" t="str">
        <f>_xlfn.XLOOKUP($A300,Map!$A:$A,Map!D:D)</f>
        <v>Cost of sales</v>
      </c>
      <c r="I300" t="str">
        <f>_xlfn.XLOOKUP($A300,Map!$A:$A,Map!E:E)</f>
        <v>Direct Labor</v>
      </c>
      <c r="J300" t="str">
        <f>_xlfn.XLOOKUP($A300,Map!$A:$A,Map!F:F)</f>
        <v>Food and housing</v>
      </c>
    </row>
    <row r="301" spans="1:10" hidden="1" x14ac:dyDescent="0.25">
      <c r="A301" s="90">
        <v>520015</v>
      </c>
      <c r="B301" s="90" t="s">
        <v>637</v>
      </c>
      <c r="D301" s="91">
        <v>41900.959999999999</v>
      </c>
      <c r="E301" s="91">
        <v>0</v>
      </c>
      <c r="F301" s="91">
        <f t="shared" si="0"/>
        <v>41900.959999999999</v>
      </c>
      <c r="G301" t="str">
        <f>_xlfn.XLOOKUP($A301,Map!$A:$A,Map!C:C)</f>
        <v>IS</v>
      </c>
      <c r="H301" t="str">
        <f>_xlfn.XLOOKUP($A301,Map!$A:$A,Map!D:D)</f>
        <v>Cost of sales</v>
      </c>
      <c r="I301" t="str">
        <f>_xlfn.XLOOKUP($A301,Map!$A:$A,Map!E:E)</f>
        <v>Direct Labor</v>
      </c>
      <c r="J301" t="str">
        <f>_xlfn.XLOOKUP($A301,Map!$A:$A,Map!F:F)</f>
        <v>Food and housing</v>
      </c>
    </row>
    <row r="302" spans="1:10" hidden="1" x14ac:dyDescent="0.25">
      <c r="A302" s="90">
        <v>520006</v>
      </c>
      <c r="B302" s="90" t="s">
        <v>638</v>
      </c>
      <c r="D302" s="91">
        <v>101637.591</v>
      </c>
      <c r="E302" s="91">
        <v>0</v>
      </c>
      <c r="F302" s="91">
        <f t="shared" si="0"/>
        <v>101637.591</v>
      </c>
      <c r="G302" t="str">
        <f>_xlfn.XLOOKUP($A302,Map!$A:$A,Map!C:C)</f>
        <v>IS</v>
      </c>
      <c r="H302" t="str">
        <f>_xlfn.XLOOKUP($A302,Map!$A:$A,Map!D:D)</f>
        <v>Cost of sales</v>
      </c>
      <c r="I302" t="str">
        <f>_xlfn.XLOOKUP($A302,Map!$A:$A,Map!E:E)</f>
        <v>Direct Labor</v>
      </c>
      <c r="J302" t="str">
        <f>_xlfn.XLOOKUP($A302,Map!$A:$A,Map!F:F)</f>
        <v>Medical insurance</v>
      </c>
    </row>
    <row r="303" spans="1:10" hidden="1" x14ac:dyDescent="0.25">
      <c r="A303" s="90">
        <v>520006</v>
      </c>
      <c r="B303" s="90" t="s">
        <v>639</v>
      </c>
      <c r="D303" s="91">
        <v>54768.767999999996</v>
      </c>
      <c r="E303" s="91">
        <v>0</v>
      </c>
      <c r="F303" s="91">
        <f t="shared" si="0"/>
        <v>54768.767999999996</v>
      </c>
      <c r="G303" t="str">
        <f>_xlfn.XLOOKUP($A303,Map!$A:$A,Map!C:C)</f>
        <v>IS</v>
      </c>
      <c r="H303" t="str">
        <f>_xlfn.XLOOKUP($A303,Map!$A:$A,Map!D:D)</f>
        <v>Cost of sales</v>
      </c>
      <c r="I303" t="str">
        <f>_xlfn.XLOOKUP($A303,Map!$A:$A,Map!E:E)</f>
        <v>Direct Labor</v>
      </c>
      <c r="J303" t="str">
        <f>_xlfn.XLOOKUP($A303,Map!$A:$A,Map!F:F)</f>
        <v>Medical insurance</v>
      </c>
    </row>
    <row r="304" spans="1:10" hidden="1" x14ac:dyDescent="0.25">
      <c r="A304" s="90">
        <v>520006</v>
      </c>
      <c r="B304" s="90" t="s">
        <v>640</v>
      </c>
      <c r="D304" s="91">
        <v>35237.472000000002</v>
      </c>
      <c r="E304" s="91">
        <v>0</v>
      </c>
      <c r="F304" s="91">
        <f t="shared" si="0"/>
        <v>35237.472000000002</v>
      </c>
      <c r="G304" t="str">
        <f>_xlfn.XLOOKUP($A304,Map!$A:$A,Map!C:C)</f>
        <v>IS</v>
      </c>
      <c r="H304" t="str">
        <f>_xlfn.XLOOKUP($A304,Map!$A:$A,Map!D:D)</f>
        <v>Cost of sales</v>
      </c>
      <c r="I304" t="str">
        <f>_xlfn.XLOOKUP($A304,Map!$A:$A,Map!E:E)</f>
        <v>Direct Labor</v>
      </c>
      <c r="J304" t="str">
        <f>_xlfn.XLOOKUP($A304,Map!$A:$A,Map!F:F)</f>
        <v>Medical insurance</v>
      </c>
    </row>
    <row r="305" spans="1:10" hidden="1" x14ac:dyDescent="0.25">
      <c r="A305" s="90">
        <v>520006</v>
      </c>
      <c r="B305" s="90" t="s">
        <v>641</v>
      </c>
      <c r="D305" s="91">
        <v>31599.756000000001</v>
      </c>
      <c r="E305" s="91">
        <v>0</v>
      </c>
      <c r="F305" s="91">
        <f t="shared" si="0"/>
        <v>31599.756000000001</v>
      </c>
      <c r="G305" t="str">
        <f>_xlfn.XLOOKUP($A305,Map!$A:$A,Map!C:C)</f>
        <v>IS</v>
      </c>
      <c r="H305" t="str">
        <f>_xlfn.XLOOKUP($A305,Map!$A:$A,Map!D:D)</f>
        <v>Cost of sales</v>
      </c>
      <c r="I305" t="str">
        <f>_xlfn.XLOOKUP($A305,Map!$A:$A,Map!E:E)</f>
        <v>Direct Labor</v>
      </c>
      <c r="J305" t="str">
        <f>_xlfn.XLOOKUP($A305,Map!$A:$A,Map!F:F)</f>
        <v>Medical insurance</v>
      </c>
    </row>
    <row r="306" spans="1:10" hidden="1" x14ac:dyDescent="0.25">
      <c r="A306" s="90">
        <v>520006</v>
      </c>
      <c r="B306" s="90" t="s">
        <v>642</v>
      </c>
      <c r="D306" s="91">
        <v>38843.982000000004</v>
      </c>
      <c r="E306" s="91">
        <v>0</v>
      </c>
      <c r="F306" s="91">
        <f t="shared" si="0"/>
        <v>38843.982000000004</v>
      </c>
      <c r="G306" t="str">
        <f>_xlfn.XLOOKUP($A306,Map!$A:$A,Map!C:C)</f>
        <v>IS</v>
      </c>
      <c r="H306" t="str">
        <f>_xlfn.XLOOKUP($A306,Map!$A:$A,Map!D:D)</f>
        <v>Cost of sales</v>
      </c>
      <c r="I306" t="str">
        <f>_xlfn.XLOOKUP($A306,Map!$A:$A,Map!E:E)</f>
        <v>Direct Labor</v>
      </c>
      <c r="J306" t="str">
        <f>_xlfn.XLOOKUP($A306,Map!$A:$A,Map!F:F)</f>
        <v>Medical insurance</v>
      </c>
    </row>
    <row r="307" spans="1:10" hidden="1" x14ac:dyDescent="0.25">
      <c r="A307" s="90">
        <v>520006</v>
      </c>
      <c r="B307" s="90" t="s">
        <v>643</v>
      </c>
      <c r="D307" s="91">
        <v>27478.044000000002</v>
      </c>
      <c r="E307" s="91">
        <v>0</v>
      </c>
      <c r="F307" s="91">
        <f t="shared" si="0"/>
        <v>27478.044000000002</v>
      </c>
      <c r="G307" t="str">
        <f>_xlfn.XLOOKUP($A307,Map!$A:$A,Map!C:C)</f>
        <v>IS</v>
      </c>
      <c r="H307" t="str">
        <f>_xlfn.XLOOKUP($A307,Map!$A:$A,Map!D:D)</f>
        <v>Cost of sales</v>
      </c>
      <c r="I307" t="str">
        <f>_xlfn.XLOOKUP($A307,Map!$A:$A,Map!E:E)</f>
        <v>Direct Labor</v>
      </c>
      <c r="J307" t="str">
        <f>_xlfn.XLOOKUP($A307,Map!$A:$A,Map!F:F)</f>
        <v>Medical insurance</v>
      </c>
    </row>
    <row r="308" spans="1:10" hidden="1" x14ac:dyDescent="0.25">
      <c r="A308" s="90">
        <v>520005</v>
      </c>
      <c r="B308" s="90" t="s">
        <v>644</v>
      </c>
      <c r="D308" s="91">
        <v>67640.509999999995</v>
      </c>
      <c r="E308" s="91">
        <v>0</v>
      </c>
      <c r="F308" s="91">
        <f t="shared" si="0"/>
        <v>67640.509999999995</v>
      </c>
      <c r="G308" t="str">
        <f>_xlfn.XLOOKUP($A308,Map!$A:$A,Map!C:C)</f>
        <v>IS</v>
      </c>
      <c r="H308" t="str">
        <f>_xlfn.XLOOKUP($A308,Map!$A:$A,Map!D:D)</f>
        <v>Cost of sales</v>
      </c>
      <c r="I308" t="str">
        <f>_xlfn.XLOOKUP($A308,Map!$A:$A,Map!E:E)</f>
        <v>Direct Labor</v>
      </c>
      <c r="J308" t="str">
        <f>_xlfn.XLOOKUP($A308,Map!$A:$A,Map!F:F)</f>
        <v>Leave pay</v>
      </c>
    </row>
    <row r="309" spans="1:10" hidden="1" x14ac:dyDescent="0.25">
      <c r="A309" s="90">
        <v>520005</v>
      </c>
      <c r="B309" s="90" t="s">
        <v>645</v>
      </c>
      <c r="D309" s="91">
        <v>6228.43</v>
      </c>
      <c r="E309" s="91">
        <v>0</v>
      </c>
      <c r="F309" s="91">
        <f t="shared" si="0"/>
        <v>6228.43</v>
      </c>
      <c r="G309" t="str">
        <f>_xlfn.XLOOKUP($A309,Map!$A:$A,Map!C:C)</f>
        <v>IS</v>
      </c>
      <c r="H309" t="str">
        <f>_xlfn.XLOOKUP($A309,Map!$A:$A,Map!D:D)</f>
        <v>Cost of sales</v>
      </c>
      <c r="I309" t="str">
        <f>_xlfn.XLOOKUP($A309,Map!$A:$A,Map!E:E)</f>
        <v>Direct Labor</v>
      </c>
      <c r="J309" t="str">
        <f>_xlfn.XLOOKUP($A309,Map!$A:$A,Map!F:F)</f>
        <v>Leave pay</v>
      </c>
    </row>
    <row r="310" spans="1:10" hidden="1" x14ac:dyDescent="0.25">
      <c r="A310" s="90">
        <v>520005</v>
      </c>
      <c r="B310" s="90" t="s">
        <v>646</v>
      </c>
      <c r="D310" s="91">
        <v>18094.939999999999</v>
      </c>
      <c r="E310" s="91">
        <v>0</v>
      </c>
      <c r="F310" s="91">
        <f t="shared" si="0"/>
        <v>18094.939999999999</v>
      </c>
      <c r="G310" t="str">
        <f>_xlfn.XLOOKUP($A310,Map!$A:$A,Map!C:C)</f>
        <v>IS</v>
      </c>
      <c r="H310" t="str">
        <f>_xlfn.XLOOKUP($A310,Map!$A:$A,Map!D:D)</f>
        <v>Cost of sales</v>
      </c>
      <c r="I310" t="str">
        <f>_xlfn.XLOOKUP($A310,Map!$A:$A,Map!E:E)</f>
        <v>Direct Labor</v>
      </c>
      <c r="J310" t="str">
        <f>_xlfn.XLOOKUP($A310,Map!$A:$A,Map!F:F)</f>
        <v>Leave pay</v>
      </c>
    </row>
    <row r="311" spans="1:10" hidden="1" x14ac:dyDescent="0.25">
      <c r="A311" s="90">
        <v>520005</v>
      </c>
      <c r="B311" s="90" t="s">
        <v>647</v>
      </c>
      <c r="D311" s="91">
        <v>22350.63</v>
      </c>
      <c r="E311" s="91">
        <v>0</v>
      </c>
      <c r="F311" s="91">
        <f t="shared" si="0"/>
        <v>22350.63</v>
      </c>
      <c r="G311" t="str">
        <f>_xlfn.XLOOKUP($A311,Map!$A:$A,Map!C:C)</f>
        <v>IS</v>
      </c>
      <c r="H311" t="str">
        <f>_xlfn.XLOOKUP($A311,Map!$A:$A,Map!D:D)</f>
        <v>Cost of sales</v>
      </c>
      <c r="I311" t="str">
        <f>_xlfn.XLOOKUP($A311,Map!$A:$A,Map!E:E)</f>
        <v>Direct Labor</v>
      </c>
      <c r="J311" t="str">
        <f>_xlfn.XLOOKUP($A311,Map!$A:$A,Map!F:F)</f>
        <v>Leave pay</v>
      </c>
    </row>
    <row r="312" spans="1:10" hidden="1" x14ac:dyDescent="0.25">
      <c r="A312" s="90">
        <v>520003</v>
      </c>
      <c r="B312" s="90" t="s">
        <v>648</v>
      </c>
      <c r="D312" s="91">
        <v>125075.53</v>
      </c>
      <c r="E312" s="91">
        <v>0</v>
      </c>
      <c r="F312" s="91">
        <f t="shared" si="0"/>
        <v>125075.53</v>
      </c>
      <c r="G312" t="str">
        <f>_xlfn.XLOOKUP($A312,Map!$A:$A,Map!C:C)</f>
        <v>IS</v>
      </c>
      <c r="H312" t="str">
        <f>_xlfn.XLOOKUP($A312,Map!$A:$A,Map!D:D)</f>
        <v>Cost of sales</v>
      </c>
      <c r="I312" t="str">
        <f>_xlfn.XLOOKUP($A312,Map!$A:$A,Map!E:E)</f>
        <v>Direct Labor</v>
      </c>
      <c r="J312" t="str">
        <f>_xlfn.XLOOKUP($A312,Map!$A:$A,Map!F:F)</f>
        <v>Transportation allowance</v>
      </c>
    </row>
    <row r="313" spans="1:10" hidden="1" x14ac:dyDescent="0.25">
      <c r="A313" s="90">
        <v>520003</v>
      </c>
      <c r="B313" s="90" t="s">
        <v>649</v>
      </c>
      <c r="D313" s="91">
        <v>15300.2</v>
      </c>
      <c r="E313" s="91">
        <v>0</v>
      </c>
      <c r="F313" s="91">
        <f t="shared" si="0"/>
        <v>15300.2</v>
      </c>
      <c r="G313" t="str">
        <f>_xlfn.XLOOKUP($A313,Map!$A:$A,Map!C:C)</f>
        <v>IS</v>
      </c>
      <c r="H313" t="str">
        <f>_xlfn.XLOOKUP($A313,Map!$A:$A,Map!D:D)</f>
        <v>Cost of sales</v>
      </c>
      <c r="I313" t="str">
        <f>_xlfn.XLOOKUP($A313,Map!$A:$A,Map!E:E)</f>
        <v>Direct Labor</v>
      </c>
      <c r="J313" t="str">
        <f>_xlfn.XLOOKUP($A313,Map!$A:$A,Map!F:F)</f>
        <v>Transportation allowance</v>
      </c>
    </row>
    <row r="314" spans="1:10" hidden="1" x14ac:dyDescent="0.25">
      <c r="A314" s="90">
        <v>520003</v>
      </c>
      <c r="B314" s="90" t="s">
        <v>650</v>
      </c>
      <c r="D314" s="91">
        <v>33256.03</v>
      </c>
      <c r="E314" s="91">
        <v>0</v>
      </c>
      <c r="F314" s="91">
        <f t="shared" si="0"/>
        <v>33256.03</v>
      </c>
      <c r="G314" t="str">
        <f>_xlfn.XLOOKUP($A314,Map!$A:$A,Map!C:C)</f>
        <v>IS</v>
      </c>
      <c r="H314" t="str">
        <f>_xlfn.XLOOKUP($A314,Map!$A:$A,Map!D:D)</f>
        <v>Cost of sales</v>
      </c>
      <c r="I314" t="str">
        <f>_xlfn.XLOOKUP($A314,Map!$A:$A,Map!E:E)</f>
        <v>Direct Labor</v>
      </c>
      <c r="J314" t="str">
        <f>_xlfn.XLOOKUP($A314,Map!$A:$A,Map!F:F)</f>
        <v>Transportation allowance</v>
      </c>
    </row>
    <row r="315" spans="1:10" hidden="1" x14ac:dyDescent="0.25">
      <c r="A315" s="90">
        <v>520003</v>
      </c>
      <c r="B315" s="90" t="s">
        <v>651</v>
      </c>
      <c r="D315" s="91">
        <v>24150.68</v>
      </c>
      <c r="E315" s="91">
        <v>0</v>
      </c>
      <c r="F315" s="91">
        <f t="shared" si="0"/>
        <v>24150.68</v>
      </c>
      <c r="G315" t="str">
        <f>_xlfn.XLOOKUP($A315,Map!$A:$A,Map!C:C)</f>
        <v>IS</v>
      </c>
      <c r="H315" t="str">
        <f>_xlfn.XLOOKUP($A315,Map!$A:$A,Map!D:D)</f>
        <v>Cost of sales</v>
      </c>
      <c r="I315" t="str">
        <f>_xlfn.XLOOKUP($A315,Map!$A:$A,Map!E:E)</f>
        <v>Direct Labor</v>
      </c>
      <c r="J315" t="str">
        <f>_xlfn.XLOOKUP($A315,Map!$A:$A,Map!F:F)</f>
        <v>Transportation allowance</v>
      </c>
    </row>
    <row r="316" spans="1:10" hidden="1" x14ac:dyDescent="0.25">
      <c r="A316" s="90">
        <v>520003</v>
      </c>
      <c r="B316" s="90" t="s">
        <v>652</v>
      </c>
      <c r="D316" s="91">
        <v>131523.57999999999</v>
      </c>
      <c r="E316" s="91">
        <v>0</v>
      </c>
      <c r="F316" s="91">
        <f t="shared" si="0"/>
        <v>131523.57999999999</v>
      </c>
      <c r="G316" t="str">
        <f>_xlfn.XLOOKUP($A316,Map!$A:$A,Map!C:C)</f>
        <v>IS</v>
      </c>
      <c r="H316" t="str">
        <f>_xlfn.XLOOKUP($A316,Map!$A:$A,Map!D:D)</f>
        <v>Cost of sales</v>
      </c>
      <c r="I316" t="str">
        <f>_xlfn.XLOOKUP($A316,Map!$A:$A,Map!E:E)</f>
        <v>Direct Labor</v>
      </c>
      <c r="J316" t="str">
        <f>_xlfn.XLOOKUP($A316,Map!$A:$A,Map!F:F)</f>
        <v>Transportation allowance</v>
      </c>
    </row>
    <row r="317" spans="1:10" hidden="1" x14ac:dyDescent="0.25">
      <c r="A317" s="90">
        <v>520001</v>
      </c>
      <c r="B317" s="90" t="s">
        <v>653</v>
      </c>
      <c r="D317" s="91">
        <v>2054641.28</v>
      </c>
      <c r="E317" s="91">
        <v>0</v>
      </c>
      <c r="F317" s="91">
        <f t="shared" si="0"/>
        <v>2054641.28</v>
      </c>
      <c r="G317" t="str">
        <f>_xlfn.XLOOKUP($A317,Map!$A:$A,Map!C:C)</f>
        <v>IS</v>
      </c>
      <c r="H317" t="str">
        <f>_xlfn.XLOOKUP($A317,Map!$A:$A,Map!D:D)</f>
        <v>Cost of sales</v>
      </c>
      <c r="I317" t="str">
        <f>_xlfn.XLOOKUP($A317,Map!$A:$A,Map!E:E)</f>
        <v>Direct Labor</v>
      </c>
      <c r="J317" t="str">
        <f>_xlfn.XLOOKUP($A317,Map!$A:$A,Map!F:F)</f>
        <v>Salaries and wages</v>
      </c>
    </row>
    <row r="318" spans="1:10" hidden="1" x14ac:dyDescent="0.25">
      <c r="A318" s="90">
        <v>520001</v>
      </c>
      <c r="B318" s="90" t="s">
        <v>654</v>
      </c>
      <c r="D318" s="91">
        <v>282687.09999999998</v>
      </c>
      <c r="E318" s="91">
        <v>0</v>
      </c>
      <c r="F318" s="91">
        <f t="shared" si="0"/>
        <v>282687.09999999998</v>
      </c>
      <c r="G318" t="str">
        <f>_xlfn.XLOOKUP($A318,Map!$A:$A,Map!C:C)</f>
        <v>IS</v>
      </c>
      <c r="H318" t="str">
        <f>_xlfn.XLOOKUP($A318,Map!$A:$A,Map!D:D)</f>
        <v>Cost of sales</v>
      </c>
      <c r="I318" t="str">
        <f>_xlfn.XLOOKUP($A318,Map!$A:$A,Map!E:E)</f>
        <v>Direct Labor</v>
      </c>
      <c r="J318" t="str">
        <f>_xlfn.XLOOKUP($A318,Map!$A:$A,Map!F:F)</f>
        <v>Salaries and wages</v>
      </c>
    </row>
    <row r="319" spans="1:10" hidden="1" x14ac:dyDescent="0.25">
      <c r="A319" s="90">
        <v>520001</v>
      </c>
      <c r="B319" s="90" t="s">
        <v>655</v>
      </c>
      <c r="D319" s="91">
        <v>771552.26</v>
      </c>
      <c r="E319" s="91">
        <v>0</v>
      </c>
      <c r="F319" s="91">
        <f t="shared" ref="F319:F375" si="1">D319-E319</f>
        <v>771552.26</v>
      </c>
      <c r="G319" t="str">
        <f>_xlfn.XLOOKUP($A319,Map!$A:$A,Map!C:C)</f>
        <v>IS</v>
      </c>
      <c r="H319" t="str">
        <f>_xlfn.XLOOKUP($A319,Map!$A:$A,Map!D:D)</f>
        <v>Cost of sales</v>
      </c>
      <c r="I319" t="str">
        <f>_xlfn.XLOOKUP($A319,Map!$A:$A,Map!E:E)</f>
        <v>Direct Labor</v>
      </c>
      <c r="J319" t="str">
        <f>_xlfn.XLOOKUP($A319,Map!$A:$A,Map!F:F)</f>
        <v>Salaries and wages</v>
      </c>
    </row>
    <row r="320" spans="1:10" hidden="1" x14ac:dyDescent="0.25">
      <c r="A320" s="90">
        <v>520001</v>
      </c>
      <c r="B320" s="90" t="s">
        <v>656</v>
      </c>
      <c r="D320" s="91">
        <v>402973.73</v>
      </c>
      <c r="E320" s="91">
        <v>0</v>
      </c>
      <c r="F320" s="91">
        <f t="shared" si="1"/>
        <v>402973.73</v>
      </c>
      <c r="G320" t="str">
        <f>_xlfn.XLOOKUP($A320,Map!$A:$A,Map!C:C)</f>
        <v>IS</v>
      </c>
      <c r="H320" t="str">
        <f>_xlfn.XLOOKUP($A320,Map!$A:$A,Map!D:D)</f>
        <v>Cost of sales</v>
      </c>
      <c r="I320" t="str">
        <f>_xlfn.XLOOKUP($A320,Map!$A:$A,Map!E:E)</f>
        <v>Direct Labor</v>
      </c>
      <c r="J320" t="str">
        <f>_xlfn.XLOOKUP($A320,Map!$A:$A,Map!F:F)</f>
        <v>Salaries and wages</v>
      </c>
    </row>
    <row r="321" spans="1:10" hidden="1" x14ac:dyDescent="0.25">
      <c r="A321" s="90">
        <v>510005</v>
      </c>
      <c r="B321" s="90" t="s">
        <v>120</v>
      </c>
      <c r="D321" s="91">
        <v>0</v>
      </c>
      <c r="E321" s="91">
        <v>83096.134000000005</v>
      </c>
      <c r="F321" s="91">
        <f t="shared" si="1"/>
        <v>-83096.134000000005</v>
      </c>
      <c r="G321" t="str">
        <f>_xlfn.XLOOKUP($A321,Map!$A:$A,Map!C:C)</f>
        <v>IS</v>
      </c>
      <c r="H321" t="str">
        <f>_xlfn.XLOOKUP($A321,Map!$A:$A,Map!D:D)</f>
        <v>Cost of sales</v>
      </c>
      <c r="I321" t="str">
        <f>_xlfn.XLOOKUP($A321,Map!$A:$A,Map!E:E)</f>
        <v>Raw materials</v>
      </c>
      <c r="J321" t="str">
        <f>_xlfn.XLOOKUP($A321,Map!$A:$A,Map!F:F)</f>
        <v>Other expenses</v>
      </c>
    </row>
    <row r="322" spans="1:10" hidden="1" x14ac:dyDescent="0.25">
      <c r="A322" s="90">
        <v>510004</v>
      </c>
      <c r="B322" s="90" t="s">
        <v>657</v>
      </c>
      <c r="D322" s="91">
        <v>1974149.003</v>
      </c>
      <c r="E322" s="91">
        <v>0</v>
      </c>
      <c r="F322" s="91">
        <f t="shared" si="1"/>
        <v>1974149.003</v>
      </c>
      <c r="G322" t="str">
        <f>_xlfn.XLOOKUP($A322,Map!$A:$A,Map!C:C)</f>
        <v>IS</v>
      </c>
      <c r="H322" t="str">
        <f>_xlfn.XLOOKUP($A322,Map!$A:$A,Map!D:D)</f>
        <v>Cost of sales</v>
      </c>
      <c r="I322" t="str">
        <f>_xlfn.XLOOKUP($A322,Map!$A:$A,Map!E:E)</f>
        <v>Raw materials</v>
      </c>
      <c r="J322" t="str">
        <f>_xlfn.XLOOKUP($A322,Map!$A:$A,Map!F:F)</f>
        <v>Other expenses</v>
      </c>
    </row>
    <row r="323" spans="1:10" hidden="1" x14ac:dyDescent="0.25">
      <c r="A323" s="90">
        <v>510004</v>
      </c>
      <c r="B323" s="90" t="s">
        <v>658</v>
      </c>
      <c r="D323" s="91">
        <v>132740.872</v>
      </c>
      <c r="E323" s="91">
        <v>0</v>
      </c>
      <c r="F323" s="91">
        <f t="shared" si="1"/>
        <v>132740.872</v>
      </c>
      <c r="G323" t="str">
        <f>_xlfn.XLOOKUP($A323,Map!$A:$A,Map!C:C)</f>
        <v>IS</v>
      </c>
      <c r="H323" t="str">
        <f>_xlfn.XLOOKUP($A323,Map!$A:$A,Map!D:D)</f>
        <v>Cost of sales</v>
      </c>
      <c r="I323" t="str">
        <f>_xlfn.XLOOKUP($A323,Map!$A:$A,Map!E:E)</f>
        <v>Raw materials</v>
      </c>
      <c r="J323" t="str">
        <f>_xlfn.XLOOKUP($A323,Map!$A:$A,Map!F:F)</f>
        <v>Other expenses</v>
      </c>
    </row>
    <row r="324" spans="1:10" hidden="1" x14ac:dyDescent="0.25">
      <c r="A324" s="90">
        <v>510004</v>
      </c>
      <c r="B324" s="90" t="s">
        <v>659</v>
      </c>
      <c r="D324" s="91">
        <v>13501.911</v>
      </c>
      <c r="E324" s="91">
        <v>0</v>
      </c>
      <c r="F324" s="91">
        <f t="shared" si="1"/>
        <v>13501.911</v>
      </c>
      <c r="G324" t="str">
        <f>_xlfn.XLOOKUP($A324,Map!$A:$A,Map!C:C)</f>
        <v>IS</v>
      </c>
      <c r="H324" t="str">
        <f>_xlfn.XLOOKUP($A324,Map!$A:$A,Map!D:D)</f>
        <v>Cost of sales</v>
      </c>
      <c r="I324" t="str">
        <f>_xlfn.XLOOKUP($A324,Map!$A:$A,Map!E:E)</f>
        <v>Raw materials</v>
      </c>
      <c r="J324" t="str">
        <f>_xlfn.XLOOKUP($A324,Map!$A:$A,Map!F:F)</f>
        <v>Other expenses</v>
      </c>
    </row>
    <row r="325" spans="1:10" hidden="1" x14ac:dyDescent="0.25">
      <c r="A325" s="90">
        <v>510004</v>
      </c>
      <c r="B325" s="90" t="s">
        <v>660</v>
      </c>
      <c r="D325" s="91">
        <v>14416.583000000001</v>
      </c>
      <c r="E325" s="91">
        <v>0</v>
      </c>
      <c r="F325" s="91">
        <f t="shared" si="1"/>
        <v>14416.583000000001</v>
      </c>
      <c r="G325" t="str">
        <f>_xlfn.XLOOKUP($A325,Map!$A:$A,Map!C:C)</f>
        <v>IS</v>
      </c>
      <c r="H325" t="str">
        <f>_xlfn.XLOOKUP($A325,Map!$A:$A,Map!D:D)</f>
        <v>Cost of sales</v>
      </c>
      <c r="I325" t="str">
        <f>_xlfn.XLOOKUP($A325,Map!$A:$A,Map!E:E)</f>
        <v>Raw materials</v>
      </c>
      <c r="J325" t="str">
        <f>_xlfn.XLOOKUP($A325,Map!$A:$A,Map!F:F)</f>
        <v>Other expenses</v>
      </c>
    </row>
    <row r="326" spans="1:10" hidden="1" x14ac:dyDescent="0.25">
      <c r="A326" s="90">
        <v>510004</v>
      </c>
      <c r="B326" s="90" t="s">
        <v>661</v>
      </c>
      <c r="D326" s="91">
        <v>517082.20299999998</v>
      </c>
      <c r="E326" s="91">
        <v>0</v>
      </c>
      <c r="F326" s="91">
        <f t="shared" si="1"/>
        <v>517082.20299999998</v>
      </c>
      <c r="G326" t="str">
        <f>_xlfn.XLOOKUP($A326,Map!$A:$A,Map!C:C)</f>
        <v>IS</v>
      </c>
      <c r="H326" t="str">
        <f>_xlfn.XLOOKUP($A326,Map!$A:$A,Map!D:D)</f>
        <v>Cost of sales</v>
      </c>
      <c r="I326" t="str">
        <f>_xlfn.XLOOKUP($A326,Map!$A:$A,Map!E:E)</f>
        <v>Raw materials</v>
      </c>
      <c r="J326" t="str">
        <f>_xlfn.XLOOKUP($A326,Map!$A:$A,Map!F:F)</f>
        <v>Other expenses</v>
      </c>
    </row>
    <row r="327" spans="1:10" hidden="1" x14ac:dyDescent="0.25">
      <c r="A327" s="90">
        <v>510004</v>
      </c>
      <c r="B327" s="90" t="s">
        <v>662</v>
      </c>
      <c r="D327" s="91">
        <v>7951.43</v>
      </c>
      <c r="E327" s="91">
        <v>0</v>
      </c>
      <c r="F327" s="91">
        <f t="shared" si="1"/>
        <v>7951.43</v>
      </c>
      <c r="G327" t="str">
        <f>_xlfn.XLOOKUP($A327,Map!$A:$A,Map!C:C)</f>
        <v>IS</v>
      </c>
      <c r="H327" t="str">
        <f>_xlfn.XLOOKUP($A327,Map!$A:$A,Map!D:D)</f>
        <v>Cost of sales</v>
      </c>
      <c r="I327" t="str">
        <f>_xlfn.XLOOKUP($A327,Map!$A:$A,Map!E:E)</f>
        <v>Raw materials</v>
      </c>
      <c r="J327" t="str">
        <f>_xlfn.XLOOKUP($A327,Map!$A:$A,Map!F:F)</f>
        <v>Other expenses</v>
      </c>
    </row>
    <row r="328" spans="1:10" hidden="1" x14ac:dyDescent="0.25">
      <c r="A328" s="90">
        <v>510004</v>
      </c>
      <c r="B328" s="90" t="s">
        <v>663</v>
      </c>
      <c r="D328" s="91">
        <v>46772.36</v>
      </c>
      <c r="E328" s="91">
        <v>0</v>
      </c>
      <c r="F328" s="91">
        <f t="shared" si="1"/>
        <v>46772.36</v>
      </c>
      <c r="G328" t="str">
        <f>_xlfn.XLOOKUP($A328,Map!$A:$A,Map!C:C)</f>
        <v>IS</v>
      </c>
      <c r="H328" t="str">
        <f>_xlfn.XLOOKUP($A328,Map!$A:$A,Map!D:D)</f>
        <v>Cost of sales</v>
      </c>
      <c r="I328" t="str">
        <f>_xlfn.XLOOKUP($A328,Map!$A:$A,Map!E:E)</f>
        <v>Raw materials</v>
      </c>
      <c r="J328" t="str">
        <f>_xlfn.XLOOKUP($A328,Map!$A:$A,Map!F:F)</f>
        <v>Other expenses</v>
      </c>
    </row>
    <row r="329" spans="1:10" hidden="1" x14ac:dyDescent="0.25">
      <c r="A329" s="90">
        <v>510004</v>
      </c>
      <c r="B329" s="90" t="s">
        <v>664</v>
      </c>
      <c r="D329" s="91">
        <v>382188.46399999998</v>
      </c>
      <c r="E329" s="91">
        <v>0</v>
      </c>
      <c r="F329" s="91">
        <f t="shared" si="1"/>
        <v>382188.46399999998</v>
      </c>
      <c r="G329" t="str">
        <f>_xlfn.XLOOKUP($A329,Map!$A:$A,Map!C:C)</f>
        <v>IS</v>
      </c>
      <c r="H329" t="str">
        <f>_xlfn.XLOOKUP($A329,Map!$A:$A,Map!D:D)</f>
        <v>Cost of sales</v>
      </c>
      <c r="I329" t="str">
        <f>_xlfn.XLOOKUP($A329,Map!$A:$A,Map!E:E)</f>
        <v>Raw materials</v>
      </c>
      <c r="J329" t="str">
        <f>_xlfn.XLOOKUP($A329,Map!$A:$A,Map!F:F)</f>
        <v>Other expenses</v>
      </c>
    </row>
    <row r="330" spans="1:10" hidden="1" x14ac:dyDescent="0.25">
      <c r="A330" s="90">
        <v>510004</v>
      </c>
      <c r="B330" s="90" t="s">
        <v>665</v>
      </c>
      <c r="D330" s="91">
        <v>33059.231</v>
      </c>
      <c r="E330" s="91">
        <v>0</v>
      </c>
      <c r="F330" s="91">
        <f t="shared" si="1"/>
        <v>33059.231</v>
      </c>
      <c r="G330" t="str">
        <f>_xlfn.XLOOKUP($A330,Map!$A:$A,Map!C:C)</f>
        <v>IS</v>
      </c>
      <c r="H330" t="str">
        <f>_xlfn.XLOOKUP($A330,Map!$A:$A,Map!D:D)</f>
        <v>Cost of sales</v>
      </c>
      <c r="I330" t="str">
        <f>_xlfn.XLOOKUP($A330,Map!$A:$A,Map!E:E)</f>
        <v>Raw materials</v>
      </c>
      <c r="J330" t="str">
        <f>_xlfn.XLOOKUP($A330,Map!$A:$A,Map!F:F)</f>
        <v>Other expenses</v>
      </c>
    </row>
    <row r="331" spans="1:10" hidden="1" x14ac:dyDescent="0.25">
      <c r="A331" s="90">
        <v>510004</v>
      </c>
      <c r="B331" s="90" t="s">
        <v>666</v>
      </c>
      <c r="D331" s="91">
        <v>124784.183</v>
      </c>
      <c r="E331" s="91">
        <v>0</v>
      </c>
      <c r="F331" s="91">
        <f t="shared" si="1"/>
        <v>124784.183</v>
      </c>
      <c r="G331" t="str">
        <f>_xlfn.XLOOKUP($A331,Map!$A:$A,Map!C:C)</f>
        <v>IS</v>
      </c>
      <c r="H331" t="str">
        <f>_xlfn.XLOOKUP($A331,Map!$A:$A,Map!D:D)</f>
        <v>Cost of sales</v>
      </c>
      <c r="I331" t="str">
        <f>_xlfn.XLOOKUP($A331,Map!$A:$A,Map!E:E)</f>
        <v>Raw materials</v>
      </c>
      <c r="J331" t="str">
        <f>_xlfn.XLOOKUP($A331,Map!$A:$A,Map!F:F)</f>
        <v>Other expenses</v>
      </c>
    </row>
    <row r="332" spans="1:10" hidden="1" x14ac:dyDescent="0.25">
      <c r="A332" s="90">
        <v>510004</v>
      </c>
      <c r="B332" s="90" t="s">
        <v>119</v>
      </c>
      <c r="D332" s="91">
        <v>0.217</v>
      </c>
      <c r="E332" s="91">
        <v>0</v>
      </c>
      <c r="F332" s="91">
        <f t="shared" si="1"/>
        <v>0.217</v>
      </c>
      <c r="G332" t="str">
        <f>_xlfn.XLOOKUP($A332,Map!$A:$A,Map!C:C)</f>
        <v>IS</v>
      </c>
      <c r="H332" t="str">
        <f>_xlfn.XLOOKUP($A332,Map!$A:$A,Map!D:D)</f>
        <v>Cost of sales</v>
      </c>
      <c r="I332" t="str">
        <f>_xlfn.XLOOKUP($A332,Map!$A:$A,Map!E:E)</f>
        <v>Raw materials</v>
      </c>
      <c r="J332" t="str">
        <f>_xlfn.XLOOKUP($A332,Map!$A:$A,Map!F:F)</f>
        <v>Other expenses</v>
      </c>
    </row>
    <row r="333" spans="1:10" hidden="1" x14ac:dyDescent="0.25">
      <c r="A333" s="90">
        <v>510004</v>
      </c>
      <c r="B333" s="90" t="s">
        <v>119</v>
      </c>
      <c r="D333" s="91">
        <v>0</v>
      </c>
      <c r="E333" s="91">
        <v>9707908.2640000004</v>
      </c>
      <c r="F333" s="91">
        <f t="shared" si="1"/>
        <v>-9707908.2640000004</v>
      </c>
      <c r="G333" t="str">
        <f>_xlfn.XLOOKUP($A333,Map!$A:$A,Map!C:C)</f>
        <v>IS</v>
      </c>
      <c r="H333" t="str">
        <f>_xlfn.XLOOKUP($A333,Map!$A:$A,Map!D:D)</f>
        <v>Cost of sales</v>
      </c>
      <c r="I333" t="str">
        <f>_xlfn.XLOOKUP($A333,Map!$A:$A,Map!E:E)</f>
        <v>Raw materials</v>
      </c>
      <c r="J333" t="str">
        <f>_xlfn.XLOOKUP($A333,Map!$A:$A,Map!F:F)</f>
        <v>Other expenses</v>
      </c>
    </row>
    <row r="334" spans="1:10" hidden="1" x14ac:dyDescent="0.25">
      <c r="A334" s="90">
        <v>510003</v>
      </c>
      <c r="B334" s="90" t="s">
        <v>667</v>
      </c>
      <c r="D334" s="91">
        <v>511236.28100000002</v>
      </c>
      <c r="E334" s="91">
        <v>0</v>
      </c>
      <c r="F334" s="91">
        <f t="shared" si="1"/>
        <v>511236.28100000002</v>
      </c>
      <c r="G334" t="str">
        <f>_xlfn.XLOOKUP($A334,Map!$A:$A,Map!C:C)</f>
        <v>IS</v>
      </c>
      <c r="H334" t="str">
        <f>_xlfn.XLOOKUP($A334,Map!$A:$A,Map!D:D)</f>
        <v>Cost of sales</v>
      </c>
      <c r="I334" t="str">
        <f>_xlfn.XLOOKUP($A334,Map!$A:$A,Map!E:E)</f>
        <v>Raw materials</v>
      </c>
      <c r="J334" t="str">
        <f>_xlfn.XLOOKUP($A334,Map!$A:$A,Map!F:F)</f>
        <v>Raw materials</v>
      </c>
    </row>
    <row r="335" spans="1:10" hidden="1" x14ac:dyDescent="0.25">
      <c r="A335" s="90">
        <v>510003</v>
      </c>
      <c r="B335" s="90" t="s">
        <v>668</v>
      </c>
      <c r="D335" s="91">
        <v>810736.57299999997</v>
      </c>
      <c r="E335" s="91">
        <v>0</v>
      </c>
      <c r="F335" s="91">
        <f t="shared" si="1"/>
        <v>810736.57299999997</v>
      </c>
      <c r="G335" t="str">
        <f>_xlfn.XLOOKUP($A335,Map!$A:$A,Map!C:C)</f>
        <v>IS</v>
      </c>
      <c r="H335" t="str">
        <f>_xlfn.XLOOKUP($A335,Map!$A:$A,Map!D:D)</f>
        <v>Cost of sales</v>
      </c>
      <c r="I335" t="str">
        <f>_xlfn.XLOOKUP($A335,Map!$A:$A,Map!E:E)</f>
        <v>Raw materials</v>
      </c>
      <c r="J335" t="str">
        <f>_xlfn.XLOOKUP($A335,Map!$A:$A,Map!F:F)</f>
        <v>Raw materials</v>
      </c>
    </row>
    <row r="336" spans="1:10" hidden="1" x14ac:dyDescent="0.25">
      <c r="A336" s="90">
        <v>510003</v>
      </c>
      <c r="B336" s="90" t="s">
        <v>669</v>
      </c>
      <c r="D336" s="91">
        <v>26237.216</v>
      </c>
      <c r="E336" s="91">
        <v>0</v>
      </c>
      <c r="F336" s="91">
        <f t="shared" si="1"/>
        <v>26237.216</v>
      </c>
      <c r="G336" t="str">
        <f>_xlfn.XLOOKUP($A336,Map!$A:$A,Map!C:C)</f>
        <v>IS</v>
      </c>
      <c r="H336" t="str">
        <f>_xlfn.XLOOKUP($A336,Map!$A:$A,Map!D:D)</f>
        <v>Cost of sales</v>
      </c>
      <c r="I336" t="str">
        <f>_xlfn.XLOOKUP($A336,Map!$A:$A,Map!E:E)</f>
        <v>Raw materials</v>
      </c>
      <c r="J336" t="str">
        <f>_xlfn.XLOOKUP($A336,Map!$A:$A,Map!F:F)</f>
        <v>Raw materials</v>
      </c>
    </row>
    <row r="337" spans="1:10" hidden="1" x14ac:dyDescent="0.25">
      <c r="A337" s="90">
        <v>510003</v>
      </c>
      <c r="B337" s="90" t="s">
        <v>670</v>
      </c>
      <c r="D337" s="91">
        <v>88172.528999999995</v>
      </c>
      <c r="E337" s="91">
        <v>0</v>
      </c>
      <c r="F337" s="91">
        <f t="shared" si="1"/>
        <v>88172.528999999995</v>
      </c>
      <c r="G337" t="str">
        <f>_xlfn.XLOOKUP($A337,Map!$A:$A,Map!C:C)</f>
        <v>IS</v>
      </c>
      <c r="H337" t="str">
        <f>_xlfn.XLOOKUP($A337,Map!$A:$A,Map!D:D)</f>
        <v>Cost of sales</v>
      </c>
      <c r="I337" t="str">
        <f>_xlfn.XLOOKUP($A337,Map!$A:$A,Map!E:E)</f>
        <v>Raw materials</v>
      </c>
      <c r="J337" t="str">
        <f>_xlfn.XLOOKUP($A337,Map!$A:$A,Map!F:F)</f>
        <v>Raw materials</v>
      </c>
    </row>
    <row r="338" spans="1:10" hidden="1" x14ac:dyDescent="0.25">
      <c r="A338" s="90">
        <v>510003</v>
      </c>
      <c r="B338" s="90" t="s">
        <v>671</v>
      </c>
      <c r="D338" s="91">
        <v>5.0000000000000001E-3</v>
      </c>
      <c r="E338" s="91">
        <v>0</v>
      </c>
      <c r="F338" s="91">
        <f t="shared" si="1"/>
        <v>5.0000000000000001E-3</v>
      </c>
      <c r="G338" t="str">
        <f>_xlfn.XLOOKUP($A338,Map!$A:$A,Map!C:C)</f>
        <v>IS</v>
      </c>
      <c r="H338" t="str">
        <f>_xlfn.XLOOKUP($A338,Map!$A:$A,Map!D:D)</f>
        <v>Cost of sales</v>
      </c>
      <c r="I338" t="str">
        <f>_xlfn.XLOOKUP($A338,Map!$A:$A,Map!E:E)</f>
        <v>Raw materials</v>
      </c>
      <c r="J338" t="str">
        <f>_xlfn.XLOOKUP($A338,Map!$A:$A,Map!F:F)</f>
        <v>Raw materials</v>
      </c>
    </row>
    <row r="339" spans="1:10" hidden="1" x14ac:dyDescent="0.25">
      <c r="A339" s="90">
        <v>510003</v>
      </c>
      <c r="B339" s="90" t="s">
        <v>118</v>
      </c>
      <c r="D339" s="91">
        <v>2759.306</v>
      </c>
      <c r="E339" s="91">
        <v>0</v>
      </c>
      <c r="F339" s="91">
        <f t="shared" si="1"/>
        <v>2759.306</v>
      </c>
      <c r="G339" t="str">
        <f>_xlfn.XLOOKUP($A339,Map!$A:$A,Map!C:C)</f>
        <v>IS</v>
      </c>
      <c r="H339" t="str">
        <f>_xlfn.XLOOKUP($A339,Map!$A:$A,Map!D:D)</f>
        <v>Cost of sales</v>
      </c>
      <c r="I339" t="str">
        <f>_xlfn.XLOOKUP($A339,Map!$A:$A,Map!E:E)</f>
        <v>Raw materials</v>
      </c>
      <c r="J339" t="str">
        <f>_xlfn.XLOOKUP($A339,Map!$A:$A,Map!F:F)</f>
        <v>Raw materials</v>
      </c>
    </row>
    <row r="340" spans="1:10" hidden="1" x14ac:dyDescent="0.25">
      <c r="A340" s="90">
        <v>510003</v>
      </c>
      <c r="B340" s="90" t="s">
        <v>672</v>
      </c>
      <c r="D340" s="91">
        <v>226085.712</v>
      </c>
      <c r="E340" s="91">
        <v>0</v>
      </c>
      <c r="F340" s="91">
        <f t="shared" si="1"/>
        <v>226085.712</v>
      </c>
      <c r="G340" t="str">
        <f>_xlfn.XLOOKUP($A340,Map!$A:$A,Map!C:C)</f>
        <v>IS</v>
      </c>
      <c r="H340" t="str">
        <f>_xlfn.XLOOKUP($A340,Map!$A:$A,Map!D:D)</f>
        <v>Cost of sales</v>
      </c>
      <c r="I340" t="str">
        <f>_xlfn.XLOOKUP($A340,Map!$A:$A,Map!E:E)</f>
        <v>Raw materials</v>
      </c>
      <c r="J340" t="str">
        <f>_xlfn.XLOOKUP($A340,Map!$A:$A,Map!F:F)</f>
        <v>Raw materials</v>
      </c>
    </row>
    <row r="341" spans="1:10" hidden="1" x14ac:dyDescent="0.25">
      <c r="A341" s="90">
        <v>510003</v>
      </c>
      <c r="B341" s="90" t="s">
        <v>673</v>
      </c>
      <c r="D341" s="91">
        <v>1762.0170000000001</v>
      </c>
      <c r="E341" s="91">
        <v>0</v>
      </c>
      <c r="F341" s="91">
        <f t="shared" si="1"/>
        <v>1762.0170000000001</v>
      </c>
      <c r="G341" t="str">
        <f>_xlfn.XLOOKUP($A341,Map!$A:$A,Map!C:C)</f>
        <v>IS</v>
      </c>
      <c r="H341" t="str">
        <f>_xlfn.XLOOKUP($A341,Map!$A:$A,Map!D:D)</f>
        <v>Cost of sales</v>
      </c>
      <c r="I341" t="str">
        <f>_xlfn.XLOOKUP($A341,Map!$A:$A,Map!E:E)</f>
        <v>Raw materials</v>
      </c>
      <c r="J341" t="str">
        <f>_xlfn.XLOOKUP($A341,Map!$A:$A,Map!F:F)</f>
        <v>Raw materials</v>
      </c>
    </row>
    <row r="342" spans="1:10" hidden="1" x14ac:dyDescent="0.25">
      <c r="A342" s="90">
        <v>510003</v>
      </c>
      <c r="B342" s="90" t="s">
        <v>674</v>
      </c>
      <c r="D342" s="91">
        <v>334164.44300000003</v>
      </c>
      <c r="E342" s="91">
        <v>0</v>
      </c>
      <c r="F342" s="91">
        <f t="shared" si="1"/>
        <v>334164.44300000003</v>
      </c>
      <c r="G342" t="str">
        <f>_xlfn.XLOOKUP($A342,Map!$A:$A,Map!C:C)</f>
        <v>IS</v>
      </c>
      <c r="H342" t="str">
        <f>_xlfn.XLOOKUP($A342,Map!$A:$A,Map!D:D)</f>
        <v>Cost of sales</v>
      </c>
      <c r="I342" t="str">
        <f>_xlfn.XLOOKUP($A342,Map!$A:$A,Map!E:E)</f>
        <v>Raw materials</v>
      </c>
      <c r="J342" t="str">
        <f>_xlfn.XLOOKUP($A342,Map!$A:$A,Map!F:F)</f>
        <v>Raw materials</v>
      </c>
    </row>
    <row r="343" spans="1:10" hidden="1" x14ac:dyDescent="0.25">
      <c r="A343" s="90">
        <v>510003</v>
      </c>
      <c r="B343" s="90" t="s">
        <v>675</v>
      </c>
      <c r="D343" s="91">
        <v>161153.43100000001</v>
      </c>
      <c r="E343" s="91">
        <v>0</v>
      </c>
      <c r="F343" s="91">
        <f t="shared" si="1"/>
        <v>161153.43100000001</v>
      </c>
      <c r="G343" t="str">
        <f>_xlfn.XLOOKUP($A343,Map!$A:$A,Map!C:C)</f>
        <v>IS</v>
      </c>
      <c r="H343" t="str">
        <f>_xlfn.XLOOKUP($A343,Map!$A:$A,Map!D:D)</f>
        <v>Cost of sales</v>
      </c>
      <c r="I343" t="str">
        <f>_xlfn.XLOOKUP($A343,Map!$A:$A,Map!E:E)</f>
        <v>Raw materials</v>
      </c>
      <c r="J343" t="str">
        <f>_xlfn.XLOOKUP($A343,Map!$A:$A,Map!F:F)</f>
        <v>Raw materials</v>
      </c>
    </row>
    <row r="344" spans="1:10" hidden="1" x14ac:dyDescent="0.25">
      <c r="A344" s="90">
        <v>510003</v>
      </c>
      <c r="B344" s="90" t="s">
        <v>676</v>
      </c>
      <c r="D344" s="91">
        <v>35775.631000000001</v>
      </c>
      <c r="E344" s="91">
        <v>0</v>
      </c>
      <c r="F344" s="91">
        <f t="shared" si="1"/>
        <v>35775.631000000001</v>
      </c>
      <c r="G344" t="str">
        <f>_xlfn.XLOOKUP($A344,Map!$A:$A,Map!C:C)</f>
        <v>IS</v>
      </c>
      <c r="H344" t="str">
        <f>_xlfn.XLOOKUP($A344,Map!$A:$A,Map!D:D)</f>
        <v>Cost of sales</v>
      </c>
      <c r="I344" t="str">
        <f>_xlfn.XLOOKUP($A344,Map!$A:$A,Map!E:E)</f>
        <v>Raw materials</v>
      </c>
      <c r="J344" t="str">
        <f>_xlfn.XLOOKUP($A344,Map!$A:$A,Map!F:F)</f>
        <v>Raw materials</v>
      </c>
    </row>
    <row r="345" spans="1:10" hidden="1" x14ac:dyDescent="0.25">
      <c r="A345" s="90">
        <v>510003</v>
      </c>
      <c r="B345" s="90" t="s">
        <v>677</v>
      </c>
      <c r="D345" s="91">
        <v>164695.90900000001</v>
      </c>
      <c r="E345" s="91">
        <v>0</v>
      </c>
      <c r="F345" s="91">
        <f t="shared" si="1"/>
        <v>164695.90900000001</v>
      </c>
      <c r="G345" t="str">
        <f>_xlfn.XLOOKUP($A345,Map!$A:$A,Map!C:C)</f>
        <v>IS</v>
      </c>
      <c r="H345" t="str">
        <f>_xlfn.XLOOKUP($A345,Map!$A:$A,Map!D:D)</f>
        <v>Cost of sales</v>
      </c>
      <c r="I345" t="str">
        <f>_xlfn.XLOOKUP($A345,Map!$A:$A,Map!E:E)</f>
        <v>Raw materials</v>
      </c>
      <c r="J345" t="str">
        <f>_xlfn.XLOOKUP($A345,Map!$A:$A,Map!F:F)</f>
        <v>Raw materials</v>
      </c>
    </row>
    <row r="346" spans="1:10" hidden="1" x14ac:dyDescent="0.25">
      <c r="A346" s="90">
        <v>510003</v>
      </c>
      <c r="B346" s="90" t="s">
        <v>678</v>
      </c>
      <c r="D346" s="91">
        <v>525.00699999999995</v>
      </c>
      <c r="E346" s="91">
        <v>0</v>
      </c>
      <c r="F346" s="91">
        <f t="shared" si="1"/>
        <v>525.00699999999995</v>
      </c>
      <c r="G346" t="str">
        <f>_xlfn.XLOOKUP($A346,Map!$A:$A,Map!C:C)</f>
        <v>IS</v>
      </c>
      <c r="H346" t="str">
        <f>_xlfn.XLOOKUP($A346,Map!$A:$A,Map!D:D)</f>
        <v>Cost of sales</v>
      </c>
      <c r="I346" t="str">
        <f>_xlfn.XLOOKUP($A346,Map!$A:$A,Map!E:E)</f>
        <v>Raw materials</v>
      </c>
      <c r="J346" t="str">
        <f>_xlfn.XLOOKUP($A346,Map!$A:$A,Map!F:F)</f>
        <v>Raw materials</v>
      </c>
    </row>
    <row r="347" spans="1:10" hidden="1" x14ac:dyDescent="0.25">
      <c r="A347" s="90">
        <v>510003</v>
      </c>
      <c r="B347" s="90" t="s">
        <v>679</v>
      </c>
      <c r="D347" s="91">
        <v>128802.091</v>
      </c>
      <c r="E347" s="91">
        <v>0</v>
      </c>
      <c r="F347" s="91">
        <f t="shared" si="1"/>
        <v>128802.091</v>
      </c>
      <c r="G347" t="str">
        <f>_xlfn.XLOOKUP($A347,Map!$A:$A,Map!C:C)</f>
        <v>IS</v>
      </c>
      <c r="H347" t="str">
        <f>_xlfn.XLOOKUP($A347,Map!$A:$A,Map!D:D)</f>
        <v>Cost of sales</v>
      </c>
      <c r="I347" t="str">
        <f>_xlfn.XLOOKUP($A347,Map!$A:$A,Map!E:E)</f>
        <v>Raw materials</v>
      </c>
      <c r="J347" t="str">
        <f>_xlfn.XLOOKUP($A347,Map!$A:$A,Map!F:F)</f>
        <v>Raw materials</v>
      </c>
    </row>
    <row r="348" spans="1:10" hidden="1" x14ac:dyDescent="0.25">
      <c r="A348" s="90">
        <v>510003</v>
      </c>
      <c r="B348" s="90" t="s">
        <v>680</v>
      </c>
      <c r="D348" s="91">
        <v>2186.125</v>
      </c>
      <c r="E348" s="91">
        <v>0</v>
      </c>
      <c r="F348" s="91">
        <f t="shared" si="1"/>
        <v>2186.125</v>
      </c>
      <c r="G348" t="str">
        <f>_xlfn.XLOOKUP($A348,Map!$A:$A,Map!C:C)</f>
        <v>IS</v>
      </c>
      <c r="H348" t="str">
        <f>_xlfn.XLOOKUP($A348,Map!$A:$A,Map!D:D)</f>
        <v>Cost of sales</v>
      </c>
      <c r="I348" t="str">
        <f>_xlfn.XLOOKUP($A348,Map!$A:$A,Map!E:E)</f>
        <v>Raw materials</v>
      </c>
      <c r="J348" t="str">
        <f>_xlfn.XLOOKUP($A348,Map!$A:$A,Map!F:F)</f>
        <v>Raw materials</v>
      </c>
    </row>
    <row r="349" spans="1:10" hidden="1" x14ac:dyDescent="0.25">
      <c r="A349" s="90">
        <v>510003</v>
      </c>
      <c r="B349" s="90" t="s">
        <v>681</v>
      </c>
      <c r="D349" s="91">
        <v>17409.864000000001</v>
      </c>
      <c r="E349" s="91">
        <v>0</v>
      </c>
      <c r="F349" s="91">
        <f t="shared" si="1"/>
        <v>17409.864000000001</v>
      </c>
      <c r="G349" t="str">
        <f>_xlfn.XLOOKUP($A349,Map!$A:$A,Map!C:C)</f>
        <v>IS</v>
      </c>
      <c r="H349" t="str">
        <f>_xlfn.XLOOKUP($A349,Map!$A:$A,Map!D:D)</f>
        <v>Cost of sales</v>
      </c>
      <c r="I349" t="str">
        <f>_xlfn.XLOOKUP($A349,Map!$A:$A,Map!E:E)</f>
        <v>Raw materials</v>
      </c>
      <c r="J349" t="str">
        <f>_xlfn.XLOOKUP($A349,Map!$A:$A,Map!F:F)</f>
        <v>Raw materials</v>
      </c>
    </row>
    <row r="350" spans="1:10" hidden="1" x14ac:dyDescent="0.25">
      <c r="A350" s="90">
        <v>510003</v>
      </c>
      <c r="B350" s="90" t="s">
        <v>118</v>
      </c>
      <c r="D350" s="91">
        <v>0</v>
      </c>
      <c r="E350" s="91">
        <v>0</v>
      </c>
      <c r="F350" s="91">
        <f t="shared" si="1"/>
        <v>0</v>
      </c>
      <c r="G350" t="str">
        <f>_xlfn.XLOOKUP($A350,Map!$A:$A,Map!C:C)</f>
        <v>IS</v>
      </c>
      <c r="H350" t="str">
        <f>_xlfn.XLOOKUP($A350,Map!$A:$A,Map!D:D)</f>
        <v>Cost of sales</v>
      </c>
      <c r="I350" t="str">
        <f>_xlfn.XLOOKUP($A350,Map!$A:$A,Map!E:E)</f>
        <v>Raw materials</v>
      </c>
      <c r="J350" t="str">
        <f>_xlfn.XLOOKUP($A350,Map!$A:$A,Map!F:F)</f>
        <v>Raw materials</v>
      </c>
    </row>
    <row r="351" spans="1:10" hidden="1" x14ac:dyDescent="0.25">
      <c r="A351" s="90">
        <v>510003</v>
      </c>
      <c r="B351" s="90" t="s">
        <v>118</v>
      </c>
      <c r="D351" s="91">
        <v>0</v>
      </c>
      <c r="E351" s="91">
        <v>2610705.102</v>
      </c>
      <c r="F351" s="91">
        <f t="shared" si="1"/>
        <v>-2610705.102</v>
      </c>
      <c r="G351" t="str">
        <f>_xlfn.XLOOKUP($A351,Map!$A:$A,Map!C:C)</f>
        <v>IS</v>
      </c>
      <c r="H351" t="str">
        <f>_xlfn.XLOOKUP($A351,Map!$A:$A,Map!D:D)</f>
        <v>Cost of sales</v>
      </c>
      <c r="I351" t="str">
        <f>_xlfn.XLOOKUP($A351,Map!$A:$A,Map!E:E)</f>
        <v>Raw materials</v>
      </c>
      <c r="J351" t="str">
        <f>_xlfn.XLOOKUP($A351,Map!$A:$A,Map!F:F)</f>
        <v>Raw materials</v>
      </c>
    </row>
    <row r="352" spans="1:10" hidden="1" x14ac:dyDescent="0.25">
      <c r="A352" s="90">
        <v>510002</v>
      </c>
      <c r="B352" s="90" t="s">
        <v>682</v>
      </c>
      <c r="D352" s="91">
        <v>5.0209999999999999</v>
      </c>
      <c r="E352" s="91">
        <v>0</v>
      </c>
      <c r="F352" s="91">
        <f t="shared" si="1"/>
        <v>5.0209999999999999</v>
      </c>
      <c r="G352" t="str">
        <f>_xlfn.XLOOKUP($A352,Map!$A:$A,Map!C:C)</f>
        <v>IS</v>
      </c>
      <c r="H352" t="str">
        <f>_xlfn.XLOOKUP($A352,Map!$A:$A,Map!D:D)</f>
        <v>Cost of sales</v>
      </c>
      <c r="I352" t="str">
        <f>_xlfn.XLOOKUP($A352,Map!$A:$A,Map!E:E)</f>
        <v>Direct Labor</v>
      </c>
      <c r="J352" t="str">
        <f>_xlfn.XLOOKUP($A352,Map!$A:$A,Map!F:F)</f>
        <v>Direct Labor</v>
      </c>
    </row>
    <row r="353" spans="1:10" hidden="1" x14ac:dyDescent="0.25">
      <c r="A353" s="90">
        <v>510002</v>
      </c>
      <c r="B353" s="90" t="s">
        <v>683</v>
      </c>
      <c r="D353" s="91">
        <v>29.547000000000001</v>
      </c>
      <c r="E353" s="91">
        <v>0</v>
      </c>
      <c r="F353" s="91">
        <f t="shared" si="1"/>
        <v>29.547000000000001</v>
      </c>
      <c r="G353" t="str">
        <f>_xlfn.XLOOKUP($A353,Map!$A:$A,Map!C:C)</f>
        <v>IS</v>
      </c>
      <c r="H353" t="str">
        <f>_xlfn.XLOOKUP($A353,Map!$A:$A,Map!D:D)</f>
        <v>Cost of sales</v>
      </c>
      <c r="I353" t="str">
        <f>_xlfn.XLOOKUP($A353,Map!$A:$A,Map!E:E)</f>
        <v>Direct Labor</v>
      </c>
      <c r="J353" t="str">
        <f>_xlfn.XLOOKUP($A353,Map!$A:$A,Map!F:F)</f>
        <v>Direct Labor</v>
      </c>
    </row>
    <row r="354" spans="1:10" hidden="1" x14ac:dyDescent="0.25">
      <c r="A354" s="90">
        <v>510002</v>
      </c>
      <c r="B354" s="90" t="s">
        <v>684</v>
      </c>
      <c r="D354" s="91">
        <v>0.28000000000000003</v>
      </c>
      <c r="E354" s="91">
        <v>0</v>
      </c>
      <c r="F354" s="91">
        <f t="shared" si="1"/>
        <v>0.28000000000000003</v>
      </c>
      <c r="G354" t="str">
        <f>_xlfn.XLOOKUP($A354,Map!$A:$A,Map!C:C)</f>
        <v>IS</v>
      </c>
      <c r="H354" t="str">
        <f>_xlfn.XLOOKUP($A354,Map!$A:$A,Map!D:D)</f>
        <v>Cost of sales</v>
      </c>
      <c r="I354" t="str">
        <f>_xlfn.XLOOKUP($A354,Map!$A:$A,Map!E:E)</f>
        <v>Direct Labor</v>
      </c>
      <c r="J354" t="str">
        <f>_xlfn.XLOOKUP($A354,Map!$A:$A,Map!F:F)</f>
        <v>Direct Labor</v>
      </c>
    </row>
    <row r="355" spans="1:10" hidden="1" x14ac:dyDescent="0.25">
      <c r="A355" s="90">
        <v>510002</v>
      </c>
      <c r="B355" s="90" t="s">
        <v>685</v>
      </c>
      <c r="D355" s="91">
        <v>11.762</v>
      </c>
      <c r="E355" s="91">
        <v>0</v>
      </c>
      <c r="F355" s="91">
        <f t="shared" si="1"/>
        <v>11.762</v>
      </c>
      <c r="G355" t="str">
        <f>_xlfn.XLOOKUP($A355,Map!$A:$A,Map!C:C)</f>
        <v>IS</v>
      </c>
      <c r="H355" t="str">
        <f>_xlfn.XLOOKUP($A355,Map!$A:$A,Map!D:D)</f>
        <v>Cost of sales</v>
      </c>
      <c r="I355" t="str">
        <f>_xlfn.XLOOKUP($A355,Map!$A:$A,Map!E:E)</f>
        <v>Direct Labor</v>
      </c>
      <c r="J355" t="str">
        <f>_xlfn.XLOOKUP($A355,Map!$A:$A,Map!F:F)</f>
        <v>Direct Labor</v>
      </c>
    </row>
    <row r="356" spans="1:10" hidden="1" x14ac:dyDescent="0.25">
      <c r="A356" s="90">
        <v>510002</v>
      </c>
      <c r="B356" s="90" t="s">
        <v>117</v>
      </c>
      <c r="D356" s="91">
        <v>0</v>
      </c>
      <c r="E356" s="91">
        <v>7290689.6789999995</v>
      </c>
      <c r="F356" s="91">
        <f t="shared" si="1"/>
        <v>-7290689.6789999995</v>
      </c>
      <c r="G356" t="str">
        <f>_xlfn.XLOOKUP($A356,Map!$A:$A,Map!C:C)</f>
        <v>IS</v>
      </c>
      <c r="H356" t="str">
        <f>_xlfn.XLOOKUP($A356,Map!$A:$A,Map!D:D)</f>
        <v>Cost of sales</v>
      </c>
      <c r="I356" t="str">
        <f>_xlfn.XLOOKUP($A356,Map!$A:$A,Map!E:E)</f>
        <v>Direct Labor</v>
      </c>
      <c r="J356" t="str">
        <f>_xlfn.XLOOKUP($A356,Map!$A:$A,Map!F:F)</f>
        <v>Direct Labor</v>
      </c>
    </row>
    <row r="357" spans="1:10" hidden="1" x14ac:dyDescent="0.25">
      <c r="A357" s="90">
        <v>510001</v>
      </c>
      <c r="B357" s="90" t="s">
        <v>686</v>
      </c>
      <c r="D357" s="91">
        <v>178310.43400000001</v>
      </c>
      <c r="E357" s="91">
        <v>0</v>
      </c>
      <c r="F357" s="91">
        <f t="shared" si="1"/>
        <v>178310.43400000001</v>
      </c>
      <c r="G357" t="str">
        <f>_xlfn.XLOOKUP($A357,Map!$A:$A,Map!C:C)</f>
        <v>IS</v>
      </c>
      <c r="H357" t="str">
        <f>_xlfn.XLOOKUP($A357,Map!$A:$A,Map!D:D)</f>
        <v>Cost of sales</v>
      </c>
      <c r="I357" t="str">
        <f>_xlfn.XLOOKUP($A357,Map!$A:$A,Map!E:E)</f>
        <v>Raw materials</v>
      </c>
      <c r="J357" t="str">
        <f>_xlfn.XLOOKUP($A357,Map!$A:$A,Map!F:F)</f>
        <v>Raw materials</v>
      </c>
    </row>
    <row r="358" spans="1:10" hidden="1" x14ac:dyDescent="0.25">
      <c r="A358" s="90">
        <v>510001</v>
      </c>
      <c r="B358" s="90" t="s">
        <v>687</v>
      </c>
      <c r="D358" s="91">
        <v>35156141.572999999</v>
      </c>
      <c r="E358" s="91">
        <v>0</v>
      </c>
      <c r="F358" s="91">
        <f t="shared" si="1"/>
        <v>35156141.572999999</v>
      </c>
      <c r="G358" t="str">
        <f>_xlfn.XLOOKUP($A358,Map!$A:$A,Map!C:C)</f>
        <v>IS</v>
      </c>
      <c r="H358" t="str">
        <f>_xlfn.XLOOKUP($A358,Map!$A:$A,Map!D:D)</f>
        <v>Cost of sales</v>
      </c>
      <c r="I358" t="str">
        <f>_xlfn.XLOOKUP($A358,Map!$A:$A,Map!E:E)</f>
        <v>Raw materials</v>
      </c>
      <c r="J358" t="str">
        <f>_xlfn.XLOOKUP($A358,Map!$A:$A,Map!F:F)</f>
        <v>Raw materials</v>
      </c>
    </row>
    <row r="359" spans="1:10" hidden="1" x14ac:dyDescent="0.25">
      <c r="A359" s="90">
        <v>510001</v>
      </c>
      <c r="B359" s="90" t="s">
        <v>688</v>
      </c>
      <c r="D359" s="91">
        <v>1234713.689</v>
      </c>
      <c r="E359" s="91">
        <v>0</v>
      </c>
      <c r="F359" s="91">
        <f t="shared" si="1"/>
        <v>1234713.689</v>
      </c>
      <c r="G359" t="str">
        <f>_xlfn.XLOOKUP($A359,Map!$A:$A,Map!C:C)</f>
        <v>IS</v>
      </c>
      <c r="H359" t="str">
        <f>_xlfn.XLOOKUP($A359,Map!$A:$A,Map!D:D)</f>
        <v>Cost of sales</v>
      </c>
      <c r="I359" t="str">
        <f>_xlfn.XLOOKUP($A359,Map!$A:$A,Map!E:E)</f>
        <v>Raw materials</v>
      </c>
      <c r="J359" t="str">
        <f>_xlfn.XLOOKUP($A359,Map!$A:$A,Map!F:F)</f>
        <v>Raw materials</v>
      </c>
    </row>
    <row r="360" spans="1:10" hidden="1" x14ac:dyDescent="0.25">
      <c r="A360" s="90">
        <v>510001</v>
      </c>
      <c r="B360" s="90" t="s">
        <v>689</v>
      </c>
      <c r="D360" s="91">
        <v>789969.74600000004</v>
      </c>
      <c r="E360" s="91">
        <v>0</v>
      </c>
      <c r="F360" s="91">
        <f t="shared" si="1"/>
        <v>789969.74600000004</v>
      </c>
      <c r="G360" t="str">
        <f>_xlfn.XLOOKUP($A360,Map!$A:$A,Map!C:C)</f>
        <v>IS</v>
      </c>
      <c r="H360" t="str">
        <f>_xlfn.XLOOKUP($A360,Map!$A:$A,Map!D:D)</f>
        <v>Cost of sales</v>
      </c>
      <c r="I360" t="str">
        <f>_xlfn.XLOOKUP($A360,Map!$A:$A,Map!E:E)</f>
        <v>Raw materials</v>
      </c>
      <c r="J360" t="str">
        <f>_xlfn.XLOOKUP($A360,Map!$A:$A,Map!F:F)</f>
        <v>Raw materials</v>
      </c>
    </row>
    <row r="361" spans="1:10" hidden="1" x14ac:dyDescent="0.25">
      <c r="A361" s="90">
        <v>510001</v>
      </c>
      <c r="B361" s="90" t="s">
        <v>690</v>
      </c>
      <c r="D361" s="91">
        <v>1685.3119999999999</v>
      </c>
      <c r="E361" s="91">
        <v>0</v>
      </c>
      <c r="F361" s="91">
        <f t="shared" si="1"/>
        <v>1685.3119999999999</v>
      </c>
      <c r="G361" t="str">
        <f>_xlfn.XLOOKUP($A361,Map!$A:$A,Map!C:C)</f>
        <v>IS</v>
      </c>
      <c r="H361" t="str">
        <f>_xlfn.XLOOKUP($A361,Map!$A:$A,Map!D:D)</f>
        <v>Cost of sales</v>
      </c>
      <c r="I361" t="str">
        <f>_xlfn.XLOOKUP($A361,Map!$A:$A,Map!E:E)</f>
        <v>Raw materials</v>
      </c>
      <c r="J361" t="str">
        <f>_xlfn.XLOOKUP($A361,Map!$A:$A,Map!F:F)</f>
        <v>Raw materials</v>
      </c>
    </row>
    <row r="362" spans="1:10" hidden="1" x14ac:dyDescent="0.25">
      <c r="A362" s="90">
        <v>510001</v>
      </c>
      <c r="B362" s="90" t="s">
        <v>116</v>
      </c>
      <c r="D362" s="91">
        <v>11551.396000000001</v>
      </c>
      <c r="E362" s="91">
        <v>0</v>
      </c>
      <c r="F362" s="91">
        <f t="shared" si="1"/>
        <v>11551.396000000001</v>
      </c>
      <c r="G362" t="str">
        <f>_xlfn.XLOOKUP($A362,Map!$A:$A,Map!C:C)</f>
        <v>IS</v>
      </c>
      <c r="H362" t="str">
        <f>_xlfn.XLOOKUP($A362,Map!$A:$A,Map!D:D)</f>
        <v>Cost of sales</v>
      </c>
      <c r="I362" t="str">
        <f>_xlfn.XLOOKUP($A362,Map!$A:$A,Map!E:E)</f>
        <v>Raw materials</v>
      </c>
      <c r="J362" t="str">
        <f>_xlfn.XLOOKUP($A362,Map!$A:$A,Map!F:F)</f>
        <v>Raw materials</v>
      </c>
    </row>
    <row r="363" spans="1:10" hidden="1" x14ac:dyDescent="0.25">
      <c r="A363" s="90">
        <v>510001</v>
      </c>
      <c r="B363" s="90" t="s">
        <v>691</v>
      </c>
      <c r="D363" s="91">
        <v>0</v>
      </c>
      <c r="E363" s="91">
        <v>0</v>
      </c>
      <c r="F363" s="91">
        <f t="shared" si="1"/>
        <v>0</v>
      </c>
      <c r="G363" t="str">
        <f>_xlfn.XLOOKUP($A363,Map!$A:$A,Map!C:C)</f>
        <v>IS</v>
      </c>
      <c r="H363" t="str">
        <f>_xlfn.XLOOKUP($A363,Map!$A:$A,Map!D:D)</f>
        <v>Cost of sales</v>
      </c>
      <c r="I363" t="str">
        <f>_xlfn.XLOOKUP($A363,Map!$A:$A,Map!E:E)</f>
        <v>Raw materials</v>
      </c>
      <c r="J363" t="str">
        <f>_xlfn.XLOOKUP($A363,Map!$A:$A,Map!F:F)</f>
        <v>Raw materials</v>
      </c>
    </row>
    <row r="364" spans="1:10" hidden="1" x14ac:dyDescent="0.25">
      <c r="A364" s="90">
        <v>510001</v>
      </c>
      <c r="B364" s="90" t="s">
        <v>692</v>
      </c>
      <c r="D364" s="91">
        <v>2438576.9649999999</v>
      </c>
      <c r="E364" s="91">
        <v>0</v>
      </c>
      <c r="F364" s="91">
        <f t="shared" si="1"/>
        <v>2438576.9649999999</v>
      </c>
      <c r="G364" t="str">
        <f>_xlfn.XLOOKUP($A364,Map!$A:$A,Map!C:C)</f>
        <v>IS</v>
      </c>
      <c r="H364" t="str">
        <f>_xlfn.XLOOKUP($A364,Map!$A:$A,Map!D:D)</f>
        <v>Cost of sales</v>
      </c>
      <c r="I364" t="str">
        <f>_xlfn.XLOOKUP($A364,Map!$A:$A,Map!E:E)</f>
        <v>Raw materials</v>
      </c>
      <c r="J364" t="str">
        <f>_xlfn.XLOOKUP($A364,Map!$A:$A,Map!F:F)</f>
        <v>Raw materials</v>
      </c>
    </row>
    <row r="365" spans="1:10" hidden="1" x14ac:dyDescent="0.25">
      <c r="A365" s="90">
        <v>510001</v>
      </c>
      <c r="B365" s="90" t="s">
        <v>693</v>
      </c>
      <c r="D365" s="91">
        <v>48138.3</v>
      </c>
      <c r="E365" s="91">
        <v>0</v>
      </c>
      <c r="F365" s="91">
        <f t="shared" si="1"/>
        <v>48138.3</v>
      </c>
      <c r="G365" t="str">
        <f>_xlfn.XLOOKUP($A365,Map!$A:$A,Map!C:C)</f>
        <v>IS</v>
      </c>
      <c r="H365" t="str">
        <f>_xlfn.XLOOKUP($A365,Map!$A:$A,Map!D:D)</f>
        <v>Cost of sales</v>
      </c>
      <c r="I365" t="str">
        <f>_xlfn.XLOOKUP($A365,Map!$A:$A,Map!E:E)</f>
        <v>Raw materials</v>
      </c>
      <c r="J365" t="str">
        <f>_xlfn.XLOOKUP($A365,Map!$A:$A,Map!F:F)</f>
        <v>Raw materials</v>
      </c>
    </row>
    <row r="366" spans="1:10" hidden="1" x14ac:dyDescent="0.25">
      <c r="A366" s="90">
        <v>510001</v>
      </c>
      <c r="B366" s="90" t="s">
        <v>694</v>
      </c>
      <c r="D366" s="91">
        <v>10448.289000000001</v>
      </c>
      <c r="E366" s="91">
        <v>0</v>
      </c>
      <c r="F366" s="91">
        <f t="shared" si="1"/>
        <v>10448.289000000001</v>
      </c>
      <c r="G366" t="str">
        <f>_xlfn.XLOOKUP($A366,Map!$A:$A,Map!C:C)</f>
        <v>IS</v>
      </c>
      <c r="H366" t="str">
        <f>_xlfn.XLOOKUP($A366,Map!$A:$A,Map!D:D)</f>
        <v>Cost of sales</v>
      </c>
      <c r="I366" t="str">
        <f>_xlfn.XLOOKUP($A366,Map!$A:$A,Map!E:E)</f>
        <v>Raw materials</v>
      </c>
      <c r="J366" t="str">
        <f>_xlfn.XLOOKUP($A366,Map!$A:$A,Map!F:F)</f>
        <v>Raw materials</v>
      </c>
    </row>
    <row r="367" spans="1:10" hidden="1" x14ac:dyDescent="0.25">
      <c r="A367" s="90">
        <v>510001</v>
      </c>
      <c r="B367" s="90" t="s">
        <v>695</v>
      </c>
      <c r="D367" s="91">
        <v>18530016.193</v>
      </c>
      <c r="E367" s="91">
        <v>0</v>
      </c>
      <c r="F367" s="91">
        <f t="shared" si="1"/>
        <v>18530016.193</v>
      </c>
      <c r="G367" t="str">
        <f>_xlfn.XLOOKUP($A367,Map!$A:$A,Map!C:C)</f>
        <v>IS</v>
      </c>
      <c r="H367" t="str">
        <f>_xlfn.XLOOKUP($A367,Map!$A:$A,Map!D:D)</f>
        <v>Cost of sales</v>
      </c>
      <c r="I367" t="str">
        <f>_xlfn.XLOOKUP($A367,Map!$A:$A,Map!E:E)</f>
        <v>Raw materials</v>
      </c>
      <c r="J367" t="str">
        <f>_xlfn.XLOOKUP($A367,Map!$A:$A,Map!F:F)</f>
        <v>Raw materials</v>
      </c>
    </row>
    <row r="368" spans="1:10" hidden="1" x14ac:dyDescent="0.25">
      <c r="A368" s="90">
        <v>510001</v>
      </c>
      <c r="B368" s="90" t="s">
        <v>696</v>
      </c>
      <c r="D368" s="91">
        <v>8091647.2390000001</v>
      </c>
      <c r="E368" s="91">
        <v>0</v>
      </c>
      <c r="F368" s="91">
        <f t="shared" si="1"/>
        <v>8091647.2390000001</v>
      </c>
      <c r="G368" t="str">
        <f>_xlfn.XLOOKUP($A368,Map!$A:$A,Map!C:C)</f>
        <v>IS</v>
      </c>
      <c r="H368" t="str">
        <f>_xlfn.XLOOKUP($A368,Map!$A:$A,Map!D:D)</f>
        <v>Cost of sales</v>
      </c>
      <c r="I368" t="str">
        <f>_xlfn.XLOOKUP($A368,Map!$A:$A,Map!E:E)</f>
        <v>Raw materials</v>
      </c>
      <c r="J368" t="str">
        <f>_xlfn.XLOOKUP($A368,Map!$A:$A,Map!F:F)</f>
        <v>Raw materials</v>
      </c>
    </row>
    <row r="369" spans="1:10" hidden="1" x14ac:dyDescent="0.25">
      <c r="A369" s="90">
        <v>510001</v>
      </c>
      <c r="B369" s="90" t="s">
        <v>697</v>
      </c>
      <c r="D369" s="91">
        <v>7832764.3870000001</v>
      </c>
      <c r="E369" s="91">
        <v>0</v>
      </c>
      <c r="F369" s="91">
        <f t="shared" si="1"/>
        <v>7832764.3870000001</v>
      </c>
      <c r="G369" t="str">
        <f>_xlfn.XLOOKUP($A369,Map!$A:$A,Map!C:C)</f>
        <v>IS</v>
      </c>
      <c r="H369" t="str">
        <f>_xlfn.XLOOKUP($A369,Map!$A:$A,Map!D:D)</f>
        <v>Cost of sales</v>
      </c>
      <c r="I369" t="str">
        <f>_xlfn.XLOOKUP($A369,Map!$A:$A,Map!E:E)</f>
        <v>Raw materials</v>
      </c>
      <c r="J369" t="str">
        <f>_xlfn.XLOOKUP($A369,Map!$A:$A,Map!F:F)</f>
        <v>Raw materials</v>
      </c>
    </row>
    <row r="370" spans="1:10" hidden="1" x14ac:dyDescent="0.25">
      <c r="A370" s="90">
        <v>510001</v>
      </c>
      <c r="B370" s="90" t="s">
        <v>698</v>
      </c>
      <c r="D370" s="91">
        <v>0</v>
      </c>
      <c r="E370" s="91">
        <v>8.9999999999999993E-3</v>
      </c>
      <c r="F370" s="91">
        <f t="shared" si="1"/>
        <v>-8.9999999999999993E-3</v>
      </c>
      <c r="G370" t="str">
        <f>_xlfn.XLOOKUP($A370,Map!$A:$A,Map!C:C)</f>
        <v>IS</v>
      </c>
      <c r="H370" t="str">
        <f>_xlfn.XLOOKUP($A370,Map!$A:$A,Map!D:D)</f>
        <v>Cost of sales</v>
      </c>
      <c r="I370" t="str">
        <f>_xlfn.XLOOKUP($A370,Map!$A:$A,Map!E:E)</f>
        <v>Raw materials</v>
      </c>
      <c r="J370" t="str">
        <f>_xlfn.XLOOKUP($A370,Map!$A:$A,Map!F:F)</f>
        <v>Raw materials</v>
      </c>
    </row>
    <row r="371" spans="1:10" hidden="1" x14ac:dyDescent="0.25">
      <c r="A371" s="90">
        <v>510001</v>
      </c>
      <c r="B371" s="90" t="s">
        <v>699</v>
      </c>
      <c r="D371" s="91">
        <v>2356886.6290000002</v>
      </c>
      <c r="E371" s="91">
        <v>0</v>
      </c>
      <c r="F371" s="91">
        <f t="shared" si="1"/>
        <v>2356886.6290000002</v>
      </c>
      <c r="G371" t="str">
        <f>_xlfn.XLOOKUP($A371,Map!$A:$A,Map!C:C)</f>
        <v>IS</v>
      </c>
      <c r="H371" t="str">
        <f>_xlfn.XLOOKUP($A371,Map!$A:$A,Map!D:D)</f>
        <v>Cost of sales</v>
      </c>
      <c r="I371" t="str">
        <f>_xlfn.XLOOKUP($A371,Map!$A:$A,Map!E:E)</f>
        <v>Raw materials</v>
      </c>
      <c r="J371" t="str">
        <f>_xlfn.XLOOKUP($A371,Map!$A:$A,Map!F:F)</f>
        <v>Raw materials</v>
      </c>
    </row>
    <row r="372" spans="1:10" hidden="1" x14ac:dyDescent="0.25">
      <c r="A372" s="90">
        <v>510001</v>
      </c>
      <c r="B372" s="90" t="s">
        <v>700</v>
      </c>
      <c r="D372" s="91">
        <v>10991691.280999999</v>
      </c>
      <c r="E372" s="91">
        <v>0</v>
      </c>
      <c r="F372" s="91">
        <f t="shared" si="1"/>
        <v>10991691.280999999</v>
      </c>
      <c r="G372" t="str">
        <f>_xlfn.XLOOKUP($A372,Map!$A:$A,Map!C:C)</f>
        <v>IS</v>
      </c>
      <c r="H372" t="str">
        <f>_xlfn.XLOOKUP($A372,Map!$A:$A,Map!D:D)</f>
        <v>Cost of sales</v>
      </c>
      <c r="I372" t="str">
        <f>_xlfn.XLOOKUP($A372,Map!$A:$A,Map!E:E)</f>
        <v>Raw materials</v>
      </c>
      <c r="J372" t="str">
        <f>_xlfn.XLOOKUP($A372,Map!$A:$A,Map!F:F)</f>
        <v>Raw materials</v>
      </c>
    </row>
    <row r="373" spans="1:10" hidden="1" x14ac:dyDescent="0.25">
      <c r="A373" s="90">
        <v>510001</v>
      </c>
      <c r="B373" s="90" t="s">
        <v>701</v>
      </c>
      <c r="D373" s="91">
        <v>4103361.8650000002</v>
      </c>
      <c r="E373" s="91">
        <v>0</v>
      </c>
      <c r="F373" s="91">
        <f t="shared" si="1"/>
        <v>4103361.8650000002</v>
      </c>
      <c r="G373" t="str">
        <f>_xlfn.XLOOKUP($A373,Map!$A:$A,Map!C:C)</f>
        <v>IS</v>
      </c>
      <c r="H373" t="str">
        <f>_xlfn.XLOOKUP($A373,Map!$A:$A,Map!D:D)</f>
        <v>Cost of sales</v>
      </c>
      <c r="I373" t="str">
        <f>_xlfn.XLOOKUP($A373,Map!$A:$A,Map!E:E)</f>
        <v>Raw materials</v>
      </c>
      <c r="J373" t="str">
        <f>_xlfn.XLOOKUP($A373,Map!$A:$A,Map!F:F)</f>
        <v>Raw materials</v>
      </c>
    </row>
    <row r="374" spans="1:10" hidden="1" x14ac:dyDescent="0.25">
      <c r="A374" s="90">
        <v>510001</v>
      </c>
      <c r="B374" s="90" t="s">
        <v>702</v>
      </c>
      <c r="D374" s="91">
        <v>781838.90300000005</v>
      </c>
      <c r="E374" s="91">
        <v>0</v>
      </c>
      <c r="F374" s="91">
        <f t="shared" si="1"/>
        <v>781838.90300000005</v>
      </c>
      <c r="G374" t="str">
        <f>_xlfn.XLOOKUP($A374,Map!$A:$A,Map!C:C)</f>
        <v>IS</v>
      </c>
      <c r="H374" t="str">
        <f>_xlfn.XLOOKUP($A374,Map!$A:$A,Map!D:D)</f>
        <v>Cost of sales</v>
      </c>
      <c r="I374" t="str">
        <f>_xlfn.XLOOKUP($A374,Map!$A:$A,Map!E:E)</f>
        <v>Raw materials</v>
      </c>
      <c r="J374" t="str">
        <f>_xlfn.XLOOKUP($A374,Map!$A:$A,Map!F:F)</f>
        <v>Raw materials</v>
      </c>
    </row>
    <row r="375" spans="1:10" hidden="1" x14ac:dyDescent="0.25">
      <c r="A375" s="90">
        <v>510001</v>
      </c>
      <c r="B375" s="90" t="s">
        <v>116</v>
      </c>
      <c r="D375" s="91">
        <v>0</v>
      </c>
      <c r="E375" s="91">
        <v>91888999.739999995</v>
      </c>
      <c r="F375" s="91">
        <f t="shared" si="1"/>
        <v>-91888999.739999995</v>
      </c>
      <c r="G375" t="str">
        <f>_xlfn.XLOOKUP($A375,Map!$A:$A,Map!C:C)</f>
        <v>IS</v>
      </c>
      <c r="H375" t="str">
        <f>_xlfn.XLOOKUP($A375,Map!$A:$A,Map!D:D)</f>
        <v>Cost of sales</v>
      </c>
      <c r="I375" t="str">
        <f>_xlfn.XLOOKUP($A375,Map!$A:$A,Map!E:E)</f>
        <v>Raw materials</v>
      </c>
      <c r="J375" t="str">
        <f>_xlfn.XLOOKUP($A375,Map!$A:$A,Map!F:F)</f>
        <v>Raw materials</v>
      </c>
    </row>
    <row r="378" spans="1:10" s="1" customFormat="1" x14ac:dyDescent="0.25">
      <c r="A378" s="90">
        <v>170021</v>
      </c>
      <c r="B378" s="90" t="s">
        <v>535</v>
      </c>
      <c r="D378" s="161">
        <v>4054218.42</v>
      </c>
      <c r="F378" s="3">
        <f t="shared" ref="F378:F379" si="2">D378-E378</f>
        <v>4054218.42</v>
      </c>
      <c r="G378" t="str">
        <f>_xlfn.XLOOKUP($A378,Map!$A:$A,Map!C:C)</f>
        <v>BS</v>
      </c>
      <c r="H378" t="str">
        <f>_xlfn.XLOOKUP($A378,Map!$A:$A,Map!D:D)</f>
        <v>Current Assets</v>
      </c>
      <c r="I378" t="str">
        <f>_xlfn.XLOOKUP($A378,Map!$A:$A,Map!E:E)</f>
        <v>Prepaid expenses</v>
      </c>
      <c r="J378" t="str">
        <f>_xlfn.XLOOKUP($A378,Map!$A:$A,Map!F:F)</f>
        <v>Prepaid expense</v>
      </c>
    </row>
    <row r="379" spans="1:10" s="1" customFormat="1" x14ac:dyDescent="0.25">
      <c r="A379" s="1">
        <v>210001</v>
      </c>
      <c r="B379" s="1" t="s">
        <v>78</v>
      </c>
      <c r="E379" s="161">
        <f>D378</f>
        <v>4054218.42</v>
      </c>
      <c r="F379" s="3">
        <f t="shared" si="2"/>
        <v>-4054218.42</v>
      </c>
      <c r="G379" t="str">
        <f>_xlfn.XLOOKUP($A379,Map!$A:$A,Map!C:C)</f>
        <v>BS</v>
      </c>
      <c r="H379" t="str">
        <f>_xlfn.XLOOKUP($A379,Map!$A:$A,Map!D:D)</f>
        <v>Current Liabilities</v>
      </c>
      <c r="I379" t="str">
        <f>_xlfn.XLOOKUP($A379,Map!$A:$A,Map!E:E)</f>
        <v>Tade payables and Accuals &amp; other credit balances</v>
      </c>
      <c r="J379" t="str">
        <f>_xlfn.XLOOKUP($A379,Map!$A:$A,Map!F:F)</f>
        <v>Trade payables - Foreign</v>
      </c>
    </row>
    <row r="382" spans="1:10" s="1" customFormat="1" x14ac:dyDescent="0.25">
      <c r="A382" s="1">
        <v>410001</v>
      </c>
      <c r="B382" s="163" t="s">
        <v>737</v>
      </c>
      <c r="D382" s="164">
        <v>4245267.38717</v>
      </c>
      <c r="E382" s="164"/>
      <c r="F382" s="3">
        <f t="shared" ref="F382:F383" si="3">D382-E382</f>
        <v>4245267.38717</v>
      </c>
      <c r="G382" t="str">
        <f>_xlfn.XLOOKUP($A382,Map!$A:$A,Map!C:C)</f>
        <v>IS</v>
      </c>
      <c r="H382" t="str">
        <f>_xlfn.XLOOKUP($A382,Map!$A:$A,Map!D:D)</f>
        <v>Sales</v>
      </c>
      <c r="I382" t="str">
        <f>_xlfn.XLOOKUP($A382,Map!$A:$A,Map!E:E)</f>
        <v>Sales</v>
      </c>
      <c r="J382" t="str">
        <f>_xlfn.XLOOKUP($A382,Map!$A:$A,Map!F:F)</f>
        <v>Trading revenue</v>
      </c>
    </row>
    <row r="383" spans="1:10" s="1" customFormat="1" x14ac:dyDescent="0.25">
      <c r="A383" s="1">
        <v>510001</v>
      </c>
      <c r="B383" s="163" t="s">
        <v>738</v>
      </c>
      <c r="D383" s="164"/>
      <c r="E383" s="164">
        <v>4169216.7075269991</v>
      </c>
      <c r="F383" s="3">
        <f t="shared" si="3"/>
        <v>-4169216.7075269991</v>
      </c>
      <c r="G383" t="str">
        <f>_xlfn.XLOOKUP($A383,Map!$A:$A,Map!C:C)</f>
        <v>IS</v>
      </c>
      <c r="H383" t="str">
        <f>_xlfn.XLOOKUP($A383,Map!$A:$A,Map!D:D)</f>
        <v>Cost of sales</v>
      </c>
      <c r="I383" t="str">
        <f>_xlfn.XLOOKUP($A383,Map!$A:$A,Map!E:E)</f>
        <v>Raw materials</v>
      </c>
      <c r="J383" t="str">
        <f>_xlfn.XLOOKUP($A383,Map!$A:$A,Map!F:F)</f>
        <v>Raw materials</v>
      </c>
    </row>
  </sheetData>
  <autoFilter ref="A4:J375" xr:uid="{0F588648-8736-41A4-ADF1-7387AC81FB9E}">
    <filterColumn colId="9">
      <filters>
        <filter val="Freight expenses"/>
      </filters>
    </filterColumn>
  </autoFilter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FE46-9D82-4EF1-84D3-B44B18343C6F}">
  <dimension ref="A1:J270"/>
  <sheetViews>
    <sheetView zoomScale="90" zoomScaleNormal="90" workbookViewId="0">
      <pane ySplit="4" topLeftCell="A248" activePane="bottomLeft" state="frozen"/>
      <selection activeCell="F128" sqref="F128:F130"/>
      <selection pane="bottomLeft" activeCell="C267" sqref="C267"/>
    </sheetView>
  </sheetViews>
  <sheetFormatPr defaultColWidth="8.85546875" defaultRowHeight="15" x14ac:dyDescent="0.25"/>
  <cols>
    <col min="1" max="1" width="13.42578125" style="90" bestFit="1" customWidth="1"/>
    <col min="2" max="2" width="35.85546875" style="90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30.7109375" style="90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581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x14ac:dyDescent="0.25">
      <c r="A5" s="90">
        <v>110001</v>
      </c>
      <c r="B5" s="90" t="s">
        <v>0</v>
      </c>
      <c r="C5" s="91">
        <v>0</v>
      </c>
      <c r="D5" s="91">
        <v>0</v>
      </c>
      <c r="E5" s="91">
        <v>0</v>
      </c>
      <c r="F5" s="91">
        <v>0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x14ac:dyDescent="0.25">
      <c r="A6" s="90">
        <v>110002</v>
      </c>
      <c r="B6" s="90" t="s">
        <v>1</v>
      </c>
      <c r="C6" s="91">
        <v>106504996.56999999</v>
      </c>
      <c r="D6" s="91">
        <v>791200</v>
      </c>
      <c r="E6" s="91">
        <v>0</v>
      </c>
      <c r="F6" s="91">
        <v>107296196.56999999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x14ac:dyDescent="0.25">
      <c r="A7" s="90">
        <v>110003</v>
      </c>
      <c r="B7" s="90" t="s">
        <v>2</v>
      </c>
      <c r="C7" s="91">
        <v>1765393.75</v>
      </c>
      <c r="D7" s="91">
        <v>0</v>
      </c>
      <c r="E7" s="91">
        <v>0</v>
      </c>
      <c r="F7" s="91">
        <v>1765393.75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x14ac:dyDescent="0.25">
      <c r="A8" s="90">
        <v>110004</v>
      </c>
      <c r="B8" s="90" t="s">
        <v>3</v>
      </c>
      <c r="C8" s="91">
        <v>72478281.030000001</v>
      </c>
      <c r="D8" s="91">
        <v>11115258.540999999</v>
      </c>
      <c r="E8" s="91">
        <v>1781223.8230000001</v>
      </c>
      <c r="F8" s="91">
        <v>81812315.747999996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x14ac:dyDescent="0.25">
      <c r="A9" s="90">
        <v>110006</v>
      </c>
      <c r="B9" s="90" t="s">
        <v>4</v>
      </c>
      <c r="C9" s="91">
        <v>3090755.699</v>
      </c>
      <c r="D9" s="91">
        <v>355746.28</v>
      </c>
      <c r="E9" s="91">
        <v>119246.28</v>
      </c>
      <c r="F9" s="91">
        <v>3327255.699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x14ac:dyDescent="0.25">
      <c r="A10" s="90">
        <v>110007</v>
      </c>
      <c r="B10" s="90" t="s">
        <v>5</v>
      </c>
      <c r="C10" s="91">
        <v>2100287.898</v>
      </c>
      <c r="D10" s="91">
        <v>179130.48</v>
      </c>
      <c r="E10" s="91">
        <v>9500</v>
      </c>
      <c r="F10" s="91">
        <v>2269918.378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x14ac:dyDescent="0.25">
      <c r="A11" s="90">
        <v>110008</v>
      </c>
      <c r="B11" s="90" t="s">
        <v>6</v>
      </c>
      <c r="C11" s="91">
        <v>1101801</v>
      </c>
      <c r="D11" s="91">
        <v>33427.902000000002</v>
      </c>
      <c r="E11" s="91">
        <v>988.78099999999995</v>
      </c>
      <c r="F11" s="91">
        <v>1134240.121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</v>
      </c>
    </row>
    <row r="12" spans="1:10" x14ac:dyDescent="0.25">
      <c r="A12" s="90">
        <v>111009</v>
      </c>
      <c r="B12" s="90" t="s">
        <v>7</v>
      </c>
      <c r="C12" s="91">
        <v>2020135</v>
      </c>
      <c r="D12" s="91">
        <v>0</v>
      </c>
      <c r="E12" s="91">
        <v>0</v>
      </c>
      <c r="F12" s="91">
        <v>2020135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Right of use</v>
      </c>
      <c r="J12" t="str">
        <f>_xlfn.XLOOKUP($A12,Map!$A:$A,Map!F:F)</f>
        <v>Leases - right of use assets</v>
      </c>
    </row>
    <row r="13" spans="1:10" x14ac:dyDescent="0.25">
      <c r="A13" s="90">
        <v>111010</v>
      </c>
      <c r="B13" s="90" t="s">
        <v>8</v>
      </c>
      <c r="C13" s="91">
        <v>0</v>
      </c>
      <c r="D13" s="91">
        <v>5670447.4179999996</v>
      </c>
      <c r="E13" s="91">
        <v>5670447.4179999996</v>
      </c>
      <c r="F13" s="91">
        <v>0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x14ac:dyDescent="0.25">
      <c r="A14" s="90">
        <v>111013</v>
      </c>
      <c r="B14" s="90" t="s">
        <v>9</v>
      </c>
      <c r="C14" s="91">
        <v>569470.01699999999</v>
      </c>
      <c r="D14" s="91">
        <v>11180877.766000001</v>
      </c>
      <c r="E14" s="91">
        <v>8088425.0130000003</v>
      </c>
      <c r="F14" s="91">
        <v>3661922.77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x14ac:dyDescent="0.25">
      <c r="A15" s="90">
        <v>111099</v>
      </c>
      <c r="B15" s="90" t="s">
        <v>10</v>
      </c>
      <c r="C15" s="91">
        <v>0</v>
      </c>
      <c r="D15" s="91">
        <v>220102.927</v>
      </c>
      <c r="E15" s="91">
        <v>0</v>
      </c>
      <c r="F15" s="91">
        <v>220102.927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x14ac:dyDescent="0.25">
      <c r="A16" s="90">
        <v>120001</v>
      </c>
      <c r="B16" s="90" t="s">
        <v>11</v>
      </c>
      <c r="C16" s="91">
        <v>-8453823.0800000001</v>
      </c>
      <c r="D16" s="91">
        <v>0</v>
      </c>
      <c r="E16" s="91">
        <v>1583327.5020000001</v>
      </c>
      <c r="F16" s="91">
        <v>-10037150.582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x14ac:dyDescent="0.25">
      <c r="A17" s="90">
        <v>120002</v>
      </c>
      <c r="B17" s="90" t="s">
        <v>12</v>
      </c>
      <c r="C17" s="91">
        <v>-1765393.774</v>
      </c>
      <c r="D17" s="91">
        <v>0</v>
      </c>
      <c r="E17" s="91">
        <v>0</v>
      </c>
      <c r="F17" s="91">
        <v>-1765393.774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x14ac:dyDescent="0.25">
      <c r="A18" s="90">
        <v>120003</v>
      </c>
      <c r="B18" s="90" t="s">
        <v>13</v>
      </c>
      <c r="C18" s="91">
        <v>-41530054.737999998</v>
      </c>
      <c r="D18" s="91">
        <v>1862.8910000000001</v>
      </c>
      <c r="E18" s="91">
        <v>4524757.5029999996</v>
      </c>
      <c r="F18" s="91">
        <v>-46052949.350000001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x14ac:dyDescent="0.25">
      <c r="A19" s="90">
        <v>120005</v>
      </c>
      <c r="B19" s="90" t="s">
        <v>14</v>
      </c>
      <c r="C19" s="91">
        <v>-2378006.81</v>
      </c>
      <c r="D19" s="91">
        <v>101000</v>
      </c>
      <c r="E19" s="91">
        <v>164512.57</v>
      </c>
      <c r="F19" s="91">
        <v>-2441519.38</v>
      </c>
      <c r="G19" t="str">
        <f>_xlfn.XLOOKUP($A19,Map!$A:$A,Map!C:C)</f>
        <v>BS</v>
      </c>
      <c r="H19" t="str">
        <f>_xlfn.XLOOKUP($A19,Map!$A:$A,Map!D:D)</f>
        <v>Non-Current Assets</v>
      </c>
      <c r="I19" t="str">
        <f>_xlfn.XLOOKUP($A19,Map!$A:$A,Map!E:E)</f>
        <v>Property, plant and equipment</v>
      </c>
      <c r="J19" t="str">
        <f>_xlfn.XLOOKUP($A19,Map!$A:$A,Map!F:F)</f>
        <v>Property, plant and equipment - Accumulated depreciation</v>
      </c>
    </row>
    <row r="20" spans="1:10" x14ac:dyDescent="0.25">
      <c r="A20" s="90">
        <v>120006</v>
      </c>
      <c r="B20" s="90" t="s">
        <v>15</v>
      </c>
      <c r="C20" s="91">
        <v>-1629306.473</v>
      </c>
      <c r="D20" s="91">
        <v>1604.1859999999999</v>
      </c>
      <c r="E20" s="91">
        <v>265483.67099999997</v>
      </c>
      <c r="F20" s="91">
        <v>-1893185.9580000001</v>
      </c>
      <c r="G20" t="str">
        <f>_xlfn.XLOOKUP($A20,Map!$A:$A,Map!C:C)</f>
        <v>BS</v>
      </c>
      <c r="H20" t="str">
        <f>_xlfn.XLOOKUP($A20,Map!$A:$A,Map!D:D)</f>
        <v>Non-Current Assets</v>
      </c>
      <c r="I20" t="str">
        <f>_xlfn.XLOOKUP($A20,Map!$A:$A,Map!E:E)</f>
        <v>Property, plant and equipment</v>
      </c>
      <c r="J20" t="str">
        <f>_xlfn.XLOOKUP($A20,Map!$A:$A,Map!F:F)</f>
        <v>Property, plant and equipment - Accumulated depreciation</v>
      </c>
    </row>
    <row r="21" spans="1:10" x14ac:dyDescent="0.25">
      <c r="A21" s="90">
        <v>120007</v>
      </c>
      <c r="B21" s="90" t="s">
        <v>16</v>
      </c>
      <c r="C21" s="91">
        <v>-567470.49600000004</v>
      </c>
      <c r="D21" s="91">
        <v>0</v>
      </c>
      <c r="E21" s="91">
        <v>89058.758000000002</v>
      </c>
      <c r="F21" s="91">
        <v>-656529.25399999996</v>
      </c>
      <c r="G21" t="str">
        <f>_xlfn.XLOOKUP($A21,Map!$A:$A,Map!C:C)</f>
        <v>BS</v>
      </c>
      <c r="H21" t="str">
        <f>_xlfn.XLOOKUP($A21,Map!$A:$A,Map!D:D)</f>
        <v>Non-Current Assets</v>
      </c>
      <c r="I21" t="str">
        <f>_xlfn.XLOOKUP($A21,Map!$A:$A,Map!E:E)</f>
        <v>Property, plant and equipment</v>
      </c>
      <c r="J21" t="str">
        <f>_xlfn.XLOOKUP($A21,Map!$A:$A,Map!F:F)</f>
        <v>Property, plant and equipment - Accumulated depreciation</v>
      </c>
    </row>
    <row r="22" spans="1:10" x14ac:dyDescent="0.25">
      <c r="A22" s="90">
        <v>120008</v>
      </c>
      <c r="B22" s="90" t="s">
        <v>17</v>
      </c>
      <c r="C22" s="91">
        <v>-645860.91700000002</v>
      </c>
      <c r="D22" s="91">
        <v>0</v>
      </c>
      <c r="E22" s="91">
        <v>148721.60399999999</v>
      </c>
      <c r="F22" s="91">
        <v>-794582.52099999995</v>
      </c>
      <c r="G22" t="str">
        <f>_xlfn.XLOOKUP($A22,Map!$A:$A,Map!C:C)</f>
        <v>BS</v>
      </c>
      <c r="H22" t="str">
        <f>_xlfn.XLOOKUP($A22,Map!$A:$A,Map!D:D)</f>
        <v>Non-Current Assets</v>
      </c>
      <c r="I22" t="str">
        <f>_xlfn.XLOOKUP($A22,Map!$A:$A,Map!E:E)</f>
        <v>Right of use</v>
      </c>
      <c r="J22" t="str">
        <f>_xlfn.XLOOKUP($A22,Map!$A:$A,Map!F:F)</f>
        <v>Depreciation/amortization of rights of use assets</v>
      </c>
    </row>
    <row r="23" spans="1:10" x14ac:dyDescent="0.25">
      <c r="A23" s="90">
        <v>121001</v>
      </c>
      <c r="B23" s="90" t="s">
        <v>18</v>
      </c>
      <c r="C23" s="91">
        <v>13762616.130000001</v>
      </c>
      <c r="D23" s="91">
        <v>0</v>
      </c>
      <c r="E23" s="91">
        <v>0</v>
      </c>
      <c r="F23" s="91">
        <v>13762616.130000001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Prepaid expenses</v>
      </c>
      <c r="J23" t="str">
        <f>_xlfn.XLOOKUP($A23,Map!$A:$A,Map!F:F)</f>
        <v>Pre Operating Exps</v>
      </c>
    </row>
    <row r="24" spans="1:10" x14ac:dyDescent="0.25">
      <c r="A24" s="90">
        <v>121002</v>
      </c>
      <c r="B24" s="90" t="s">
        <v>19</v>
      </c>
      <c r="C24" s="91">
        <v>-13762616.130000001</v>
      </c>
      <c r="D24" s="91">
        <v>0</v>
      </c>
      <c r="E24" s="91">
        <v>0</v>
      </c>
      <c r="F24" s="91">
        <v>-13762616.130000001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Prepaid expenses</v>
      </c>
      <c r="J24" t="str">
        <f>_xlfn.XLOOKUP($A24,Map!$A:$A,Map!F:F)</f>
        <v>Amortization Of Pre Operating Exps</v>
      </c>
    </row>
    <row r="25" spans="1:10" x14ac:dyDescent="0.25">
      <c r="A25" s="90">
        <v>130001</v>
      </c>
      <c r="B25" s="90" t="s">
        <v>20</v>
      </c>
      <c r="C25" s="91">
        <v>0</v>
      </c>
      <c r="D25" s="91">
        <v>65206.73</v>
      </c>
      <c r="E25" s="91">
        <v>0</v>
      </c>
      <c r="F25" s="91">
        <v>65206.73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x14ac:dyDescent="0.25">
      <c r="A26" s="90">
        <v>130002</v>
      </c>
      <c r="B26" s="90" t="s">
        <v>21</v>
      </c>
      <c r="C26" s="91">
        <v>0</v>
      </c>
      <c r="D26" s="91">
        <v>0</v>
      </c>
      <c r="E26" s="91">
        <v>0</v>
      </c>
      <c r="F26" s="91">
        <v>0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x14ac:dyDescent="0.25">
      <c r="A27" s="90">
        <v>130003</v>
      </c>
      <c r="B27" s="90" t="s">
        <v>22</v>
      </c>
      <c r="C27" s="91">
        <v>0</v>
      </c>
      <c r="D27" s="91">
        <v>0</v>
      </c>
      <c r="E27" s="91">
        <v>0</v>
      </c>
      <c r="F27" s="91">
        <v>0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x14ac:dyDescent="0.25">
      <c r="A28" s="90">
        <v>130004</v>
      </c>
      <c r="B28" s="90" t="s">
        <v>23</v>
      </c>
      <c r="C28" s="91">
        <v>0</v>
      </c>
      <c r="D28" s="91">
        <v>0</v>
      </c>
      <c r="E28" s="91">
        <v>0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x14ac:dyDescent="0.25">
      <c r="A29" s="90">
        <v>130005</v>
      </c>
      <c r="B29" s="90" t="s">
        <v>24</v>
      </c>
      <c r="C29" s="91">
        <v>0</v>
      </c>
      <c r="D29" s="91">
        <v>0</v>
      </c>
      <c r="E29" s="91">
        <v>0</v>
      </c>
      <c r="F29" s="91">
        <v>0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x14ac:dyDescent="0.25">
      <c r="A30" s="90">
        <v>130006</v>
      </c>
      <c r="B30" s="90" t="s">
        <v>25</v>
      </c>
      <c r="C30" s="91">
        <v>0</v>
      </c>
      <c r="D30" s="91">
        <v>0</v>
      </c>
      <c r="E30" s="91">
        <v>0</v>
      </c>
      <c r="F30" s="91">
        <v>0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Bank balances</v>
      </c>
    </row>
    <row r="31" spans="1:10" x14ac:dyDescent="0.25">
      <c r="A31" s="90">
        <v>130007</v>
      </c>
      <c r="B31" s="90" t="s">
        <v>26</v>
      </c>
      <c r="C31" s="91">
        <v>0</v>
      </c>
      <c r="D31" s="91">
        <v>0</v>
      </c>
      <c r="E31" s="91">
        <v>0</v>
      </c>
      <c r="F31" s="91">
        <v>0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Cash and cash equivalents</v>
      </c>
      <c r="J31" t="str">
        <f>_xlfn.XLOOKUP($A31,Map!$A:$A,Map!F:F)</f>
        <v>Bank balances</v>
      </c>
    </row>
    <row r="32" spans="1:10" x14ac:dyDescent="0.25">
      <c r="A32" s="90">
        <v>130008</v>
      </c>
      <c r="B32" s="90" t="s">
        <v>247</v>
      </c>
      <c r="C32" s="91">
        <v>252733.8</v>
      </c>
      <c r="D32" s="91">
        <v>39127781.880000003</v>
      </c>
      <c r="E32" s="91">
        <v>39186149.469999999</v>
      </c>
      <c r="F32" s="91">
        <v>194366.21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Bank balances</v>
      </c>
    </row>
    <row r="33" spans="1:10" x14ac:dyDescent="0.25">
      <c r="A33" s="90">
        <v>130009</v>
      </c>
      <c r="B33" s="90" t="s">
        <v>27</v>
      </c>
      <c r="C33" s="91">
        <v>575464.68000000005</v>
      </c>
      <c r="D33" s="91">
        <v>84071491.240999997</v>
      </c>
      <c r="E33" s="91">
        <v>84608794.990999997</v>
      </c>
      <c r="F33" s="91">
        <v>38160.93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Bank balances</v>
      </c>
    </row>
    <row r="34" spans="1:10" x14ac:dyDescent="0.25">
      <c r="A34" s="90">
        <v>130010</v>
      </c>
      <c r="B34" s="90" t="s">
        <v>28</v>
      </c>
      <c r="C34" s="91">
        <v>912741.95</v>
      </c>
      <c r="D34" s="91">
        <v>175161785.236</v>
      </c>
      <c r="E34" s="91">
        <v>175719472.037</v>
      </c>
      <c r="F34" s="91">
        <v>355055.14899999998</v>
      </c>
      <c r="G34" t="str">
        <f>_xlfn.XLOOKUP($A34,Map!$A:$A,Map!C:C)</f>
        <v>BS</v>
      </c>
      <c r="H34" t="str">
        <f>_xlfn.XLOOKUP($A34,Map!$A:$A,Map!D:D)</f>
        <v>Current Assets</v>
      </c>
      <c r="I34" t="str">
        <f>_xlfn.XLOOKUP($A34,Map!$A:$A,Map!E:E)</f>
        <v>Cash and cash equivalents</v>
      </c>
      <c r="J34" t="str">
        <f>_xlfn.XLOOKUP($A34,Map!$A:$A,Map!F:F)</f>
        <v>Bank balances</v>
      </c>
    </row>
    <row r="35" spans="1:10" x14ac:dyDescent="0.25">
      <c r="A35" s="90">
        <v>130011</v>
      </c>
      <c r="B35" s="90" t="s">
        <v>29</v>
      </c>
      <c r="C35" s="91">
        <v>371638.27</v>
      </c>
      <c r="D35" s="91">
        <v>60141639.581</v>
      </c>
      <c r="E35" s="91">
        <v>60377115.840999998</v>
      </c>
      <c r="F35" s="91">
        <v>136162.01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Cash and cash equivalents</v>
      </c>
      <c r="J35" t="str">
        <f>_xlfn.XLOOKUP($A35,Map!$A:$A,Map!F:F)</f>
        <v>Bank balances</v>
      </c>
    </row>
    <row r="36" spans="1:10" x14ac:dyDescent="0.25">
      <c r="A36" s="90">
        <v>130012</v>
      </c>
      <c r="B36" s="90" t="s">
        <v>248</v>
      </c>
      <c r="C36" s="91">
        <v>925749.64</v>
      </c>
      <c r="D36" s="91">
        <v>29943639.32</v>
      </c>
      <c r="E36" s="91">
        <v>30703183.09</v>
      </c>
      <c r="F36" s="91">
        <v>166205.87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Cash and cash equivalents</v>
      </c>
      <c r="J36" t="str">
        <f>_xlfn.XLOOKUP($A36,Map!$A:$A,Map!F:F)</f>
        <v>Bank balances</v>
      </c>
    </row>
    <row r="37" spans="1:10" x14ac:dyDescent="0.25">
      <c r="A37" s="90">
        <v>130013</v>
      </c>
      <c r="B37" s="90" t="s">
        <v>30</v>
      </c>
      <c r="C37" s="91">
        <v>237620.27900000001</v>
      </c>
      <c r="D37" s="91">
        <v>32073132.989999998</v>
      </c>
      <c r="E37" s="91">
        <v>32308992.831</v>
      </c>
      <c r="F37" s="91">
        <v>1760.4380000000001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Cash and cash equivalents</v>
      </c>
      <c r="J37" t="str">
        <f>_xlfn.XLOOKUP($A37,Map!$A:$A,Map!F:F)</f>
        <v>Bank balances</v>
      </c>
    </row>
    <row r="38" spans="1:10" x14ac:dyDescent="0.25">
      <c r="A38" s="90">
        <v>130014</v>
      </c>
      <c r="B38" s="90" t="s">
        <v>31</v>
      </c>
      <c r="C38" s="91">
        <v>375236.25</v>
      </c>
      <c r="D38" s="91">
        <v>442525</v>
      </c>
      <c r="E38" s="91">
        <v>815000</v>
      </c>
      <c r="F38" s="91">
        <v>2761.25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Cash and cash equivalents</v>
      </c>
      <c r="J38" t="str">
        <f>_xlfn.XLOOKUP($A38,Map!$A:$A,Map!F:F)</f>
        <v>Bank balances</v>
      </c>
    </row>
    <row r="39" spans="1:10" x14ac:dyDescent="0.25">
      <c r="A39" s="90">
        <v>130015</v>
      </c>
      <c r="B39" s="90" t="s">
        <v>32</v>
      </c>
      <c r="C39" s="91">
        <v>32033.58</v>
      </c>
      <c r="D39" s="91">
        <v>16835000</v>
      </c>
      <c r="E39" s="91">
        <v>16856977.219999999</v>
      </c>
      <c r="F39" s="91">
        <v>10056.36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Cash and cash equivalents</v>
      </c>
      <c r="J39" t="str">
        <f>_xlfn.XLOOKUP($A39,Map!$A:$A,Map!F:F)</f>
        <v>Bank balances</v>
      </c>
    </row>
    <row r="40" spans="1:10" x14ac:dyDescent="0.25">
      <c r="A40" s="90">
        <v>130016</v>
      </c>
      <c r="B40" s="90" t="s">
        <v>33</v>
      </c>
      <c r="C40" s="91">
        <v>367494.75</v>
      </c>
      <c r="D40" s="91">
        <v>22828128</v>
      </c>
      <c r="E40" s="91">
        <v>23097236.25</v>
      </c>
      <c r="F40" s="91">
        <v>98386.5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Cash and cash equivalents</v>
      </c>
      <c r="J40" t="str">
        <f>_xlfn.XLOOKUP($A40,Map!$A:$A,Map!F:F)</f>
        <v>Bank balances</v>
      </c>
    </row>
    <row r="41" spans="1:10" x14ac:dyDescent="0.25">
      <c r="A41" s="90">
        <v>130099</v>
      </c>
      <c r="B41" s="90" t="s">
        <v>34</v>
      </c>
      <c r="C41" s="91">
        <v>0</v>
      </c>
      <c r="D41" s="91">
        <v>181509093</v>
      </c>
      <c r="E41" s="91">
        <v>181509093</v>
      </c>
      <c r="F41" s="91">
        <v>0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Cash and cash equivalents</v>
      </c>
      <c r="J41" t="str">
        <f>_xlfn.XLOOKUP($A41,Map!$A:$A,Map!F:F)</f>
        <v>Bank balances</v>
      </c>
    </row>
    <row r="42" spans="1:10" x14ac:dyDescent="0.25">
      <c r="A42" s="90">
        <v>140001</v>
      </c>
      <c r="B42" s="90" t="s">
        <v>35</v>
      </c>
      <c r="C42" s="91">
        <v>45463353.802000001</v>
      </c>
      <c r="D42" s="91">
        <v>163210301.99900001</v>
      </c>
      <c r="E42" s="91">
        <v>156096084.662</v>
      </c>
      <c r="F42" s="91">
        <v>52577571.138999999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Trade receivables</v>
      </c>
      <c r="J42" t="str">
        <f>_xlfn.XLOOKUP($A42,Map!$A:$A,Map!F:F)</f>
        <v>Trade receivables - current</v>
      </c>
    </row>
    <row r="43" spans="1:10" x14ac:dyDescent="0.25">
      <c r="A43" s="90">
        <v>140010</v>
      </c>
      <c r="B43" s="90" t="s">
        <v>36</v>
      </c>
      <c r="C43" s="91">
        <v>0</v>
      </c>
      <c r="D43" s="91">
        <v>0</v>
      </c>
      <c r="E43" s="91">
        <v>0</v>
      </c>
      <c r="F43" s="91">
        <v>0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Trade receivables</v>
      </c>
      <c r="J43" t="str">
        <f>_xlfn.XLOOKUP($A43,Map!$A:$A,Map!F:F)</f>
        <v>Trade receivables - current</v>
      </c>
    </row>
    <row r="44" spans="1:10" x14ac:dyDescent="0.25">
      <c r="A44" s="90">
        <v>150001</v>
      </c>
      <c r="B44" s="90" t="s">
        <v>37</v>
      </c>
      <c r="C44" s="91">
        <v>131188.177</v>
      </c>
      <c r="D44" s="91">
        <v>2836856.034</v>
      </c>
      <c r="E44" s="91">
        <v>1630629.371</v>
      </c>
      <c r="F44" s="91">
        <v>1337414.8400000001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Prepaid expenses</v>
      </c>
      <c r="J44" t="str">
        <f>_xlfn.XLOOKUP($A44,Map!$A:$A,Map!F:F)</f>
        <v>Advances - current</v>
      </c>
    </row>
    <row r="45" spans="1:10" x14ac:dyDescent="0.25">
      <c r="A45" s="90">
        <v>150002</v>
      </c>
      <c r="B45" s="90" t="s">
        <v>38</v>
      </c>
      <c r="C45" s="91">
        <v>2371988</v>
      </c>
      <c r="D45" s="91">
        <v>1011670</v>
      </c>
      <c r="E45" s="91">
        <v>3383658</v>
      </c>
      <c r="F45" s="91">
        <v>0</v>
      </c>
      <c r="G45" t="str">
        <f>_xlfn.XLOOKUP($A45,Map!$A:$A,Map!C:C)</f>
        <v>BS</v>
      </c>
      <c r="H45" t="str">
        <f>_xlfn.XLOOKUP($A45,Map!$A:$A,Map!D:D)</f>
        <v>Non-Current Liabilities</v>
      </c>
      <c r="I45" t="str">
        <f>_xlfn.XLOOKUP($A45,Map!$A:$A,Map!E:E)</f>
        <v xml:space="preserve">End-of-service indemnities </v>
      </c>
      <c r="J45" t="str">
        <f>_xlfn.XLOOKUP($A45,Map!$A:$A,Map!F:F)</f>
        <v xml:space="preserve">End-of-service indemnities </v>
      </c>
    </row>
    <row r="46" spans="1:10" x14ac:dyDescent="0.25">
      <c r="A46" s="90">
        <v>160001</v>
      </c>
      <c r="B46" s="90" t="s">
        <v>39</v>
      </c>
      <c r="C46" s="91">
        <v>12811.2</v>
      </c>
      <c r="D46" s="91">
        <v>353381.51</v>
      </c>
      <c r="E46" s="91">
        <v>330610.28999999998</v>
      </c>
      <c r="F46" s="91">
        <v>35582.42</v>
      </c>
      <c r="G46" t="str">
        <f>_xlfn.XLOOKUP($A46,Map!$A:$A,Map!C:C)</f>
        <v>BS</v>
      </c>
      <c r="H46" t="str">
        <f>_xlfn.XLOOKUP($A46,Map!$A:$A,Map!D:D)</f>
        <v>Current Assets</v>
      </c>
      <c r="I46" t="str">
        <f>_xlfn.XLOOKUP($A46,Map!$A:$A,Map!E:E)</f>
        <v>Cash and cash equivalents</v>
      </c>
      <c r="J46" t="str">
        <f>_xlfn.XLOOKUP($A46,Map!$A:$A,Map!F:F)</f>
        <v>Petty cash</v>
      </c>
    </row>
    <row r="47" spans="1:10" x14ac:dyDescent="0.25">
      <c r="A47" s="90">
        <v>170000</v>
      </c>
      <c r="B47" s="90" t="s">
        <v>40</v>
      </c>
      <c r="C47" s="91">
        <v>828992.36600000004</v>
      </c>
      <c r="D47" s="91">
        <v>152562.69</v>
      </c>
      <c r="E47" s="91">
        <v>981554.83100000001</v>
      </c>
      <c r="F47" s="91">
        <v>0.22500000000000001</v>
      </c>
      <c r="G47" t="str">
        <f>_xlfn.XLOOKUP($A47,Map!$A:$A,Map!C:C)</f>
        <v>BS</v>
      </c>
      <c r="H47" t="str">
        <f>_xlfn.XLOOKUP($A47,Map!$A:$A,Map!D:D)</f>
        <v>Current Liabilities</v>
      </c>
      <c r="I47" t="str">
        <f>_xlfn.XLOOKUP($A47,Map!$A:$A,Map!E:E)</f>
        <v>Short-term Murabaha loans</v>
      </c>
      <c r="J47" t="str">
        <f>_xlfn.XLOOKUP($A47,Map!$A:$A,Map!F:F)</f>
        <v>Prepayments - current</v>
      </c>
    </row>
    <row r="48" spans="1:10" x14ac:dyDescent="0.25">
      <c r="A48" s="90">
        <v>170001</v>
      </c>
      <c r="B48" s="90" t="s">
        <v>41</v>
      </c>
      <c r="C48" s="91">
        <v>845009.73199999996</v>
      </c>
      <c r="D48" s="91">
        <v>1635204.4680000001</v>
      </c>
      <c r="E48" s="91">
        <v>1278461.9779999999</v>
      </c>
      <c r="F48" s="91">
        <v>1201752.2220000001</v>
      </c>
      <c r="G48" t="str">
        <f>_xlfn.XLOOKUP($A48,Map!$A:$A,Map!C:C)</f>
        <v>BS</v>
      </c>
      <c r="H48" t="str">
        <f>_xlfn.XLOOKUP($A48,Map!$A:$A,Map!D:D)</f>
        <v>Current Liabilities</v>
      </c>
      <c r="I48" t="str">
        <f>_xlfn.XLOOKUP($A48,Map!$A:$A,Map!E:E)</f>
        <v>Short-term Murabaha loans</v>
      </c>
      <c r="J48" t="str">
        <f>_xlfn.XLOOKUP($A48,Map!$A:$A,Map!F:F)</f>
        <v>Prepayments - current</v>
      </c>
    </row>
    <row r="49" spans="1:10" x14ac:dyDescent="0.25">
      <c r="A49" s="90">
        <v>170002</v>
      </c>
      <c r="B49" s="90" t="s">
        <v>42</v>
      </c>
      <c r="C49" s="91">
        <v>692621.20400000003</v>
      </c>
      <c r="D49" s="91">
        <v>4961412.034</v>
      </c>
      <c r="E49" s="91">
        <v>4477085.3839999996</v>
      </c>
      <c r="F49" s="91">
        <v>1176947.8540000001</v>
      </c>
      <c r="G49" t="str">
        <f>_xlfn.XLOOKUP($A49,Map!$A:$A,Map!C:C)</f>
        <v>BS</v>
      </c>
      <c r="H49" t="str">
        <f>_xlfn.XLOOKUP($A49,Map!$A:$A,Map!D:D)</f>
        <v>Current Liabilities</v>
      </c>
      <c r="I49" t="str">
        <f>_xlfn.XLOOKUP($A49,Map!$A:$A,Map!E:E)</f>
        <v>Short-term Murabaha loans</v>
      </c>
      <c r="J49" t="str">
        <f>_xlfn.XLOOKUP($A49,Map!$A:$A,Map!F:F)</f>
        <v>Prepayments - current</v>
      </c>
    </row>
    <row r="50" spans="1:10" x14ac:dyDescent="0.25">
      <c r="A50" s="90">
        <v>170003</v>
      </c>
      <c r="B50" s="90" t="s">
        <v>43</v>
      </c>
      <c r="C50" s="91">
        <v>0</v>
      </c>
      <c r="D50" s="91">
        <v>0</v>
      </c>
      <c r="E50" s="91">
        <v>0</v>
      </c>
      <c r="F50" s="91">
        <v>0</v>
      </c>
      <c r="G50" t="str">
        <f>_xlfn.XLOOKUP($A50,Map!$A:$A,Map!C:C)</f>
        <v>BS</v>
      </c>
      <c r="H50" t="str">
        <f>_xlfn.XLOOKUP($A50,Map!$A:$A,Map!D:D)</f>
        <v>Current Liabilities</v>
      </c>
      <c r="I50" t="str">
        <f>_xlfn.XLOOKUP($A50,Map!$A:$A,Map!E:E)</f>
        <v>Short-term Murabaha loans</v>
      </c>
      <c r="J50" t="str">
        <f>_xlfn.XLOOKUP($A50,Map!$A:$A,Map!F:F)</f>
        <v>Prepayments - current</v>
      </c>
    </row>
    <row r="51" spans="1:10" x14ac:dyDescent="0.25">
      <c r="A51" s="90">
        <v>170004</v>
      </c>
      <c r="B51" s="90" t="s">
        <v>244</v>
      </c>
      <c r="C51" s="91">
        <v>0</v>
      </c>
      <c r="D51" s="91">
        <v>836141.40599999996</v>
      </c>
      <c r="E51" s="91">
        <v>836141.40500000003</v>
      </c>
      <c r="F51" s="91">
        <v>1E-3</v>
      </c>
      <c r="G51" t="str">
        <f>_xlfn.XLOOKUP($A51,Map!$A:$A,Map!C:C)</f>
        <v>BS</v>
      </c>
      <c r="H51" t="str">
        <f>_xlfn.XLOOKUP($A51,Map!$A:$A,Map!D:D)</f>
        <v>Current Liabilities</v>
      </c>
      <c r="I51" t="str">
        <f>_xlfn.XLOOKUP($A51,Map!$A:$A,Map!E:E)</f>
        <v>Short-term Murabaha loans</v>
      </c>
      <c r="J51" t="str">
        <f>_xlfn.XLOOKUP($A51,Map!$A:$A,Map!F:F)</f>
        <v>Prepayments - current</v>
      </c>
    </row>
    <row r="52" spans="1:10" x14ac:dyDescent="0.25">
      <c r="A52" s="90">
        <v>170005</v>
      </c>
      <c r="B52" s="90" t="s">
        <v>44</v>
      </c>
      <c r="C52" s="91">
        <v>0</v>
      </c>
      <c r="D52" s="91">
        <v>0</v>
      </c>
      <c r="E52" s="91">
        <v>0</v>
      </c>
      <c r="F52" s="91">
        <v>0</v>
      </c>
      <c r="G52" t="str">
        <f>_xlfn.XLOOKUP($A52,Map!$A:$A,Map!C:C)</f>
        <v>BS</v>
      </c>
      <c r="H52" t="str">
        <f>_xlfn.XLOOKUP($A52,Map!$A:$A,Map!D:D)</f>
        <v>Current Assets</v>
      </c>
      <c r="I52" t="str">
        <f>_xlfn.XLOOKUP($A52,Map!$A:$A,Map!E:E)</f>
        <v>Prepaid expenses</v>
      </c>
      <c r="J52" t="str">
        <f>_xlfn.XLOOKUP($A52,Map!$A:$A,Map!F:F)</f>
        <v>Deposits - current</v>
      </c>
    </row>
    <row r="53" spans="1:10" x14ac:dyDescent="0.25">
      <c r="A53" s="90">
        <v>170006</v>
      </c>
      <c r="B53" s="90" t="s">
        <v>45</v>
      </c>
      <c r="C53" s="91">
        <v>0</v>
      </c>
      <c r="D53" s="91">
        <v>0</v>
      </c>
      <c r="E53" s="91">
        <v>0</v>
      </c>
      <c r="F53" s="91">
        <v>0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Prepaid expenses</v>
      </c>
      <c r="J53" t="str">
        <f>_xlfn.XLOOKUP($A53,Map!$A:$A,Map!F:F)</f>
        <v>Deposits - current</v>
      </c>
    </row>
    <row r="54" spans="1:10" x14ac:dyDescent="0.25">
      <c r="A54" s="90">
        <v>170007</v>
      </c>
      <c r="B54" s="90" t="s">
        <v>46</v>
      </c>
      <c r="C54" s="91">
        <v>0</v>
      </c>
      <c r="D54" s="91">
        <v>0</v>
      </c>
      <c r="E54" s="91">
        <v>0</v>
      </c>
      <c r="F54" s="91">
        <v>0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Prepaid expenses</v>
      </c>
      <c r="J54" t="str">
        <f>_xlfn.XLOOKUP($A54,Map!$A:$A,Map!F:F)</f>
        <v>Deposits - current</v>
      </c>
    </row>
    <row r="55" spans="1:10" x14ac:dyDescent="0.25">
      <c r="A55" s="90">
        <v>170008</v>
      </c>
      <c r="B55" s="90" t="s">
        <v>47</v>
      </c>
      <c r="C55" s="91">
        <v>0</v>
      </c>
      <c r="D55" s="91">
        <v>462610.13299999997</v>
      </c>
      <c r="E55" s="91">
        <v>396681.79300000001</v>
      </c>
      <c r="F55" s="91">
        <v>65928.34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Prepaid expenses</v>
      </c>
      <c r="J55" t="str">
        <f>_xlfn.XLOOKUP($A55,Map!$A:$A,Map!F:F)</f>
        <v>Deposits - current</v>
      </c>
    </row>
    <row r="56" spans="1:10" x14ac:dyDescent="0.25">
      <c r="A56" s="90">
        <v>170009</v>
      </c>
      <c r="B56" s="90" t="s">
        <v>48</v>
      </c>
      <c r="C56" s="91">
        <v>60962</v>
      </c>
      <c r="D56" s="91">
        <v>398899.68</v>
      </c>
      <c r="E56" s="91">
        <v>378171.57900000003</v>
      </c>
      <c r="F56" s="91">
        <v>81690.100999999995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Prepaid expenses</v>
      </c>
      <c r="J56" t="str">
        <f>_xlfn.XLOOKUP($A56,Map!$A:$A,Map!F:F)</f>
        <v>Rent</v>
      </c>
    </row>
    <row r="57" spans="1:10" x14ac:dyDescent="0.25">
      <c r="A57" s="90">
        <v>170010</v>
      </c>
      <c r="B57" s="90" t="s">
        <v>49</v>
      </c>
      <c r="C57" s="91">
        <v>0</v>
      </c>
      <c r="D57" s="91">
        <v>0</v>
      </c>
      <c r="E57" s="91">
        <v>0</v>
      </c>
      <c r="F57" s="91">
        <v>0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Prepaid expenses</v>
      </c>
      <c r="J57" t="str">
        <f>_xlfn.XLOOKUP($A57,Map!$A:$A,Map!F:F)</f>
        <v>Housing allowance</v>
      </c>
    </row>
    <row r="58" spans="1:10" x14ac:dyDescent="0.25">
      <c r="A58" s="90">
        <v>170011</v>
      </c>
      <c r="B58" s="90" t="s">
        <v>50</v>
      </c>
      <c r="C58" s="91">
        <v>0</v>
      </c>
      <c r="D58" s="91">
        <v>0</v>
      </c>
      <c r="E58" s="91">
        <v>0</v>
      </c>
      <c r="F58" s="91">
        <v>0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Prepaid expenses</v>
      </c>
      <c r="J58" t="str">
        <f>_xlfn.XLOOKUP($A58,Map!$A:$A,Map!F:F)</f>
        <v>Air tickets</v>
      </c>
    </row>
    <row r="59" spans="1:10" x14ac:dyDescent="0.25">
      <c r="A59" s="90">
        <v>170012</v>
      </c>
      <c r="B59" s="90" t="s">
        <v>51</v>
      </c>
      <c r="C59" s="91">
        <v>0</v>
      </c>
      <c r="D59" s="91">
        <v>0</v>
      </c>
      <c r="E59" s="91">
        <v>0</v>
      </c>
      <c r="F59" s="91">
        <v>0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Prepaid expenses</v>
      </c>
      <c r="J59" t="str">
        <f>_xlfn.XLOOKUP($A59,Map!$A:$A,Map!F:F)</f>
        <v>Furniture allowance</v>
      </c>
    </row>
    <row r="60" spans="1:10" x14ac:dyDescent="0.25">
      <c r="A60" s="90">
        <v>170013</v>
      </c>
      <c r="B60" s="90" t="s">
        <v>52</v>
      </c>
      <c r="C60" s="91">
        <v>0</v>
      </c>
      <c r="D60" s="91">
        <v>0</v>
      </c>
      <c r="E60" s="91">
        <v>0</v>
      </c>
      <c r="F60" s="91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Prepaid expenses</v>
      </c>
      <c r="J60" t="str">
        <f>_xlfn.XLOOKUP($A60,Map!$A:$A,Map!F:F)</f>
        <v>Insurance</v>
      </c>
    </row>
    <row r="61" spans="1:10" x14ac:dyDescent="0.25">
      <c r="A61" s="90">
        <v>170014</v>
      </c>
      <c r="B61" s="90" t="s">
        <v>53</v>
      </c>
      <c r="C61" s="91">
        <v>337938</v>
      </c>
      <c r="D61" s="91">
        <v>738015.95600000001</v>
      </c>
      <c r="E61" s="91">
        <v>691868.12199999997</v>
      </c>
      <c r="F61" s="91">
        <v>384085.83399999997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Prepaid expenses</v>
      </c>
      <c r="J61" t="str">
        <f>_xlfn.XLOOKUP($A61,Map!$A:$A,Map!F:F)</f>
        <v>Insurance</v>
      </c>
    </row>
    <row r="62" spans="1:10" x14ac:dyDescent="0.25">
      <c r="A62" s="90">
        <v>170015</v>
      </c>
      <c r="B62" s="90" t="s">
        <v>54</v>
      </c>
      <c r="C62" s="91">
        <v>0</v>
      </c>
      <c r="D62" s="91">
        <v>0</v>
      </c>
      <c r="E62" s="91">
        <v>0</v>
      </c>
      <c r="F62" s="91">
        <v>0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Prepaid expenses</v>
      </c>
      <c r="J62" t="str">
        <f>_xlfn.XLOOKUP($A62,Map!$A:$A,Map!F:F)</f>
        <v>Salaries and wages</v>
      </c>
    </row>
    <row r="63" spans="1:10" x14ac:dyDescent="0.25">
      <c r="A63" s="90">
        <v>170016</v>
      </c>
      <c r="B63" s="90" t="s">
        <v>55</v>
      </c>
      <c r="C63" s="91">
        <v>0</v>
      </c>
      <c r="D63" s="91">
        <v>669324</v>
      </c>
      <c r="E63" s="91">
        <v>500000</v>
      </c>
      <c r="F63" s="91">
        <v>169324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Prepaid expenses</v>
      </c>
      <c r="J63" t="str">
        <f>_xlfn.XLOOKUP($A63,Map!$A:$A,Map!F:F)</f>
        <v>Other receivables - current</v>
      </c>
    </row>
    <row r="64" spans="1:10" x14ac:dyDescent="0.25">
      <c r="A64" s="90">
        <v>170017</v>
      </c>
      <c r="B64" s="90" t="s">
        <v>56</v>
      </c>
      <c r="C64" s="91">
        <v>0</v>
      </c>
      <c r="D64" s="91">
        <v>0</v>
      </c>
      <c r="E64" s="91">
        <v>0</v>
      </c>
      <c r="F64" s="91">
        <v>0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Prepaid expenses</v>
      </c>
      <c r="J64" t="str">
        <f>_xlfn.XLOOKUP($A64,Map!$A:$A,Map!F:F)</f>
        <v>Family allowance</v>
      </c>
    </row>
    <row r="65" spans="1:10" x14ac:dyDescent="0.25">
      <c r="A65" s="90">
        <v>170018</v>
      </c>
      <c r="B65" s="90" t="s">
        <v>57</v>
      </c>
      <c r="C65" s="91">
        <v>0</v>
      </c>
      <c r="D65" s="91">
        <v>0</v>
      </c>
      <c r="E65" s="91">
        <v>0</v>
      </c>
      <c r="F65" s="91">
        <v>0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Prepaid expenses</v>
      </c>
      <c r="J65" t="str">
        <f>_xlfn.XLOOKUP($A65,Map!$A:$A,Map!F:F)</f>
        <v>Other receivables - current</v>
      </c>
    </row>
    <row r="66" spans="1:10" x14ac:dyDescent="0.25">
      <c r="A66" s="90">
        <v>170019</v>
      </c>
      <c r="B66" s="90" t="s">
        <v>58</v>
      </c>
      <c r="C66" s="91">
        <v>0</v>
      </c>
      <c r="D66" s="91">
        <v>0</v>
      </c>
      <c r="E66" s="91">
        <v>0</v>
      </c>
      <c r="F66" s="91">
        <v>0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Prepaid expenses</v>
      </c>
      <c r="J66" t="str">
        <f>_xlfn.XLOOKUP($A66,Map!$A:$A,Map!F:F)</f>
        <v>Other receivables - current</v>
      </c>
    </row>
    <row r="67" spans="1:10" x14ac:dyDescent="0.25">
      <c r="A67" s="90">
        <v>170020</v>
      </c>
      <c r="B67" s="90" t="s">
        <v>59</v>
      </c>
      <c r="C67" s="91">
        <v>187932.64</v>
      </c>
      <c r="D67" s="91">
        <v>0</v>
      </c>
      <c r="E67" s="91">
        <v>0</v>
      </c>
      <c r="F67" s="91">
        <v>187932.64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Prepaid expenses</v>
      </c>
      <c r="J67" t="str">
        <f>_xlfn.XLOOKUP($A67,Map!$A:$A,Map!F:F)</f>
        <v>Insurance</v>
      </c>
    </row>
    <row r="68" spans="1:10" x14ac:dyDescent="0.25">
      <c r="A68" s="90">
        <v>180001</v>
      </c>
      <c r="B68" s="90" t="s">
        <v>60</v>
      </c>
      <c r="C68" s="91">
        <v>393596.77299999999</v>
      </c>
      <c r="D68" s="91">
        <v>4795026.6509999996</v>
      </c>
      <c r="E68" s="91">
        <v>3380499.4309999999</v>
      </c>
      <c r="F68" s="91">
        <v>1808123.993</v>
      </c>
      <c r="G68" t="str">
        <f>_xlfn.XLOOKUP($A68,Map!$A:$A,Map!C:C)</f>
        <v>BS</v>
      </c>
      <c r="H68" t="str">
        <f>_xlfn.XLOOKUP($A68,Map!$A:$A,Map!D:D)</f>
        <v>Current Assets</v>
      </c>
      <c r="I68" t="str">
        <f>_xlfn.XLOOKUP($A68,Map!$A:$A,Map!E:E)</f>
        <v>Inventories</v>
      </c>
      <c r="J68" t="str">
        <f>_xlfn.XLOOKUP($A68,Map!$A:$A,Map!F:F)</f>
        <v>Raw materials - Inventory</v>
      </c>
    </row>
    <row r="69" spans="1:10" x14ac:dyDescent="0.25">
      <c r="A69" s="90">
        <v>180002</v>
      </c>
      <c r="B69" s="90" t="s">
        <v>61</v>
      </c>
      <c r="C69" s="91">
        <v>0</v>
      </c>
      <c r="D69" s="91">
        <v>123301.22</v>
      </c>
      <c r="E69" s="91">
        <v>123301.22</v>
      </c>
      <c r="F69" s="91">
        <v>0</v>
      </c>
      <c r="G69" t="str">
        <f>_xlfn.XLOOKUP($A69,Map!$A:$A,Map!C:C)</f>
        <v>BS</v>
      </c>
      <c r="H69" t="str">
        <f>_xlfn.XLOOKUP($A69,Map!$A:$A,Map!D:D)</f>
        <v>Current Assets</v>
      </c>
      <c r="I69" t="str">
        <f>_xlfn.XLOOKUP($A69,Map!$A:$A,Map!E:E)</f>
        <v>Inventories</v>
      </c>
      <c r="J69" t="str">
        <f>_xlfn.XLOOKUP($A69,Map!$A:$A,Map!F:F)</f>
        <v>Raw materials - Inventory</v>
      </c>
    </row>
    <row r="70" spans="1:10" x14ac:dyDescent="0.25">
      <c r="A70" s="90">
        <v>180003</v>
      </c>
      <c r="B70" s="90" t="s">
        <v>62</v>
      </c>
      <c r="C70" s="91">
        <v>7034865.0970000001</v>
      </c>
      <c r="D70" s="91">
        <v>14841131.821</v>
      </c>
      <c r="E70" s="91">
        <v>12454851.994000001</v>
      </c>
      <c r="F70" s="91">
        <v>9421144.9240000006</v>
      </c>
      <c r="G70" t="str">
        <f>_xlfn.XLOOKUP($A70,Map!$A:$A,Map!C:C)</f>
        <v>BS</v>
      </c>
      <c r="H70" t="str">
        <f>_xlfn.XLOOKUP($A70,Map!$A:$A,Map!D:D)</f>
        <v>Current Assets</v>
      </c>
      <c r="I70" t="str">
        <f>_xlfn.XLOOKUP($A70,Map!$A:$A,Map!E:E)</f>
        <v>Inventories</v>
      </c>
      <c r="J70" t="str">
        <f>_xlfn.XLOOKUP($A70,Map!$A:$A,Map!F:F)</f>
        <v>Spare parts - Inventory</v>
      </c>
    </row>
    <row r="71" spans="1:10" x14ac:dyDescent="0.25">
      <c r="A71" s="90">
        <v>180004</v>
      </c>
      <c r="B71" s="90" t="s">
        <v>63</v>
      </c>
      <c r="C71" s="91">
        <v>12721521.119999999</v>
      </c>
      <c r="D71" s="91">
        <v>151683503.93399999</v>
      </c>
      <c r="E71" s="91">
        <v>158470838.38699999</v>
      </c>
      <c r="F71" s="91">
        <v>5934186.6670000004</v>
      </c>
      <c r="G71" t="str">
        <f>_xlfn.XLOOKUP($A71,Map!$A:$A,Map!C:C)</f>
        <v>BS</v>
      </c>
      <c r="H71" t="str">
        <f>_xlfn.XLOOKUP($A71,Map!$A:$A,Map!D:D)</f>
        <v>Current Assets</v>
      </c>
      <c r="I71" t="str">
        <f>_xlfn.XLOOKUP($A71,Map!$A:$A,Map!E:E)</f>
        <v>Inventories</v>
      </c>
      <c r="J71" t="str">
        <f>_xlfn.XLOOKUP($A71,Map!$A:$A,Map!F:F)</f>
        <v>Raw materials - Inventory</v>
      </c>
    </row>
    <row r="72" spans="1:10" x14ac:dyDescent="0.25">
      <c r="A72" s="90">
        <v>180005</v>
      </c>
      <c r="B72" s="90" t="s">
        <v>64</v>
      </c>
      <c r="C72" s="91">
        <v>6421066.4900000002</v>
      </c>
      <c r="D72" s="91">
        <v>43440401.332999997</v>
      </c>
      <c r="E72" s="91">
        <v>42082534.527000003</v>
      </c>
      <c r="F72" s="91">
        <v>7778933.2960000001</v>
      </c>
      <c r="G72" t="str">
        <f>_xlfn.XLOOKUP($A72,Map!$A:$A,Map!C:C)</f>
        <v>BS</v>
      </c>
      <c r="H72" t="str">
        <f>_xlfn.XLOOKUP($A72,Map!$A:$A,Map!D:D)</f>
        <v>Current Assets</v>
      </c>
      <c r="I72" t="str">
        <f>_xlfn.XLOOKUP($A72,Map!$A:$A,Map!E:E)</f>
        <v>Inventories</v>
      </c>
      <c r="J72" t="str">
        <f>_xlfn.XLOOKUP($A72,Map!$A:$A,Map!F:F)</f>
        <v>Raw materials - Inventory</v>
      </c>
    </row>
    <row r="73" spans="1:10" x14ac:dyDescent="0.25">
      <c r="A73" s="90">
        <v>180006</v>
      </c>
      <c r="B73" s="90" t="s">
        <v>65</v>
      </c>
      <c r="C73" s="91">
        <v>485139.35100000002</v>
      </c>
      <c r="D73" s="91">
        <v>5801020.2319999998</v>
      </c>
      <c r="E73" s="91">
        <v>6101515.4699999997</v>
      </c>
      <c r="F73" s="91">
        <v>184644.11300000001</v>
      </c>
      <c r="G73" t="str">
        <f>_xlfn.XLOOKUP($A73,Map!$A:$A,Map!C:C)</f>
        <v>BS</v>
      </c>
      <c r="H73" t="str">
        <f>_xlfn.XLOOKUP($A73,Map!$A:$A,Map!D:D)</f>
        <v>Current Assets</v>
      </c>
      <c r="I73" t="str">
        <f>_xlfn.XLOOKUP($A73,Map!$A:$A,Map!E:E)</f>
        <v>Inventories</v>
      </c>
      <c r="J73" t="str">
        <f>_xlfn.XLOOKUP($A73,Map!$A:$A,Map!F:F)</f>
        <v>Raw materials - Inventory</v>
      </c>
    </row>
    <row r="74" spans="1:10" x14ac:dyDescent="0.25">
      <c r="A74" s="90">
        <v>180007</v>
      </c>
      <c r="B74" s="90" t="s">
        <v>66</v>
      </c>
      <c r="C74" s="91">
        <v>144366.50099999999</v>
      </c>
      <c r="D74" s="91">
        <v>133828.25</v>
      </c>
      <c r="E74" s="91">
        <v>144366.49900000001</v>
      </c>
      <c r="F74" s="91">
        <v>133828.25200000001</v>
      </c>
      <c r="G74" t="str">
        <f>_xlfn.XLOOKUP($A74,Map!$A:$A,Map!C:C)</f>
        <v>BS</v>
      </c>
      <c r="H74" t="str">
        <f>_xlfn.XLOOKUP($A74,Map!$A:$A,Map!D:D)</f>
        <v>Current Assets</v>
      </c>
      <c r="I74" t="str">
        <f>_xlfn.XLOOKUP($A74,Map!$A:$A,Map!E:E)</f>
        <v>Inventories</v>
      </c>
      <c r="J74" t="str">
        <f>_xlfn.XLOOKUP($A74,Map!$A:$A,Map!F:F)</f>
        <v>Raw materials - Inventory</v>
      </c>
    </row>
    <row r="75" spans="1:10" x14ac:dyDescent="0.25">
      <c r="A75" s="90">
        <v>180008</v>
      </c>
      <c r="B75" s="90" t="s">
        <v>67</v>
      </c>
      <c r="C75" s="91">
        <v>0</v>
      </c>
      <c r="D75" s="91">
        <v>0</v>
      </c>
      <c r="E75" s="91">
        <v>0</v>
      </c>
      <c r="F75" s="91">
        <v>0</v>
      </c>
      <c r="G75" t="str">
        <f>_xlfn.XLOOKUP($A75,Map!$A:$A,Map!C:C)</f>
        <v>BS</v>
      </c>
      <c r="H75" t="str">
        <f>_xlfn.XLOOKUP($A75,Map!$A:$A,Map!D:D)</f>
        <v>Current Assets</v>
      </c>
      <c r="I75" t="str">
        <f>_xlfn.XLOOKUP($A75,Map!$A:$A,Map!E:E)</f>
        <v>Inventories</v>
      </c>
      <c r="J75" t="str">
        <f>_xlfn.XLOOKUP($A75,Map!$A:$A,Map!F:F)</f>
        <v>Raw materials - Inventory</v>
      </c>
    </row>
    <row r="76" spans="1:10" x14ac:dyDescent="0.25">
      <c r="A76" s="90">
        <v>180009</v>
      </c>
      <c r="B76" s="90" t="s">
        <v>68</v>
      </c>
      <c r="C76" s="91">
        <v>0</v>
      </c>
      <c r="D76" s="91">
        <v>4366308</v>
      </c>
      <c r="E76" s="91">
        <v>4366308</v>
      </c>
      <c r="F76" s="91">
        <v>0</v>
      </c>
      <c r="G76" t="str">
        <f>_xlfn.XLOOKUP($A76,Map!$A:$A,Map!C:C)</f>
        <v>BS</v>
      </c>
      <c r="H76" t="str">
        <f>_xlfn.XLOOKUP($A76,Map!$A:$A,Map!D:D)</f>
        <v>Current Assets</v>
      </c>
      <c r="I76" t="str">
        <f>_xlfn.XLOOKUP($A76,Map!$A:$A,Map!E:E)</f>
        <v>Inventories</v>
      </c>
      <c r="J76" t="str">
        <f>_xlfn.XLOOKUP($A76,Map!$A:$A,Map!F:F)</f>
        <v>Raw materials - Inventory</v>
      </c>
    </row>
    <row r="77" spans="1:10" x14ac:dyDescent="0.25">
      <c r="A77" s="90">
        <v>180010</v>
      </c>
      <c r="B77" s="90" t="s">
        <v>69</v>
      </c>
      <c r="C77" s="91">
        <v>2205127.1439999999</v>
      </c>
      <c r="D77" s="91">
        <v>13932308.767999999</v>
      </c>
      <c r="E77" s="91">
        <v>12561091.141000001</v>
      </c>
      <c r="F77" s="91">
        <v>3576344.7710000002</v>
      </c>
      <c r="G77" t="str">
        <f>_xlfn.XLOOKUP($A77,Map!$A:$A,Map!C:C)</f>
        <v>BS</v>
      </c>
      <c r="H77" t="str">
        <f>_xlfn.XLOOKUP($A77,Map!$A:$A,Map!D:D)</f>
        <v>Current Assets</v>
      </c>
      <c r="I77" t="str">
        <f>_xlfn.XLOOKUP($A77,Map!$A:$A,Map!E:E)</f>
        <v>Inventories</v>
      </c>
      <c r="J77" t="str">
        <f>_xlfn.XLOOKUP($A77,Map!$A:$A,Map!F:F)</f>
        <v>Packaging materials - Inventory</v>
      </c>
    </row>
    <row r="78" spans="1:10" x14ac:dyDescent="0.25">
      <c r="A78" s="90">
        <v>180011</v>
      </c>
      <c r="B78" s="90" t="s">
        <v>70</v>
      </c>
      <c r="C78" s="91">
        <v>9655616.7899999991</v>
      </c>
      <c r="D78" s="91">
        <v>117019406.237</v>
      </c>
      <c r="E78" s="91">
        <v>117190478.344</v>
      </c>
      <c r="F78" s="91">
        <v>9484544.6830000002</v>
      </c>
      <c r="G78" t="str">
        <f>_xlfn.XLOOKUP($A78,Map!$A:$A,Map!C:C)</f>
        <v>BS</v>
      </c>
      <c r="H78" t="str">
        <f>_xlfn.XLOOKUP($A78,Map!$A:$A,Map!D:D)</f>
        <v>Current Assets</v>
      </c>
      <c r="I78" t="str">
        <f>_xlfn.XLOOKUP($A78,Map!$A:$A,Map!E:E)</f>
        <v>Inventories</v>
      </c>
      <c r="J78" t="str">
        <f>_xlfn.XLOOKUP($A78,Map!$A:$A,Map!F:F)</f>
        <v>Finished goods - Inventory</v>
      </c>
    </row>
    <row r="79" spans="1:10" x14ac:dyDescent="0.25">
      <c r="A79" s="90">
        <v>180012</v>
      </c>
      <c r="B79" s="90" t="s">
        <v>71</v>
      </c>
      <c r="C79" s="91">
        <v>1499189.071</v>
      </c>
      <c r="D79" s="91">
        <v>152313706.01899999</v>
      </c>
      <c r="E79" s="91">
        <v>149723705.49200001</v>
      </c>
      <c r="F79" s="91">
        <v>4089189.5980000002</v>
      </c>
      <c r="G79" t="str">
        <f>_xlfn.XLOOKUP($A79,Map!$A:$A,Map!C:C)</f>
        <v>BS</v>
      </c>
      <c r="H79" t="str">
        <f>_xlfn.XLOOKUP($A79,Map!$A:$A,Map!D:D)</f>
        <v>Current Assets</v>
      </c>
      <c r="I79" t="str">
        <f>_xlfn.XLOOKUP($A79,Map!$A:$A,Map!E:E)</f>
        <v>Inventories</v>
      </c>
      <c r="J79" t="str">
        <f>_xlfn.XLOOKUP($A79,Map!$A:$A,Map!F:F)</f>
        <v>Work in progress - Inventory</v>
      </c>
    </row>
    <row r="80" spans="1:10" x14ac:dyDescent="0.25">
      <c r="A80" s="90">
        <v>180013</v>
      </c>
      <c r="B80" s="90" t="s">
        <v>72</v>
      </c>
      <c r="C80" s="91">
        <v>4851116.2259999998</v>
      </c>
      <c r="D80" s="91">
        <v>212233248.31</v>
      </c>
      <c r="E80" s="91">
        <v>215305350.789</v>
      </c>
      <c r="F80" s="91">
        <v>1779013.747</v>
      </c>
      <c r="G80" t="str">
        <f>_xlfn.XLOOKUP($A80,Map!$A:$A,Map!C:C)</f>
        <v>BS</v>
      </c>
      <c r="H80" t="str">
        <f>_xlfn.XLOOKUP($A80,Map!$A:$A,Map!D:D)</f>
        <v>Current Assets</v>
      </c>
      <c r="I80" t="str">
        <f>_xlfn.XLOOKUP($A80,Map!$A:$A,Map!E:E)</f>
        <v>Inventories</v>
      </c>
      <c r="J80" t="str">
        <f>_xlfn.XLOOKUP($A80,Map!$A:$A,Map!F:F)</f>
        <v>Finished goods - Inventory</v>
      </c>
    </row>
    <row r="81" spans="1:10" x14ac:dyDescent="0.25">
      <c r="A81" s="90">
        <v>180014</v>
      </c>
      <c r="B81" s="90" t="s">
        <v>73</v>
      </c>
      <c r="C81" s="91">
        <v>0</v>
      </c>
      <c r="D81" s="91">
        <v>247258177.66999999</v>
      </c>
      <c r="E81" s="91">
        <v>246787416.73699999</v>
      </c>
      <c r="F81" s="91">
        <v>470760.93300000002</v>
      </c>
      <c r="G81" t="str">
        <f>_xlfn.XLOOKUP($A81,Map!$A:$A,Map!C:C)</f>
        <v>BS</v>
      </c>
      <c r="H81" t="str">
        <f>_xlfn.XLOOKUP($A81,Map!$A:$A,Map!D:D)</f>
        <v>Current Assets</v>
      </c>
      <c r="I81" t="str">
        <f>_xlfn.XLOOKUP($A81,Map!$A:$A,Map!E:E)</f>
        <v>Inventories</v>
      </c>
      <c r="J81" t="str">
        <f>_xlfn.XLOOKUP($A81,Map!$A:$A,Map!F:F)</f>
        <v>Work in progress - Inventory</v>
      </c>
    </row>
    <row r="82" spans="1:10" x14ac:dyDescent="0.25">
      <c r="A82" s="90">
        <v>180096</v>
      </c>
      <c r="B82" s="90" t="s">
        <v>74</v>
      </c>
      <c r="C82" s="91">
        <v>0</v>
      </c>
      <c r="D82" s="91">
        <v>114105982.545</v>
      </c>
      <c r="E82" s="91">
        <v>114105982.545</v>
      </c>
      <c r="F82" s="91">
        <v>0</v>
      </c>
      <c r="G82" t="str">
        <f>_xlfn.XLOOKUP($A82,Map!$A:$A,Map!C:C)</f>
        <v>BS</v>
      </c>
      <c r="H82" t="str">
        <f>_xlfn.XLOOKUP($A82,Map!$A:$A,Map!D:D)</f>
        <v>Current Assets</v>
      </c>
      <c r="I82" t="str">
        <f>_xlfn.XLOOKUP($A82,Map!$A:$A,Map!E:E)</f>
        <v>Inventories</v>
      </c>
      <c r="J82" t="str">
        <f>_xlfn.XLOOKUP($A82,Map!$A:$A,Map!F:F)</f>
        <v>Work in progress - Inventory</v>
      </c>
    </row>
    <row r="83" spans="1:10" x14ac:dyDescent="0.25">
      <c r="A83" s="90">
        <v>180097</v>
      </c>
      <c r="B83" s="90" t="s">
        <v>75</v>
      </c>
      <c r="C83" s="91">
        <v>0</v>
      </c>
      <c r="D83" s="91">
        <v>32150.924999999999</v>
      </c>
      <c r="E83" s="91">
        <v>26100</v>
      </c>
      <c r="F83" s="91">
        <v>6050.9250000000002</v>
      </c>
      <c r="G83" t="str">
        <f>_xlfn.XLOOKUP($A83,Map!$A:$A,Map!C:C)</f>
        <v>BS</v>
      </c>
      <c r="H83" t="str">
        <f>_xlfn.XLOOKUP($A83,Map!$A:$A,Map!D:D)</f>
        <v>Current Assets</v>
      </c>
      <c r="I83" t="str">
        <f>_xlfn.XLOOKUP($A83,Map!$A:$A,Map!E:E)</f>
        <v>Inventories</v>
      </c>
      <c r="J83" t="str">
        <f>_xlfn.XLOOKUP($A83,Map!$A:$A,Map!F:F)</f>
        <v>Work in progress - Inventory</v>
      </c>
    </row>
    <row r="84" spans="1:10" x14ac:dyDescent="0.25">
      <c r="A84" s="90">
        <v>180098</v>
      </c>
      <c r="B84" s="90" t="s">
        <v>76</v>
      </c>
      <c r="C84" s="91">
        <v>1E-3</v>
      </c>
      <c r="D84" s="91">
        <v>2954389.4870000002</v>
      </c>
      <c r="E84" s="91">
        <v>2954390.3960000002</v>
      </c>
      <c r="F84" s="91">
        <v>-0.90800000000000003</v>
      </c>
      <c r="G84" t="str">
        <f>_xlfn.XLOOKUP($A84,Map!$A:$A,Map!C:C)</f>
        <v>BS</v>
      </c>
      <c r="H84" t="str">
        <f>_xlfn.XLOOKUP($A84,Map!$A:$A,Map!D:D)</f>
        <v>Current Assets</v>
      </c>
      <c r="I84" t="str">
        <f>_xlfn.XLOOKUP($A84,Map!$A:$A,Map!E:E)</f>
        <v>Inventories</v>
      </c>
      <c r="J84" t="str">
        <f>_xlfn.XLOOKUP($A84,Map!$A:$A,Map!F:F)</f>
        <v>Work in progress - Inventory</v>
      </c>
    </row>
    <row r="85" spans="1:10" x14ac:dyDescent="0.25">
      <c r="A85" s="90">
        <v>180099</v>
      </c>
      <c r="B85" s="90" t="s">
        <v>77</v>
      </c>
      <c r="C85" s="91">
        <v>0</v>
      </c>
      <c r="D85" s="91">
        <v>16338748.596999999</v>
      </c>
      <c r="E85" s="91">
        <v>1072828.8119999999</v>
      </c>
      <c r="F85" s="91">
        <v>15265919.785</v>
      </c>
      <c r="G85" t="str">
        <f>_xlfn.XLOOKUP($A85,Map!$A:$A,Map!C:C)</f>
        <v>BS</v>
      </c>
      <c r="H85" t="str">
        <f>_xlfn.XLOOKUP($A85,Map!$A:$A,Map!D:D)</f>
        <v>Current Assets</v>
      </c>
      <c r="I85" t="str">
        <f>_xlfn.XLOOKUP($A85,Map!$A:$A,Map!E:E)</f>
        <v>Inventories</v>
      </c>
      <c r="J85" t="str">
        <f>_xlfn.XLOOKUP($A85,Map!$A:$A,Map!F:F)</f>
        <v>Goods in transit - Inventory</v>
      </c>
    </row>
    <row r="86" spans="1:10" x14ac:dyDescent="0.25">
      <c r="A86" s="90">
        <v>210001</v>
      </c>
      <c r="B86" s="90" t="s">
        <v>78</v>
      </c>
      <c r="C86" s="91">
        <v>712562.22699999996</v>
      </c>
      <c r="D86" s="91">
        <v>145951948.81600001</v>
      </c>
      <c r="E86" s="91">
        <v>139646643.502</v>
      </c>
      <c r="F86" s="91">
        <v>7017867.5410000002</v>
      </c>
      <c r="G86" t="str">
        <f>_xlfn.XLOOKUP($A86,Map!$A:$A,Map!C:C)</f>
        <v>BS</v>
      </c>
      <c r="H86" t="str">
        <f>_xlfn.XLOOKUP($A86,Map!$A:$A,Map!D:D)</f>
        <v>Current Liabilities</v>
      </c>
      <c r="I86" t="str">
        <f>_xlfn.XLOOKUP($A86,Map!$A:$A,Map!E:E)</f>
        <v>Tade payables and Accuals &amp; other credit balances</v>
      </c>
      <c r="J86" t="str">
        <f>_xlfn.XLOOKUP($A86,Map!$A:$A,Map!F:F)</f>
        <v>Trade payables - Foreign</v>
      </c>
    </row>
    <row r="87" spans="1:10" x14ac:dyDescent="0.25">
      <c r="A87" s="90">
        <v>210002</v>
      </c>
      <c r="B87" s="90" t="s">
        <v>79</v>
      </c>
      <c r="C87" s="91">
        <v>-2233341.199</v>
      </c>
      <c r="D87" s="91">
        <v>141671712.991</v>
      </c>
      <c r="E87" s="91">
        <v>145387996.669</v>
      </c>
      <c r="F87" s="91">
        <v>-5949624.8770000003</v>
      </c>
      <c r="G87" t="str">
        <f>_xlfn.XLOOKUP($A87,Map!$A:$A,Map!C:C)</f>
        <v>BS</v>
      </c>
      <c r="H87" t="str">
        <f>_xlfn.XLOOKUP($A87,Map!$A:$A,Map!D:D)</f>
        <v>Current Liabilities</v>
      </c>
      <c r="I87" t="str">
        <f>_xlfn.XLOOKUP($A87,Map!$A:$A,Map!E:E)</f>
        <v>Tade payables and Accuals &amp; other credit balances</v>
      </c>
      <c r="J87" t="str">
        <f>_xlfn.XLOOKUP($A87,Map!$A:$A,Map!F:F)</f>
        <v>Trade payables - Local</v>
      </c>
    </row>
    <row r="88" spans="1:10" x14ac:dyDescent="0.25">
      <c r="A88" s="90">
        <v>220001</v>
      </c>
      <c r="B88" s="90" t="s">
        <v>80</v>
      </c>
      <c r="C88" s="91">
        <v>0</v>
      </c>
      <c r="D88" s="91">
        <v>0</v>
      </c>
      <c r="E88" s="91">
        <v>0</v>
      </c>
      <c r="F88" s="91">
        <v>0</v>
      </c>
      <c r="G88" t="str">
        <f>_xlfn.XLOOKUP($A88,Map!$A:$A,Map!C:C)</f>
        <v>BS</v>
      </c>
      <c r="H88" t="str">
        <f>_xlfn.XLOOKUP($A88,Map!$A:$A,Map!D:D)</f>
        <v>Current Liabilities</v>
      </c>
      <c r="I88" t="str">
        <f>_xlfn.XLOOKUP($A88,Map!$A:$A,Map!E:E)</f>
        <v>Short-term Murabaha loans</v>
      </c>
      <c r="J88" t="str">
        <f>_xlfn.XLOOKUP($A88,Map!$A:$A,Map!F:F)</f>
        <v>Other loans - current</v>
      </c>
    </row>
    <row r="89" spans="1:10" x14ac:dyDescent="0.25">
      <c r="A89" s="90">
        <v>220002</v>
      </c>
      <c r="B89" s="90" t="s">
        <v>81</v>
      </c>
      <c r="C89" s="91">
        <v>0</v>
      </c>
      <c r="D89" s="91">
        <v>0</v>
      </c>
      <c r="E89" s="91">
        <v>0</v>
      </c>
      <c r="F89" s="91">
        <v>0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Short-term Murabaha loans</v>
      </c>
      <c r="J89" t="str">
        <f>_xlfn.XLOOKUP($A89,Map!$A:$A,Map!F:F)</f>
        <v>Other loans - current</v>
      </c>
    </row>
    <row r="90" spans="1:10" x14ac:dyDescent="0.25">
      <c r="A90" s="90">
        <v>220003</v>
      </c>
      <c r="B90" s="90" t="s">
        <v>82</v>
      </c>
      <c r="C90" s="91">
        <v>0</v>
      </c>
      <c r="D90" s="91">
        <v>0</v>
      </c>
      <c r="E90" s="91">
        <v>0</v>
      </c>
      <c r="F90" s="91">
        <v>0</v>
      </c>
      <c r="G90" t="str">
        <f>_xlfn.XLOOKUP($A90,Map!$A:$A,Map!C:C)</f>
        <v>BS</v>
      </c>
      <c r="H90" t="str">
        <f>_xlfn.XLOOKUP($A90,Map!$A:$A,Map!D:D)</f>
        <v>Current Liabilities</v>
      </c>
      <c r="I90" t="str">
        <f>_xlfn.XLOOKUP($A90,Map!$A:$A,Map!E:E)</f>
        <v>Short-term Murabaha loans</v>
      </c>
      <c r="J90" t="str">
        <f>_xlfn.XLOOKUP($A90,Map!$A:$A,Map!F:F)</f>
        <v>Other loans - current</v>
      </c>
    </row>
    <row r="91" spans="1:10" x14ac:dyDescent="0.25">
      <c r="A91" s="90">
        <v>220004</v>
      </c>
      <c r="B91" s="90" t="s">
        <v>83</v>
      </c>
      <c r="C91" s="91">
        <v>-25134408.640000001</v>
      </c>
      <c r="D91" s="91">
        <v>29286971.329999998</v>
      </c>
      <c r="E91" s="91">
        <v>4152562.69</v>
      </c>
      <c r="F91" s="91">
        <v>0</v>
      </c>
      <c r="G91" t="str">
        <f>_xlfn.XLOOKUP($A91,Map!$A:$A,Map!C:C)</f>
        <v>BS</v>
      </c>
      <c r="H91" t="str">
        <f>_xlfn.XLOOKUP($A91,Map!$A:$A,Map!D:D)</f>
        <v>Current Liabilities</v>
      </c>
      <c r="I91" t="str">
        <f>_xlfn.XLOOKUP($A91,Map!$A:$A,Map!E:E)</f>
        <v>Short-term Murabaha loans</v>
      </c>
      <c r="J91" t="str">
        <f>_xlfn.XLOOKUP($A91,Map!$A:$A,Map!F:F)</f>
        <v>Other loans - current</v>
      </c>
    </row>
    <row r="92" spans="1:10" x14ac:dyDescent="0.25">
      <c r="A92" s="90">
        <v>220005</v>
      </c>
      <c r="B92" s="90" t="s">
        <v>84</v>
      </c>
      <c r="C92" s="91">
        <v>-5385922.5</v>
      </c>
      <c r="D92" s="91">
        <v>14112339.75</v>
      </c>
      <c r="E92" s="91">
        <v>83001078.187000006</v>
      </c>
      <c r="F92" s="91">
        <v>-74274660.937000006</v>
      </c>
      <c r="G92" t="str">
        <f>_xlfn.XLOOKUP($A92,Map!$A:$A,Map!C:C)</f>
        <v>BS</v>
      </c>
      <c r="H92" t="str">
        <f>_xlfn.XLOOKUP($A92,Map!$A:$A,Map!D:D)</f>
        <v>Current Liabilities</v>
      </c>
      <c r="I92" t="str">
        <f>_xlfn.XLOOKUP($A92,Map!$A:$A,Map!E:E)</f>
        <v>Short-term Murabaha loans</v>
      </c>
      <c r="J92" t="str">
        <f>_xlfn.XLOOKUP($A92,Map!$A:$A,Map!F:F)</f>
        <v>Other loans - current</v>
      </c>
    </row>
    <row r="93" spans="1:10" x14ac:dyDescent="0.25">
      <c r="A93" s="90">
        <v>220006</v>
      </c>
      <c r="B93" s="90" t="s">
        <v>85</v>
      </c>
      <c r="C93" s="91">
        <v>-55545535.424000002</v>
      </c>
      <c r="D93" s="91">
        <v>55545535.417000003</v>
      </c>
      <c r="E93" s="91">
        <v>39496505.277999997</v>
      </c>
      <c r="F93" s="91">
        <v>-39496505.284999996</v>
      </c>
      <c r="G93" t="str">
        <f>_xlfn.XLOOKUP($A93,Map!$A:$A,Map!C:C)</f>
        <v>BS</v>
      </c>
      <c r="H93" t="str">
        <f>_xlfn.XLOOKUP($A93,Map!$A:$A,Map!D:D)</f>
        <v>Current Liabilities</v>
      </c>
      <c r="I93" t="str">
        <f>_xlfn.XLOOKUP($A93,Map!$A:$A,Map!E:E)</f>
        <v>Short-term Murabaha loans</v>
      </c>
      <c r="J93" t="str">
        <f>_xlfn.XLOOKUP($A93,Map!$A:$A,Map!F:F)</f>
        <v>Other loans - current</v>
      </c>
    </row>
    <row r="94" spans="1:10" x14ac:dyDescent="0.25">
      <c r="A94" s="90">
        <v>220007</v>
      </c>
      <c r="B94" s="90" t="s">
        <v>249</v>
      </c>
      <c r="C94" s="91">
        <v>0</v>
      </c>
      <c r="D94" s="91">
        <v>16020991.939999999</v>
      </c>
      <c r="E94" s="91">
        <v>16020991.938999999</v>
      </c>
      <c r="F94" s="91">
        <v>1E-3</v>
      </c>
      <c r="G94" t="str">
        <f>_xlfn.XLOOKUP($A94,Map!$A:$A,Map!C:C)</f>
        <v>BS</v>
      </c>
      <c r="H94" t="str">
        <f>_xlfn.XLOOKUP($A94,Map!$A:$A,Map!D:D)</f>
        <v>Current Liabilities</v>
      </c>
      <c r="I94" t="str">
        <f>_xlfn.XLOOKUP($A94,Map!$A:$A,Map!E:E)</f>
        <v>Short-term Murabaha loans</v>
      </c>
      <c r="J94" t="str">
        <f>_xlfn.XLOOKUP($A94,Map!$A:$A,Map!F:F)</f>
        <v>Other loans - current</v>
      </c>
    </row>
    <row r="95" spans="1:10" x14ac:dyDescent="0.25">
      <c r="A95" s="90">
        <v>230001</v>
      </c>
      <c r="B95" s="90" t="s">
        <v>86</v>
      </c>
      <c r="C95" s="91">
        <v>0</v>
      </c>
      <c r="D95" s="91">
        <v>126164995.493</v>
      </c>
      <c r="E95" s="91">
        <v>126164995.493</v>
      </c>
      <c r="F95" s="91">
        <v>0</v>
      </c>
      <c r="G95" t="str">
        <f>_xlfn.XLOOKUP($A95,Map!$A:$A,Map!C:C)</f>
        <v>BS</v>
      </c>
      <c r="H95" t="str">
        <f>_xlfn.XLOOKUP($A95,Map!$A:$A,Map!D:D)</f>
        <v>Current Liabilities</v>
      </c>
      <c r="I95" t="str">
        <f>_xlfn.XLOOKUP($A95,Map!$A:$A,Map!E:E)</f>
        <v>Tade payables and Accuals &amp; other credit balances</v>
      </c>
      <c r="J95" t="str">
        <f>_xlfn.XLOOKUP($A95,Map!$A:$A,Map!F:F)</f>
        <v>Clearing account</v>
      </c>
    </row>
    <row r="96" spans="1:10" x14ac:dyDescent="0.25">
      <c r="A96" s="90">
        <v>240001</v>
      </c>
      <c r="B96" s="90" t="s">
        <v>87</v>
      </c>
      <c r="C96" s="91">
        <v>67499.61</v>
      </c>
      <c r="D96" s="91">
        <v>6242750.6869999999</v>
      </c>
      <c r="E96" s="91">
        <v>6206681.7719999999</v>
      </c>
      <c r="F96" s="91">
        <v>103568.52499999999</v>
      </c>
      <c r="G96" t="str">
        <f>_xlfn.XLOOKUP($A96,Map!$A:$A,Map!C:C)</f>
        <v>BS</v>
      </c>
      <c r="H96" t="str">
        <f>_xlfn.XLOOKUP($A96,Map!$A:$A,Map!D:D)</f>
        <v>Current Liabilities</v>
      </c>
      <c r="I96" t="str">
        <f>_xlfn.XLOOKUP($A96,Map!$A:$A,Map!E:E)</f>
        <v>Tade payables and Accuals &amp; other credit balances</v>
      </c>
      <c r="J96" t="str">
        <f>_xlfn.XLOOKUP($A96,Map!$A:$A,Map!F:F)</f>
        <v>Overhead</v>
      </c>
    </row>
    <row r="97" spans="1:10" x14ac:dyDescent="0.25">
      <c r="A97" s="90">
        <v>240002</v>
      </c>
      <c r="B97" s="90" t="s">
        <v>88</v>
      </c>
      <c r="C97" s="91">
        <v>0</v>
      </c>
      <c r="D97" s="91">
        <v>443</v>
      </c>
      <c r="E97" s="91">
        <v>0</v>
      </c>
      <c r="F97" s="91">
        <v>443</v>
      </c>
      <c r="G97" t="str">
        <f>_xlfn.XLOOKUP($A97,Map!$A:$A,Map!C:C)</f>
        <v>BS</v>
      </c>
      <c r="H97" t="str">
        <f>_xlfn.XLOOKUP($A97,Map!$A:$A,Map!D:D)</f>
        <v>Current Liabilities</v>
      </c>
      <c r="I97" t="str">
        <f>_xlfn.XLOOKUP($A97,Map!$A:$A,Map!E:E)</f>
        <v>Tade payables and Accuals &amp; other credit balances</v>
      </c>
      <c r="J97" t="str">
        <f>_xlfn.XLOOKUP($A97,Map!$A:$A,Map!F:F)</f>
        <v>Landed Cost - Customs</v>
      </c>
    </row>
    <row r="98" spans="1:10" x14ac:dyDescent="0.25">
      <c r="A98" s="90">
        <v>240003</v>
      </c>
      <c r="B98" s="90" t="s">
        <v>89</v>
      </c>
      <c r="C98" s="91">
        <v>-1505845.0689999999</v>
      </c>
      <c r="D98" s="91">
        <v>150714</v>
      </c>
      <c r="E98" s="91">
        <v>44700</v>
      </c>
      <c r="F98" s="91">
        <v>-1399831.0689999999</v>
      </c>
      <c r="G98" t="str">
        <f>_xlfn.XLOOKUP($A98,Map!$A:$A,Map!C:C)</f>
        <v>BS</v>
      </c>
      <c r="H98" t="str">
        <f>_xlfn.XLOOKUP($A98,Map!$A:$A,Map!D:D)</f>
        <v>Non-Current Liabilities</v>
      </c>
      <c r="I98" t="str">
        <f>_xlfn.XLOOKUP($A98,Map!$A:$A,Map!E:E)</f>
        <v xml:space="preserve">Lease liabilities non-current </v>
      </c>
      <c r="J98" t="str">
        <f>_xlfn.XLOOKUP($A98,Map!$A:$A,Map!F:F)</f>
        <v xml:space="preserve"> Lease Obligation</v>
      </c>
    </row>
    <row r="99" spans="1:10" x14ac:dyDescent="0.25">
      <c r="A99" s="90">
        <v>250001</v>
      </c>
      <c r="B99" s="90" t="s">
        <v>90</v>
      </c>
      <c r="C99" s="91">
        <v>0</v>
      </c>
      <c r="D99" s="91">
        <v>16066147</v>
      </c>
      <c r="E99" s="91">
        <v>16117824</v>
      </c>
      <c r="F99" s="91">
        <v>-51677</v>
      </c>
      <c r="G99" t="str">
        <f>_xlfn.XLOOKUP($A99,Map!$A:$A,Map!C:C)</f>
        <v>BS</v>
      </c>
      <c r="H99" t="str">
        <f>_xlfn.XLOOKUP($A99,Map!$A:$A,Map!D:D)</f>
        <v>Current Liabilities</v>
      </c>
      <c r="I99" t="str">
        <f>_xlfn.XLOOKUP($A99,Map!$A:$A,Map!E:E)</f>
        <v>Tade payables and Accuals &amp; other credit balances</v>
      </c>
      <c r="J99" t="str">
        <f>_xlfn.XLOOKUP($A99,Map!$A:$A,Map!F:F)</f>
        <v>Accrued salaries and wages</v>
      </c>
    </row>
    <row r="100" spans="1:10" x14ac:dyDescent="0.25">
      <c r="A100" s="90">
        <v>250002</v>
      </c>
      <c r="B100" s="90" t="s">
        <v>91</v>
      </c>
      <c r="C100" s="91">
        <v>0</v>
      </c>
      <c r="D100" s="91">
        <v>0</v>
      </c>
      <c r="E100" s="91">
        <v>0</v>
      </c>
      <c r="F100" s="91">
        <v>0</v>
      </c>
      <c r="G100" t="str">
        <f>_xlfn.XLOOKUP($A100,Map!$A:$A,Map!C:C)</f>
        <v>BS</v>
      </c>
      <c r="H100" t="str">
        <f>_xlfn.XLOOKUP($A100,Map!$A:$A,Map!D:D)</f>
        <v>Current Liabilities</v>
      </c>
      <c r="I100" t="str">
        <f>_xlfn.XLOOKUP($A100,Map!$A:$A,Map!E:E)</f>
        <v>Tade payables and Accuals &amp; other credit balances</v>
      </c>
      <c r="J100" t="str">
        <f>_xlfn.XLOOKUP($A100,Map!$A:$A,Map!F:F)</f>
        <v>Accrued utilities</v>
      </c>
    </row>
    <row r="101" spans="1:10" x14ac:dyDescent="0.25">
      <c r="A101" s="90">
        <v>250003</v>
      </c>
      <c r="B101" s="90" t="s">
        <v>92</v>
      </c>
      <c r="C101" s="91">
        <v>-968047.97</v>
      </c>
      <c r="D101" s="91">
        <v>977609.01</v>
      </c>
      <c r="E101" s="91">
        <v>9561.0400000000009</v>
      </c>
      <c r="F101" s="91">
        <v>0</v>
      </c>
      <c r="G101" t="str">
        <f>_xlfn.XLOOKUP($A101,Map!$A:$A,Map!C:C)</f>
        <v>BS</v>
      </c>
      <c r="H101" t="str">
        <f>_xlfn.XLOOKUP($A101,Map!$A:$A,Map!D:D)</f>
        <v>Current Liabilities</v>
      </c>
      <c r="I101" t="str">
        <f>_xlfn.XLOOKUP($A101,Map!$A:$A,Map!E:E)</f>
        <v>Zakat provision</v>
      </c>
      <c r="J101" t="str">
        <f>_xlfn.XLOOKUP($A101,Map!$A:$A,Map!F:F)</f>
        <v>Zakat provision</v>
      </c>
    </row>
    <row r="102" spans="1:10" x14ac:dyDescent="0.25">
      <c r="A102" s="90">
        <v>250004</v>
      </c>
      <c r="B102" s="90" t="s">
        <v>93</v>
      </c>
      <c r="C102" s="91">
        <v>0</v>
      </c>
      <c r="D102" s="91">
        <v>184800</v>
      </c>
      <c r="E102" s="91">
        <v>184800</v>
      </c>
      <c r="F102" s="91">
        <v>0</v>
      </c>
      <c r="G102" t="str">
        <f>_xlfn.XLOOKUP($A102,Map!$A:$A,Map!C:C)</f>
        <v>BS</v>
      </c>
      <c r="H102" t="str">
        <f>_xlfn.XLOOKUP($A102,Map!$A:$A,Map!D:D)</f>
        <v>Current Liabilities</v>
      </c>
      <c r="I102" t="str">
        <f>_xlfn.XLOOKUP($A102,Map!$A:$A,Map!E:E)</f>
        <v>Tade payables and Accuals &amp; other credit balances</v>
      </c>
      <c r="J102" t="str">
        <f>_xlfn.XLOOKUP($A102,Map!$A:$A,Map!F:F)</f>
        <v>Accrued bonus</v>
      </c>
    </row>
    <row r="103" spans="1:10" x14ac:dyDescent="0.25">
      <c r="A103" s="90">
        <v>250005</v>
      </c>
      <c r="B103" s="90" t="s">
        <v>94</v>
      </c>
      <c r="C103" s="91">
        <v>0</v>
      </c>
      <c r="D103" s="91">
        <v>542571.647</v>
      </c>
      <c r="E103" s="91">
        <v>972958.59100000001</v>
      </c>
      <c r="F103" s="91">
        <v>-430386.94400000002</v>
      </c>
      <c r="G103" t="str">
        <f>_xlfn.XLOOKUP($A103,Map!$A:$A,Map!C:C)</f>
        <v>BS</v>
      </c>
      <c r="H103" t="str">
        <f>_xlfn.XLOOKUP($A103,Map!$A:$A,Map!D:D)</f>
        <v>Current Liabilities</v>
      </c>
      <c r="I103" t="str">
        <f>_xlfn.XLOOKUP($A103,Map!$A:$A,Map!E:E)</f>
        <v>Tade payables and Accuals &amp; other credit balances</v>
      </c>
      <c r="J103" t="str">
        <f>_xlfn.XLOOKUP($A103,Map!$A:$A,Map!F:F)</f>
        <v>Accrued expenses</v>
      </c>
    </row>
    <row r="104" spans="1:10" x14ac:dyDescent="0.25">
      <c r="A104" s="90">
        <v>250006</v>
      </c>
      <c r="B104" s="90" t="s">
        <v>95</v>
      </c>
      <c r="C104" s="91">
        <v>0</v>
      </c>
      <c r="D104" s="91">
        <v>0</v>
      </c>
      <c r="E104" s="91">
        <v>0</v>
      </c>
      <c r="F104" s="91">
        <v>0</v>
      </c>
      <c r="G104" t="str">
        <f>_xlfn.XLOOKUP($A104,Map!$A:$A,Map!C:C)</f>
        <v>BS</v>
      </c>
      <c r="H104" t="str">
        <f>_xlfn.XLOOKUP($A104,Map!$A:$A,Map!D:D)</f>
        <v>Current Liabilities</v>
      </c>
      <c r="I104" t="str">
        <f>_xlfn.XLOOKUP($A104,Map!$A:$A,Map!E:E)</f>
        <v>Tade payables and Accuals &amp; other credit balances</v>
      </c>
      <c r="J104" t="str">
        <f>_xlfn.XLOOKUP($A104,Map!$A:$A,Map!F:F)</f>
        <v>Accrued leave</v>
      </c>
    </row>
    <row r="105" spans="1:10" x14ac:dyDescent="0.25">
      <c r="A105" s="90">
        <v>260001</v>
      </c>
      <c r="B105" s="90" t="s">
        <v>96</v>
      </c>
      <c r="C105" s="91">
        <v>-7846137</v>
      </c>
      <c r="D105" s="91">
        <v>0</v>
      </c>
      <c r="E105" s="91">
        <v>0</v>
      </c>
      <c r="F105" s="91">
        <v>-7846137</v>
      </c>
      <c r="G105" t="str">
        <f>_xlfn.XLOOKUP($A105,Map!$A:$A,Map!C:C)</f>
        <v>BS</v>
      </c>
      <c r="H105" t="str">
        <f>_xlfn.XLOOKUP($A105,Map!$A:$A,Map!D:D)</f>
        <v>Stockholder's equity</v>
      </c>
      <c r="I105" t="str">
        <f>_xlfn.XLOOKUP($A105,Map!$A:$A,Map!E:E)</f>
        <v>Statutory reserve</v>
      </c>
      <c r="J105" t="str">
        <f>_xlfn.XLOOKUP($A105,Map!$A:$A,Map!F:F)</f>
        <v>Statutory reserve</v>
      </c>
    </row>
    <row r="106" spans="1:10" x14ac:dyDescent="0.25">
      <c r="A106" s="90">
        <v>260002</v>
      </c>
      <c r="B106" s="90" t="s">
        <v>97</v>
      </c>
      <c r="C106" s="91">
        <v>-8171258.3200000003</v>
      </c>
      <c r="D106" s="91">
        <v>6344276.4000000004</v>
      </c>
      <c r="E106" s="91">
        <v>1582969</v>
      </c>
      <c r="F106" s="91">
        <v>-3409950.92</v>
      </c>
      <c r="G106" t="str">
        <f>_xlfn.XLOOKUP($A106,Map!$A:$A,Map!C:C)</f>
        <v>BS</v>
      </c>
      <c r="H106" t="str">
        <f>_xlfn.XLOOKUP($A106,Map!$A:$A,Map!D:D)</f>
        <v>Non-Current Liabilities</v>
      </c>
      <c r="I106" t="str">
        <f>_xlfn.XLOOKUP($A106,Map!$A:$A,Map!E:E)</f>
        <v xml:space="preserve">End-of-service indemnities </v>
      </c>
      <c r="J106" t="str">
        <f>_xlfn.XLOOKUP($A106,Map!$A:$A,Map!F:F)</f>
        <v xml:space="preserve">End-of-service indemnities </v>
      </c>
    </row>
    <row r="107" spans="1:10" x14ac:dyDescent="0.25">
      <c r="A107" s="90">
        <v>260003</v>
      </c>
      <c r="B107" s="90" t="s">
        <v>98</v>
      </c>
      <c r="C107" s="91">
        <v>-12488537.438999999</v>
      </c>
      <c r="D107" s="91">
        <v>5839898.5800000001</v>
      </c>
      <c r="E107" s="91">
        <v>720000</v>
      </c>
      <c r="F107" s="91">
        <v>-7368638.8590000002</v>
      </c>
      <c r="G107" t="str">
        <f>_xlfn.XLOOKUP($A107,Map!$A:$A,Map!C:C)</f>
        <v>BS</v>
      </c>
      <c r="H107" t="str">
        <f>_xlfn.XLOOKUP($A107,Map!$A:$A,Map!D:D)</f>
        <v>Current Assets</v>
      </c>
      <c r="I107" t="str">
        <f>_xlfn.XLOOKUP($A107,Map!$A:$A,Map!E:E)</f>
        <v>Trade receivables</v>
      </c>
      <c r="J107" t="str">
        <f>_xlfn.XLOOKUP($A107,Map!$A:$A,Map!F:F)</f>
        <v>Provisions</v>
      </c>
    </row>
    <row r="108" spans="1:10" x14ac:dyDescent="0.25">
      <c r="A108" s="90">
        <v>260004</v>
      </c>
      <c r="B108" s="90" t="s">
        <v>99</v>
      </c>
      <c r="C108" s="91">
        <v>0</v>
      </c>
      <c r="D108" s="91">
        <v>33334</v>
      </c>
      <c r="E108" s="91">
        <v>33334</v>
      </c>
      <c r="F108" s="91">
        <v>0</v>
      </c>
      <c r="G108" t="str">
        <f>_xlfn.XLOOKUP($A108,Map!$A:$A,Map!C:C)</f>
        <v>BS</v>
      </c>
      <c r="H108" t="str">
        <f>_xlfn.XLOOKUP($A108,Map!$A:$A,Map!D:D)</f>
        <v>Current Assets</v>
      </c>
      <c r="I108" t="str">
        <f>_xlfn.XLOOKUP($A108,Map!$A:$A,Map!E:E)</f>
        <v>Inventories</v>
      </c>
      <c r="J108" t="str">
        <f>_xlfn.XLOOKUP($A108,Map!$A:$A,Map!F:F)</f>
        <v>Allowance for slow moving/obsolete inventories - Inventory</v>
      </c>
    </row>
    <row r="109" spans="1:10" x14ac:dyDescent="0.25">
      <c r="A109" s="90">
        <v>260005</v>
      </c>
      <c r="B109" s="90" t="s">
        <v>100</v>
      </c>
      <c r="C109" s="91">
        <v>-4698371.7089999998</v>
      </c>
      <c r="D109" s="91">
        <v>0</v>
      </c>
      <c r="E109" s="91">
        <v>109284.12</v>
      </c>
      <c r="F109" s="91">
        <v>-4807655.8289999999</v>
      </c>
      <c r="G109" t="str">
        <f>_xlfn.XLOOKUP($A109,Map!$A:$A,Map!C:C)</f>
        <v>BS</v>
      </c>
      <c r="H109" t="str">
        <f>_xlfn.XLOOKUP($A109,Map!$A:$A,Map!D:D)</f>
        <v>Non-Current Liabilities</v>
      </c>
      <c r="I109" t="str">
        <f>_xlfn.XLOOKUP($A109,Map!$A:$A,Map!E:E)</f>
        <v>Provision for evacuation</v>
      </c>
      <c r="J109" t="str">
        <f>_xlfn.XLOOKUP($A109,Map!$A:$A,Map!F:F)</f>
        <v>Provision for evacuation</v>
      </c>
    </row>
    <row r="110" spans="1:10" x14ac:dyDescent="0.25">
      <c r="A110" s="90">
        <v>260006</v>
      </c>
      <c r="B110" s="90" t="s">
        <v>250</v>
      </c>
      <c r="C110" s="91">
        <v>0</v>
      </c>
      <c r="D110" s="91">
        <v>245767.62700000001</v>
      </c>
      <c r="E110" s="91">
        <v>785401.68599999999</v>
      </c>
      <c r="F110" s="91">
        <v>-539634.05900000001</v>
      </c>
      <c r="G110" t="str">
        <f>_xlfn.XLOOKUP($A110,Map!$A:$A,Map!C:C)</f>
        <v>BS</v>
      </c>
      <c r="H110" t="str">
        <f>_xlfn.XLOOKUP($A110,Map!$A:$A,Map!D:D)</f>
        <v>Current Liabilities</v>
      </c>
      <c r="I110" t="str">
        <f>_xlfn.XLOOKUP($A110,Map!$A:$A,Map!E:E)</f>
        <v>Tade payables and Accuals &amp; other credit balances</v>
      </c>
      <c r="J110" t="str">
        <f>_xlfn.XLOOKUP($A110,Map!$A:$A,Map!F:F)</f>
        <v>Accrued leave</v>
      </c>
    </row>
    <row r="111" spans="1:10" x14ac:dyDescent="0.25">
      <c r="A111" s="90">
        <v>270001</v>
      </c>
      <c r="B111" s="90" t="s">
        <v>101</v>
      </c>
      <c r="C111" s="91">
        <v>-3776163</v>
      </c>
      <c r="D111" s="91">
        <v>4598127.72</v>
      </c>
      <c r="E111" s="91">
        <v>8231729.5099999998</v>
      </c>
      <c r="F111" s="91">
        <v>-7409764.79</v>
      </c>
      <c r="G111" t="str">
        <f>_xlfn.XLOOKUP($A111,Map!$A:$A,Map!C:C)</f>
        <v>BS</v>
      </c>
      <c r="H111" t="str">
        <f>_xlfn.XLOOKUP($A111,Map!$A:$A,Map!D:D)</f>
        <v>Non-Current Liabilities</v>
      </c>
      <c r="I111" t="str">
        <f>_xlfn.XLOOKUP($A111,Map!$A:$A,Map!E:E)</f>
        <v xml:space="preserve">Due to related parties </v>
      </c>
      <c r="J111" t="str">
        <f>_xlfn.XLOOKUP($A111,Map!$A:$A,Map!F:F)</f>
        <v>Aims Holding  Current Acc</v>
      </c>
    </row>
    <row r="112" spans="1:10" x14ac:dyDescent="0.25">
      <c r="A112" s="90">
        <v>270002</v>
      </c>
      <c r="B112" s="90" t="s">
        <v>102</v>
      </c>
      <c r="C112" s="91">
        <v>0</v>
      </c>
      <c r="D112" s="91">
        <v>13266829.759</v>
      </c>
      <c r="E112" s="91">
        <v>13266829.761</v>
      </c>
      <c r="F112" s="91">
        <v>-2E-3</v>
      </c>
      <c r="G112" t="str">
        <f>_xlfn.XLOOKUP($A112,Map!$A:$A,Map!C:C)</f>
        <v>BS</v>
      </c>
      <c r="H112" t="str">
        <f>_xlfn.XLOOKUP($A112,Map!$A:$A,Map!D:D)</f>
        <v>Current Liabilities</v>
      </c>
      <c r="I112" t="str">
        <f>_xlfn.XLOOKUP($A112,Map!$A:$A,Map!E:E)</f>
        <v>Tade payables and Accuals &amp; other credit balances</v>
      </c>
      <c r="J112" t="str">
        <f>_xlfn.XLOOKUP($A112,Map!$A:$A,Map!F:F)</f>
        <v>VAT payables</v>
      </c>
    </row>
    <row r="113" spans="1:10" x14ac:dyDescent="0.25">
      <c r="A113" s="90">
        <v>270003</v>
      </c>
      <c r="B113" s="90" t="s">
        <v>103</v>
      </c>
      <c r="C113" s="91">
        <v>0</v>
      </c>
      <c r="D113" s="91">
        <v>6372622.9270000001</v>
      </c>
      <c r="E113" s="91">
        <v>6372622.9270000001</v>
      </c>
      <c r="F113" s="91">
        <v>0</v>
      </c>
      <c r="G113" t="str">
        <f>_xlfn.XLOOKUP($A113,Map!$A:$A,Map!C:C)</f>
        <v>BS</v>
      </c>
      <c r="H113" t="str">
        <f>_xlfn.XLOOKUP($A113,Map!$A:$A,Map!D:D)</f>
        <v>Current Liabilities</v>
      </c>
      <c r="I113" t="str">
        <f>_xlfn.XLOOKUP($A113,Map!$A:$A,Map!E:E)</f>
        <v>Tade payables and Accuals &amp; other credit balances</v>
      </c>
      <c r="J113" t="str">
        <f>_xlfn.XLOOKUP($A113,Map!$A:$A,Map!F:F)</f>
        <v>VAT payables</v>
      </c>
    </row>
    <row r="114" spans="1:10" x14ac:dyDescent="0.25">
      <c r="A114" s="90">
        <v>270004</v>
      </c>
      <c r="B114" s="90" t="s">
        <v>104</v>
      </c>
      <c r="C114" s="91">
        <v>-1065153.22</v>
      </c>
      <c r="D114" s="91">
        <v>11142523.32</v>
      </c>
      <c r="E114" s="91">
        <v>11126371.249</v>
      </c>
      <c r="F114" s="91">
        <v>-1049001.149</v>
      </c>
      <c r="G114" t="str">
        <f>_xlfn.XLOOKUP($A114,Map!$A:$A,Map!C:C)</f>
        <v>BS</v>
      </c>
      <c r="H114" t="str">
        <f>_xlfn.XLOOKUP($A114,Map!$A:$A,Map!D:D)</f>
        <v>Current Liabilities</v>
      </c>
      <c r="I114" t="str">
        <f>_xlfn.XLOOKUP($A114,Map!$A:$A,Map!E:E)</f>
        <v>Tade payables and Accuals &amp; other credit balances</v>
      </c>
      <c r="J114" t="str">
        <f>_xlfn.XLOOKUP($A114,Map!$A:$A,Map!F:F)</f>
        <v>VAT payables</v>
      </c>
    </row>
    <row r="115" spans="1:10" x14ac:dyDescent="0.25">
      <c r="A115" s="90">
        <v>270005</v>
      </c>
      <c r="B115" s="90" t="s">
        <v>105</v>
      </c>
      <c r="C115" s="91">
        <v>20699522.736000001</v>
      </c>
      <c r="D115" s="91">
        <v>39193215.579999998</v>
      </c>
      <c r="E115" s="91">
        <v>68586906.856999993</v>
      </c>
      <c r="F115" s="91">
        <v>-8694168.5409999993</v>
      </c>
      <c r="G115" t="str">
        <f>_xlfn.XLOOKUP($A115,Map!$A:$A,Map!C:C)</f>
        <v>BS</v>
      </c>
      <c r="H115" t="str">
        <f>_xlfn.XLOOKUP($A115,Map!$A:$A,Map!D:D)</f>
        <v>Non-Current Liabilities</v>
      </c>
      <c r="I115" t="str">
        <f>_xlfn.XLOOKUP($A115,Map!$A:$A,Map!E:E)</f>
        <v xml:space="preserve">Due to related parties </v>
      </c>
      <c r="J115" t="str">
        <f>_xlfn.XLOOKUP($A115,Map!$A:$A,Map!F:F)</f>
        <v>Vision Horzon Indestrial Company</v>
      </c>
    </row>
    <row r="116" spans="1:10" x14ac:dyDescent="0.25">
      <c r="A116" s="90">
        <v>310001</v>
      </c>
      <c r="B116" s="90" t="s">
        <v>106</v>
      </c>
      <c r="C116" s="91">
        <v>11873132.367000001</v>
      </c>
      <c r="D116" s="91">
        <v>0</v>
      </c>
      <c r="E116" s="91">
        <v>0</v>
      </c>
      <c r="F116" s="91">
        <v>11873132.367000001</v>
      </c>
      <c r="G116" t="str">
        <f>_xlfn.XLOOKUP($A116,Map!$A:$A,Map!C:C)</f>
        <v>BS</v>
      </c>
      <c r="H116" t="str">
        <f>_xlfn.XLOOKUP($A116,Map!$A:$A,Map!D:D)</f>
        <v>Stockholder's equity</v>
      </c>
      <c r="I116" t="str">
        <f>_xlfn.XLOOKUP($A116,Map!$A:$A,Map!E:E)</f>
        <v>Retained earnings</v>
      </c>
      <c r="J116" t="str">
        <f>_xlfn.XLOOKUP($A116,Map!$A:$A,Map!F:F)</f>
        <v>Retained earnings</v>
      </c>
    </row>
    <row r="117" spans="1:10" x14ac:dyDescent="0.25">
      <c r="A117" s="90">
        <v>330001</v>
      </c>
      <c r="B117" s="90" t="s">
        <v>107</v>
      </c>
      <c r="C117" s="91">
        <v>0</v>
      </c>
      <c r="D117" s="91">
        <v>0</v>
      </c>
      <c r="E117" s="91">
        <v>0</v>
      </c>
      <c r="F117" s="91">
        <v>0</v>
      </c>
      <c r="G117" t="str">
        <f>_xlfn.XLOOKUP($A117,Map!$A:$A,Map!C:C)</f>
        <v>BS</v>
      </c>
      <c r="H117" t="str">
        <f>_xlfn.XLOOKUP($A117,Map!$A:$A,Map!D:D)</f>
        <v>Stockholder's equity</v>
      </c>
      <c r="I117" t="str">
        <f>_xlfn.XLOOKUP($A117,Map!$A:$A,Map!E:E)</f>
        <v>Retained earnings</v>
      </c>
      <c r="J117" t="str">
        <f>_xlfn.XLOOKUP($A117,Map!$A:$A,Map!F:F)</f>
        <v>Retained earnings</v>
      </c>
    </row>
    <row r="118" spans="1:10" x14ac:dyDescent="0.25">
      <c r="A118" s="90">
        <v>330002</v>
      </c>
      <c r="B118" s="90" t="s">
        <v>108</v>
      </c>
      <c r="C118" s="91">
        <v>-35335000</v>
      </c>
      <c r="D118" s="91">
        <v>0</v>
      </c>
      <c r="E118" s="91">
        <v>0</v>
      </c>
      <c r="F118" s="91">
        <v>-35335000</v>
      </c>
      <c r="G118" t="str">
        <f>_xlfn.XLOOKUP($A118,Map!$A:$A,Map!C:C)</f>
        <v>BS</v>
      </c>
      <c r="H118" t="str">
        <f>_xlfn.XLOOKUP($A118,Map!$A:$A,Map!D:D)</f>
        <v>Stockholder's equity</v>
      </c>
      <c r="I118" t="str">
        <f>_xlfn.XLOOKUP($A118,Map!$A:$A,Map!E:E)</f>
        <v>Share capital</v>
      </c>
      <c r="J118" t="str">
        <f>_xlfn.XLOOKUP($A118,Map!$A:$A,Map!F:F)</f>
        <v>Share capital</v>
      </c>
    </row>
    <row r="119" spans="1:10" x14ac:dyDescent="0.25">
      <c r="A119" s="90">
        <v>330003</v>
      </c>
      <c r="B119" s="90" t="s">
        <v>109</v>
      </c>
      <c r="C119" s="91">
        <v>-102255315.01000001</v>
      </c>
      <c r="D119" s="91">
        <v>0</v>
      </c>
      <c r="E119" s="91">
        <v>0</v>
      </c>
      <c r="F119" s="91">
        <v>-102255315.01000001</v>
      </c>
      <c r="G119" t="str">
        <f>_xlfn.XLOOKUP($A119,Map!$A:$A,Map!C:C)</f>
        <v>BS</v>
      </c>
      <c r="H119" t="str">
        <f>_xlfn.XLOOKUP($A119,Map!$A:$A,Map!D:D)</f>
        <v>Stockholder's equity</v>
      </c>
      <c r="I119" t="str">
        <f>_xlfn.XLOOKUP($A119,Map!$A:$A,Map!E:E)</f>
        <v>Additional contribution from shareholders</v>
      </c>
      <c r="J119" t="str">
        <f>_xlfn.XLOOKUP($A119,Map!$A:$A,Map!F:F)</f>
        <v>Additional contribution from shareholders</v>
      </c>
    </row>
    <row r="120" spans="1:10" x14ac:dyDescent="0.25">
      <c r="A120" s="90">
        <v>410001</v>
      </c>
      <c r="B120" s="90" t="s">
        <v>110</v>
      </c>
      <c r="C120" s="91">
        <v>0</v>
      </c>
      <c r="D120" s="91">
        <v>1895843.9339999999</v>
      </c>
      <c r="E120" s="91">
        <v>136627554.634</v>
      </c>
      <c r="F120" s="91">
        <v>-134731710.69999999</v>
      </c>
      <c r="G120" t="str">
        <f>_xlfn.XLOOKUP($A120,Map!$A:$A,Map!C:C)</f>
        <v>IS</v>
      </c>
      <c r="H120" t="str">
        <f>_xlfn.XLOOKUP($A120,Map!$A:$A,Map!D:D)</f>
        <v>Sales</v>
      </c>
      <c r="I120" t="str">
        <f>_xlfn.XLOOKUP($A120,Map!$A:$A,Map!E:E)</f>
        <v>Sales</v>
      </c>
      <c r="J120" t="str">
        <f>_xlfn.XLOOKUP($A120,Map!$A:$A,Map!F:F)</f>
        <v>Trading revenue</v>
      </c>
    </row>
    <row r="121" spans="1:10" x14ac:dyDescent="0.25">
      <c r="A121" s="90">
        <v>410002</v>
      </c>
      <c r="B121" s="90" t="s">
        <v>111</v>
      </c>
      <c r="C121" s="91">
        <v>0</v>
      </c>
      <c r="D121" s="91">
        <v>1022606.873</v>
      </c>
      <c r="E121" s="91">
        <v>38730.713000000003</v>
      </c>
      <c r="F121" s="91">
        <v>983876.16</v>
      </c>
      <c r="G121" t="str">
        <f>_xlfn.XLOOKUP($A121,Map!$A:$A,Map!C:C)</f>
        <v>IS</v>
      </c>
      <c r="H121" t="str">
        <f>_xlfn.XLOOKUP($A121,Map!$A:$A,Map!D:D)</f>
        <v>Sales</v>
      </c>
      <c r="I121" t="str">
        <f>_xlfn.XLOOKUP($A121,Map!$A:$A,Map!E:E)</f>
        <v>Sales</v>
      </c>
      <c r="J121" t="str">
        <f>_xlfn.XLOOKUP($A121,Map!$A:$A,Map!F:F)</f>
        <v>Trading revenue</v>
      </c>
    </row>
    <row r="122" spans="1:10" x14ac:dyDescent="0.25">
      <c r="A122" s="90">
        <v>410003</v>
      </c>
      <c r="B122" s="90" t="s">
        <v>112</v>
      </c>
      <c r="C122" s="91">
        <v>0</v>
      </c>
      <c r="D122" s="91">
        <v>110476.394</v>
      </c>
      <c r="E122" s="91">
        <v>0</v>
      </c>
      <c r="F122" s="91">
        <v>110476.394</v>
      </c>
      <c r="G122" t="str">
        <f>_xlfn.XLOOKUP($A122,Map!$A:$A,Map!C:C)</f>
        <v>IS</v>
      </c>
      <c r="H122" t="str">
        <f>_xlfn.XLOOKUP($A122,Map!$A:$A,Map!D:D)</f>
        <v>Sales</v>
      </c>
      <c r="I122" t="str">
        <f>_xlfn.XLOOKUP($A122,Map!$A:$A,Map!E:E)</f>
        <v>Sales</v>
      </c>
      <c r="J122" t="str">
        <f>_xlfn.XLOOKUP($A122,Map!$A:$A,Map!F:F)</f>
        <v>Trading revenue</v>
      </c>
    </row>
    <row r="123" spans="1:10" x14ac:dyDescent="0.25">
      <c r="A123" s="90">
        <v>410004</v>
      </c>
      <c r="B123" s="90" t="s">
        <v>113</v>
      </c>
      <c r="C123" s="91">
        <v>0</v>
      </c>
      <c r="D123" s="91">
        <v>8684.4560000000001</v>
      </c>
      <c r="E123" s="91">
        <v>2020244.925</v>
      </c>
      <c r="F123" s="91">
        <v>-2011560.469</v>
      </c>
      <c r="G123" t="str">
        <f>_xlfn.XLOOKUP($A123,Map!$A:$A,Map!C:C)</f>
        <v>IS</v>
      </c>
      <c r="H123" t="str">
        <f>_xlfn.XLOOKUP($A123,Map!$A:$A,Map!D:D)</f>
        <v>Sales</v>
      </c>
      <c r="I123" t="str">
        <f>_xlfn.XLOOKUP($A123,Map!$A:$A,Map!E:E)</f>
        <v>Sales</v>
      </c>
      <c r="J123" t="str">
        <f>_xlfn.XLOOKUP($A123,Map!$A:$A,Map!F:F)</f>
        <v>Scrap sales</v>
      </c>
    </row>
    <row r="124" spans="1:10" x14ac:dyDescent="0.25">
      <c r="A124" s="90">
        <v>420001</v>
      </c>
      <c r="B124" s="90" t="s">
        <v>114</v>
      </c>
      <c r="C124" s="91">
        <v>0</v>
      </c>
      <c r="D124" s="91">
        <v>0</v>
      </c>
      <c r="E124" s="91">
        <v>0</v>
      </c>
      <c r="F124" s="91">
        <v>0</v>
      </c>
      <c r="G124" t="str">
        <f>_xlfn.XLOOKUP($A124,Map!$A:$A,Map!C:C)</f>
        <v>IS</v>
      </c>
      <c r="H124" t="str">
        <f>_xlfn.XLOOKUP($A124,Map!$A:$A,Map!D:D)</f>
        <v>Sales</v>
      </c>
      <c r="I124" t="str">
        <f>_xlfn.XLOOKUP($A124,Map!$A:$A,Map!E:E)</f>
        <v>Sales</v>
      </c>
      <c r="J124" t="str">
        <f>_xlfn.XLOOKUP($A124,Map!$A:$A,Map!F:F)</f>
        <v>Other income</v>
      </c>
    </row>
    <row r="125" spans="1:10" x14ac:dyDescent="0.25">
      <c r="A125" s="90">
        <v>420002</v>
      </c>
      <c r="B125" s="90" t="s">
        <v>251</v>
      </c>
      <c r="C125" s="91">
        <v>0</v>
      </c>
      <c r="D125" s="91">
        <v>0</v>
      </c>
      <c r="E125" s="91">
        <v>30434.782999999999</v>
      </c>
      <c r="F125" s="91">
        <v>-30434.782999999999</v>
      </c>
      <c r="G125" t="str">
        <f>_xlfn.XLOOKUP($A125,Map!$A:$A,Map!C:C)</f>
        <v>IS</v>
      </c>
      <c r="H125" t="str">
        <f>_xlfn.XLOOKUP($A125,Map!$A:$A,Map!D:D)</f>
        <v>Sales</v>
      </c>
      <c r="I125" t="str">
        <f>_xlfn.XLOOKUP($A125,Map!$A:$A,Map!E:E)</f>
        <v>Sales</v>
      </c>
      <c r="J125" t="str">
        <f>_xlfn.XLOOKUP($A125,Map!$A:$A,Map!F:F)</f>
        <v xml:space="preserve"> Gain/Loss On Sale Of FA</v>
      </c>
    </row>
    <row r="126" spans="1:10" x14ac:dyDescent="0.25">
      <c r="A126" s="90">
        <v>420003</v>
      </c>
      <c r="B126" s="90" t="s">
        <v>115</v>
      </c>
      <c r="C126" s="91">
        <v>0</v>
      </c>
      <c r="D126" s="91">
        <v>4.0000000000000001E-3</v>
      </c>
      <c r="E126" s="91">
        <v>8.0000000000000002E-3</v>
      </c>
      <c r="F126" s="91">
        <v>-4.0000000000000001E-3</v>
      </c>
      <c r="G126" t="str">
        <f>_xlfn.XLOOKUP($A126,Map!$A:$A,Map!C:C)</f>
        <v>IS</v>
      </c>
      <c r="H126" t="str">
        <f>_xlfn.XLOOKUP($A126,Map!$A:$A,Map!D:D)</f>
        <v>Sales</v>
      </c>
      <c r="I126" t="str">
        <f>_xlfn.XLOOKUP($A126,Map!$A:$A,Map!E:E)</f>
        <v>Sales</v>
      </c>
      <c r="J126" t="str">
        <f>_xlfn.XLOOKUP($A126,Map!$A:$A,Map!F:F)</f>
        <v>Scrap sales</v>
      </c>
    </row>
    <row r="127" spans="1:10" x14ac:dyDescent="0.25">
      <c r="A127" s="90">
        <v>510001</v>
      </c>
      <c r="B127" s="90" t="s">
        <v>116</v>
      </c>
      <c r="C127" s="91">
        <v>0</v>
      </c>
      <c r="D127" s="91">
        <v>118908897.002</v>
      </c>
      <c r="E127" s="91">
        <v>5398634.0980000002</v>
      </c>
      <c r="F127" s="91">
        <v>113510262.904</v>
      </c>
      <c r="G127" t="str">
        <f>_xlfn.XLOOKUP($A127,Map!$A:$A,Map!C:C)</f>
        <v>IS</v>
      </c>
      <c r="H127" t="str">
        <f>_xlfn.XLOOKUP($A127,Map!$A:$A,Map!D:D)</f>
        <v>Cost of sales</v>
      </c>
      <c r="I127" t="str">
        <f>_xlfn.XLOOKUP($A127,Map!$A:$A,Map!E:E)</f>
        <v>Raw materials</v>
      </c>
      <c r="J127" t="str">
        <f>_xlfn.XLOOKUP($A127,Map!$A:$A,Map!F:F)</f>
        <v>Raw materials</v>
      </c>
    </row>
    <row r="128" spans="1:10" x14ac:dyDescent="0.25">
      <c r="A128" s="90">
        <v>510002</v>
      </c>
      <c r="B128" s="90" t="s">
        <v>117</v>
      </c>
      <c r="C128" s="91">
        <v>0</v>
      </c>
      <c r="D128" s="91">
        <v>347.95</v>
      </c>
      <c r="E128" s="91">
        <v>0</v>
      </c>
      <c r="F128" s="91">
        <v>347.95</v>
      </c>
      <c r="G128" t="str">
        <f>_xlfn.XLOOKUP($A128,Map!$A:$A,Map!C:C)</f>
        <v>IS</v>
      </c>
      <c r="H128" t="str">
        <f>_xlfn.XLOOKUP($A128,Map!$A:$A,Map!D:D)</f>
        <v>Cost of sales</v>
      </c>
      <c r="I128" t="str">
        <f>_xlfn.XLOOKUP($A128,Map!$A:$A,Map!E:E)</f>
        <v>Direct Labor</v>
      </c>
      <c r="J128" t="str">
        <f>_xlfn.XLOOKUP($A128,Map!$A:$A,Map!F:F)</f>
        <v>Direct Labor</v>
      </c>
    </row>
    <row r="129" spans="1:10" x14ac:dyDescent="0.25">
      <c r="A129" s="90">
        <v>510003</v>
      </c>
      <c r="B129" s="90" t="s">
        <v>118</v>
      </c>
      <c r="C129" s="91">
        <v>0</v>
      </c>
      <c r="D129" s="91">
        <v>4044260.557</v>
      </c>
      <c r="E129" s="91">
        <v>248425.55</v>
      </c>
      <c r="F129" s="91">
        <v>3795835.0070000002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Raw materials</v>
      </c>
      <c r="J129" t="str">
        <f>_xlfn.XLOOKUP($A129,Map!$A:$A,Map!F:F)</f>
        <v>Raw materials</v>
      </c>
    </row>
    <row r="130" spans="1:10" x14ac:dyDescent="0.25">
      <c r="A130" s="90">
        <v>510004</v>
      </c>
      <c r="B130" s="90" t="s">
        <v>119</v>
      </c>
      <c r="C130" s="91">
        <v>0</v>
      </c>
      <c r="D130" s="91">
        <v>6655666.9929999998</v>
      </c>
      <c r="E130" s="91">
        <v>6655666.9950000001</v>
      </c>
      <c r="F130" s="91">
        <v>-2E-3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Raw materials</v>
      </c>
      <c r="J130" t="str">
        <f>_xlfn.XLOOKUP($A130,Map!$A:$A,Map!F:F)</f>
        <v>Other expenses</v>
      </c>
    </row>
    <row r="131" spans="1:10" x14ac:dyDescent="0.25">
      <c r="A131" s="90">
        <v>510005</v>
      </c>
      <c r="B131" s="90" t="s">
        <v>120</v>
      </c>
      <c r="C131" s="91">
        <v>0</v>
      </c>
      <c r="D131" s="91">
        <v>0</v>
      </c>
      <c r="E131" s="91">
        <v>0</v>
      </c>
      <c r="F131" s="91">
        <v>0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Raw materials</v>
      </c>
      <c r="J131" t="str">
        <f>_xlfn.XLOOKUP($A131,Map!$A:$A,Map!F:F)</f>
        <v>Other expenses</v>
      </c>
    </row>
    <row r="132" spans="1:10" x14ac:dyDescent="0.25">
      <c r="A132" s="90">
        <v>520001</v>
      </c>
      <c r="B132" s="90" t="s">
        <v>121</v>
      </c>
      <c r="C132" s="91">
        <v>0</v>
      </c>
      <c r="D132" s="91">
        <v>4870407.82</v>
      </c>
      <c r="E132" s="91">
        <v>0</v>
      </c>
      <c r="F132" s="4">
        <v>4870407.82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Direct Labor</v>
      </c>
      <c r="J132" t="str">
        <f>_xlfn.XLOOKUP($A132,Map!$A:$A,Map!F:F)</f>
        <v>Salaries and wages</v>
      </c>
    </row>
    <row r="133" spans="1:10" x14ac:dyDescent="0.25">
      <c r="A133" s="90">
        <v>520002</v>
      </c>
      <c r="B133" s="90" t="s">
        <v>122</v>
      </c>
      <c r="C133" s="91">
        <v>0</v>
      </c>
      <c r="D133" s="91">
        <v>0</v>
      </c>
      <c r="E133" s="91">
        <v>0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Direct Labor</v>
      </c>
      <c r="J133" t="str">
        <f>_xlfn.XLOOKUP($A133,Map!$A:$A,Map!F:F)</f>
        <v>Overtime pay</v>
      </c>
    </row>
    <row r="134" spans="1:10" x14ac:dyDescent="0.25">
      <c r="A134" s="90">
        <v>520003</v>
      </c>
      <c r="B134" s="90" t="s">
        <v>123</v>
      </c>
      <c r="C134" s="91">
        <v>0</v>
      </c>
      <c r="D134" s="91">
        <v>199348.16899999999</v>
      </c>
      <c r="E134" s="91">
        <v>89067.168999999994</v>
      </c>
      <c r="F134" s="91">
        <v>110281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Direct Labor</v>
      </c>
      <c r="J134" t="str">
        <f>_xlfn.XLOOKUP($A134,Map!$A:$A,Map!F:F)</f>
        <v>Transportation allowance</v>
      </c>
    </row>
    <row r="135" spans="1:10" x14ac:dyDescent="0.25">
      <c r="A135" s="90">
        <v>520004</v>
      </c>
      <c r="B135" s="90" t="s">
        <v>124</v>
      </c>
      <c r="C135" s="91">
        <v>0</v>
      </c>
      <c r="D135" s="91">
        <v>0</v>
      </c>
      <c r="E135" s="91">
        <v>0</v>
      </c>
      <c r="F135" s="91">
        <v>0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Direct Labor</v>
      </c>
      <c r="J135" t="str">
        <f>_xlfn.XLOOKUP($A135,Map!$A:$A,Map!F:F)</f>
        <v>Food and housing</v>
      </c>
    </row>
    <row r="136" spans="1:10" x14ac:dyDescent="0.25">
      <c r="A136" s="90">
        <v>520005</v>
      </c>
      <c r="B136" s="90" t="s">
        <v>125</v>
      </c>
      <c r="C136" s="91">
        <v>0</v>
      </c>
      <c r="D136" s="91">
        <v>0</v>
      </c>
      <c r="E136" s="91">
        <v>0</v>
      </c>
      <c r="F136" s="91">
        <v>0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Direct Labor</v>
      </c>
      <c r="J136" t="str">
        <f>_xlfn.XLOOKUP($A136,Map!$A:$A,Map!F:F)</f>
        <v>Leave pay</v>
      </c>
    </row>
    <row r="137" spans="1:10" x14ac:dyDescent="0.25">
      <c r="A137" s="90">
        <v>520006</v>
      </c>
      <c r="B137" s="90" t="s">
        <v>126</v>
      </c>
      <c r="C137" s="91">
        <v>0</v>
      </c>
      <c r="D137" s="91">
        <v>174982.03400000001</v>
      </c>
      <c r="E137" s="91">
        <v>0</v>
      </c>
      <c r="F137" s="91">
        <v>174982.03400000001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Direct Labor</v>
      </c>
      <c r="J137" t="str">
        <f>_xlfn.XLOOKUP($A137,Map!$A:$A,Map!F:F)</f>
        <v>Medical insurance</v>
      </c>
    </row>
    <row r="138" spans="1:10" x14ac:dyDescent="0.25">
      <c r="A138" s="90">
        <v>520010</v>
      </c>
      <c r="B138" s="90" t="s">
        <v>127</v>
      </c>
      <c r="C138" s="91">
        <v>0</v>
      </c>
      <c r="D138" s="91">
        <v>0</v>
      </c>
      <c r="E138" s="91">
        <v>0</v>
      </c>
      <c r="F138" s="91">
        <v>0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Direct Labor</v>
      </c>
      <c r="J138" t="str">
        <f>_xlfn.XLOOKUP($A138,Map!$A:$A,Map!F:F)</f>
        <v>Salaries and wages</v>
      </c>
    </row>
    <row r="139" spans="1:10" x14ac:dyDescent="0.25">
      <c r="A139" s="90">
        <v>520011</v>
      </c>
      <c r="B139" s="90" t="s">
        <v>122</v>
      </c>
      <c r="C139" s="91">
        <v>0</v>
      </c>
      <c r="D139" s="91">
        <v>0</v>
      </c>
      <c r="E139" s="91">
        <v>0</v>
      </c>
      <c r="F139" s="91">
        <v>0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Direct Labor</v>
      </c>
      <c r="J139" t="str">
        <f>_xlfn.XLOOKUP($A139,Map!$A:$A,Map!F:F)</f>
        <v>Overtime pay</v>
      </c>
    </row>
    <row r="140" spans="1:10" x14ac:dyDescent="0.25">
      <c r="A140" s="90">
        <v>520013</v>
      </c>
      <c r="B140" s="90" t="s">
        <v>124</v>
      </c>
      <c r="C140" s="91">
        <v>0</v>
      </c>
      <c r="D140" s="91">
        <v>0</v>
      </c>
      <c r="E140" s="91">
        <v>0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Direct Labor</v>
      </c>
      <c r="J140" t="str">
        <f>_xlfn.XLOOKUP($A140,Map!$A:$A,Map!F:F)</f>
        <v>Food and housing</v>
      </c>
    </row>
    <row r="141" spans="1:10" x14ac:dyDescent="0.25">
      <c r="A141" s="90">
        <v>520014</v>
      </c>
      <c r="B141" s="90" t="s">
        <v>125</v>
      </c>
      <c r="C141" s="91">
        <v>0</v>
      </c>
      <c r="D141" s="91">
        <v>0</v>
      </c>
      <c r="E141" s="91">
        <v>0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Direct Labor</v>
      </c>
      <c r="J141" t="str">
        <f>_xlfn.XLOOKUP($A141,Map!$A:$A,Map!F:F)</f>
        <v>Leave pay</v>
      </c>
    </row>
    <row r="142" spans="1:10" x14ac:dyDescent="0.25">
      <c r="A142" s="90">
        <v>520015</v>
      </c>
      <c r="B142" s="90" t="s">
        <v>128</v>
      </c>
      <c r="C142" s="91">
        <v>0</v>
      </c>
      <c r="D142" s="91">
        <v>186576</v>
      </c>
      <c r="E142" s="91">
        <v>0</v>
      </c>
      <c r="F142" s="91">
        <v>186576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Direct Labor</v>
      </c>
      <c r="J142" t="str">
        <f>_xlfn.XLOOKUP($A142,Map!$A:$A,Map!F:F)</f>
        <v>Food and housing</v>
      </c>
    </row>
    <row r="143" spans="1:10" x14ac:dyDescent="0.25">
      <c r="A143" s="90">
        <v>520021</v>
      </c>
      <c r="B143" s="90" t="s">
        <v>129</v>
      </c>
      <c r="C143" s="91">
        <v>0</v>
      </c>
      <c r="D143" s="91">
        <v>0</v>
      </c>
      <c r="E143" s="91">
        <v>0</v>
      </c>
      <c r="F143" s="91">
        <v>0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Direct Labor</v>
      </c>
      <c r="J143" t="str">
        <f>_xlfn.XLOOKUP($A143,Map!$A:$A,Map!F:F)</f>
        <v>Medical insurance</v>
      </c>
    </row>
    <row r="144" spans="1:10" x14ac:dyDescent="0.25">
      <c r="A144" s="90">
        <v>520022</v>
      </c>
      <c r="B144" s="90" t="s">
        <v>130</v>
      </c>
      <c r="C144" s="91">
        <v>0</v>
      </c>
      <c r="D144" s="91">
        <v>0</v>
      </c>
      <c r="E144" s="91">
        <v>0</v>
      </c>
      <c r="F144" s="91">
        <v>0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Direct Labor</v>
      </c>
      <c r="J144" t="str">
        <f>_xlfn.XLOOKUP($A144,Map!$A:$A,Map!F:F)</f>
        <v>Iqama renewal</v>
      </c>
    </row>
    <row r="145" spans="1:10" x14ac:dyDescent="0.25">
      <c r="A145" s="90">
        <v>520023</v>
      </c>
      <c r="B145" s="90" t="s">
        <v>255</v>
      </c>
      <c r="C145" s="91">
        <v>0</v>
      </c>
      <c r="D145" s="91">
        <v>0</v>
      </c>
      <c r="E145" s="91">
        <v>0</v>
      </c>
      <c r="F145" s="91">
        <v>0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Direct Labor</v>
      </c>
      <c r="J145" t="str">
        <f>_xlfn.XLOOKUP($A145,Map!$A:$A,Map!F:F)</f>
        <v>Medical insurance</v>
      </c>
    </row>
    <row r="146" spans="1:10" x14ac:dyDescent="0.25">
      <c r="A146" s="90">
        <v>520032</v>
      </c>
      <c r="B146" s="90" t="s">
        <v>131</v>
      </c>
      <c r="C146" s="91">
        <v>0</v>
      </c>
      <c r="D146" s="91">
        <v>0</v>
      </c>
      <c r="E146" s="91">
        <v>0</v>
      </c>
      <c r="F146" s="91">
        <v>0</v>
      </c>
      <c r="G146" t="str">
        <f>_xlfn.XLOOKUP($A146,Map!$A:$A,Map!C:C)</f>
        <v>IS</v>
      </c>
      <c r="H146" t="str">
        <f>_xlfn.XLOOKUP($A146,Map!$A:$A,Map!D:D)</f>
        <v>Cost of sales</v>
      </c>
      <c r="I146" t="str">
        <f>_xlfn.XLOOKUP($A146,Map!$A:$A,Map!E:E)</f>
        <v>Raw materials</v>
      </c>
      <c r="J146" t="str">
        <f>_xlfn.XLOOKUP($A146,Map!$A:$A,Map!F:F)</f>
        <v>Consumables</v>
      </c>
    </row>
    <row r="147" spans="1:10" x14ac:dyDescent="0.25">
      <c r="A147" s="90">
        <v>520036</v>
      </c>
      <c r="B147" s="90" t="s">
        <v>132</v>
      </c>
      <c r="C147" s="91">
        <v>0</v>
      </c>
      <c r="D147" s="91">
        <v>5.7000000000000002E-2</v>
      </c>
      <c r="E147" s="91">
        <v>9.4E-2</v>
      </c>
      <c r="F147" s="91">
        <v>-3.6999999999999998E-2</v>
      </c>
      <c r="G147" t="str">
        <f>_xlfn.XLOOKUP($A147,Map!$A:$A,Map!C:C)</f>
        <v>IS</v>
      </c>
      <c r="H147" t="str">
        <f>_xlfn.XLOOKUP($A147,Map!$A:$A,Map!D:D)</f>
        <v>Cost of sales</v>
      </c>
      <c r="I147" t="str">
        <f>_xlfn.XLOOKUP($A147,Map!$A:$A,Map!E:E)</f>
        <v>Raw materials</v>
      </c>
      <c r="J147" t="str">
        <f>_xlfn.XLOOKUP($A147,Map!$A:$A,Map!F:F)</f>
        <v>Raw materials</v>
      </c>
    </row>
    <row r="148" spans="1:10" x14ac:dyDescent="0.25">
      <c r="A148" s="90">
        <v>520037</v>
      </c>
      <c r="B148" s="90" t="s">
        <v>133</v>
      </c>
      <c r="C148" s="91">
        <v>0</v>
      </c>
      <c r="D148" s="91">
        <v>6373521.2599999998</v>
      </c>
      <c r="E148" s="91">
        <v>5882047.9670000002</v>
      </c>
      <c r="F148" s="91">
        <v>491473.29300000001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Raw materials</v>
      </c>
      <c r="J148" t="str">
        <f>_xlfn.XLOOKUP($A148,Map!$A:$A,Map!F:F)</f>
        <v>Raw materials</v>
      </c>
    </row>
    <row r="149" spans="1:10" x14ac:dyDescent="0.25">
      <c r="A149" s="90">
        <v>520040</v>
      </c>
      <c r="B149" s="90" t="s">
        <v>134</v>
      </c>
      <c r="C149" s="91">
        <v>0</v>
      </c>
      <c r="D149" s="91">
        <v>260.18599999999998</v>
      </c>
      <c r="E149" s="91">
        <v>78364.104000000007</v>
      </c>
      <c r="F149" s="91">
        <v>-78103.918000000005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Raw materials</v>
      </c>
      <c r="J149" t="str">
        <f>_xlfn.XLOOKUP($A149,Map!$A:$A,Map!F:F)</f>
        <v>Other expenses</v>
      </c>
    </row>
    <row r="150" spans="1:10" x14ac:dyDescent="0.25">
      <c r="A150" s="90">
        <v>520041</v>
      </c>
      <c r="B150" s="90" t="s">
        <v>135</v>
      </c>
      <c r="C150" s="91">
        <v>0</v>
      </c>
      <c r="D150" s="91">
        <v>6963714.2079999996</v>
      </c>
      <c r="E150" s="91">
        <v>16573055.698000001</v>
      </c>
      <c r="F150" s="91">
        <v>-9609341.4900000002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Raw materials</v>
      </c>
      <c r="J150" t="str">
        <f>_xlfn.XLOOKUP($A150,Map!$A:$A,Map!F:F)</f>
        <v>Other expenses</v>
      </c>
    </row>
    <row r="151" spans="1:10" x14ac:dyDescent="0.25">
      <c r="A151" s="90">
        <v>520042</v>
      </c>
      <c r="B151" s="90" t="s">
        <v>136</v>
      </c>
      <c r="C151" s="91">
        <v>0</v>
      </c>
      <c r="D151" s="91">
        <v>231887502.36000001</v>
      </c>
      <c r="E151" s="91">
        <v>233060311.42199999</v>
      </c>
      <c r="F151" s="91">
        <v>-1172809.0619999999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Raw materials</v>
      </c>
      <c r="J151" t="str">
        <f>_xlfn.XLOOKUP($A151,Map!$A:$A,Map!F:F)</f>
        <v>Inventory Adjustment</v>
      </c>
    </row>
    <row r="152" spans="1:10" x14ac:dyDescent="0.25">
      <c r="A152" s="90">
        <v>600001</v>
      </c>
      <c r="B152" s="90" t="s">
        <v>137</v>
      </c>
      <c r="C152" s="91">
        <v>0</v>
      </c>
      <c r="D152" s="91">
        <v>3228313.39</v>
      </c>
      <c r="E152" s="91">
        <v>1138482.83</v>
      </c>
      <c r="F152" s="91">
        <v>2089830.56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Overhead - Labor Cost</v>
      </c>
      <c r="J152" t="str">
        <f>_xlfn.XLOOKUP($A152,Map!$A:$A,Map!F:F)</f>
        <v>Salaries and wages</v>
      </c>
    </row>
    <row r="153" spans="1:10" x14ac:dyDescent="0.25">
      <c r="A153" s="90">
        <v>600002</v>
      </c>
      <c r="B153" s="90" t="s">
        <v>138</v>
      </c>
      <c r="C153" s="91">
        <v>0</v>
      </c>
      <c r="D153" s="91">
        <v>1029</v>
      </c>
      <c r="E153" s="91">
        <v>0</v>
      </c>
      <c r="F153" s="91">
        <v>1029</v>
      </c>
      <c r="G153" t="str">
        <f>_xlfn.XLOOKUP($A153,Map!$A:$A,Map!C:C)</f>
        <v>IS</v>
      </c>
      <c r="H153" t="str">
        <f>_xlfn.XLOOKUP($A153,Map!$A:$A,Map!D:D)</f>
        <v>Cost of sales</v>
      </c>
      <c r="I153" t="str">
        <f>_xlfn.XLOOKUP($A153,Map!$A:$A,Map!E:E)</f>
        <v>Overhead - Labor Cost</v>
      </c>
      <c r="J153" t="str">
        <f>_xlfn.XLOOKUP($A153,Map!$A:$A,Map!F:F)</f>
        <v>Overtime pay</v>
      </c>
    </row>
    <row r="154" spans="1:10" x14ac:dyDescent="0.25">
      <c r="A154" s="90">
        <v>600003</v>
      </c>
      <c r="B154" s="90" t="s">
        <v>139</v>
      </c>
      <c r="C154" s="91">
        <v>0</v>
      </c>
      <c r="D154" s="91">
        <v>901369.53</v>
      </c>
      <c r="E154" s="91">
        <v>15520.001</v>
      </c>
      <c r="F154" s="91">
        <v>885849.52899999998</v>
      </c>
      <c r="G154" t="str">
        <f>_xlfn.XLOOKUP($A154,Map!$A:$A,Map!C:C)</f>
        <v>IS</v>
      </c>
      <c r="H154" t="str">
        <f>_xlfn.XLOOKUP($A154,Map!$A:$A,Map!D:D)</f>
        <v>Cost of sales</v>
      </c>
      <c r="I154" t="str">
        <f>_xlfn.XLOOKUP($A154,Map!$A:$A,Map!E:E)</f>
        <v>Overhead - Labor Cost</v>
      </c>
      <c r="J154" t="str">
        <f>_xlfn.XLOOKUP($A154,Map!$A:$A,Map!F:F)</f>
        <v xml:space="preserve">Food &amp; Housing </v>
      </c>
    </row>
    <row r="155" spans="1:10" x14ac:dyDescent="0.25">
      <c r="A155" s="90">
        <v>600004</v>
      </c>
      <c r="B155" s="90" t="s">
        <v>140</v>
      </c>
      <c r="C155" s="91">
        <v>0</v>
      </c>
      <c r="D155" s="91">
        <v>169179.22399999999</v>
      </c>
      <c r="E155" s="91">
        <v>16956</v>
      </c>
      <c r="F155" s="91">
        <v>152223.22399999999</v>
      </c>
      <c r="G155" t="str">
        <f>_xlfn.XLOOKUP($A155,Map!$A:$A,Map!C:C)</f>
        <v>IS</v>
      </c>
      <c r="H155" t="str">
        <f>_xlfn.XLOOKUP($A155,Map!$A:$A,Map!D:D)</f>
        <v>Cost of sales</v>
      </c>
      <c r="I155" t="str">
        <f>_xlfn.XLOOKUP($A155,Map!$A:$A,Map!E:E)</f>
        <v>Overhead - Labor Cost</v>
      </c>
      <c r="J155" t="str">
        <f>_xlfn.XLOOKUP($A155,Map!$A:$A,Map!F:F)</f>
        <v>Medical insurance</v>
      </c>
    </row>
    <row r="156" spans="1:10" x14ac:dyDescent="0.25">
      <c r="A156" s="90">
        <v>600005</v>
      </c>
      <c r="B156" s="90" t="s">
        <v>141</v>
      </c>
      <c r="C156" s="91">
        <v>0</v>
      </c>
      <c r="D156" s="91">
        <v>247286</v>
      </c>
      <c r="E156" s="91">
        <v>17875</v>
      </c>
      <c r="F156" s="91">
        <v>229411</v>
      </c>
      <c r="G156" t="str">
        <f>_xlfn.XLOOKUP($A156,Map!$A:$A,Map!C:C)</f>
        <v>IS</v>
      </c>
      <c r="H156" t="str">
        <f>_xlfn.XLOOKUP($A156,Map!$A:$A,Map!D:D)</f>
        <v>General and Admin</v>
      </c>
      <c r="I156" t="str">
        <f>_xlfn.XLOOKUP($A156,Map!$A:$A,Map!E:E)</f>
        <v>Govt license and fees (including modon)</v>
      </c>
      <c r="J156" t="str">
        <f>_xlfn.XLOOKUP($A156,Map!$A:$A,Map!F:F)</f>
        <v>Government fees</v>
      </c>
    </row>
    <row r="157" spans="1:10" x14ac:dyDescent="0.25">
      <c r="A157" s="90">
        <v>600006</v>
      </c>
      <c r="B157" s="90" t="s">
        <v>142</v>
      </c>
      <c r="C157" s="91">
        <v>0</v>
      </c>
      <c r="D157" s="91">
        <v>1248348.629</v>
      </c>
      <c r="E157" s="91">
        <v>99106.22</v>
      </c>
      <c r="F157" s="91">
        <v>1149242.409</v>
      </c>
      <c r="G157" t="str">
        <f>_xlfn.XLOOKUP($A157,Map!$A:$A,Map!C:C)</f>
        <v>IS</v>
      </c>
      <c r="H157" t="str">
        <f>_xlfn.XLOOKUP($A157,Map!$A:$A,Map!D:D)</f>
        <v>Cost of sales</v>
      </c>
      <c r="I157" t="str">
        <f>_xlfn.XLOOKUP($A157,Map!$A:$A,Map!E:E)</f>
        <v>Overhead - Labor Cost</v>
      </c>
      <c r="J157" t="str">
        <f>_xlfn.XLOOKUP($A157,Map!$A:$A,Map!F:F)</f>
        <v xml:space="preserve">Food &amp; Housing </v>
      </c>
    </row>
    <row r="158" spans="1:10" x14ac:dyDescent="0.25">
      <c r="A158" s="90">
        <v>600007</v>
      </c>
      <c r="B158" s="90" t="s">
        <v>143</v>
      </c>
      <c r="C158" s="91">
        <v>0</v>
      </c>
      <c r="D158" s="91">
        <v>110166</v>
      </c>
      <c r="E158" s="91">
        <v>0</v>
      </c>
      <c r="F158" s="91">
        <v>110166</v>
      </c>
      <c r="G158" t="str">
        <f>_xlfn.XLOOKUP($A158,Map!$A:$A,Map!C:C)</f>
        <v>IS</v>
      </c>
      <c r="H158" t="str">
        <f>_xlfn.XLOOKUP($A158,Map!$A:$A,Map!D:D)</f>
        <v>Cost of sales</v>
      </c>
      <c r="I158" t="str">
        <f>_xlfn.XLOOKUP($A158,Map!$A:$A,Map!E:E)</f>
        <v>Overhead - Labor Cost</v>
      </c>
      <c r="J158" t="str">
        <f>_xlfn.XLOOKUP($A158,Map!$A:$A,Map!F:F)</f>
        <v>Transportation allowance</v>
      </c>
    </row>
    <row r="159" spans="1:10" x14ac:dyDescent="0.25">
      <c r="A159" s="90">
        <v>600008</v>
      </c>
      <c r="B159" s="90" t="s">
        <v>144</v>
      </c>
      <c r="C159" s="91">
        <v>0</v>
      </c>
      <c r="D159" s="91">
        <v>354901.44400000002</v>
      </c>
      <c r="E159" s="91">
        <v>99037.231</v>
      </c>
      <c r="F159" s="91">
        <v>255864.21299999999</v>
      </c>
      <c r="G159" t="str">
        <f>_xlfn.XLOOKUP($A159,Map!$A:$A,Map!C:C)</f>
        <v>IS</v>
      </c>
      <c r="H159" t="str">
        <f>_xlfn.XLOOKUP($A159,Map!$A:$A,Map!D:D)</f>
        <v>Cost of sales</v>
      </c>
      <c r="I159" t="str">
        <f>_xlfn.XLOOKUP($A159,Map!$A:$A,Map!E:E)</f>
        <v>Overhead - Labor Cost</v>
      </c>
      <c r="J159" t="str">
        <f>_xlfn.XLOOKUP($A159,Map!$A:$A,Map!F:F)</f>
        <v>Air tickets</v>
      </c>
    </row>
    <row r="160" spans="1:10" x14ac:dyDescent="0.25">
      <c r="A160" s="90">
        <v>600009</v>
      </c>
      <c r="B160" s="90" t="s">
        <v>145</v>
      </c>
      <c r="C160" s="91">
        <v>0</v>
      </c>
      <c r="D160" s="91">
        <v>529215.68900000001</v>
      </c>
      <c r="E160" s="91">
        <v>194978.777</v>
      </c>
      <c r="F160" s="91">
        <v>334236.91200000001</v>
      </c>
      <c r="G160" t="str">
        <f>_xlfn.XLOOKUP($A160,Map!$A:$A,Map!C:C)</f>
        <v>IS</v>
      </c>
      <c r="H160" t="str">
        <f>_xlfn.XLOOKUP($A160,Map!$A:$A,Map!D:D)</f>
        <v>Cost of sales</v>
      </c>
      <c r="I160" t="str">
        <f>_xlfn.XLOOKUP($A160,Map!$A:$A,Map!E:E)</f>
        <v>Overhead - Labor Cost</v>
      </c>
      <c r="J160" t="str">
        <f>_xlfn.XLOOKUP($A160,Map!$A:$A,Map!F:F)</f>
        <v>Vacation pay</v>
      </c>
    </row>
    <row r="161" spans="1:10" x14ac:dyDescent="0.25">
      <c r="A161" s="90">
        <v>600010</v>
      </c>
      <c r="B161" s="90" t="s">
        <v>146</v>
      </c>
      <c r="C161" s="91">
        <v>0</v>
      </c>
      <c r="D161" s="91">
        <v>0</v>
      </c>
      <c r="E161" s="91">
        <v>0</v>
      </c>
      <c r="F161" s="91">
        <v>0</v>
      </c>
      <c r="G161" t="str">
        <f>_xlfn.XLOOKUP($A161,Map!$A:$A,Map!C:C)</f>
        <v>IS</v>
      </c>
      <c r="H161" t="str">
        <f>_xlfn.XLOOKUP($A161,Map!$A:$A,Map!D:D)</f>
        <v>Cost of sales</v>
      </c>
      <c r="I161" t="str">
        <f>_xlfn.XLOOKUP($A161,Map!$A:$A,Map!E:E)</f>
        <v>Overhead - Labor Cost</v>
      </c>
      <c r="J161" t="str">
        <f>_xlfn.XLOOKUP($A161,Map!$A:$A,Map!F:F)</f>
        <v>EOS expenses</v>
      </c>
    </row>
    <row r="162" spans="1:10" x14ac:dyDescent="0.25">
      <c r="A162" s="90">
        <v>600011</v>
      </c>
      <c r="B162" s="90" t="s">
        <v>147</v>
      </c>
      <c r="C162" s="91">
        <v>0</v>
      </c>
      <c r="D162" s="91">
        <v>20965</v>
      </c>
      <c r="E162" s="91">
        <v>8444.16</v>
      </c>
      <c r="F162" s="91">
        <v>12520.84</v>
      </c>
      <c r="G162" t="str">
        <f>_xlfn.XLOOKUP($A162,Map!$A:$A,Map!C:C)</f>
        <v>IS</v>
      </c>
      <c r="H162" t="str">
        <f>_xlfn.XLOOKUP($A162,Map!$A:$A,Map!D:D)</f>
        <v>Cost of sales</v>
      </c>
      <c r="I162" t="str">
        <f>_xlfn.XLOOKUP($A162,Map!$A:$A,Map!E:E)</f>
        <v>Overhead - Labor Cost</v>
      </c>
      <c r="J162" t="str">
        <f>_xlfn.XLOOKUP($A162,Map!$A:$A,Map!F:F)</f>
        <v>Air tickets</v>
      </c>
    </row>
    <row r="163" spans="1:10" x14ac:dyDescent="0.25">
      <c r="A163" s="90">
        <v>600012</v>
      </c>
      <c r="B163" s="90" t="s">
        <v>148</v>
      </c>
      <c r="C163" s="91">
        <v>0</v>
      </c>
      <c r="D163" s="91">
        <v>5176</v>
      </c>
      <c r="E163" s="91">
        <v>5176</v>
      </c>
      <c r="F163" s="91">
        <v>0</v>
      </c>
      <c r="G163" t="str">
        <f>_xlfn.XLOOKUP($A163,Map!$A:$A,Map!C:C)</f>
        <v>IS</v>
      </c>
      <c r="H163" t="str">
        <f>_xlfn.XLOOKUP($A163,Map!$A:$A,Map!D:D)</f>
        <v>Cost of sales</v>
      </c>
      <c r="I163" t="str">
        <f>_xlfn.XLOOKUP($A163,Map!$A:$A,Map!E:E)</f>
        <v>Overhead - Labor Cost</v>
      </c>
      <c r="J163" t="str">
        <f>_xlfn.XLOOKUP($A163,Map!$A:$A,Map!F:F)</f>
        <v xml:space="preserve">Education &amp; Furniture Allowances </v>
      </c>
    </row>
    <row r="164" spans="1:10" x14ac:dyDescent="0.25">
      <c r="A164" s="90">
        <v>600013</v>
      </c>
      <c r="B164" s="90" t="s">
        <v>149</v>
      </c>
      <c r="C164" s="91">
        <v>0</v>
      </c>
      <c r="D164" s="91">
        <v>515.66999999999996</v>
      </c>
      <c r="E164" s="91">
        <v>515.66999999999996</v>
      </c>
      <c r="F164" s="91">
        <v>0</v>
      </c>
      <c r="G164" t="str">
        <f>_xlfn.XLOOKUP($A164,Map!$A:$A,Map!C:C)</f>
        <v>IS</v>
      </c>
      <c r="H164" t="str">
        <f>_xlfn.XLOOKUP($A164,Map!$A:$A,Map!D:D)</f>
        <v>Cost of sales</v>
      </c>
      <c r="I164" t="str">
        <f>_xlfn.XLOOKUP($A164,Map!$A:$A,Map!E:E)</f>
        <v>Overhead - Labor Cost</v>
      </c>
      <c r="J164" t="str">
        <f>_xlfn.XLOOKUP($A164,Map!$A:$A,Map!F:F)</f>
        <v>Telephone allowance</v>
      </c>
    </row>
    <row r="165" spans="1:10" x14ac:dyDescent="0.25">
      <c r="A165" s="90">
        <v>600014</v>
      </c>
      <c r="B165" s="90" t="s">
        <v>60</v>
      </c>
      <c r="C165" s="91">
        <v>0</v>
      </c>
      <c r="D165" s="91">
        <v>2028805.51</v>
      </c>
      <c r="E165" s="91">
        <v>70521.414000000004</v>
      </c>
      <c r="F165" s="91">
        <v>1958284.0959999999</v>
      </c>
      <c r="G165" t="str">
        <f>_xlfn.XLOOKUP($A165,Map!$A:$A,Map!C:C)</f>
        <v>IS</v>
      </c>
      <c r="H165" t="str">
        <f>_xlfn.XLOOKUP($A165,Map!$A:$A,Map!D:D)</f>
        <v>Cost of sales</v>
      </c>
      <c r="I165" t="str">
        <f>_xlfn.XLOOKUP($A165,Map!$A:$A,Map!E:E)</f>
        <v>Overhead - Consumables &amp; SP</v>
      </c>
      <c r="J165" t="str">
        <f>_xlfn.XLOOKUP($A165,Map!$A:$A,Map!F:F)</f>
        <v>Consumables</v>
      </c>
    </row>
    <row r="166" spans="1:10" x14ac:dyDescent="0.25">
      <c r="A166" s="90">
        <v>600015</v>
      </c>
      <c r="B166" s="90" t="s">
        <v>150</v>
      </c>
      <c r="C166" s="91">
        <v>0</v>
      </c>
      <c r="D166" s="91">
        <v>0</v>
      </c>
      <c r="E166" s="91">
        <v>0</v>
      </c>
      <c r="F166" s="91">
        <v>0</v>
      </c>
      <c r="G166" t="str">
        <f>_xlfn.XLOOKUP($A166,Map!$A:$A,Map!C:C)</f>
        <v>IS</v>
      </c>
      <c r="H166" t="str">
        <f>_xlfn.XLOOKUP($A166,Map!$A:$A,Map!D:D)</f>
        <v>Cost of sales</v>
      </c>
      <c r="I166" t="str">
        <f>_xlfn.XLOOKUP($A166,Map!$A:$A,Map!E:E)</f>
        <v>Overhead - Consumables &amp; SP</v>
      </c>
      <c r="J166" t="str">
        <f>_xlfn.XLOOKUP($A166,Map!$A:$A,Map!F:F)</f>
        <v>Consumables</v>
      </c>
    </row>
    <row r="167" spans="1:10" x14ac:dyDescent="0.25">
      <c r="A167" s="90">
        <v>600016</v>
      </c>
      <c r="B167" s="90" t="s">
        <v>151</v>
      </c>
      <c r="C167" s="91">
        <v>0</v>
      </c>
      <c r="D167" s="91">
        <v>1851355.595</v>
      </c>
      <c r="E167" s="91">
        <v>1280311.3689999999</v>
      </c>
      <c r="F167" s="91">
        <v>571044.22600000002</v>
      </c>
      <c r="G167" t="str">
        <f>_xlfn.XLOOKUP($A167,Map!$A:$A,Map!C:C)</f>
        <v>IS</v>
      </c>
      <c r="H167" t="str">
        <f>_xlfn.XLOOKUP($A167,Map!$A:$A,Map!D:D)</f>
        <v>Cost of sales</v>
      </c>
      <c r="I167" t="str">
        <f>_xlfn.XLOOKUP($A167,Map!$A:$A,Map!E:E)</f>
        <v>Overhead - Consumables &amp; SP</v>
      </c>
      <c r="J167" t="str">
        <f>_xlfn.XLOOKUP($A167,Map!$A:$A,Map!F:F)</f>
        <v>Tools</v>
      </c>
    </row>
    <row r="168" spans="1:10" x14ac:dyDescent="0.25">
      <c r="A168" s="90">
        <v>600017</v>
      </c>
      <c r="B168" s="90" t="s">
        <v>152</v>
      </c>
      <c r="C168" s="91">
        <v>0</v>
      </c>
      <c r="D168" s="91">
        <v>1820942.55</v>
      </c>
      <c r="E168" s="91">
        <v>65252.387999999999</v>
      </c>
      <c r="F168" s="91">
        <v>1755690.162</v>
      </c>
      <c r="G168" t="str">
        <f>_xlfn.XLOOKUP($A168,Map!$A:$A,Map!C:C)</f>
        <v>IS</v>
      </c>
      <c r="H168" t="str">
        <f>_xlfn.XLOOKUP($A168,Map!$A:$A,Map!D:D)</f>
        <v>Cost of sales</v>
      </c>
      <c r="I168" t="str">
        <f>_xlfn.XLOOKUP($A168,Map!$A:$A,Map!E:E)</f>
        <v>Overhead - Utility</v>
      </c>
      <c r="J168" t="str">
        <f>_xlfn.XLOOKUP($A168,Map!$A:$A,Map!F:F)</f>
        <v>Electricity expenses</v>
      </c>
    </row>
    <row r="169" spans="1:10" x14ac:dyDescent="0.25">
      <c r="A169" s="90">
        <v>600018</v>
      </c>
      <c r="B169" s="90" t="s">
        <v>153</v>
      </c>
      <c r="C169" s="91">
        <v>0</v>
      </c>
      <c r="D169" s="91">
        <v>217715.35</v>
      </c>
      <c r="E169" s="91">
        <v>9694.5</v>
      </c>
      <c r="F169" s="91">
        <v>208020.85</v>
      </c>
      <c r="G169" t="str">
        <f>_xlfn.XLOOKUP($A169,Map!$A:$A,Map!C:C)</f>
        <v>IS</v>
      </c>
      <c r="H169" t="str">
        <f>_xlfn.XLOOKUP($A169,Map!$A:$A,Map!D:D)</f>
        <v>Cost of sales</v>
      </c>
      <c r="I169" t="str">
        <f>_xlfn.XLOOKUP($A169,Map!$A:$A,Map!E:E)</f>
        <v>Overhead - Utility</v>
      </c>
      <c r="J169" t="str">
        <f>_xlfn.XLOOKUP($A169,Map!$A:$A,Map!F:F)</f>
        <v>Water expenses</v>
      </c>
    </row>
    <row r="170" spans="1:10" x14ac:dyDescent="0.25">
      <c r="A170" s="90">
        <v>600019</v>
      </c>
      <c r="B170" s="90" t="s">
        <v>154</v>
      </c>
      <c r="C170" s="91">
        <v>0</v>
      </c>
      <c r="D170" s="91">
        <v>106458</v>
      </c>
      <c r="E170" s="91">
        <v>0</v>
      </c>
      <c r="F170" s="91">
        <v>106458</v>
      </c>
      <c r="G170" t="str">
        <f>_xlfn.XLOOKUP($A170,Map!$A:$A,Map!C:C)</f>
        <v>IS</v>
      </c>
      <c r="H170" t="str">
        <f>_xlfn.XLOOKUP($A170,Map!$A:$A,Map!D:D)</f>
        <v>Cost of sales</v>
      </c>
      <c r="I170" t="str">
        <f>_xlfn.XLOOKUP($A170,Map!$A:$A,Map!E:E)</f>
        <v>Overhead - Utility</v>
      </c>
      <c r="J170" t="str">
        <f>_xlfn.XLOOKUP($A170,Map!$A:$A,Map!F:F)</f>
        <v>Fuel and oil</v>
      </c>
    </row>
    <row r="171" spans="1:10" x14ac:dyDescent="0.25">
      <c r="A171" s="90">
        <v>600020</v>
      </c>
      <c r="B171" s="90" t="s">
        <v>155</v>
      </c>
      <c r="C171" s="91">
        <v>0</v>
      </c>
      <c r="D171" s="91">
        <v>5162015.4989999998</v>
      </c>
      <c r="E171" s="91">
        <v>3892910.83</v>
      </c>
      <c r="F171" s="91">
        <v>1269104.669</v>
      </c>
      <c r="G171" t="str">
        <f>_xlfn.XLOOKUP($A171,Map!$A:$A,Map!C:C)</f>
        <v>IS</v>
      </c>
      <c r="H171" t="str">
        <f>_xlfn.XLOOKUP($A171,Map!$A:$A,Map!D:D)</f>
        <v>Cost of sales</v>
      </c>
      <c r="I171" t="str">
        <f>_xlfn.XLOOKUP($A171,Map!$A:$A,Map!E:E)</f>
        <v>Overhead - R&amp;M</v>
      </c>
      <c r="J171" t="str">
        <f>_xlfn.XLOOKUP($A171,Map!$A:$A,Map!F:F)</f>
        <v>Machine and equipment</v>
      </c>
    </row>
    <row r="172" spans="1:10" x14ac:dyDescent="0.25">
      <c r="A172" s="90">
        <v>600021</v>
      </c>
      <c r="B172" s="90" t="s">
        <v>156</v>
      </c>
      <c r="C172" s="91">
        <v>0</v>
      </c>
      <c r="D172" s="91">
        <v>14695.3</v>
      </c>
      <c r="E172" s="91">
        <v>3021.14</v>
      </c>
      <c r="F172" s="91">
        <v>11674.16</v>
      </c>
      <c r="G172" t="str">
        <f>_xlfn.XLOOKUP($A172,Map!$A:$A,Map!C:C)</f>
        <v>IS</v>
      </c>
      <c r="H172" t="str">
        <f>_xlfn.XLOOKUP($A172,Map!$A:$A,Map!D:D)</f>
        <v>Cost of sales</v>
      </c>
      <c r="I172" t="str">
        <f>_xlfn.XLOOKUP($A172,Map!$A:$A,Map!E:E)</f>
        <v>Overhead - R&amp;M</v>
      </c>
      <c r="J172" t="str">
        <f>_xlfn.XLOOKUP($A172,Map!$A:$A,Map!F:F)</f>
        <v>Vehicle maintenance</v>
      </c>
    </row>
    <row r="173" spans="1:10" x14ac:dyDescent="0.25">
      <c r="A173" s="90">
        <v>600022</v>
      </c>
      <c r="B173" s="90" t="s">
        <v>157</v>
      </c>
      <c r="C173" s="91">
        <v>0</v>
      </c>
      <c r="D173" s="91">
        <v>7623.9120000000003</v>
      </c>
      <c r="E173" s="91">
        <v>2500</v>
      </c>
      <c r="F173" s="91">
        <v>5123.9120000000003</v>
      </c>
      <c r="G173" t="str">
        <f>_xlfn.XLOOKUP($A173,Map!$A:$A,Map!C:C)</f>
        <v>IS</v>
      </c>
      <c r="H173" t="str">
        <f>_xlfn.XLOOKUP($A173,Map!$A:$A,Map!D:D)</f>
        <v>Cost of sales</v>
      </c>
      <c r="I173" t="str">
        <f>_xlfn.XLOOKUP($A173,Map!$A:$A,Map!E:E)</f>
        <v>Overhead - R&amp;M</v>
      </c>
      <c r="J173" t="str">
        <f>_xlfn.XLOOKUP($A173,Map!$A:$A,Map!F:F)</f>
        <v>Building maintenance</v>
      </c>
    </row>
    <row r="174" spans="1:10" x14ac:dyDescent="0.25">
      <c r="A174" s="90">
        <v>600023</v>
      </c>
      <c r="B174" s="90" t="s">
        <v>158</v>
      </c>
      <c r="C174" s="91">
        <v>0</v>
      </c>
      <c r="D174" s="91">
        <v>0</v>
      </c>
      <c r="E174" s="91">
        <v>0</v>
      </c>
      <c r="F174" s="91">
        <v>0</v>
      </c>
      <c r="G174" t="str">
        <f>_xlfn.XLOOKUP($A174,Map!$A:$A,Map!C:C)</f>
        <v>IS</v>
      </c>
      <c r="H174" t="str">
        <f>_xlfn.XLOOKUP($A174,Map!$A:$A,Map!D:D)</f>
        <v>Cost of sales</v>
      </c>
      <c r="I174" t="str">
        <f>_xlfn.XLOOKUP($A174,Map!$A:$A,Map!E:E)</f>
        <v>Overhead - R&amp;M</v>
      </c>
      <c r="J174" t="str">
        <f>_xlfn.XLOOKUP($A174,Map!$A:$A,Map!F:F)</f>
        <v>Office equipment maintenance</v>
      </c>
    </row>
    <row r="175" spans="1:10" x14ac:dyDescent="0.25">
      <c r="A175" s="90">
        <v>600024</v>
      </c>
      <c r="B175" s="90" t="s">
        <v>159</v>
      </c>
      <c r="C175" s="91">
        <v>0</v>
      </c>
      <c r="D175" s="91">
        <v>0</v>
      </c>
      <c r="E175" s="91">
        <v>0</v>
      </c>
      <c r="F175" s="91">
        <v>0</v>
      </c>
      <c r="G175" t="str">
        <f>_xlfn.XLOOKUP($A175,Map!$A:$A,Map!C:C)</f>
        <v>IS</v>
      </c>
      <c r="H175" t="str">
        <f>_xlfn.XLOOKUP($A175,Map!$A:$A,Map!D:D)</f>
        <v>Cost of sales</v>
      </c>
      <c r="I175" t="str">
        <f>_xlfn.XLOOKUP($A175,Map!$A:$A,Map!E:E)</f>
        <v>Overhead - Rent</v>
      </c>
      <c r="J175" t="str">
        <f>_xlfn.XLOOKUP($A175,Map!$A:$A,Map!F:F)</f>
        <v>Pump rental expenses</v>
      </c>
    </row>
    <row r="176" spans="1:10" x14ac:dyDescent="0.25">
      <c r="A176" s="90">
        <v>600025</v>
      </c>
      <c r="B176" s="90" t="s">
        <v>160</v>
      </c>
      <c r="C176" s="91">
        <v>0</v>
      </c>
      <c r="D176" s="91">
        <v>0</v>
      </c>
      <c r="E176" s="91">
        <v>0</v>
      </c>
      <c r="F176" s="91">
        <v>0</v>
      </c>
      <c r="G176" t="str">
        <f>_xlfn.XLOOKUP($A176,Map!$A:$A,Map!C:C)</f>
        <v>IS</v>
      </c>
      <c r="H176" t="str">
        <f>_xlfn.XLOOKUP($A176,Map!$A:$A,Map!D:D)</f>
        <v>Cost of sales</v>
      </c>
      <c r="I176" t="str">
        <f>_xlfn.XLOOKUP($A176,Map!$A:$A,Map!E:E)</f>
        <v>Overhead - Insurance</v>
      </c>
      <c r="J176" t="str">
        <f>_xlfn.XLOOKUP($A176,Map!$A:$A,Map!F:F)</f>
        <v>Building insurance</v>
      </c>
    </row>
    <row r="177" spans="1:10" x14ac:dyDescent="0.25">
      <c r="A177" s="90">
        <v>600026</v>
      </c>
      <c r="B177" s="90" t="s">
        <v>161</v>
      </c>
      <c r="C177" s="91">
        <v>0</v>
      </c>
      <c r="D177" s="91">
        <v>0</v>
      </c>
      <c r="E177" s="91">
        <v>0</v>
      </c>
      <c r="F177" s="91">
        <v>0</v>
      </c>
      <c r="G177" t="str">
        <f>_xlfn.XLOOKUP($A177,Map!$A:$A,Map!C:C)</f>
        <v>IS</v>
      </c>
      <c r="H177" t="str">
        <f>_xlfn.XLOOKUP($A177,Map!$A:$A,Map!D:D)</f>
        <v>Cost of sales</v>
      </c>
      <c r="I177" t="str">
        <f>_xlfn.XLOOKUP($A177,Map!$A:$A,Map!E:E)</f>
        <v>Overhead - Insurance</v>
      </c>
      <c r="J177" t="str">
        <f>_xlfn.XLOOKUP($A177,Map!$A:$A,Map!F:F)</f>
        <v>Machine and equipment insurance</v>
      </c>
    </row>
    <row r="178" spans="1:10" x14ac:dyDescent="0.25">
      <c r="A178" s="90">
        <v>600027</v>
      </c>
      <c r="B178" s="90" t="s">
        <v>162</v>
      </c>
      <c r="C178" s="91">
        <v>0</v>
      </c>
      <c r="D178" s="91">
        <v>0</v>
      </c>
      <c r="E178" s="91">
        <v>0</v>
      </c>
      <c r="F178" s="91">
        <v>0</v>
      </c>
      <c r="G178" t="str">
        <f>_xlfn.XLOOKUP($A178,Map!$A:$A,Map!C:C)</f>
        <v>IS</v>
      </c>
      <c r="H178" t="str">
        <f>_xlfn.XLOOKUP($A178,Map!$A:$A,Map!D:D)</f>
        <v>Cost of sales</v>
      </c>
      <c r="I178" t="str">
        <f>_xlfn.XLOOKUP($A178,Map!$A:$A,Map!E:E)</f>
        <v>Overhead - Rent</v>
      </c>
      <c r="J178" t="str">
        <f>_xlfn.XLOOKUP($A178,Map!$A:$A,Map!F:F)</f>
        <v>Production hall rental</v>
      </c>
    </row>
    <row r="179" spans="1:10" x14ac:dyDescent="0.25">
      <c r="A179" s="90">
        <v>600028</v>
      </c>
      <c r="B179" s="90" t="s">
        <v>163</v>
      </c>
      <c r="C179" s="91">
        <v>0</v>
      </c>
      <c r="D179" s="91">
        <v>0</v>
      </c>
      <c r="E179" s="91">
        <v>0</v>
      </c>
      <c r="F179" s="91">
        <v>0</v>
      </c>
      <c r="G179" t="str">
        <f>_xlfn.XLOOKUP($A179,Map!$A:$A,Map!C:C)</f>
        <v>IS</v>
      </c>
      <c r="H179" t="str">
        <f>_xlfn.XLOOKUP($A179,Map!$A:$A,Map!D:D)</f>
        <v>Cost of sales</v>
      </c>
      <c r="I179" t="str">
        <f>_xlfn.XLOOKUP($A179,Map!$A:$A,Map!E:E)</f>
        <v>Overhead - Consumables &amp; SP</v>
      </c>
      <c r="J179" t="str">
        <f>_xlfn.XLOOKUP($A179,Map!$A:$A,Map!F:F)</f>
        <v xml:space="preserve">Education &amp; Furniture Allowances </v>
      </c>
    </row>
    <row r="180" spans="1:10" x14ac:dyDescent="0.25">
      <c r="A180" s="90">
        <v>600029</v>
      </c>
      <c r="B180" s="90" t="s">
        <v>164</v>
      </c>
      <c r="C180" s="91">
        <v>0</v>
      </c>
      <c r="D180" s="91">
        <v>4526620.3940000003</v>
      </c>
      <c r="E180" s="91">
        <v>3725.7820000000002</v>
      </c>
      <c r="F180" s="91">
        <v>4522894.6119999997</v>
      </c>
      <c r="G180" t="str">
        <f>_xlfn.XLOOKUP($A180,Map!$A:$A,Map!C:C)</f>
        <v>IS</v>
      </c>
      <c r="H180" t="str">
        <f>_xlfn.XLOOKUP($A180,Map!$A:$A,Map!D:D)</f>
        <v>Cost of sales</v>
      </c>
      <c r="I180" t="str">
        <f>_xlfn.XLOOKUP($A180,Map!$A:$A,Map!E:E)</f>
        <v>Depreciation - Machines</v>
      </c>
      <c r="J180" t="str">
        <f>_xlfn.XLOOKUP($A180,Map!$A:$A,Map!F:F)</f>
        <v>Depreciation of property, plant and equipment</v>
      </c>
    </row>
    <row r="181" spans="1:10" x14ac:dyDescent="0.25">
      <c r="A181" s="90">
        <v>600030</v>
      </c>
      <c r="B181" s="90" t="s">
        <v>165</v>
      </c>
      <c r="C181" s="91">
        <v>0</v>
      </c>
      <c r="D181" s="91">
        <v>89058.758000000002</v>
      </c>
      <c r="E181" s="91">
        <v>0</v>
      </c>
      <c r="F181" s="91">
        <v>89058.758000000002</v>
      </c>
      <c r="G181" t="str">
        <f>_xlfn.XLOOKUP($A181,Map!$A:$A,Map!C:C)</f>
        <v>IS</v>
      </c>
      <c r="H181" t="str">
        <f>_xlfn.XLOOKUP($A181,Map!$A:$A,Map!D:D)</f>
        <v>Depreciation expenses</v>
      </c>
      <c r="I181" t="str">
        <f>_xlfn.XLOOKUP($A181,Map!$A:$A,Map!E:E)</f>
        <v>Depreciation expenses</v>
      </c>
      <c r="J181" t="str">
        <f>_xlfn.XLOOKUP($A181,Map!$A:$A,Map!F:F)</f>
        <v>Depreciation of property, plant and equipment</v>
      </c>
    </row>
    <row r="182" spans="1:10" x14ac:dyDescent="0.25">
      <c r="A182" s="90">
        <v>600031</v>
      </c>
      <c r="B182" s="90" t="s">
        <v>166</v>
      </c>
      <c r="C182" s="91">
        <v>0</v>
      </c>
      <c r="D182" s="91">
        <v>0</v>
      </c>
      <c r="E182" s="91">
        <v>0</v>
      </c>
      <c r="F182" s="91">
        <v>0</v>
      </c>
      <c r="G182" t="str">
        <f>_xlfn.XLOOKUP($A182,Map!$A:$A,Map!C:C)</f>
        <v>IS</v>
      </c>
      <c r="H182" t="str">
        <f>_xlfn.XLOOKUP($A182,Map!$A:$A,Map!D:D)</f>
        <v>Depreciation expenses</v>
      </c>
      <c r="I182" t="str">
        <f>_xlfn.XLOOKUP($A182,Map!$A:$A,Map!E:E)</f>
        <v>Depreciation expenses</v>
      </c>
      <c r="J182" t="str">
        <f>_xlfn.XLOOKUP($A182,Map!$A:$A,Map!F:F)</f>
        <v>Depreciation of property, plant and equipment</v>
      </c>
    </row>
    <row r="183" spans="1:10" x14ac:dyDescent="0.25">
      <c r="A183" s="90">
        <v>600032</v>
      </c>
      <c r="B183" s="90" t="s">
        <v>167</v>
      </c>
      <c r="C183" s="91">
        <v>0</v>
      </c>
      <c r="D183" s="91">
        <v>1583327.5020000001</v>
      </c>
      <c r="E183" s="91">
        <v>0</v>
      </c>
      <c r="F183" s="91">
        <v>1583327.5020000001</v>
      </c>
      <c r="G183" t="str">
        <f>_xlfn.XLOOKUP($A183,Map!$A:$A,Map!C:C)</f>
        <v>IS</v>
      </c>
      <c r="H183" t="str">
        <f>_xlfn.XLOOKUP($A183,Map!$A:$A,Map!D:D)</f>
        <v>Depreciation expenses</v>
      </c>
      <c r="I183" t="str">
        <f>_xlfn.XLOOKUP($A183,Map!$A:$A,Map!E:E)</f>
        <v>Depreciation expenses</v>
      </c>
      <c r="J183" t="str">
        <f>_xlfn.XLOOKUP($A183,Map!$A:$A,Map!F:F)</f>
        <v>Depreciation of property, plant and equipment</v>
      </c>
    </row>
    <row r="184" spans="1:10" x14ac:dyDescent="0.25">
      <c r="A184" s="90">
        <v>600033</v>
      </c>
      <c r="B184" s="90" t="s">
        <v>168</v>
      </c>
      <c r="C184" s="91">
        <v>0</v>
      </c>
      <c r="D184" s="91">
        <v>148721.60399999999</v>
      </c>
      <c r="E184" s="91">
        <v>0</v>
      </c>
      <c r="F184" s="91">
        <v>148721.60399999999</v>
      </c>
      <c r="G184" t="str">
        <f>_xlfn.XLOOKUP($A184,Map!$A:$A,Map!C:C)</f>
        <v>IS</v>
      </c>
      <c r="H184" t="str">
        <f>_xlfn.XLOOKUP($A184,Map!$A:$A,Map!D:D)</f>
        <v>Depreciation expenses</v>
      </c>
      <c r="I184" t="str">
        <f>_xlfn.XLOOKUP($A184,Map!$A:$A,Map!E:E)</f>
        <v>Depreciation expenses</v>
      </c>
      <c r="J184" t="str">
        <f>_xlfn.XLOOKUP($A184,Map!$A:$A,Map!F:F)</f>
        <v>Depreciation of property, plant and equipment</v>
      </c>
    </row>
    <row r="185" spans="1:10" x14ac:dyDescent="0.25">
      <c r="A185" s="90">
        <v>600034</v>
      </c>
      <c r="B185" s="90" t="s">
        <v>169</v>
      </c>
      <c r="C185" s="91">
        <v>0</v>
      </c>
      <c r="D185" s="91">
        <v>0</v>
      </c>
      <c r="E185" s="91">
        <v>0</v>
      </c>
      <c r="F185" s="91">
        <v>0</v>
      </c>
      <c r="G185" t="str">
        <f>_xlfn.XLOOKUP($A185,Map!$A:$A,Map!C:C)</f>
        <v>IS</v>
      </c>
      <c r="H185" t="str">
        <f>_xlfn.XLOOKUP($A185,Map!$A:$A,Map!D:D)</f>
        <v>Cost of sales</v>
      </c>
      <c r="I185" t="str">
        <f>_xlfn.XLOOKUP($A185,Map!$A:$A,Map!E:E)</f>
        <v>Overhead - Rent Labor</v>
      </c>
      <c r="J185" t="str">
        <f>_xlfn.XLOOKUP($A185,Map!$A:$A,Map!F:F)</f>
        <v>Rental labor</v>
      </c>
    </row>
    <row r="186" spans="1:10" x14ac:dyDescent="0.25">
      <c r="A186" s="90">
        <v>600035</v>
      </c>
      <c r="B186" s="90" t="s">
        <v>252</v>
      </c>
      <c r="C186" s="91">
        <v>0</v>
      </c>
      <c r="D186" s="91">
        <v>2924648.827</v>
      </c>
      <c r="E186" s="91">
        <v>0</v>
      </c>
      <c r="F186" s="91">
        <v>2924648.827</v>
      </c>
      <c r="G186" t="str">
        <f>_xlfn.XLOOKUP($A186,Map!$A:$A,Map!C:C)</f>
        <v>IS</v>
      </c>
      <c r="H186" t="str">
        <f>_xlfn.XLOOKUP($A186,Map!$A:$A,Map!D:D)</f>
        <v>Cost of sales</v>
      </c>
      <c r="I186" t="str">
        <f>_xlfn.XLOOKUP($A186,Map!$A:$A,Map!E:E)</f>
        <v>Overhead - Rent Labor</v>
      </c>
      <c r="J186" t="str">
        <f>_xlfn.XLOOKUP($A186,Map!$A:$A,Map!F:F)</f>
        <v>Labor rental</v>
      </c>
    </row>
    <row r="187" spans="1:10" x14ac:dyDescent="0.25">
      <c r="A187" s="90">
        <v>600036</v>
      </c>
      <c r="B187" s="90" t="s">
        <v>253</v>
      </c>
      <c r="C187" s="91">
        <v>0</v>
      </c>
      <c r="D187" s="91">
        <v>186266.13500000001</v>
      </c>
      <c r="E187" s="91">
        <v>27290.34</v>
      </c>
      <c r="F187" s="91">
        <v>158975.79500000001</v>
      </c>
      <c r="G187" t="str">
        <f>_xlfn.XLOOKUP($A187,Map!$A:$A,Map!C:C)</f>
        <v>IS</v>
      </c>
      <c r="H187" t="str">
        <f>_xlfn.XLOOKUP($A187,Map!$A:$A,Map!D:D)</f>
        <v>Cost of sales</v>
      </c>
      <c r="I187" t="str">
        <f>_xlfn.XLOOKUP($A187,Map!$A:$A,Map!E:E)</f>
        <v>Overhead - Consumables &amp; SP</v>
      </c>
      <c r="J187" t="str">
        <f>_xlfn.XLOOKUP($A187,Map!$A:$A,Map!F:F)</f>
        <v>Inspection expenses</v>
      </c>
    </row>
    <row r="188" spans="1:10" x14ac:dyDescent="0.25">
      <c r="A188" s="90">
        <v>600060</v>
      </c>
      <c r="B188" s="90" t="s">
        <v>170</v>
      </c>
      <c r="C188" s="91">
        <v>0</v>
      </c>
      <c r="D188" s="91">
        <v>0</v>
      </c>
      <c r="E188" s="91">
        <v>157172</v>
      </c>
      <c r="F188" s="91">
        <v>-157172</v>
      </c>
      <c r="G188" t="str">
        <f>_xlfn.XLOOKUP($A188,Map!$A:$A,Map!C:C)</f>
        <v>IS</v>
      </c>
      <c r="H188" t="str">
        <f>_xlfn.XLOOKUP($A188,Map!$A:$A,Map!D:D)</f>
        <v>Other Income</v>
      </c>
      <c r="I188" t="str">
        <f>_xlfn.XLOOKUP($A188,Map!$A:$A,Map!E:E)</f>
        <v>Other Income</v>
      </c>
      <c r="J188" t="str">
        <f>_xlfn.XLOOKUP($A188,Map!$A:$A,Map!F:F)</f>
        <v>Hadaf program</v>
      </c>
    </row>
    <row r="189" spans="1:10" x14ac:dyDescent="0.25">
      <c r="A189" s="90">
        <v>700001</v>
      </c>
      <c r="B189" s="90" t="s">
        <v>171</v>
      </c>
      <c r="C189" s="91">
        <v>0</v>
      </c>
      <c r="D189" s="91">
        <v>5770246.0710000005</v>
      </c>
      <c r="E189" s="91">
        <v>293251.53000000003</v>
      </c>
      <c r="F189" s="91">
        <v>5476994.5410000002</v>
      </c>
      <c r="G189" t="str">
        <f>_xlfn.XLOOKUP($A189,Map!$A:$A,Map!C:C)</f>
        <v>IS</v>
      </c>
      <c r="H189" t="str">
        <f>_xlfn.XLOOKUP($A189,Map!$A:$A,Map!D:D)</f>
        <v>General and Admin</v>
      </c>
      <c r="I189" t="str">
        <f>_xlfn.XLOOKUP($A189,Map!$A:$A,Map!E:E)</f>
        <v>Salaries and wages</v>
      </c>
      <c r="J189" t="str">
        <f>_xlfn.XLOOKUP($A189,Map!$A:$A,Map!F:F)</f>
        <v>Salaries and wages</v>
      </c>
    </row>
    <row r="190" spans="1:10" x14ac:dyDescent="0.25">
      <c r="A190" s="90">
        <v>700002</v>
      </c>
      <c r="B190" s="90" t="s">
        <v>172</v>
      </c>
      <c r="C190" s="91">
        <v>0</v>
      </c>
      <c r="D190" s="91">
        <v>0</v>
      </c>
      <c r="E190" s="91">
        <v>0</v>
      </c>
      <c r="F190" s="91">
        <v>0</v>
      </c>
      <c r="G190" t="str">
        <f>_xlfn.XLOOKUP($A190,Map!$A:$A,Map!C:C)</f>
        <v>IS</v>
      </c>
      <c r="H190" t="str">
        <f>_xlfn.XLOOKUP($A190,Map!$A:$A,Map!D:D)</f>
        <v>General and Admin</v>
      </c>
      <c r="I190" t="str">
        <f>_xlfn.XLOOKUP($A190,Map!$A:$A,Map!E:E)</f>
        <v>Salaries and wages</v>
      </c>
      <c r="J190" t="str">
        <f>_xlfn.XLOOKUP($A190,Map!$A:$A,Map!F:F)</f>
        <v>Overtime pay</v>
      </c>
    </row>
    <row r="191" spans="1:10" x14ac:dyDescent="0.25">
      <c r="A191" s="90">
        <v>700003</v>
      </c>
      <c r="B191" s="90" t="s">
        <v>173</v>
      </c>
      <c r="C191" s="91">
        <v>0</v>
      </c>
      <c r="D191" s="91">
        <v>1753</v>
      </c>
      <c r="E191" s="91">
        <v>1600</v>
      </c>
      <c r="F191" s="91">
        <v>153</v>
      </c>
      <c r="G191" t="str">
        <f>_xlfn.XLOOKUP($A191,Map!$A:$A,Map!C:C)</f>
        <v>IS</v>
      </c>
      <c r="H191" t="str">
        <f>_xlfn.XLOOKUP($A191,Map!$A:$A,Map!D:D)</f>
        <v>General and Admin</v>
      </c>
      <c r="I191" t="str">
        <f>_xlfn.XLOOKUP($A191,Map!$A:$A,Map!E:E)</f>
        <v>Salaries and wages</v>
      </c>
      <c r="J191" t="str">
        <f>_xlfn.XLOOKUP($A191,Map!$A:$A,Map!F:F)</f>
        <v xml:space="preserve">Food &amp; Housing </v>
      </c>
    </row>
    <row r="192" spans="1:10" x14ac:dyDescent="0.25">
      <c r="A192" s="90">
        <v>700004</v>
      </c>
      <c r="B192" s="90" t="s">
        <v>174</v>
      </c>
      <c r="C192" s="91">
        <v>0</v>
      </c>
      <c r="D192" s="91">
        <v>397505.77399999998</v>
      </c>
      <c r="E192" s="91">
        <v>91309.160999999993</v>
      </c>
      <c r="F192" s="91">
        <v>306196.61300000001</v>
      </c>
      <c r="G192" t="str">
        <f>_xlfn.XLOOKUP($A192,Map!$A:$A,Map!C:C)</f>
        <v>IS</v>
      </c>
      <c r="H192" t="str">
        <f>_xlfn.XLOOKUP($A192,Map!$A:$A,Map!D:D)</f>
        <v>General and Admin</v>
      </c>
      <c r="I192" t="str">
        <f>_xlfn.XLOOKUP($A192,Map!$A:$A,Map!E:E)</f>
        <v>Salaries and wages</v>
      </c>
      <c r="J192" t="str">
        <f>_xlfn.XLOOKUP($A192,Map!$A:$A,Map!F:F)</f>
        <v>Medical insurance</v>
      </c>
    </row>
    <row r="193" spans="1:10" x14ac:dyDescent="0.25">
      <c r="A193" s="90">
        <v>700005</v>
      </c>
      <c r="B193" s="90" t="s">
        <v>175</v>
      </c>
      <c r="C193" s="91">
        <v>0</v>
      </c>
      <c r="D193" s="91">
        <v>210570.04</v>
      </c>
      <c r="E193" s="91">
        <v>10666.9</v>
      </c>
      <c r="F193" s="91">
        <v>199903.14</v>
      </c>
      <c r="G193" t="str">
        <f>_xlfn.XLOOKUP($A193,Map!$A:$A,Map!C:C)</f>
        <v>IS</v>
      </c>
      <c r="H193" t="str">
        <f>_xlfn.XLOOKUP($A193,Map!$A:$A,Map!D:D)</f>
        <v>General and Admin</v>
      </c>
      <c r="I193" t="str">
        <f>_xlfn.XLOOKUP($A193,Map!$A:$A,Map!E:E)</f>
        <v>Govt license and fees (including modon)</v>
      </c>
      <c r="J193" t="str">
        <f>_xlfn.XLOOKUP($A193,Map!$A:$A,Map!F:F)</f>
        <v>Government fees</v>
      </c>
    </row>
    <row r="194" spans="1:10" x14ac:dyDescent="0.25">
      <c r="A194" s="90">
        <v>700006</v>
      </c>
      <c r="B194" s="90" t="s">
        <v>176</v>
      </c>
      <c r="C194" s="91">
        <v>0</v>
      </c>
      <c r="D194" s="91">
        <v>1116632.3019999999</v>
      </c>
      <c r="E194" s="91">
        <v>8092</v>
      </c>
      <c r="F194" s="91">
        <v>1108540.3019999999</v>
      </c>
      <c r="G194" t="str">
        <f>_xlfn.XLOOKUP($A194,Map!$A:$A,Map!C:C)</f>
        <v>IS</v>
      </c>
      <c r="H194" t="str">
        <f>_xlfn.XLOOKUP($A194,Map!$A:$A,Map!D:D)</f>
        <v>General and Admin</v>
      </c>
      <c r="I194" t="str">
        <f>_xlfn.XLOOKUP($A194,Map!$A:$A,Map!E:E)</f>
        <v>Salaries and wages</v>
      </c>
      <c r="J194" t="str">
        <f>_xlfn.XLOOKUP($A194,Map!$A:$A,Map!F:F)</f>
        <v xml:space="preserve">Food &amp; Housing </v>
      </c>
    </row>
    <row r="195" spans="1:10" x14ac:dyDescent="0.25">
      <c r="A195" s="90">
        <v>700007</v>
      </c>
      <c r="B195" s="90" t="s">
        <v>177</v>
      </c>
      <c r="C195" s="91">
        <v>0</v>
      </c>
      <c r="D195" s="91">
        <v>442482.08100000001</v>
      </c>
      <c r="E195" s="91">
        <v>56157.080999999998</v>
      </c>
      <c r="F195" s="91">
        <v>386325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Salaries and wages</v>
      </c>
      <c r="J195" t="str">
        <f>_xlfn.XLOOKUP($A195,Map!$A:$A,Map!F:F)</f>
        <v>Transportation allowance</v>
      </c>
    </row>
    <row r="196" spans="1:10" x14ac:dyDescent="0.25">
      <c r="A196" s="90">
        <v>700008</v>
      </c>
      <c r="B196" s="90" t="s">
        <v>178</v>
      </c>
      <c r="C196" s="91">
        <v>0</v>
      </c>
      <c r="D196" s="91">
        <v>89654.432000000001</v>
      </c>
      <c r="E196" s="91">
        <v>2700.19</v>
      </c>
      <c r="F196" s="91">
        <v>86954.241999999998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>Salaries and wages</v>
      </c>
      <c r="J196" t="str">
        <f>_xlfn.XLOOKUP($A196,Map!$A:$A,Map!F:F)</f>
        <v>Air tickets</v>
      </c>
    </row>
    <row r="197" spans="1:10" x14ac:dyDescent="0.25">
      <c r="A197" s="90">
        <v>700009</v>
      </c>
      <c r="B197" s="90" t="s">
        <v>179</v>
      </c>
      <c r="C197" s="91">
        <v>0</v>
      </c>
      <c r="D197" s="91">
        <v>299205.59700000001</v>
      </c>
      <c r="E197" s="91">
        <v>65343.85</v>
      </c>
      <c r="F197" s="91">
        <v>233861.747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Salaries and wages</v>
      </c>
      <c r="J197" t="str">
        <f>_xlfn.XLOOKUP($A197,Map!$A:$A,Map!F:F)</f>
        <v>Leave pay</v>
      </c>
    </row>
    <row r="198" spans="1:10" x14ac:dyDescent="0.25">
      <c r="A198" s="90">
        <v>700010</v>
      </c>
      <c r="B198" s="90" t="s">
        <v>180</v>
      </c>
      <c r="C198" s="91">
        <v>0</v>
      </c>
      <c r="D198" s="91">
        <v>1261456</v>
      </c>
      <c r="E198" s="91">
        <v>484527</v>
      </c>
      <c r="F198" s="91">
        <v>776929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Salaries and wages</v>
      </c>
      <c r="J198" t="str">
        <f>_xlfn.XLOOKUP($A198,Map!$A:$A,Map!F:F)</f>
        <v>Indemnities</v>
      </c>
    </row>
    <row r="199" spans="1:10" x14ac:dyDescent="0.25">
      <c r="A199" s="90">
        <v>700011</v>
      </c>
      <c r="B199" s="90" t="s">
        <v>181</v>
      </c>
      <c r="C199" s="91">
        <v>0</v>
      </c>
      <c r="D199" s="91">
        <v>18469.031999999999</v>
      </c>
      <c r="E199" s="91">
        <v>260</v>
      </c>
      <c r="F199" s="91">
        <v>18209.031999999999</v>
      </c>
      <c r="G199" t="str">
        <f>_xlfn.XLOOKUP($A199,Map!$A:$A,Map!C:C)</f>
        <v>IS</v>
      </c>
      <c r="H199" t="str">
        <f>_xlfn.XLOOKUP($A199,Map!$A:$A,Map!D:D)</f>
        <v>General and Admin</v>
      </c>
      <c r="I199" t="str">
        <f>_xlfn.XLOOKUP($A199,Map!$A:$A,Map!E:E)</f>
        <v>Salaries and wages</v>
      </c>
      <c r="J199" t="str">
        <f>_xlfn.XLOOKUP($A199,Map!$A:$A,Map!F:F)</f>
        <v>Air tickets</v>
      </c>
    </row>
    <row r="200" spans="1:10" x14ac:dyDescent="0.25">
      <c r="A200" s="90">
        <v>700012</v>
      </c>
      <c r="B200" s="90" t="s">
        <v>182</v>
      </c>
      <c r="C200" s="91">
        <v>0</v>
      </c>
      <c r="D200" s="91">
        <v>274421.78399999999</v>
      </c>
      <c r="E200" s="91">
        <v>266359.78399999999</v>
      </c>
      <c r="F200" s="91">
        <v>8062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Salaries and wages</v>
      </c>
      <c r="J200" t="str">
        <f>_xlfn.XLOOKUP($A200,Map!$A:$A,Map!F:F)</f>
        <v xml:space="preserve">Education &amp; Furniture Allowances </v>
      </c>
    </row>
    <row r="201" spans="1:10" x14ac:dyDescent="0.25">
      <c r="A201" s="90">
        <v>700013</v>
      </c>
      <c r="B201" s="90" t="s">
        <v>183</v>
      </c>
      <c r="C201" s="91">
        <v>0</v>
      </c>
      <c r="D201" s="91">
        <v>19283.560000000001</v>
      </c>
      <c r="E201" s="91">
        <v>19233.560000000001</v>
      </c>
      <c r="F201" s="91">
        <v>50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Utilities</v>
      </c>
      <c r="J201" t="str">
        <f>_xlfn.XLOOKUP($A201,Map!$A:$A,Map!F:F)</f>
        <v>Other general and administrative expenses</v>
      </c>
    </row>
    <row r="202" spans="1:10" x14ac:dyDescent="0.25">
      <c r="A202" s="90">
        <v>700014</v>
      </c>
      <c r="B202" s="90" t="s">
        <v>184</v>
      </c>
      <c r="C202" s="91">
        <v>0</v>
      </c>
      <c r="D202" s="91">
        <v>955</v>
      </c>
      <c r="E202" s="91">
        <v>0</v>
      </c>
      <c r="F202" s="91">
        <v>955</v>
      </c>
      <c r="G202" t="str">
        <f>_xlfn.XLOOKUP($A202,Map!$A:$A,Map!C:C)</f>
        <v>IS</v>
      </c>
      <c r="H202" t="str">
        <f>_xlfn.XLOOKUP($A202,Map!$A:$A,Map!D:D)</f>
        <v>General and Admin</v>
      </c>
      <c r="I202" t="str">
        <f>_xlfn.XLOOKUP($A202,Map!$A:$A,Map!E:E)</f>
        <v>Salaries and wages</v>
      </c>
      <c r="J202" t="str">
        <f>_xlfn.XLOOKUP($A202,Map!$A:$A,Map!F:F)</f>
        <v xml:space="preserve">Education &amp; Furniture Allowances </v>
      </c>
    </row>
    <row r="203" spans="1:10" x14ac:dyDescent="0.25">
      <c r="A203" s="90">
        <v>700015</v>
      </c>
      <c r="B203" s="90" t="s">
        <v>185</v>
      </c>
      <c r="C203" s="91">
        <v>0</v>
      </c>
      <c r="D203" s="91">
        <v>31366.517</v>
      </c>
      <c r="E203" s="91">
        <v>783</v>
      </c>
      <c r="F203" s="91">
        <v>30583.517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>Business travel</v>
      </c>
      <c r="J203" t="str">
        <f>_xlfn.XLOOKUP($A203,Map!$A:$A,Map!F:F)</f>
        <v>Transportation expenses</v>
      </c>
    </row>
    <row r="204" spans="1:10" x14ac:dyDescent="0.25">
      <c r="A204" s="90">
        <v>700016</v>
      </c>
      <c r="B204" s="90" t="s">
        <v>186</v>
      </c>
      <c r="C204" s="91">
        <v>0</v>
      </c>
      <c r="D204" s="91">
        <v>101034.38400000001</v>
      </c>
      <c r="E204" s="91">
        <v>424</v>
      </c>
      <c r="F204" s="91">
        <v>100610.38400000001</v>
      </c>
      <c r="G204" t="str">
        <f>_xlfn.XLOOKUP($A204,Map!$A:$A,Map!C:C)</f>
        <v>IS</v>
      </c>
      <c r="H204" t="str">
        <f>_xlfn.XLOOKUP($A204,Map!$A:$A,Map!D:D)</f>
        <v>Selling and Marketing</v>
      </c>
      <c r="I204" t="str">
        <f>_xlfn.XLOOKUP($A204,Map!$A:$A,Map!E:E)</f>
        <v>Buffet expenses</v>
      </c>
      <c r="J204" t="str">
        <f>_xlfn.XLOOKUP($A204,Map!$A:$A,Map!F:F)</f>
        <v>Food expenses</v>
      </c>
    </row>
    <row r="205" spans="1:10" x14ac:dyDescent="0.25">
      <c r="A205" s="90">
        <v>700017</v>
      </c>
      <c r="B205" s="90" t="s">
        <v>187</v>
      </c>
      <c r="C205" s="91">
        <v>0</v>
      </c>
      <c r="D205" s="91">
        <v>0</v>
      </c>
      <c r="E205" s="91">
        <v>0</v>
      </c>
      <c r="F205" s="91">
        <v>0</v>
      </c>
      <c r="G205" t="str">
        <f>_xlfn.XLOOKUP($A205,Map!$A:$A,Map!C:C)</f>
        <v>IS</v>
      </c>
      <c r="H205" t="str">
        <f>_xlfn.XLOOKUP($A205,Map!$A:$A,Map!D:D)</f>
        <v>General and Admin</v>
      </c>
      <c r="I205" t="str">
        <f>_xlfn.XLOOKUP($A205,Map!$A:$A,Map!E:E)</f>
        <v>Salaries and wages</v>
      </c>
      <c r="J205" t="str">
        <f>_xlfn.XLOOKUP($A205,Map!$A:$A,Map!F:F)</f>
        <v>Accommodation expenses</v>
      </c>
    </row>
    <row r="206" spans="1:10" x14ac:dyDescent="0.25">
      <c r="A206" s="90">
        <v>700018</v>
      </c>
      <c r="B206" s="90" t="s">
        <v>188</v>
      </c>
      <c r="C206" s="91">
        <v>0</v>
      </c>
      <c r="D206" s="91">
        <v>138880.07999999999</v>
      </c>
      <c r="E206" s="91">
        <v>0</v>
      </c>
      <c r="F206" s="91">
        <v>138880.07999999999</v>
      </c>
      <c r="G206" t="str">
        <f>_xlfn.XLOOKUP($A206,Map!$A:$A,Map!C:C)</f>
        <v>IS</v>
      </c>
      <c r="H206" t="str">
        <f>_xlfn.XLOOKUP($A206,Map!$A:$A,Map!D:D)</f>
        <v>General and Admin</v>
      </c>
      <c r="I206" t="str">
        <f>_xlfn.XLOOKUP($A206,Map!$A:$A,Map!E:E)</f>
        <v>Salaries and wages</v>
      </c>
      <c r="J206" t="str">
        <f>_xlfn.XLOOKUP($A206,Map!$A:$A,Map!F:F)</f>
        <v xml:space="preserve">Employee Medical Emergency Expenses </v>
      </c>
    </row>
    <row r="207" spans="1:10" x14ac:dyDescent="0.25">
      <c r="A207" s="90">
        <v>700019</v>
      </c>
      <c r="B207" s="90" t="s">
        <v>189</v>
      </c>
      <c r="C207" s="91">
        <v>0</v>
      </c>
      <c r="D207" s="91">
        <v>441515</v>
      </c>
      <c r="E207" s="91">
        <v>204567</v>
      </c>
      <c r="F207" s="91">
        <v>236948</v>
      </c>
      <c r="G207" t="str">
        <f>_xlfn.XLOOKUP($A207,Map!$A:$A,Map!C:C)</f>
        <v>IS</v>
      </c>
      <c r="H207" t="str">
        <f>_xlfn.XLOOKUP($A207,Map!$A:$A,Map!D:D)</f>
        <v>General and Admin</v>
      </c>
      <c r="I207" t="str">
        <f>_xlfn.XLOOKUP($A207,Map!$A:$A,Map!E:E)</f>
        <v>Salaries and wages</v>
      </c>
      <c r="J207" t="str">
        <f>_xlfn.XLOOKUP($A207,Map!$A:$A,Map!F:F)</f>
        <v xml:space="preserve">Incentives </v>
      </c>
    </row>
    <row r="208" spans="1:10" x14ac:dyDescent="0.25">
      <c r="A208" s="90">
        <v>700020</v>
      </c>
      <c r="B208" s="90" t="s">
        <v>190</v>
      </c>
      <c r="C208" s="91">
        <v>0</v>
      </c>
      <c r="D208" s="91">
        <v>514135.84899999999</v>
      </c>
      <c r="E208" s="91">
        <v>0</v>
      </c>
      <c r="F208" s="91">
        <v>514135.84899999999</v>
      </c>
      <c r="G208" t="str">
        <f>_xlfn.XLOOKUP($A208,Map!$A:$A,Map!C:C)</f>
        <v>IS</v>
      </c>
      <c r="H208" t="str">
        <f>_xlfn.XLOOKUP($A208,Map!$A:$A,Map!D:D)</f>
        <v>General and Admin</v>
      </c>
      <c r="I208" t="str">
        <f>_xlfn.XLOOKUP($A208,Map!$A:$A,Map!E:E)</f>
        <v>Utilities</v>
      </c>
      <c r="J208" t="str">
        <f>_xlfn.XLOOKUP($A208,Map!$A:$A,Map!F:F)</f>
        <v>Electricity expenses</v>
      </c>
    </row>
    <row r="209" spans="1:10" x14ac:dyDescent="0.25">
      <c r="A209" s="90">
        <v>700021</v>
      </c>
      <c r="B209" s="90" t="s">
        <v>191</v>
      </c>
      <c r="C209" s="91">
        <v>0</v>
      </c>
      <c r="D209" s="91">
        <v>12153</v>
      </c>
      <c r="E209" s="91">
        <v>4056</v>
      </c>
      <c r="F209" s="91">
        <v>8097</v>
      </c>
      <c r="G209" t="str">
        <f>_xlfn.XLOOKUP($A209,Map!$A:$A,Map!C:C)</f>
        <v>IS</v>
      </c>
      <c r="H209" t="str">
        <f>_xlfn.XLOOKUP($A209,Map!$A:$A,Map!D:D)</f>
        <v>General and Admin</v>
      </c>
      <c r="I209" t="str">
        <f>_xlfn.XLOOKUP($A209,Map!$A:$A,Map!E:E)</f>
        <v>Utilities</v>
      </c>
      <c r="J209" t="str">
        <f>_xlfn.XLOOKUP($A209,Map!$A:$A,Map!F:F)</f>
        <v>Other general and administrative expenses</v>
      </c>
    </row>
    <row r="210" spans="1:10" x14ac:dyDescent="0.25">
      <c r="A210" s="90">
        <v>700022</v>
      </c>
      <c r="B210" s="90" t="s">
        <v>192</v>
      </c>
      <c r="C210" s="91">
        <v>0</v>
      </c>
      <c r="D210" s="91">
        <v>78374.3</v>
      </c>
      <c r="E210" s="91">
        <v>0</v>
      </c>
      <c r="F210" s="91">
        <v>78374.3</v>
      </c>
      <c r="G210" t="str">
        <f>_xlfn.XLOOKUP($A210,Map!$A:$A,Map!C:C)</f>
        <v>IS</v>
      </c>
      <c r="H210" t="str">
        <f>_xlfn.XLOOKUP($A210,Map!$A:$A,Map!D:D)</f>
        <v>General and Admin</v>
      </c>
      <c r="I210" t="str">
        <f>_xlfn.XLOOKUP($A210,Map!$A:$A,Map!E:E)</f>
        <v>Utilities</v>
      </c>
      <c r="J210" t="str">
        <f>_xlfn.XLOOKUP($A210,Map!$A:$A,Map!F:F)</f>
        <v>Other general and administrative expenses</v>
      </c>
    </row>
    <row r="211" spans="1:10" x14ac:dyDescent="0.25">
      <c r="A211" s="90">
        <v>700023</v>
      </c>
      <c r="B211" s="90" t="s">
        <v>193</v>
      </c>
      <c r="C211" s="91">
        <v>0</v>
      </c>
      <c r="D211" s="91">
        <v>12996.704</v>
      </c>
      <c r="E211" s="91">
        <v>0</v>
      </c>
      <c r="F211" s="91">
        <v>12996.704</v>
      </c>
      <c r="G211" t="str">
        <f>_xlfn.XLOOKUP($A211,Map!$A:$A,Map!C:C)</f>
        <v>IS</v>
      </c>
      <c r="H211" t="str">
        <f>_xlfn.XLOOKUP($A211,Map!$A:$A,Map!D:D)</f>
        <v>General and Admin</v>
      </c>
      <c r="I211" t="str">
        <f>_xlfn.XLOOKUP($A211,Map!$A:$A,Map!E:E)</f>
        <v>Utilities</v>
      </c>
      <c r="J211" t="str">
        <f>_xlfn.XLOOKUP($A211,Map!$A:$A,Map!F:F)</f>
        <v xml:space="preserve">Postage &amp; Printing </v>
      </c>
    </row>
    <row r="212" spans="1:10" x14ac:dyDescent="0.25">
      <c r="A212" s="90">
        <v>700024</v>
      </c>
      <c r="B212" s="90" t="s">
        <v>194</v>
      </c>
      <c r="C212" s="91">
        <v>0</v>
      </c>
      <c r="D212" s="91">
        <v>716833.78399999999</v>
      </c>
      <c r="E212" s="91">
        <v>26516.317999999999</v>
      </c>
      <c r="F212" s="91">
        <v>690317.46600000001</v>
      </c>
      <c r="G212" t="str">
        <f>_xlfn.XLOOKUP($A212,Map!$A:$A,Map!C:C)</f>
        <v>IS</v>
      </c>
      <c r="H212" t="str">
        <f>_xlfn.XLOOKUP($A212,Map!$A:$A,Map!D:D)</f>
        <v>General and Admin</v>
      </c>
      <c r="I212" t="str">
        <f>_xlfn.XLOOKUP($A212,Map!$A:$A,Map!E:E)</f>
        <v>IT expenses</v>
      </c>
      <c r="J212" t="str">
        <f>_xlfn.XLOOKUP($A212,Map!$A:$A,Map!F:F)</f>
        <v>Other general and administrative expenses</v>
      </c>
    </row>
    <row r="213" spans="1:10" x14ac:dyDescent="0.25">
      <c r="A213" s="90">
        <v>700025</v>
      </c>
      <c r="B213" s="90" t="s">
        <v>195</v>
      </c>
      <c r="C213" s="91">
        <v>0</v>
      </c>
      <c r="D213" s="91">
        <v>883148.51</v>
      </c>
      <c r="E213" s="91">
        <v>105973.2</v>
      </c>
      <c r="F213" s="91">
        <v>777175.31</v>
      </c>
      <c r="G213" t="str">
        <f>_xlfn.XLOOKUP($A213,Map!$A:$A,Map!C:C)</f>
        <v>IS</v>
      </c>
      <c r="H213" t="str">
        <f>_xlfn.XLOOKUP($A213,Map!$A:$A,Map!D:D)</f>
        <v>General and Admin</v>
      </c>
      <c r="I213" t="str">
        <f>_xlfn.XLOOKUP($A213,Map!$A:$A,Map!E:E)</f>
        <v>Salaries and wages</v>
      </c>
      <c r="J213" t="str">
        <f>_xlfn.XLOOKUP($A213,Map!$A:$A,Map!F:F)</f>
        <v>Salaries and wages</v>
      </c>
    </row>
    <row r="214" spans="1:10" x14ac:dyDescent="0.25">
      <c r="A214" s="90">
        <v>700026</v>
      </c>
      <c r="B214" s="90" t="s">
        <v>196</v>
      </c>
      <c r="C214" s="91">
        <v>0</v>
      </c>
      <c r="D214" s="91">
        <v>0</v>
      </c>
      <c r="E214" s="91">
        <v>0</v>
      </c>
      <c r="F214" s="91">
        <v>0</v>
      </c>
      <c r="G214" t="str">
        <f>_xlfn.XLOOKUP($A214,Map!$A:$A,Map!C:C)</f>
        <v>IS</v>
      </c>
      <c r="H214" t="str">
        <f>_xlfn.XLOOKUP($A214,Map!$A:$A,Map!D:D)</f>
        <v>General and Admin</v>
      </c>
      <c r="I214" t="str">
        <f>_xlfn.XLOOKUP($A214,Map!$A:$A,Map!E:E)</f>
        <v>Utilities</v>
      </c>
      <c r="J214" t="str">
        <f>_xlfn.XLOOKUP($A214,Map!$A:$A,Map!F:F)</f>
        <v>Magazines &amp; News Papers Exp.</v>
      </c>
    </row>
    <row r="215" spans="1:10" x14ac:dyDescent="0.25">
      <c r="A215" s="90">
        <v>700027</v>
      </c>
      <c r="B215" s="90" t="s">
        <v>197</v>
      </c>
      <c r="C215" s="91">
        <v>0</v>
      </c>
      <c r="D215" s="91">
        <v>441573.53</v>
      </c>
      <c r="E215" s="91">
        <v>0</v>
      </c>
      <c r="F215" s="91">
        <v>441573.53</v>
      </c>
      <c r="G215" t="str">
        <f>_xlfn.XLOOKUP($A215,Map!$A:$A,Map!C:C)</f>
        <v>IS</v>
      </c>
      <c r="H215" t="str">
        <f>_xlfn.XLOOKUP($A215,Map!$A:$A,Map!D:D)</f>
        <v>General and Admin</v>
      </c>
      <c r="I215" t="str">
        <f>_xlfn.XLOOKUP($A215,Map!$A:$A,Map!E:E)</f>
        <v>Training</v>
      </c>
      <c r="J215" t="str">
        <f>_xlfn.XLOOKUP($A215,Map!$A:$A,Map!F:F)</f>
        <v>Training</v>
      </c>
    </row>
    <row r="216" spans="1:10" x14ac:dyDescent="0.25">
      <c r="A216" s="90">
        <v>700028</v>
      </c>
      <c r="B216" s="90" t="s">
        <v>198</v>
      </c>
      <c r="C216" s="91">
        <v>0</v>
      </c>
      <c r="D216" s="91">
        <v>2586.23</v>
      </c>
      <c r="E216" s="91">
        <v>123</v>
      </c>
      <c r="F216" s="91">
        <v>2463.23</v>
      </c>
      <c r="G216" t="str">
        <f>_xlfn.XLOOKUP($A216,Map!$A:$A,Map!C:C)</f>
        <v>IS</v>
      </c>
      <c r="H216" t="str">
        <f>_xlfn.XLOOKUP($A216,Map!$A:$A,Map!D:D)</f>
        <v>General and Admin</v>
      </c>
      <c r="I216" t="str">
        <f>_xlfn.XLOOKUP($A216,Map!$A:$A,Map!E:E)</f>
        <v xml:space="preserve">Back office Support </v>
      </c>
      <c r="J216" t="str">
        <f>_xlfn.XLOOKUP($A216,Map!$A:$A,Map!F:F)</f>
        <v>Stationery expenses</v>
      </c>
    </row>
    <row r="217" spans="1:10" x14ac:dyDescent="0.25">
      <c r="A217" s="90">
        <v>700029</v>
      </c>
      <c r="B217" s="90" t="s">
        <v>199</v>
      </c>
      <c r="C217" s="91">
        <v>0</v>
      </c>
      <c r="D217" s="91">
        <v>5568.5</v>
      </c>
      <c r="E217" s="91">
        <v>0</v>
      </c>
      <c r="F217" s="91">
        <v>5568.5</v>
      </c>
      <c r="G217" t="str">
        <f>_xlfn.XLOOKUP($A217,Map!$A:$A,Map!C:C)</f>
        <v>IS</v>
      </c>
      <c r="H217" t="str">
        <f>_xlfn.XLOOKUP($A217,Map!$A:$A,Map!D:D)</f>
        <v>General and Admin</v>
      </c>
      <c r="I217" t="str">
        <f>_xlfn.XLOOKUP($A217,Map!$A:$A,Map!E:E)</f>
        <v>Utilities</v>
      </c>
      <c r="J217" t="str">
        <f>_xlfn.XLOOKUP($A217,Map!$A:$A,Map!F:F)</f>
        <v xml:space="preserve">Postage &amp; Printing </v>
      </c>
    </row>
    <row r="218" spans="1:10" x14ac:dyDescent="0.25">
      <c r="A218" s="90">
        <v>700030</v>
      </c>
      <c r="B218" s="90" t="s">
        <v>200</v>
      </c>
      <c r="C218" s="91">
        <v>0</v>
      </c>
      <c r="D218" s="91">
        <v>11204</v>
      </c>
      <c r="E218" s="91">
        <v>875</v>
      </c>
      <c r="F218" s="91">
        <v>10329</v>
      </c>
      <c r="G218" t="str">
        <f>_xlfn.XLOOKUP($A218,Map!$A:$A,Map!C:C)</f>
        <v>IS</v>
      </c>
      <c r="H218" t="str">
        <f>_xlfn.XLOOKUP($A218,Map!$A:$A,Map!D:D)</f>
        <v>General and Admin</v>
      </c>
      <c r="I218" t="str">
        <f>_xlfn.XLOOKUP($A218,Map!$A:$A,Map!E:E)</f>
        <v>Utilities</v>
      </c>
      <c r="J218" t="str">
        <f>_xlfn.XLOOKUP($A218,Map!$A:$A,Map!F:F)</f>
        <v>Building maintenance</v>
      </c>
    </row>
    <row r="219" spans="1:10" x14ac:dyDescent="0.25">
      <c r="A219" s="90">
        <v>700031</v>
      </c>
      <c r="B219" s="90" t="s">
        <v>201</v>
      </c>
      <c r="C219" s="91">
        <v>0</v>
      </c>
      <c r="D219" s="91">
        <v>7586</v>
      </c>
      <c r="E219" s="91">
        <v>0</v>
      </c>
      <c r="F219" s="91">
        <v>7586</v>
      </c>
      <c r="G219" t="str">
        <f>_xlfn.XLOOKUP($A219,Map!$A:$A,Map!C:C)</f>
        <v>IS</v>
      </c>
      <c r="H219" t="str">
        <f>_xlfn.XLOOKUP($A219,Map!$A:$A,Map!D:D)</f>
        <v>General and Admin</v>
      </c>
      <c r="I219" t="str">
        <f>_xlfn.XLOOKUP($A219,Map!$A:$A,Map!E:E)</f>
        <v>Utilities</v>
      </c>
      <c r="J219" t="str">
        <f>_xlfn.XLOOKUP($A219,Map!$A:$A,Map!F:F)</f>
        <v>Office equipment maintenance</v>
      </c>
    </row>
    <row r="220" spans="1:10" x14ac:dyDescent="0.25">
      <c r="A220" s="90">
        <v>700032</v>
      </c>
      <c r="B220" s="90" t="s">
        <v>202</v>
      </c>
      <c r="C220" s="91">
        <v>0</v>
      </c>
      <c r="D220" s="91">
        <v>87230.213000000003</v>
      </c>
      <c r="E220" s="91">
        <v>11334.2</v>
      </c>
      <c r="F220" s="91">
        <v>75896.013000000006</v>
      </c>
      <c r="G220" t="str">
        <f>_xlfn.XLOOKUP($A220,Map!$A:$A,Map!C:C)</f>
        <v>IS</v>
      </c>
      <c r="H220" t="str">
        <f>_xlfn.XLOOKUP($A220,Map!$A:$A,Map!D:D)</f>
        <v>General and Admin</v>
      </c>
      <c r="I220" t="str">
        <f>_xlfn.XLOOKUP($A220,Map!$A:$A,Map!E:E)</f>
        <v>Utilities</v>
      </c>
      <c r="J220" t="str">
        <f>_xlfn.XLOOKUP($A220,Map!$A:$A,Map!F:F)</f>
        <v>Vehicle maintenance</v>
      </c>
    </row>
    <row r="221" spans="1:10" x14ac:dyDescent="0.25">
      <c r="A221" s="90">
        <v>700033</v>
      </c>
      <c r="B221" s="90" t="s">
        <v>203</v>
      </c>
      <c r="C221" s="91">
        <v>0</v>
      </c>
      <c r="D221" s="91">
        <v>57659.377999999997</v>
      </c>
      <c r="E221" s="91">
        <v>0</v>
      </c>
      <c r="F221" s="91">
        <v>57659.377999999997</v>
      </c>
      <c r="G221" t="str">
        <f>_xlfn.XLOOKUP($A221,Map!$A:$A,Map!C:C)</f>
        <v>IS</v>
      </c>
      <c r="H221" t="str">
        <f>_xlfn.XLOOKUP($A221,Map!$A:$A,Map!D:D)</f>
        <v>General and Admin</v>
      </c>
      <c r="I221" t="str">
        <f>_xlfn.XLOOKUP($A221,Map!$A:$A,Map!E:E)</f>
        <v>Utilities</v>
      </c>
      <c r="J221" t="str">
        <f>_xlfn.XLOOKUP($A221,Map!$A:$A,Map!F:F)</f>
        <v>Fuel and oil</v>
      </c>
    </row>
    <row r="222" spans="1:10" x14ac:dyDescent="0.25">
      <c r="A222" s="90">
        <v>700034</v>
      </c>
      <c r="B222" s="90" t="s">
        <v>204</v>
      </c>
      <c r="C222" s="91">
        <v>0</v>
      </c>
      <c r="D222" s="91">
        <v>43643.508000000002</v>
      </c>
      <c r="E222" s="91">
        <v>4243.45</v>
      </c>
      <c r="F222" s="91">
        <v>39400.057999999997</v>
      </c>
      <c r="G222" t="str">
        <f>_xlfn.XLOOKUP($A222,Map!$A:$A,Map!C:C)</f>
        <v>IS</v>
      </c>
      <c r="H222" t="str">
        <f>_xlfn.XLOOKUP($A222,Map!$A:$A,Map!D:D)</f>
        <v>General and Admin</v>
      </c>
      <c r="I222" t="str">
        <f>_xlfn.XLOOKUP($A222,Map!$A:$A,Map!E:E)</f>
        <v xml:space="preserve">Back office Support </v>
      </c>
      <c r="J222" t="str">
        <f>_xlfn.XLOOKUP($A222,Map!$A:$A,Map!F:F)</f>
        <v>Consumables</v>
      </c>
    </row>
    <row r="223" spans="1:10" x14ac:dyDescent="0.25">
      <c r="A223" s="90">
        <v>700035</v>
      </c>
      <c r="B223" s="90" t="s">
        <v>205</v>
      </c>
      <c r="C223" s="91">
        <v>0</v>
      </c>
      <c r="D223" s="91">
        <v>0</v>
      </c>
      <c r="E223" s="91">
        <v>1573353</v>
      </c>
      <c r="F223" s="91">
        <v>-1573353</v>
      </c>
      <c r="G223" t="str">
        <f>_xlfn.XLOOKUP($A223,Map!$A:$A,Map!C:C)</f>
        <v>IS</v>
      </c>
      <c r="H223" t="str">
        <f>_xlfn.XLOOKUP($A223,Map!$A:$A,Map!D:D)</f>
        <v>General and Admin</v>
      </c>
      <c r="I223" t="str">
        <f>_xlfn.XLOOKUP($A223,Map!$A:$A,Map!E:E)</f>
        <v>Actuarial gains and losses</v>
      </c>
      <c r="J223" t="str">
        <f>_xlfn.XLOOKUP($A223,Map!$A:$A,Map!F:F)</f>
        <v>Other general and administrative expenses</v>
      </c>
    </row>
    <row r="224" spans="1:10" x14ac:dyDescent="0.25">
      <c r="A224" s="90">
        <v>700036</v>
      </c>
      <c r="B224" s="90" t="s">
        <v>206</v>
      </c>
      <c r="C224" s="91">
        <v>0</v>
      </c>
      <c r="D224" s="91">
        <v>55533.06</v>
      </c>
      <c r="E224" s="91">
        <v>0</v>
      </c>
      <c r="F224" s="91">
        <v>55533.06</v>
      </c>
      <c r="G224" t="str">
        <f>_xlfn.XLOOKUP($A224,Map!$A:$A,Map!C:C)</f>
        <v>IS</v>
      </c>
      <c r="H224" t="str">
        <f>_xlfn.XLOOKUP($A224,Map!$A:$A,Map!D:D)</f>
        <v>General and Admin</v>
      </c>
      <c r="I224" t="str">
        <f>_xlfn.XLOOKUP($A224,Map!$A:$A,Map!E:E)</f>
        <v>Utilities</v>
      </c>
      <c r="J224" t="str">
        <f>_xlfn.XLOOKUP($A224,Map!$A:$A,Map!F:F)</f>
        <v>Vehicle insurance</v>
      </c>
    </row>
    <row r="225" spans="1:10" x14ac:dyDescent="0.25">
      <c r="A225" s="90">
        <v>700037</v>
      </c>
      <c r="B225" s="90" t="s">
        <v>207</v>
      </c>
      <c r="C225" s="91">
        <v>0</v>
      </c>
      <c r="D225" s="91">
        <v>0</v>
      </c>
      <c r="E225" s="91">
        <v>0</v>
      </c>
      <c r="F225" s="91">
        <v>0</v>
      </c>
      <c r="G225" t="str">
        <f>_xlfn.XLOOKUP($A225,Map!$A:$A,Map!C:C)</f>
        <v>IS</v>
      </c>
      <c r="H225" t="str">
        <f>_xlfn.XLOOKUP($A225,Map!$A:$A,Map!D:D)</f>
        <v>Finance cost</v>
      </c>
      <c r="I225" t="str">
        <f>_xlfn.XLOOKUP($A225,Map!$A:$A,Map!E:E)</f>
        <v>Finance cost</v>
      </c>
      <c r="J225" t="str">
        <f>_xlfn.XLOOKUP($A225,Map!$A:$A,Map!F:F)</f>
        <v>Lease interest</v>
      </c>
    </row>
    <row r="226" spans="1:10" x14ac:dyDescent="0.25">
      <c r="A226" s="90">
        <v>700038</v>
      </c>
      <c r="B226" s="90" t="s">
        <v>208</v>
      </c>
      <c r="C226" s="91">
        <v>0</v>
      </c>
      <c r="D226" s="91">
        <v>1269267.5160000001</v>
      </c>
      <c r="E226" s="91">
        <v>123075.56</v>
      </c>
      <c r="F226" s="91">
        <v>1146191.956</v>
      </c>
      <c r="G226" t="str">
        <f>_xlfn.XLOOKUP($A226,Map!$A:$A,Map!C:C)</f>
        <v>IS</v>
      </c>
      <c r="H226" t="str">
        <f>_xlfn.XLOOKUP($A226,Map!$A:$A,Map!D:D)</f>
        <v>General and Admin</v>
      </c>
      <c r="I226" t="str">
        <f>_xlfn.XLOOKUP($A226,Map!$A:$A,Map!E:E)</f>
        <v>Business travel</v>
      </c>
      <c r="J226" t="str">
        <f>_xlfn.XLOOKUP($A226,Map!$A:$A,Map!F:F)</f>
        <v>Bussiness trip expenses</v>
      </c>
    </row>
    <row r="227" spans="1:10" x14ac:dyDescent="0.25">
      <c r="A227" s="90">
        <v>700039</v>
      </c>
      <c r="B227" s="90" t="s">
        <v>209</v>
      </c>
      <c r="C227" s="91">
        <v>0</v>
      </c>
      <c r="D227" s="91">
        <v>11842.34</v>
      </c>
      <c r="E227" s="91">
        <v>80</v>
      </c>
      <c r="F227" s="91">
        <v>11762.34</v>
      </c>
      <c r="G227" t="str">
        <f>_xlfn.XLOOKUP($A227,Map!$A:$A,Map!C:C)</f>
        <v>IS</v>
      </c>
      <c r="H227" t="str">
        <f>_xlfn.XLOOKUP($A227,Map!$A:$A,Map!D:D)</f>
        <v>Selling and Marketing</v>
      </c>
      <c r="I227" t="str">
        <f>_xlfn.XLOOKUP($A227,Map!$A:$A,Map!E:E)</f>
        <v>Buffet expenses</v>
      </c>
      <c r="J227" t="str">
        <f>_xlfn.XLOOKUP($A227,Map!$A:$A,Map!F:F)</f>
        <v>Buffet expenses</v>
      </c>
    </row>
    <row r="228" spans="1:10" x14ac:dyDescent="0.25">
      <c r="A228" s="90">
        <v>700040</v>
      </c>
      <c r="B228" s="90" t="s">
        <v>210</v>
      </c>
      <c r="C228" s="91">
        <v>0</v>
      </c>
      <c r="D228" s="91">
        <v>187744.17</v>
      </c>
      <c r="E228" s="91">
        <v>0</v>
      </c>
      <c r="F228" s="91">
        <v>187744.17</v>
      </c>
      <c r="G228" t="str">
        <f>_xlfn.XLOOKUP($A228,Map!$A:$A,Map!C:C)</f>
        <v>IS</v>
      </c>
      <c r="H228" t="str">
        <f>_xlfn.XLOOKUP($A228,Map!$A:$A,Map!D:D)</f>
        <v>General and Admin</v>
      </c>
      <c r="I228" t="str">
        <f>_xlfn.XLOOKUP($A228,Map!$A:$A,Map!E:E)</f>
        <v>Utilities</v>
      </c>
      <c r="J228" t="str">
        <f>_xlfn.XLOOKUP($A228,Map!$A:$A,Map!F:F)</f>
        <v xml:space="preserve">Cleaning Expenses </v>
      </c>
    </row>
    <row r="229" spans="1:10" x14ac:dyDescent="0.25">
      <c r="A229" s="90">
        <v>700041</v>
      </c>
      <c r="B229" s="90" t="s">
        <v>211</v>
      </c>
      <c r="C229" s="91">
        <v>0</v>
      </c>
      <c r="D229" s="91">
        <v>278873.55099999998</v>
      </c>
      <c r="E229" s="91">
        <v>231024</v>
      </c>
      <c r="F229" s="91">
        <v>47849.550999999999</v>
      </c>
      <c r="G229" t="str">
        <f>_xlfn.XLOOKUP($A229,Map!$A:$A,Map!C:C)</f>
        <v>IS</v>
      </c>
      <c r="H229" t="str">
        <f>_xlfn.XLOOKUP($A229,Map!$A:$A,Map!D:D)</f>
        <v>General and Admin</v>
      </c>
      <c r="I229" t="str">
        <f>_xlfn.XLOOKUP($A229,Map!$A:$A,Map!E:E)</f>
        <v>Salaries and wages</v>
      </c>
      <c r="J229" t="str">
        <f>_xlfn.XLOOKUP($A229,Map!$A:$A,Map!F:F)</f>
        <v>Recruitment</v>
      </c>
    </row>
    <row r="230" spans="1:10" x14ac:dyDescent="0.25">
      <c r="A230" s="90">
        <v>700042</v>
      </c>
      <c r="B230" s="90" t="s">
        <v>212</v>
      </c>
      <c r="C230" s="91">
        <v>0</v>
      </c>
      <c r="D230" s="91">
        <v>33334</v>
      </c>
      <c r="E230" s="91">
        <v>33334</v>
      </c>
      <c r="F230" s="91">
        <v>0</v>
      </c>
      <c r="G230" t="str">
        <f>_xlfn.XLOOKUP($A230,Map!$A:$A,Map!C:C)</f>
        <v>IS</v>
      </c>
      <c r="H230" t="str">
        <f>_xlfn.XLOOKUP($A230,Map!$A:$A,Map!D:D)</f>
        <v>General and Admin</v>
      </c>
      <c r="I230" t="str">
        <f>_xlfn.XLOOKUP($A230,Map!$A:$A,Map!E:E)</f>
        <v xml:space="preserve">Back office Support </v>
      </c>
      <c r="J230" t="str">
        <f>_xlfn.XLOOKUP($A230,Map!$A:$A,Map!F:F)</f>
        <v>Other expenses</v>
      </c>
    </row>
    <row r="231" spans="1:10" x14ac:dyDescent="0.25">
      <c r="A231" s="90">
        <v>700043</v>
      </c>
      <c r="B231" s="90" t="s">
        <v>213</v>
      </c>
      <c r="C231" s="91">
        <v>0</v>
      </c>
      <c r="D231" s="91">
        <v>111808.7</v>
      </c>
      <c r="E231" s="91">
        <v>0</v>
      </c>
      <c r="F231" s="91">
        <v>111808.7</v>
      </c>
      <c r="G231" t="str">
        <f>_xlfn.XLOOKUP($A231,Map!$A:$A,Map!C:C)</f>
        <v>IS</v>
      </c>
      <c r="H231" t="str">
        <f>_xlfn.XLOOKUP($A231,Map!$A:$A,Map!D:D)</f>
        <v>General and Admin</v>
      </c>
      <c r="I231" t="str">
        <f>_xlfn.XLOOKUP($A231,Map!$A:$A,Map!E:E)</f>
        <v>Govt license and fees (including modon)</v>
      </c>
      <c r="J231" t="str">
        <f>_xlfn.XLOOKUP($A231,Map!$A:$A,Map!F:F)</f>
        <v>Licenses and fees</v>
      </c>
    </row>
    <row r="232" spans="1:10" x14ac:dyDescent="0.25">
      <c r="A232" s="90">
        <v>700044</v>
      </c>
      <c r="B232" s="90" t="s">
        <v>214</v>
      </c>
      <c r="C232" s="91">
        <v>0</v>
      </c>
      <c r="D232" s="91">
        <v>38868</v>
      </c>
      <c r="E232" s="91">
        <v>210</v>
      </c>
      <c r="F232" s="91">
        <v>38658</v>
      </c>
      <c r="G232" t="str">
        <f>_xlfn.XLOOKUP($A232,Map!$A:$A,Map!C:C)</f>
        <v>IS</v>
      </c>
      <c r="H232" t="str">
        <f>_xlfn.XLOOKUP($A232,Map!$A:$A,Map!D:D)</f>
        <v>General and Admin</v>
      </c>
      <c r="I232" t="str">
        <f>_xlfn.XLOOKUP($A232,Map!$A:$A,Map!E:E)</f>
        <v>Govt license and fees (including modon)</v>
      </c>
      <c r="J232" t="str">
        <f>_xlfn.XLOOKUP($A232,Map!$A:$A,Map!F:F)</f>
        <v>Government fees</v>
      </c>
    </row>
    <row r="233" spans="1:10" x14ac:dyDescent="0.25">
      <c r="A233" s="90">
        <v>700045</v>
      </c>
      <c r="B233" s="90" t="s">
        <v>215</v>
      </c>
      <c r="C233" s="91">
        <v>0</v>
      </c>
      <c r="D233" s="91">
        <v>9569876.6449999996</v>
      </c>
      <c r="E233" s="91">
        <v>1897669.503</v>
      </c>
      <c r="F233" s="91">
        <v>7672207.142</v>
      </c>
      <c r="G233" t="str">
        <f>_xlfn.XLOOKUP($A233,Map!$A:$A,Map!C:C)</f>
        <v>IS</v>
      </c>
      <c r="H233" t="str">
        <f>_xlfn.XLOOKUP($A233,Map!$A:$A,Map!D:D)</f>
        <v>Finance cost</v>
      </c>
      <c r="I233" t="str">
        <f>_xlfn.XLOOKUP($A233,Map!$A:$A,Map!E:E)</f>
        <v>Finance cost</v>
      </c>
      <c r="J233" t="str">
        <f>_xlfn.XLOOKUP($A233,Map!$A:$A,Map!F:F)</f>
        <v>Bank charges</v>
      </c>
    </row>
    <row r="234" spans="1:10" x14ac:dyDescent="0.25">
      <c r="A234" s="90">
        <v>700048</v>
      </c>
      <c r="B234" s="90" t="s">
        <v>216</v>
      </c>
      <c r="C234" s="91">
        <v>0</v>
      </c>
      <c r="D234" s="91">
        <v>10171.629999999999</v>
      </c>
      <c r="E234" s="91">
        <v>610.59</v>
      </c>
      <c r="F234" s="91">
        <v>9561.0400000000009</v>
      </c>
      <c r="G234" t="str">
        <f>_xlfn.XLOOKUP($A234,Map!$A:$A,Map!C:C)</f>
        <v>IS</v>
      </c>
      <c r="H234" t="str">
        <f>_xlfn.XLOOKUP($A234,Map!$A:$A,Map!D:D)</f>
        <v>Zakat</v>
      </c>
      <c r="I234" t="str">
        <f>_xlfn.XLOOKUP($A234,Map!$A:$A,Map!E:E)</f>
        <v>Zakat expenses</v>
      </c>
      <c r="J234" t="str">
        <f>_xlfn.XLOOKUP($A234,Map!$A:$A,Map!F:F)</f>
        <v>Zakat expenses</v>
      </c>
    </row>
    <row r="235" spans="1:10" x14ac:dyDescent="0.25">
      <c r="A235" s="90">
        <v>700049</v>
      </c>
      <c r="B235" s="90" t="s">
        <v>217</v>
      </c>
      <c r="C235" s="91">
        <v>0</v>
      </c>
      <c r="D235" s="91">
        <v>0</v>
      </c>
      <c r="E235" s="91">
        <v>0</v>
      </c>
      <c r="F235" s="91">
        <v>0</v>
      </c>
      <c r="G235" t="str">
        <f>_xlfn.XLOOKUP($A235,Map!$A:$A,Map!C:C)</f>
        <v>IS</v>
      </c>
      <c r="H235" t="str">
        <f>_xlfn.XLOOKUP($A235,Map!$A:$A,Map!D:D)</f>
        <v>General and Admin</v>
      </c>
      <c r="I235" t="str">
        <f>_xlfn.XLOOKUP($A235,Map!$A:$A,Map!E:E)</f>
        <v>Salaries and wages</v>
      </c>
      <c r="J235" t="str">
        <f>_xlfn.XLOOKUP($A235,Map!$A:$A,Map!F:F)</f>
        <v>Sadagat expense</v>
      </c>
    </row>
    <row r="236" spans="1:10" x14ac:dyDescent="0.25">
      <c r="A236" s="90">
        <v>700050</v>
      </c>
      <c r="B236" s="90" t="s">
        <v>218</v>
      </c>
      <c r="C236" s="91">
        <v>0</v>
      </c>
      <c r="D236" s="91">
        <v>0</v>
      </c>
      <c r="E236" s="91">
        <v>0</v>
      </c>
      <c r="F236" s="91">
        <v>0</v>
      </c>
      <c r="G236" t="str">
        <f>_xlfn.XLOOKUP($A236,Map!$A:$A,Map!C:C)</f>
        <v>IS</v>
      </c>
      <c r="H236" t="str">
        <f>_xlfn.XLOOKUP($A236,Map!$A:$A,Map!D:D)</f>
        <v>Depreciation expenses</v>
      </c>
      <c r="I236" t="str">
        <f>_xlfn.XLOOKUP($A236,Map!$A:$A,Map!E:E)</f>
        <v>Depreciation expenses</v>
      </c>
      <c r="J236" t="str">
        <f>_xlfn.XLOOKUP($A236,Map!$A:$A,Map!F:F)</f>
        <v>Depreciation of property, plant and equipment</v>
      </c>
    </row>
    <row r="237" spans="1:10" x14ac:dyDescent="0.25">
      <c r="A237" s="90">
        <v>700052</v>
      </c>
      <c r="B237" s="90" t="s">
        <v>219</v>
      </c>
      <c r="C237" s="91">
        <v>0</v>
      </c>
      <c r="D237" s="91">
        <v>0</v>
      </c>
      <c r="E237" s="91">
        <v>0</v>
      </c>
      <c r="F237" s="91">
        <v>0</v>
      </c>
      <c r="G237" t="str">
        <f>_xlfn.XLOOKUP($A237,Map!$A:$A,Map!C:C)</f>
        <v>IS</v>
      </c>
      <c r="H237" t="str">
        <f>_xlfn.XLOOKUP($A237,Map!$A:$A,Map!D:D)</f>
        <v>Depreciation expenses</v>
      </c>
      <c r="I237" t="str">
        <f>_xlfn.XLOOKUP($A237,Map!$A:$A,Map!E:E)</f>
        <v>Depreciation expenses</v>
      </c>
      <c r="J237" t="str">
        <f>_xlfn.XLOOKUP($A237,Map!$A:$A,Map!F:F)</f>
        <v>Depreciation of property, plant and equipment</v>
      </c>
    </row>
    <row r="238" spans="1:10" x14ac:dyDescent="0.25">
      <c r="A238" s="90">
        <v>700053</v>
      </c>
      <c r="B238" s="90" t="s">
        <v>220</v>
      </c>
      <c r="C238" s="91">
        <v>0</v>
      </c>
      <c r="D238" s="91">
        <v>0</v>
      </c>
      <c r="E238" s="91">
        <v>0</v>
      </c>
      <c r="F238" s="91">
        <v>0</v>
      </c>
      <c r="G238" t="str">
        <f>_xlfn.XLOOKUP($A238,Map!$A:$A,Map!C:C)</f>
        <v>IS</v>
      </c>
      <c r="H238" t="str">
        <f>_xlfn.XLOOKUP($A238,Map!$A:$A,Map!D:D)</f>
        <v>Depreciation expenses</v>
      </c>
      <c r="I238" t="str">
        <f>_xlfn.XLOOKUP($A238,Map!$A:$A,Map!E:E)</f>
        <v>Depreciation expenses</v>
      </c>
      <c r="J238" t="str">
        <f>_xlfn.XLOOKUP($A238,Map!$A:$A,Map!F:F)</f>
        <v>Depreciation of property, plant and equipment</v>
      </c>
    </row>
    <row r="239" spans="1:10" x14ac:dyDescent="0.25">
      <c r="A239" s="90">
        <v>700054</v>
      </c>
      <c r="B239" s="90" t="s">
        <v>221</v>
      </c>
      <c r="C239" s="91">
        <v>0</v>
      </c>
      <c r="D239" s="91">
        <v>164512.57</v>
      </c>
      <c r="E239" s="91">
        <v>0</v>
      </c>
      <c r="F239" s="91">
        <v>164512.57</v>
      </c>
      <c r="G239" t="str">
        <f>_xlfn.XLOOKUP($A239,Map!$A:$A,Map!C:C)</f>
        <v>IS</v>
      </c>
      <c r="H239" t="str">
        <f>_xlfn.XLOOKUP($A239,Map!$A:$A,Map!D:D)</f>
        <v>Depreciation expenses</v>
      </c>
      <c r="I239" t="str">
        <f>_xlfn.XLOOKUP($A239,Map!$A:$A,Map!E:E)</f>
        <v>Depreciation expenses</v>
      </c>
      <c r="J239" t="str">
        <f>_xlfn.XLOOKUP($A239,Map!$A:$A,Map!F:F)</f>
        <v>Depreciation of property, plant and equipment</v>
      </c>
    </row>
    <row r="240" spans="1:10" x14ac:dyDescent="0.25">
      <c r="A240" s="90">
        <v>700055</v>
      </c>
      <c r="B240" s="90" t="s">
        <v>222</v>
      </c>
      <c r="C240" s="91">
        <v>0</v>
      </c>
      <c r="D240" s="91">
        <v>265483.67099999997</v>
      </c>
      <c r="E240" s="91">
        <v>1604.1859999999999</v>
      </c>
      <c r="F240" s="91">
        <v>263879.48499999999</v>
      </c>
      <c r="G240" t="str">
        <f>_xlfn.XLOOKUP($A240,Map!$A:$A,Map!C:C)</f>
        <v>IS</v>
      </c>
      <c r="H240" t="str">
        <f>_xlfn.XLOOKUP($A240,Map!$A:$A,Map!D:D)</f>
        <v>Depreciation expenses</v>
      </c>
      <c r="I240" t="str">
        <f>_xlfn.XLOOKUP($A240,Map!$A:$A,Map!E:E)</f>
        <v>Depreciation expenses</v>
      </c>
      <c r="J240" t="str">
        <f>_xlfn.XLOOKUP($A240,Map!$A:$A,Map!F:F)</f>
        <v>Depreciation of property, plant and equipment</v>
      </c>
    </row>
    <row r="241" spans="1:10" x14ac:dyDescent="0.25">
      <c r="A241" s="90">
        <v>700056</v>
      </c>
      <c r="B241" s="90" t="s">
        <v>223</v>
      </c>
      <c r="C241" s="91">
        <v>0</v>
      </c>
      <c r="D241" s="91">
        <v>0</v>
      </c>
      <c r="E241" s="91">
        <v>0</v>
      </c>
      <c r="F241" s="91">
        <v>0</v>
      </c>
      <c r="G241" t="str">
        <f>_xlfn.XLOOKUP($A241,Map!$A:$A,Map!C:C)</f>
        <v>IS</v>
      </c>
      <c r="H241" t="str">
        <f>_xlfn.XLOOKUP($A241,Map!$A:$A,Map!D:D)</f>
        <v>Depreciation expenses</v>
      </c>
      <c r="I241" t="str">
        <f>_xlfn.XLOOKUP($A241,Map!$A:$A,Map!E:E)</f>
        <v>Depreciation expenses</v>
      </c>
      <c r="J241" t="str">
        <f>_xlfn.XLOOKUP($A241,Map!$A:$A,Map!F:F)</f>
        <v>Depreciation of property, plant and equipment</v>
      </c>
    </row>
    <row r="242" spans="1:10" x14ac:dyDescent="0.25">
      <c r="A242" s="90">
        <v>700057</v>
      </c>
      <c r="B242" s="90" t="s">
        <v>224</v>
      </c>
      <c r="C242" s="91">
        <v>0</v>
      </c>
      <c r="D242" s="91">
        <v>1058132.077</v>
      </c>
      <c r="E242" s="91">
        <v>813290.473</v>
      </c>
      <c r="F242" s="91">
        <v>244841.60399999999</v>
      </c>
      <c r="G242" t="str">
        <f>_xlfn.XLOOKUP($A242,Map!$A:$A,Map!C:C)</f>
        <v>IS</v>
      </c>
      <c r="H242" t="str">
        <f>_xlfn.XLOOKUP($A242,Map!$A:$A,Map!D:D)</f>
        <v>Cost of sales</v>
      </c>
      <c r="I242" t="str">
        <f>_xlfn.XLOOKUP($A242,Map!$A:$A,Map!E:E)</f>
        <v>Overhead - Rent</v>
      </c>
      <c r="J242" t="str">
        <f>_xlfn.XLOOKUP($A242,Map!$A:$A,Map!F:F)</f>
        <v>Warehouse Rent ( Khamis, Rioyadh, Dammam)</v>
      </c>
    </row>
    <row r="243" spans="1:10" x14ac:dyDescent="0.25">
      <c r="A243" s="90">
        <v>700058</v>
      </c>
      <c r="B243" s="90" t="s">
        <v>225</v>
      </c>
      <c r="C243" s="91">
        <v>0</v>
      </c>
      <c r="D243" s="91">
        <v>173026.78700000001</v>
      </c>
      <c r="E243" s="91">
        <v>0</v>
      </c>
      <c r="F243" s="91">
        <v>173026.78700000001</v>
      </c>
      <c r="G243" t="str">
        <f>_xlfn.XLOOKUP($A243,Map!$A:$A,Map!C:C)</f>
        <v>IS</v>
      </c>
      <c r="H243" t="str">
        <f>_xlfn.XLOOKUP($A243,Map!$A:$A,Map!D:D)</f>
        <v>Selling and Marketing</v>
      </c>
      <c r="I243" t="str">
        <f>_xlfn.XLOOKUP($A243,Map!$A:$A,Map!E:E)</f>
        <v>Advertising and promotion expenses</v>
      </c>
      <c r="J243" t="str">
        <f>_xlfn.XLOOKUP($A243,Map!$A:$A,Map!F:F)</f>
        <v>Advertising and promotion expenses</v>
      </c>
    </row>
    <row r="244" spans="1:10" x14ac:dyDescent="0.25">
      <c r="A244" s="90">
        <v>700059</v>
      </c>
      <c r="B244" s="90" t="s">
        <v>226</v>
      </c>
      <c r="C244" s="91">
        <v>0</v>
      </c>
      <c r="D244" s="91">
        <v>689954.65700000001</v>
      </c>
      <c r="E244" s="91">
        <v>33700.552000000003</v>
      </c>
      <c r="F244" s="91">
        <v>656254.10499999998</v>
      </c>
      <c r="G244" t="str">
        <f>_xlfn.XLOOKUP($A244,Map!$A:$A,Map!C:C)</f>
        <v>IS</v>
      </c>
      <c r="H244" t="str">
        <f>_xlfn.XLOOKUP($A244,Map!$A:$A,Map!D:D)</f>
        <v>Selling and Marketing</v>
      </c>
      <c r="I244" t="str">
        <f>_xlfn.XLOOKUP($A244,Map!$A:$A,Map!E:E)</f>
        <v>Exhibitions</v>
      </c>
      <c r="J244" t="str">
        <f>_xlfn.XLOOKUP($A244,Map!$A:$A,Map!F:F)</f>
        <v>Exhibitions</v>
      </c>
    </row>
    <row r="245" spans="1:10" x14ac:dyDescent="0.25">
      <c r="A245" s="90">
        <v>700060</v>
      </c>
      <c r="B245" s="90" t="s">
        <v>227</v>
      </c>
      <c r="C245" s="91">
        <v>0</v>
      </c>
      <c r="D245" s="91">
        <v>2006803.5549999999</v>
      </c>
      <c r="E245" s="91">
        <v>3760</v>
      </c>
      <c r="F245" s="91">
        <v>2003043.5549999999</v>
      </c>
      <c r="G245" t="str">
        <f>_xlfn.XLOOKUP($A245,Map!$A:$A,Map!C:C)</f>
        <v>IS</v>
      </c>
      <c r="H245" t="str">
        <f>_xlfn.XLOOKUP($A245,Map!$A:$A,Map!D:D)</f>
        <v>Cost of sales</v>
      </c>
      <c r="I245" t="str">
        <f>_xlfn.XLOOKUP($A245,Map!$A:$A,Map!E:E)</f>
        <v>Freight expenses</v>
      </c>
      <c r="J245" t="str">
        <f>_xlfn.XLOOKUP($A245,Map!$A:$A,Map!F:F)</f>
        <v>Freight expenses</v>
      </c>
    </row>
    <row r="246" spans="1:10" x14ac:dyDescent="0.25">
      <c r="A246" s="90">
        <v>700061</v>
      </c>
      <c r="B246" s="90" t="s">
        <v>228</v>
      </c>
      <c r="C246" s="91">
        <v>0</v>
      </c>
      <c r="D246" s="91">
        <v>38359.550000000003</v>
      </c>
      <c r="E246" s="91">
        <v>0</v>
      </c>
      <c r="F246" s="91">
        <v>38359.550000000003</v>
      </c>
      <c r="G246" t="str">
        <f>_xlfn.XLOOKUP($A246,Map!$A:$A,Map!C:C)</f>
        <v>IS</v>
      </c>
      <c r="H246" t="str">
        <f>_xlfn.XLOOKUP($A246,Map!$A:$A,Map!D:D)</f>
        <v>Selling and Marketing</v>
      </c>
      <c r="I246" t="str">
        <f>_xlfn.XLOOKUP($A246,Map!$A:$A,Map!E:E)</f>
        <v>Commission expenses</v>
      </c>
      <c r="J246" t="str">
        <f>_xlfn.XLOOKUP($A246,Map!$A:$A,Map!F:F)</f>
        <v>Commission expenses</v>
      </c>
    </row>
    <row r="247" spans="1:10" x14ac:dyDescent="0.25">
      <c r="A247" s="90">
        <v>700062</v>
      </c>
      <c r="B247" s="90" t="s">
        <v>229</v>
      </c>
      <c r="C247" s="91">
        <v>0</v>
      </c>
      <c r="D247" s="91">
        <v>720000</v>
      </c>
      <c r="E247" s="91">
        <v>5839898.5800000001</v>
      </c>
      <c r="F247" s="91">
        <v>-5119898.58</v>
      </c>
      <c r="G247" t="str">
        <f>_xlfn.XLOOKUP($A247,Map!$A:$A,Map!C:C)</f>
        <v>IS</v>
      </c>
      <c r="H247" t="str">
        <f>_xlfn.XLOOKUP($A247,Map!$A:$A,Map!D:D)</f>
        <v>Revised provision on Bad Debts</v>
      </c>
      <c r="I247" t="str">
        <f>_xlfn.XLOOKUP($A247,Map!$A:$A,Map!E:E)</f>
        <v>Bad debts expense</v>
      </c>
      <c r="J247" t="str">
        <f>_xlfn.XLOOKUP($A247,Map!$A:$A,Map!F:F)</f>
        <v>Bad debts expense</v>
      </c>
    </row>
    <row r="248" spans="1:10" x14ac:dyDescent="0.25">
      <c r="A248" s="90">
        <v>700063</v>
      </c>
      <c r="B248" s="90" t="s">
        <v>230</v>
      </c>
      <c r="C248" s="91">
        <v>0</v>
      </c>
      <c r="D248" s="91">
        <v>955345.76</v>
      </c>
      <c r="E248" s="91">
        <v>375358.18</v>
      </c>
      <c r="F248" s="91">
        <v>579987.57999999996</v>
      </c>
      <c r="G248" t="str">
        <f>_xlfn.XLOOKUP($A248,Map!$A:$A,Map!C:C)</f>
        <v>IS</v>
      </c>
      <c r="H248" t="str">
        <f>_xlfn.XLOOKUP($A248,Map!$A:$A,Map!D:D)</f>
        <v>General and Admin</v>
      </c>
      <c r="I248" t="str">
        <f>_xlfn.XLOOKUP($A248,Map!$A:$A,Map!E:E)</f>
        <v>Salaries and wages</v>
      </c>
      <c r="J248" t="str">
        <f>_xlfn.XLOOKUP($A248,Map!$A:$A,Map!F:F)</f>
        <v>GOSI</v>
      </c>
    </row>
    <row r="249" spans="1:10" x14ac:dyDescent="0.25">
      <c r="A249" s="90">
        <v>700064</v>
      </c>
      <c r="B249" s="90" t="s">
        <v>231</v>
      </c>
      <c r="C249" s="91">
        <v>0</v>
      </c>
      <c r="D249" s="91">
        <v>0</v>
      </c>
      <c r="E249" s="91">
        <v>0</v>
      </c>
      <c r="F249" s="91">
        <v>0</v>
      </c>
      <c r="G249" t="str">
        <f>_xlfn.XLOOKUP($A249,Map!$A:$A,Map!C:C)</f>
        <v>IS</v>
      </c>
      <c r="H249" t="str">
        <f>_xlfn.XLOOKUP($A249,Map!$A:$A,Map!D:D)</f>
        <v>Pre-operating expenses</v>
      </c>
      <c r="I249" t="str">
        <f>_xlfn.XLOOKUP($A249,Map!$A:$A,Map!E:E)</f>
        <v>Pre-operating expenses</v>
      </c>
      <c r="J249" t="str">
        <f>_xlfn.XLOOKUP($A249,Map!$A:$A,Map!F:F)</f>
        <v>Amortization</v>
      </c>
    </row>
    <row r="250" spans="1:10" x14ac:dyDescent="0.25">
      <c r="A250" s="90">
        <v>700065</v>
      </c>
      <c r="B250" s="90" t="s">
        <v>245</v>
      </c>
      <c r="C250" s="91">
        <v>0</v>
      </c>
      <c r="D250" s="91">
        <v>44700</v>
      </c>
      <c r="E250" s="91">
        <v>0</v>
      </c>
      <c r="F250" s="91">
        <v>44700</v>
      </c>
      <c r="G250" t="str">
        <f>_xlfn.XLOOKUP($A250,Map!$A:$A,Map!C:C)</f>
        <v>IS</v>
      </c>
      <c r="H250" t="str">
        <f>_xlfn.XLOOKUP($A250,Map!$A:$A,Map!D:D)</f>
        <v>Finance cost</v>
      </c>
      <c r="I250" t="str">
        <f>_xlfn.XLOOKUP($A250,Map!$A:$A,Map!E:E)</f>
        <v>Finance cost</v>
      </c>
      <c r="J250" t="str">
        <f>_xlfn.XLOOKUP($A250,Map!$A:$A,Map!F:F)</f>
        <v>Lease interest</v>
      </c>
    </row>
    <row r="251" spans="1:10" x14ac:dyDescent="0.25">
      <c r="A251" s="90">
        <v>700066</v>
      </c>
      <c r="B251" s="90" t="s">
        <v>233</v>
      </c>
      <c r="C251" s="91">
        <v>0</v>
      </c>
      <c r="D251" s="91">
        <v>109284.12</v>
      </c>
      <c r="E251" s="91">
        <v>0</v>
      </c>
      <c r="F251" s="91">
        <v>109284.12</v>
      </c>
      <c r="G251" t="str">
        <f>_xlfn.XLOOKUP($A251,Map!$A:$A,Map!C:C)</f>
        <v>IS</v>
      </c>
      <c r="H251" t="str">
        <f>_xlfn.XLOOKUP($A251,Map!$A:$A,Map!D:D)</f>
        <v>General and Admin</v>
      </c>
      <c r="I251" t="str">
        <f>_xlfn.XLOOKUP($A251,Map!$A:$A,Map!E:E)</f>
        <v>Govt license and fees (including modon)</v>
      </c>
      <c r="J251" t="str">
        <f>_xlfn.XLOOKUP($A251,Map!$A:$A,Map!F:F)</f>
        <v>3rd Industrial Area Lease Provision</v>
      </c>
    </row>
    <row r="252" spans="1:10" x14ac:dyDescent="0.25">
      <c r="A252" s="90">
        <v>700067</v>
      </c>
      <c r="B252" s="90" t="s">
        <v>234</v>
      </c>
      <c r="C252" s="91">
        <v>0</v>
      </c>
      <c r="D252" s="91">
        <v>6021044.3820000002</v>
      </c>
      <c r="E252" s="91">
        <v>1715494.0870000001</v>
      </c>
      <c r="F252" s="91">
        <v>4305550.2949999999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Freight expenses</v>
      </c>
      <c r="J252" t="str">
        <f>_xlfn.XLOOKUP($A252,Map!$A:$A,Map!F:F)</f>
        <v>Freight expenses</v>
      </c>
    </row>
    <row r="253" spans="1:10" x14ac:dyDescent="0.25">
      <c r="A253" s="90">
        <v>700068</v>
      </c>
      <c r="B253" s="90" t="s">
        <v>254</v>
      </c>
      <c r="C253" s="91">
        <v>0</v>
      </c>
      <c r="D253" s="91">
        <v>84960.13</v>
      </c>
      <c r="E253" s="91">
        <v>0</v>
      </c>
      <c r="F253" s="91">
        <v>84960.13</v>
      </c>
      <c r="G253" t="str">
        <f>_xlfn.XLOOKUP($A253,Map!$A:$A,Map!C:C)</f>
        <v>IS</v>
      </c>
      <c r="H253" t="str">
        <f>_xlfn.XLOOKUP($A253,Map!$A:$A,Map!D:D)</f>
        <v>Cost of sales</v>
      </c>
      <c r="I253" t="str">
        <f>_xlfn.XLOOKUP($A253,Map!$A:$A,Map!E:E)</f>
        <v>Freight expenses</v>
      </c>
      <c r="J253" t="str">
        <f>_xlfn.XLOOKUP($A253,Map!$A:$A,Map!F:F)</f>
        <v>Freight expenses</v>
      </c>
    </row>
    <row r="254" spans="1:10" x14ac:dyDescent="0.25">
      <c r="A254" s="90">
        <v>700069</v>
      </c>
      <c r="B254" s="90" t="s">
        <v>232</v>
      </c>
      <c r="C254" s="91">
        <v>0</v>
      </c>
      <c r="D254" s="91">
        <v>24243.5</v>
      </c>
      <c r="E254" s="91">
        <v>0</v>
      </c>
      <c r="F254" s="91">
        <v>24243.5</v>
      </c>
      <c r="G254" t="str">
        <f>_xlfn.XLOOKUP($A254,Map!$A:$A,Map!C:C)</f>
        <v>IS</v>
      </c>
      <c r="H254" t="str">
        <f>_xlfn.XLOOKUP($A254,Map!$A:$A,Map!D:D)</f>
        <v>General and Admin</v>
      </c>
      <c r="I254" t="str">
        <f>_xlfn.XLOOKUP($A254,Map!$A:$A,Map!E:E)</f>
        <v>Rent</v>
      </c>
      <c r="J254" t="str">
        <f>_xlfn.XLOOKUP($A254,Map!$A:$A,Map!F:F)</f>
        <v xml:space="preserve">Sales Office Rent (Dammam) </v>
      </c>
    </row>
    <row r="255" spans="1:10" x14ac:dyDescent="0.25">
      <c r="A255" s="90">
        <v>700074</v>
      </c>
      <c r="B255" s="90" t="s">
        <v>457</v>
      </c>
      <c r="C255" s="91">
        <v>0</v>
      </c>
      <c r="D255" s="91">
        <v>3614272.574</v>
      </c>
      <c r="E255" s="91">
        <v>465760.27600000001</v>
      </c>
      <c r="F255" s="91">
        <v>3148512.298</v>
      </c>
      <c r="G255" t="str">
        <f>_xlfn.XLOOKUP($A255,Map!$A:$A,Map!C:C)</f>
        <v>IS</v>
      </c>
      <c r="H255" t="str">
        <f>_xlfn.XLOOKUP($A255,Map!$A:$A,Map!D:D)</f>
        <v>General and Admin</v>
      </c>
      <c r="I255" t="str">
        <f>_xlfn.XLOOKUP($A255,Map!$A:$A,Map!E:E)</f>
        <v>Inventory Adjustment Expense</v>
      </c>
      <c r="J255" t="str">
        <f>_xlfn.XLOOKUP($A255,Map!$A:$A,Map!F:F)</f>
        <v>Inventory Adjustment Expense</v>
      </c>
    </row>
    <row r="256" spans="1:10" x14ac:dyDescent="0.25">
      <c r="A256" s="90">
        <v>800001</v>
      </c>
      <c r="B256" s="90" t="s">
        <v>235</v>
      </c>
      <c r="C256" s="91">
        <v>0</v>
      </c>
      <c r="D256" s="91">
        <v>0</v>
      </c>
      <c r="E256" s="91">
        <v>0</v>
      </c>
      <c r="F256" s="91">
        <v>0</v>
      </c>
      <c r="G256" t="str">
        <f>_xlfn.XLOOKUP($A256,Map!$A:$A,Map!C:C)</f>
        <v>BS</v>
      </c>
      <c r="H256" t="str">
        <f>_xlfn.XLOOKUP($A256,Map!$A:$A,Map!D:D)</f>
        <v>Non-Current Liabilities</v>
      </c>
      <c r="I256" t="str">
        <f>_xlfn.XLOOKUP($A256,Map!$A:$A,Map!E:E)</f>
        <v xml:space="preserve">Due to related parties </v>
      </c>
      <c r="J256" t="str">
        <f>_xlfn.XLOOKUP($A256,Map!$A:$A,Map!F:F)</f>
        <v>Aims Holding  Current Acc</v>
      </c>
    </row>
    <row r="257" spans="1:10" x14ac:dyDescent="0.25">
      <c r="A257" s="90">
        <v>800002</v>
      </c>
      <c r="B257" s="90" t="s">
        <v>236</v>
      </c>
      <c r="C257" s="91">
        <v>0</v>
      </c>
      <c r="D257" s="91">
        <v>0</v>
      </c>
      <c r="E257" s="91">
        <v>0</v>
      </c>
      <c r="F257" s="91">
        <v>0</v>
      </c>
      <c r="G257" t="str">
        <f>_xlfn.XLOOKUP($A257,Map!$A:$A,Map!C:C)</f>
        <v>IS</v>
      </c>
      <c r="H257" t="str">
        <f>_xlfn.XLOOKUP($A257,Map!$A:$A,Map!D:D)</f>
        <v>General and Admin</v>
      </c>
      <c r="I257" t="str">
        <f>_xlfn.XLOOKUP($A257,Map!$A:$A,Map!E:E)</f>
        <v>AIMS expenses</v>
      </c>
      <c r="J257" t="str">
        <f>_xlfn.XLOOKUP($A257,Map!$A:$A,Map!F:F)</f>
        <v>Aims Holding  Current Acc</v>
      </c>
    </row>
    <row r="258" spans="1:10" x14ac:dyDescent="0.25">
      <c r="G258"/>
      <c r="H258"/>
      <c r="I258"/>
      <c r="J258"/>
    </row>
    <row r="259" spans="1:10" x14ac:dyDescent="0.25">
      <c r="C259" s="93">
        <f>SUBTOTAL(9,C5:C258)</f>
        <v>-1.4901161193847656E-8</v>
      </c>
      <c r="D259" s="93">
        <f>SUBTOTAL(9,D5:D258)</f>
        <v>3042260612.1460023</v>
      </c>
      <c r="E259" s="93">
        <f>SUBTOTAL(9,E5:E258)</f>
        <v>3042260612.145998</v>
      </c>
      <c r="F259" s="93">
        <f>SUBTOTAL(9,F5:F258)</f>
        <v>-5.7276338338851929E-8</v>
      </c>
    </row>
    <row r="260" spans="1:10" x14ac:dyDescent="0.25">
      <c r="C260" s="93"/>
      <c r="D260" s="93"/>
      <c r="E260" s="93"/>
      <c r="F260" s="93"/>
    </row>
    <row r="261" spans="1:10" x14ac:dyDescent="0.25">
      <c r="A261" s="5" t="s">
        <v>531</v>
      </c>
    </row>
    <row r="262" spans="1:10" s="1" customFormat="1" x14ac:dyDescent="0.25">
      <c r="A262" s="90">
        <v>170021</v>
      </c>
      <c r="B262" s="90" t="s">
        <v>535</v>
      </c>
      <c r="D262" s="161">
        <v>12531828.029999999</v>
      </c>
      <c r="F262" s="3">
        <f t="shared" ref="F262:F263" si="0">D262-E262</f>
        <v>12531828.029999999</v>
      </c>
      <c r="G262" t="str">
        <f>_xlfn.XLOOKUP($A262,Map!$A:$A,Map!C:C)</f>
        <v>BS</v>
      </c>
      <c r="H262" t="str">
        <f>_xlfn.XLOOKUP($A262,Map!$A:$A,Map!D:D)</f>
        <v>Current Assets</v>
      </c>
      <c r="I262" t="str">
        <f>_xlfn.XLOOKUP($A262,Map!$A:$A,Map!E:E)</f>
        <v>Prepaid expenses</v>
      </c>
      <c r="J262" t="str">
        <f>_xlfn.XLOOKUP($A262,Map!$A:$A,Map!F:F)</f>
        <v>Prepaid expense</v>
      </c>
    </row>
    <row r="263" spans="1:10" s="1" customFormat="1" x14ac:dyDescent="0.25">
      <c r="A263" s="1">
        <v>210001</v>
      </c>
      <c r="B263" s="1" t="s">
        <v>78</v>
      </c>
      <c r="E263" s="161">
        <f>D262</f>
        <v>12531828.029999999</v>
      </c>
      <c r="F263" s="3">
        <f t="shared" si="0"/>
        <v>-12531828.029999999</v>
      </c>
      <c r="G263" t="str">
        <f>_xlfn.XLOOKUP($A263,Map!$A:$A,Map!C:C)</f>
        <v>BS</v>
      </c>
      <c r="H263" t="str">
        <f>_xlfn.XLOOKUP($A263,Map!$A:$A,Map!D:D)</f>
        <v>Current Liabilities</v>
      </c>
      <c r="I263" t="str">
        <f>_xlfn.XLOOKUP($A263,Map!$A:$A,Map!E:E)</f>
        <v>Tade payables and Accuals &amp; other credit balances</v>
      </c>
      <c r="J263" t="str">
        <f>_xlfn.XLOOKUP($A263,Map!$A:$A,Map!F:F)</f>
        <v>Trade payables - Foreign</v>
      </c>
    </row>
    <row r="266" spans="1:10" s="1" customFormat="1" x14ac:dyDescent="0.25">
      <c r="A266" s="1">
        <v>410001</v>
      </c>
      <c r="B266" s="163" t="s">
        <v>737</v>
      </c>
      <c r="D266" s="164">
        <v>468484.03869999998</v>
      </c>
      <c r="E266" s="164"/>
      <c r="F266" s="3">
        <f t="shared" ref="F266:F267" si="1">D266-E266</f>
        <v>468484.03869999998</v>
      </c>
      <c r="G266" t="str">
        <f>_xlfn.XLOOKUP($A266,Map!$A:$A,Map!C:C)</f>
        <v>IS</v>
      </c>
      <c r="H266" t="str">
        <f>_xlfn.XLOOKUP($A266,Map!$A:$A,Map!D:D)</f>
        <v>Sales</v>
      </c>
      <c r="I266" t="str">
        <f>_xlfn.XLOOKUP($A266,Map!$A:$A,Map!E:E)</f>
        <v>Sales</v>
      </c>
      <c r="J266" t="str">
        <f>_xlfn.XLOOKUP($A266,Map!$A:$A,Map!F:F)</f>
        <v>Trading revenue</v>
      </c>
    </row>
    <row r="267" spans="1:10" s="1" customFormat="1" x14ac:dyDescent="0.25">
      <c r="A267" s="1">
        <v>510001</v>
      </c>
      <c r="B267" s="163" t="s">
        <v>738</v>
      </c>
      <c r="D267" s="164"/>
      <c r="E267" s="164">
        <v>471602.52686895995</v>
      </c>
      <c r="F267" s="3">
        <f t="shared" si="1"/>
        <v>-471602.52686895995</v>
      </c>
      <c r="G267" t="str">
        <f>_xlfn.XLOOKUP($A267,Map!$A:$A,Map!C:C)</f>
        <v>IS</v>
      </c>
      <c r="H267" t="str">
        <f>_xlfn.XLOOKUP($A267,Map!$A:$A,Map!D:D)</f>
        <v>Cost of sales</v>
      </c>
      <c r="I267" t="str">
        <f>_xlfn.XLOOKUP($A267,Map!$A:$A,Map!E:E)</f>
        <v>Raw materials</v>
      </c>
      <c r="J267" t="str">
        <f>_xlfn.XLOOKUP($A267,Map!$A:$A,Map!F:F)</f>
        <v>Raw materials</v>
      </c>
    </row>
    <row r="269" spans="1:10" x14ac:dyDescent="0.25">
      <c r="A269" s="90">
        <v>700067</v>
      </c>
      <c r="B269" s="90" t="s">
        <v>234</v>
      </c>
      <c r="E269" s="91">
        <f>SUMIF($A$4:$A$259,A269,$F$4:$F$259)</f>
        <v>4305550.2949999999</v>
      </c>
      <c r="F269" s="3">
        <f t="shared" ref="F269:F270" si="2">D269-E269</f>
        <v>-4305550.2949999999</v>
      </c>
      <c r="G269" t="str">
        <f>_xlfn.XLOOKUP($A269,Map!$A:$A,Map!C:C)</f>
        <v>IS</v>
      </c>
      <c r="H269" t="str">
        <f>_xlfn.XLOOKUP($A269,Map!$A:$A,Map!D:D)</f>
        <v>Cost of sales</v>
      </c>
      <c r="I269" t="str">
        <f>_xlfn.XLOOKUP($A269,Map!$A:$A,Map!E:E)</f>
        <v>Freight expenses</v>
      </c>
      <c r="J269" t="str">
        <f>_xlfn.XLOOKUP($A269,Map!$A:$A,Map!F:F)</f>
        <v>Freight expenses</v>
      </c>
    </row>
    <row r="270" spans="1:10" x14ac:dyDescent="0.25">
      <c r="A270" s="90">
        <v>700068</v>
      </c>
      <c r="B270" s="90" t="s">
        <v>254</v>
      </c>
      <c r="E270" s="91">
        <f>SUMIF($A$4:$A$259,A270,$F$4:$F$259)</f>
        <v>84960.13</v>
      </c>
      <c r="F270" s="3">
        <f t="shared" si="2"/>
        <v>-84960.13</v>
      </c>
      <c r="G270" t="str">
        <f>_xlfn.XLOOKUP($A270,Map!$A:$A,Map!C:C)</f>
        <v>IS</v>
      </c>
      <c r="H270" t="str">
        <f>_xlfn.XLOOKUP($A270,Map!$A:$A,Map!D:D)</f>
        <v>Cost of sales</v>
      </c>
      <c r="I270" t="str">
        <f>_xlfn.XLOOKUP($A270,Map!$A:$A,Map!E:E)</f>
        <v>Freight expenses</v>
      </c>
      <c r="J270" t="str">
        <f>_xlfn.XLOOKUP($A270,Map!$A:$A,Map!F:F)</f>
        <v>Freight expenses</v>
      </c>
    </row>
  </sheetData>
  <autoFilter ref="A4:J263" xr:uid="{08F946E2-1835-4B54-82A6-702BC9E20E50}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0924-98B6-4B1F-9A31-35AAC8CCE95C}">
  <sheetPr filterMode="1"/>
  <dimension ref="A1:J283"/>
  <sheetViews>
    <sheetView zoomScale="90" zoomScaleNormal="90" workbookViewId="0">
      <pane ySplit="4" topLeftCell="A252" activePane="bottomLeft" state="frozen"/>
      <selection activeCell="F128" sqref="F128:F130"/>
      <selection pane="bottomLeft" activeCell="E280" sqref="E280"/>
    </sheetView>
  </sheetViews>
  <sheetFormatPr defaultColWidth="8.85546875" defaultRowHeight="15" x14ac:dyDescent="0.25"/>
  <cols>
    <col min="1" max="1" width="13.42578125" style="90" bestFit="1" customWidth="1"/>
    <col min="2" max="2" width="35.85546875" style="90" customWidth="1"/>
    <col min="3" max="3" width="17.28515625" style="91" bestFit="1" customWidth="1"/>
    <col min="4" max="5" width="17.85546875" style="91" bestFit="1" customWidth="1"/>
    <col min="6" max="6" width="17" style="91" bestFit="1" customWidth="1"/>
    <col min="7" max="7" width="8.85546875" style="90"/>
    <col min="8" max="8" width="26.7109375" style="90" bestFit="1" customWidth="1"/>
    <col min="9" max="9" width="30.7109375" style="90" customWidth="1"/>
    <col min="10" max="10" width="20.5703125" style="90" customWidth="1"/>
    <col min="11" max="16384" width="8.85546875" style="90"/>
  </cols>
  <sheetData>
    <row r="1" spans="1:10" x14ac:dyDescent="0.25">
      <c r="A1" s="5" t="s">
        <v>262</v>
      </c>
    </row>
    <row r="2" spans="1:10" x14ac:dyDescent="0.25">
      <c r="A2" s="5" t="s">
        <v>593</v>
      </c>
    </row>
    <row r="4" spans="1:10" x14ac:dyDescent="0.25">
      <c r="A4" s="90" t="s">
        <v>261</v>
      </c>
      <c r="B4" s="90" t="s">
        <v>260</v>
      </c>
      <c r="C4" s="91" t="s">
        <v>491</v>
      </c>
      <c r="D4" s="91" t="s">
        <v>258</v>
      </c>
      <c r="E4" s="91" t="s">
        <v>257</v>
      </c>
      <c r="F4" s="91" t="s">
        <v>256</v>
      </c>
      <c r="G4" s="8" t="s">
        <v>265</v>
      </c>
      <c r="H4" s="8" t="s">
        <v>266</v>
      </c>
      <c r="I4" s="7" t="s">
        <v>267</v>
      </c>
      <c r="J4" s="7" t="s">
        <v>268</v>
      </c>
    </row>
    <row r="5" spans="1:10" hidden="1" x14ac:dyDescent="0.25">
      <c r="A5" s="90">
        <v>110001</v>
      </c>
      <c r="B5" s="90" t="s">
        <v>0</v>
      </c>
      <c r="C5" s="91">
        <v>0</v>
      </c>
      <c r="D5" s="91">
        <v>0</v>
      </c>
      <c r="E5" s="91">
        <v>0</v>
      </c>
      <c r="F5" s="91">
        <v>0</v>
      </c>
      <c r="G5" t="str">
        <f>_xlfn.XLOOKUP($A5,Map!$A:$A,Map!C:C)</f>
        <v>BS</v>
      </c>
      <c r="H5" t="str">
        <f>_xlfn.XLOOKUP($A5,Map!$A:$A,Map!D:D)</f>
        <v>Non-Current Assets</v>
      </c>
      <c r="I5" t="str">
        <f>_xlfn.XLOOKUP($A5,Map!$A:$A,Map!E:E)</f>
        <v>Property, plant and equipment</v>
      </c>
      <c r="J5" t="str">
        <f>_xlfn.XLOOKUP($A5,Map!$A:$A,Map!F:F)</f>
        <v>Property, plant and equipment</v>
      </c>
    </row>
    <row r="6" spans="1:10" hidden="1" x14ac:dyDescent="0.25">
      <c r="A6" s="90">
        <v>110002</v>
      </c>
      <c r="B6" s="90" t="s">
        <v>1</v>
      </c>
      <c r="C6" s="91">
        <v>107296196.56999999</v>
      </c>
      <c r="D6" s="91">
        <v>0</v>
      </c>
      <c r="E6" s="91">
        <v>0</v>
      </c>
      <c r="F6" s="91">
        <v>107296196.56999999</v>
      </c>
      <c r="G6" t="str">
        <f>_xlfn.XLOOKUP($A6,Map!$A:$A,Map!C:C)</f>
        <v>BS</v>
      </c>
      <c r="H6" t="str">
        <f>_xlfn.XLOOKUP($A6,Map!$A:$A,Map!D:D)</f>
        <v>Non-Current Assets</v>
      </c>
      <c r="I6" t="str">
        <f>_xlfn.XLOOKUP($A6,Map!$A:$A,Map!E:E)</f>
        <v>Property, plant and equipment</v>
      </c>
      <c r="J6" t="str">
        <f>_xlfn.XLOOKUP($A6,Map!$A:$A,Map!F:F)</f>
        <v>Property, plant and equipment</v>
      </c>
    </row>
    <row r="7" spans="1:10" hidden="1" x14ac:dyDescent="0.25">
      <c r="A7" s="90">
        <v>110003</v>
      </c>
      <c r="B7" s="90" t="s">
        <v>2</v>
      </c>
      <c r="C7" s="91">
        <v>1765393.75</v>
      </c>
      <c r="D7" s="91">
        <v>531344.22</v>
      </c>
      <c r="E7" s="91">
        <v>0</v>
      </c>
      <c r="F7" s="91">
        <v>2296737.9700000002</v>
      </c>
      <c r="G7" t="str">
        <f>_xlfn.XLOOKUP($A7,Map!$A:$A,Map!C:C)</f>
        <v>BS</v>
      </c>
      <c r="H7" t="str">
        <f>_xlfn.XLOOKUP($A7,Map!$A:$A,Map!D:D)</f>
        <v>Non-Current Assets</v>
      </c>
      <c r="I7" t="str">
        <f>_xlfn.XLOOKUP($A7,Map!$A:$A,Map!E:E)</f>
        <v>Property, plant and equipment</v>
      </c>
      <c r="J7" t="str">
        <f>_xlfn.XLOOKUP($A7,Map!$A:$A,Map!F:F)</f>
        <v>Property, plant and equipment</v>
      </c>
    </row>
    <row r="8" spans="1:10" hidden="1" x14ac:dyDescent="0.25">
      <c r="A8" s="90">
        <v>110004</v>
      </c>
      <c r="B8" s="90" t="s">
        <v>3</v>
      </c>
      <c r="C8" s="91">
        <v>81812315.747999996</v>
      </c>
      <c r="D8" s="91">
        <v>21473782.747000001</v>
      </c>
      <c r="E8" s="91">
        <v>9511507.1370000001</v>
      </c>
      <c r="F8" s="91">
        <v>93774591.357999995</v>
      </c>
      <c r="G8" t="str">
        <f>_xlfn.XLOOKUP($A8,Map!$A:$A,Map!C:C)</f>
        <v>BS</v>
      </c>
      <c r="H8" t="str">
        <f>_xlfn.XLOOKUP($A8,Map!$A:$A,Map!D:D)</f>
        <v>Non-Current Assets</v>
      </c>
      <c r="I8" t="str">
        <f>_xlfn.XLOOKUP($A8,Map!$A:$A,Map!E:E)</f>
        <v>Property, plant and equipment</v>
      </c>
      <c r="J8" t="str">
        <f>_xlfn.XLOOKUP($A8,Map!$A:$A,Map!F:F)</f>
        <v>Property, plant and equipment</v>
      </c>
    </row>
    <row r="9" spans="1:10" hidden="1" x14ac:dyDescent="0.25">
      <c r="A9" s="90">
        <v>110006</v>
      </c>
      <c r="B9" s="90" t="s">
        <v>4</v>
      </c>
      <c r="C9" s="91">
        <v>3327255.699</v>
      </c>
      <c r="D9" s="91">
        <v>618043.52</v>
      </c>
      <c r="E9" s="91">
        <v>295044</v>
      </c>
      <c r="F9" s="91">
        <v>3650255.219</v>
      </c>
      <c r="G9" t="str">
        <f>_xlfn.XLOOKUP($A9,Map!$A:$A,Map!C:C)</f>
        <v>BS</v>
      </c>
      <c r="H9" t="str">
        <f>_xlfn.XLOOKUP($A9,Map!$A:$A,Map!D:D)</f>
        <v>Non-Current Assets</v>
      </c>
      <c r="I9" t="str">
        <f>_xlfn.XLOOKUP($A9,Map!$A:$A,Map!E:E)</f>
        <v>Property, plant and equipment</v>
      </c>
      <c r="J9" t="str">
        <f>_xlfn.XLOOKUP($A9,Map!$A:$A,Map!F:F)</f>
        <v>Property, plant and equipment</v>
      </c>
    </row>
    <row r="10" spans="1:10" hidden="1" x14ac:dyDescent="0.25">
      <c r="A10" s="90">
        <v>110007</v>
      </c>
      <c r="B10" s="90" t="s">
        <v>5</v>
      </c>
      <c r="C10" s="91">
        <v>2269918.378</v>
      </c>
      <c r="D10" s="91">
        <v>422402.92700000003</v>
      </c>
      <c r="E10" s="91">
        <v>15125</v>
      </c>
      <c r="F10" s="91">
        <v>2677196.3050000002</v>
      </c>
      <c r="G10" t="str">
        <f>_xlfn.XLOOKUP($A10,Map!$A:$A,Map!C:C)</f>
        <v>BS</v>
      </c>
      <c r="H10" t="str">
        <f>_xlfn.XLOOKUP($A10,Map!$A:$A,Map!D:D)</f>
        <v>Non-Current Assets</v>
      </c>
      <c r="I10" t="str">
        <f>_xlfn.XLOOKUP($A10,Map!$A:$A,Map!E:E)</f>
        <v>Property, plant and equipment</v>
      </c>
      <c r="J10" t="str">
        <f>_xlfn.XLOOKUP($A10,Map!$A:$A,Map!F:F)</f>
        <v>Property, plant and equipment</v>
      </c>
    </row>
    <row r="11" spans="1:10" hidden="1" x14ac:dyDescent="0.25">
      <c r="A11" s="90">
        <v>110008</v>
      </c>
      <c r="B11" s="90" t="s">
        <v>6</v>
      </c>
      <c r="C11" s="91">
        <v>1134240.121</v>
      </c>
      <c r="D11" s="91">
        <v>27057.119999999999</v>
      </c>
      <c r="E11" s="91">
        <v>6105</v>
      </c>
      <c r="F11" s="91">
        <v>1155192.2409999999</v>
      </c>
      <c r="G11" t="str">
        <f>_xlfn.XLOOKUP($A11,Map!$A:$A,Map!C:C)</f>
        <v>BS</v>
      </c>
      <c r="H11" t="str">
        <f>_xlfn.XLOOKUP($A11,Map!$A:$A,Map!D:D)</f>
        <v>Non-Current Assets</v>
      </c>
      <c r="I11" t="str">
        <f>_xlfn.XLOOKUP($A11,Map!$A:$A,Map!E:E)</f>
        <v>Property, plant and equipment</v>
      </c>
      <c r="J11" t="str">
        <f>_xlfn.XLOOKUP($A11,Map!$A:$A,Map!F:F)</f>
        <v>Property, plant and equipment</v>
      </c>
    </row>
    <row r="12" spans="1:10" hidden="1" x14ac:dyDescent="0.25">
      <c r="A12" s="90">
        <v>111009</v>
      </c>
      <c r="B12" s="90" t="s">
        <v>7</v>
      </c>
      <c r="C12" s="91">
        <v>2020135</v>
      </c>
      <c r="D12" s="91">
        <v>1654335.773</v>
      </c>
      <c r="E12" s="91">
        <v>0</v>
      </c>
      <c r="F12" s="91">
        <v>3674470.773</v>
      </c>
      <c r="G12" t="str">
        <f>_xlfn.XLOOKUP($A12,Map!$A:$A,Map!C:C)</f>
        <v>BS</v>
      </c>
      <c r="H12" t="str">
        <f>_xlfn.XLOOKUP($A12,Map!$A:$A,Map!D:D)</f>
        <v>Non-Current Assets</v>
      </c>
      <c r="I12" t="str">
        <f>_xlfn.XLOOKUP($A12,Map!$A:$A,Map!E:E)</f>
        <v>Right of use</v>
      </c>
      <c r="J12" t="str">
        <f>_xlfn.XLOOKUP($A12,Map!$A:$A,Map!F:F)</f>
        <v>Leases - right of use assets</v>
      </c>
    </row>
    <row r="13" spans="1:10" hidden="1" x14ac:dyDescent="0.25">
      <c r="A13" s="90">
        <v>111010</v>
      </c>
      <c r="B13" s="90" t="s">
        <v>8</v>
      </c>
      <c r="C13" s="91">
        <v>0</v>
      </c>
      <c r="D13" s="91">
        <v>23262827.842</v>
      </c>
      <c r="E13" s="91">
        <v>6132326.8930000002</v>
      </c>
      <c r="F13" s="91">
        <v>17130500.949000001</v>
      </c>
      <c r="G13" t="str">
        <f>_xlfn.XLOOKUP($A13,Map!$A:$A,Map!C:C)</f>
        <v>BS</v>
      </c>
      <c r="H13" t="str">
        <f>_xlfn.XLOOKUP($A13,Map!$A:$A,Map!D:D)</f>
        <v>Non-Current Assets</v>
      </c>
      <c r="I13" t="str">
        <f>_xlfn.XLOOKUP($A13,Map!$A:$A,Map!E:E)</f>
        <v>Property, plant and equipment</v>
      </c>
      <c r="J13" t="str">
        <f>_xlfn.XLOOKUP($A13,Map!$A:$A,Map!F:F)</f>
        <v>Property, plant and equipment - Accumulated depreciation</v>
      </c>
    </row>
    <row r="14" spans="1:10" hidden="1" x14ac:dyDescent="0.25">
      <c r="A14" s="90">
        <v>111013</v>
      </c>
      <c r="B14" s="90" t="s">
        <v>9</v>
      </c>
      <c r="C14" s="91">
        <v>3661922.77</v>
      </c>
      <c r="D14" s="91">
        <v>7442262.2170000002</v>
      </c>
      <c r="E14" s="91">
        <v>11647361.409</v>
      </c>
      <c r="F14" s="91">
        <v>-543176.42200000002</v>
      </c>
      <c r="G14" t="str">
        <f>_xlfn.XLOOKUP($A14,Map!$A:$A,Map!C:C)</f>
        <v>BS</v>
      </c>
      <c r="H14" t="str">
        <f>_xlfn.XLOOKUP($A14,Map!$A:$A,Map!D:D)</f>
        <v>Non-Current Assets</v>
      </c>
      <c r="I14" t="str">
        <f>_xlfn.XLOOKUP($A14,Map!$A:$A,Map!E:E)</f>
        <v>Property, plant and equipment</v>
      </c>
      <c r="J14" t="str">
        <f>_xlfn.XLOOKUP($A14,Map!$A:$A,Map!F:F)</f>
        <v>Property, plant and equipment - Accumulated depreciation</v>
      </c>
    </row>
    <row r="15" spans="1:10" hidden="1" x14ac:dyDescent="0.25">
      <c r="A15" s="90">
        <v>111099</v>
      </c>
      <c r="B15" s="90" t="s">
        <v>10</v>
      </c>
      <c r="C15" s="91">
        <v>220102.927</v>
      </c>
      <c r="D15" s="91">
        <v>9417578.8259999994</v>
      </c>
      <c r="E15" s="91">
        <v>9501928.6109999996</v>
      </c>
      <c r="F15" s="91">
        <v>135753.14199999999</v>
      </c>
      <c r="G15" t="str">
        <f>_xlfn.XLOOKUP($A15,Map!$A:$A,Map!C:C)</f>
        <v>BS</v>
      </c>
      <c r="H15" t="str">
        <f>_xlfn.XLOOKUP($A15,Map!$A:$A,Map!D:D)</f>
        <v>Non-Current Assets</v>
      </c>
      <c r="I15" t="str">
        <f>_xlfn.XLOOKUP($A15,Map!$A:$A,Map!E:E)</f>
        <v>Property, plant and equipment</v>
      </c>
      <c r="J15" t="str">
        <f>_xlfn.XLOOKUP($A15,Map!$A:$A,Map!F:F)</f>
        <v>Property, plant and equipment - Accumulated depreciation</v>
      </c>
    </row>
    <row r="16" spans="1:10" hidden="1" x14ac:dyDescent="0.25">
      <c r="A16" s="90">
        <v>120001</v>
      </c>
      <c r="B16" s="90" t="s">
        <v>11</v>
      </c>
      <c r="C16" s="91">
        <v>-10037150.582</v>
      </c>
      <c r="D16" s="91">
        <v>0</v>
      </c>
      <c r="E16" s="91">
        <v>1592884.561</v>
      </c>
      <c r="F16" s="91">
        <v>-11630035.142999999</v>
      </c>
      <c r="G16" t="str">
        <f>_xlfn.XLOOKUP($A16,Map!$A:$A,Map!C:C)</f>
        <v>BS</v>
      </c>
      <c r="H16" t="str">
        <f>_xlfn.XLOOKUP($A16,Map!$A:$A,Map!D:D)</f>
        <v>Non-Current Assets</v>
      </c>
      <c r="I16" t="str">
        <f>_xlfn.XLOOKUP($A16,Map!$A:$A,Map!E:E)</f>
        <v>Property, plant and equipment</v>
      </c>
      <c r="J16" t="str">
        <f>_xlfn.XLOOKUP($A16,Map!$A:$A,Map!F:F)</f>
        <v>Property, plant and equipment - Accumulated depreciation</v>
      </c>
    </row>
    <row r="17" spans="1:10" hidden="1" x14ac:dyDescent="0.25">
      <c r="A17" s="90">
        <v>120002</v>
      </c>
      <c r="B17" s="90" t="s">
        <v>12</v>
      </c>
      <c r="C17" s="91">
        <v>-1765393.774</v>
      </c>
      <c r="D17" s="91">
        <v>0</v>
      </c>
      <c r="E17" s="91">
        <v>17680.077000000001</v>
      </c>
      <c r="F17" s="91">
        <v>-1783073.851</v>
      </c>
      <c r="G17" t="str">
        <f>_xlfn.XLOOKUP($A17,Map!$A:$A,Map!C:C)</f>
        <v>BS</v>
      </c>
      <c r="H17" t="str">
        <f>_xlfn.XLOOKUP($A17,Map!$A:$A,Map!D:D)</f>
        <v>Non-Current Assets</v>
      </c>
      <c r="I17" t="str">
        <f>_xlfn.XLOOKUP($A17,Map!$A:$A,Map!E:E)</f>
        <v>Property, plant and equipment</v>
      </c>
      <c r="J17" t="str">
        <f>_xlfn.XLOOKUP($A17,Map!$A:$A,Map!F:F)</f>
        <v>Property, plant and equipment - Accumulated depreciation</v>
      </c>
    </row>
    <row r="18" spans="1:10" hidden="1" x14ac:dyDescent="0.25">
      <c r="A18" s="90">
        <v>120003</v>
      </c>
      <c r="B18" s="90" t="s">
        <v>13</v>
      </c>
      <c r="C18" s="91">
        <v>-46052949.350000001</v>
      </c>
      <c r="D18" s="91">
        <v>3094842.7059999998</v>
      </c>
      <c r="E18" s="91">
        <v>7390106.4220000003</v>
      </c>
      <c r="F18" s="91">
        <v>-50348213.066</v>
      </c>
      <c r="G18" t="str">
        <f>_xlfn.XLOOKUP($A18,Map!$A:$A,Map!C:C)</f>
        <v>BS</v>
      </c>
      <c r="H18" t="str">
        <f>_xlfn.XLOOKUP($A18,Map!$A:$A,Map!D:D)</f>
        <v>Non-Current Assets</v>
      </c>
      <c r="I18" t="str">
        <f>_xlfn.XLOOKUP($A18,Map!$A:$A,Map!E:E)</f>
        <v>Property, plant and equipment</v>
      </c>
      <c r="J18" t="str">
        <f>_xlfn.XLOOKUP($A18,Map!$A:$A,Map!F:F)</f>
        <v>Property, plant and equipment - Accumulated depreciation</v>
      </c>
    </row>
    <row r="19" spans="1:10" hidden="1" x14ac:dyDescent="0.25">
      <c r="A19" s="90">
        <v>120005</v>
      </c>
      <c r="B19" s="90" t="s">
        <v>14</v>
      </c>
      <c r="C19" s="91">
        <v>-2441519.38</v>
      </c>
      <c r="D19" s="91">
        <v>0</v>
      </c>
      <c r="E19" s="91">
        <v>261925.77100000001</v>
      </c>
      <c r="F19" s="91">
        <v>-2703445.1510000001</v>
      </c>
      <c r="G19" t="str">
        <f>_xlfn.XLOOKUP($A19,Map!$A:$A,Map!C:C)</f>
        <v>BS</v>
      </c>
      <c r="H19" t="str">
        <f>_xlfn.XLOOKUP($A19,Map!$A:$A,Map!D:D)</f>
        <v>Non-Current Assets</v>
      </c>
      <c r="I19" t="str">
        <f>_xlfn.XLOOKUP($A19,Map!$A:$A,Map!E:E)</f>
        <v>Property, plant and equipment</v>
      </c>
      <c r="J19" t="str">
        <f>_xlfn.XLOOKUP($A19,Map!$A:$A,Map!F:F)</f>
        <v>Property, plant and equipment - Accumulated depreciation</v>
      </c>
    </row>
    <row r="20" spans="1:10" hidden="1" x14ac:dyDescent="0.25">
      <c r="A20" s="90">
        <v>120006</v>
      </c>
      <c r="B20" s="90" t="s">
        <v>15</v>
      </c>
      <c r="C20" s="91">
        <v>-1893185.9580000001</v>
      </c>
      <c r="D20" s="91">
        <v>0</v>
      </c>
      <c r="E20" s="91">
        <v>327256.08500000002</v>
      </c>
      <c r="F20" s="91">
        <v>-2220442.0430000001</v>
      </c>
      <c r="G20" t="str">
        <f>_xlfn.XLOOKUP($A20,Map!$A:$A,Map!C:C)</f>
        <v>BS</v>
      </c>
      <c r="H20" t="str">
        <f>_xlfn.XLOOKUP($A20,Map!$A:$A,Map!D:D)</f>
        <v>Non-Current Assets</v>
      </c>
      <c r="I20" t="str">
        <f>_xlfn.XLOOKUP($A20,Map!$A:$A,Map!E:E)</f>
        <v>Property, plant and equipment</v>
      </c>
      <c r="J20" t="str">
        <f>_xlfn.XLOOKUP($A20,Map!$A:$A,Map!F:F)</f>
        <v>Property, plant and equipment - Accumulated depreciation</v>
      </c>
    </row>
    <row r="21" spans="1:10" hidden="1" x14ac:dyDescent="0.25">
      <c r="A21" s="90">
        <v>120007</v>
      </c>
      <c r="B21" s="90" t="s">
        <v>16</v>
      </c>
      <c r="C21" s="91">
        <v>-656529.25399999996</v>
      </c>
      <c r="D21" s="91">
        <v>0</v>
      </c>
      <c r="E21" s="91">
        <v>91762.504000000001</v>
      </c>
      <c r="F21" s="91">
        <v>-748291.75800000003</v>
      </c>
      <c r="G21" t="str">
        <f>_xlfn.XLOOKUP($A21,Map!$A:$A,Map!C:C)</f>
        <v>BS</v>
      </c>
      <c r="H21" t="str">
        <f>_xlfn.XLOOKUP($A21,Map!$A:$A,Map!D:D)</f>
        <v>Non-Current Assets</v>
      </c>
      <c r="I21" t="str">
        <f>_xlfn.XLOOKUP($A21,Map!$A:$A,Map!E:E)</f>
        <v>Property, plant and equipment</v>
      </c>
      <c r="J21" t="str">
        <f>_xlfn.XLOOKUP($A21,Map!$A:$A,Map!F:F)</f>
        <v>Property, plant and equipment - Accumulated depreciation</v>
      </c>
    </row>
    <row r="22" spans="1:10" hidden="1" x14ac:dyDescent="0.25">
      <c r="A22" s="90">
        <v>120008</v>
      </c>
      <c r="B22" s="90" t="s">
        <v>17</v>
      </c>
      <c r="C22" s="91">
        <v>-794582.52099999995</v>
      </c>
      <c r="D22" s="91">
        <v>0</v>
      </c>
      <c r="E22" s="91">
        <v>334243.90000000002</v>
      </c>
      <c r="F22" s="91">
        <v>-1128826.4210000001</v>
      </c>
      <c r="G22" t="str">
        <f>_xlfn.XLOOKUP($A22,Map!$A:$A,Map!C:C)</f>
        <v>BS</v>
      </c>
      <c r="H22" t="str">
        <f>_xlfn.XLOOKUP($A22,Map!$A:$A,Map!D:D)</f>
        <v>Non-Current Assets</v>
      </c>
      <c r="I22" t="str">
        <f>_xlfn.XLOOKUP($A22,Map!$A:$A,Map!E:E)</f>
        <v>Right of use</v>
      </c>
      <c r="J22" t="str">
        <f>_xlfn.XLOOKUP($A22,Map!$A:$A,Map!F:F)</f>
        <v>Depreciation/amortization of rights of use assets</v>
      </c>
    </row>
    <row r="23" spans="1:10" hidden="1" x14ac:dyDescent="0.25">
      <c r="A23" s="90">
        <v>121001</v>
      </c>
      <c r="B23" s="90" t="s">
        <v>18</v>
      </c>
      <c r="C23" s="91">
        <v>13762616.130000001</v>
      </c>
      <c r="D23" s="91">
        <v>0</v>
      </c>
      <c r="E23" s="91">
        <v>0</v>
      </c>
      <c r="F23" s="91">
        <v>13762616.130000001</v>
      </c>
      <c r="G23" t="str">
        <f>_xlfn.XLOOKUP($A23,Map!$A:$A,Map!C:C)</f>
        <v>BS</v>
      </c>
      <c r="H23" t="str">
        <f>_xlfn.XLOOKUP($A23,Map!$A:$A,Map!D:D)</f>
        <v>Current Assets</v>
      </c>
      <c r="I23" t="str">
        <f>_xlfn.XLOOKUP($A23,Map!$A:$A,Map!E:E)</f>
        <v>Prepaid expenses</v>
      </c>
      <c r="J23" t="str">
        <f>_xlfn.XLOOKUP($A23,Map!$A:$A,Map!F:F)</f>
        <v>Pre Operating Exps</v>
      </c>
    </row>
    <row r="24" spans="1:10" hidden="1" x14ac:dyDescent="0.25">
      <c r="A24" s="90">
        <v>121002</v>
      </c>
      <c r="B24" s="90" t="s">
        <v>19</v>
      </c>
      <c r="C24" s="91">
        <v>-13762616.130000001</v>
      </c>
      <c r="D24" s="91">
        <v>0</v>
      </c>
      <c r="E24" s="91">
        <v>0</v>
      </c>
      <c r="F24" s="91">
        <v>-13762616.130000001</v>
      </c>
      <c r="G24" t="str">
        <f>_xlfn.XLOOKUP($A24,Map!$A:$A,Map!C:C)</f>
        <v>BS</v>
      </c>
      <c r="H24" t="str">
        <f>_xlfn.XLOOKUP($A24,Map!$A:$A,Map!D:D)</f>
        <v>Current Assets</v>
      </c>
      <c r="I24" t="str">
        <f>_xlfn.XLOOKUP($A24,Map!$A:$A,Map!E:E)</f>
        <v>Prepaid expenses</v>
      </c>
      <c r="J24" t="str">
        <f>_xlfn.XLOOKUP($A24,Map!$A:$A,Map!F:F)</f>
        <v>Amortization Of Pre Operating Exps</v>
      </c>
    </row>
    <row r="25" spans="1:10" hidden="1" x14ac:dyDescent="0.25">
      <c r="A25" s="90">
        <v>130001</v>
      </c>
      <c r="B25" s="90" t="s">
        <v>20</v>
      </c>
      <c r="C25" s="91">
        <v>65206.73</v>
      </c>
      <c r="D25" s="91">
        <v>785972.11</v>
      </c>
      <c r="E25" s="91">
        <v>851178.84</v>
      </c>
      <c r="F25" s="91">
        <v>0</v>
      </c>
      <c r="G25" t="str">
        <f>_xlfn.XLOOKUP($A25,Map!$A:$A,Map!C:C)</f>
        <v>BS</v>
      </c>
      <c r="H25" t="str">
        <f>_xlfn.XLOOKUP($A25,Map!$A:$A,Map!D:D)</f>
        <v>Current Assets</v>
      </c>
      <c r="I25" t="str">
        <f>_xlfn.XLOOKUP($A25,Map!$A:$A,Map!E:E)</f>
        <v>Cash and cash equivalents</v>
      </c>
      <c r="J25" t="str">
        <f>_xlfn.XLOOKUP($A25,Map!$A:$A,Map!F:F)</f>
        <v>Bank balances</v>
      </c>
    </row>
    <row r="26" spans="1:10" hidden="1" x14ac:dyDescent="0.25">
      <c r="A26" s="90">
        <v>130002</v>
      </c>
      <c r="B26" s="90" t="s">
        <v>21</v>
      </c>
      <c r="C26" s="91">
        <v>0</v>
      </c>
      <c r="D26" s="91">
        <v>0</v>
      </c>
      <c r="E26" s="91">
        <v>0</v>
      </c>
      <c r="F26" s="91">
        <v>0</v>
      </c>
      <c r="G26" t="str">
        <f>_xlfn.XLOOKUP($A26,Map!$A:$A,Map!C:C)</f>
        <v>BS</v>
      </c>
      <c r="H26" t="str">
        <f>_xlfn.XLOOKUP($A26,Map!$A:$A,Map!D:D)</f>
        <v>Current Assets</v>
      </c>
      <c r="I26" t="str">
        <f>_xlfn.XLOOKUP($A26,Map!$A:$A,Map!E:E)</f>
        <v>Cash and cash equivalents</v>
      </c>
      <c r="J26" t="str">
        <f>_xlfn.XLOOKUP($A26,Map!$A:$A,Map!F:F)</f>
        <v>Bank balances</v>
      </c>
    </row>
    <row r="27" spans="1:10" hidden="1" x14ac:dyDescent="0.25">
      <c r="A27" s="90">
        <v>130003</v>
      </c>
      <c r="B27" s="90" t="s">
        <v>22</v>
      </c>
      <c r="C27" s="91">
        <v>0</v>
      </c>
      <c r="D27" s="91">
        <v>0</v>
      </c>
      <c r="E27" s="91">
        <v>0</v>
      </c>
      <c r="F27" s="91">
        <v>0</v>
      </c>
      <c r="G27" t="str">
        <f>_xlfn.XLOOKUP($A27,Map!$A:$A,Map!C:C)</f>
        <v>BS</v>
      </c>
      <c r="H27" t="str">
        <f>_xlfn.XLOOKUP($A27,Map!$A:$A,Map!D:D)</f>
        <v>Current Assets</v>
      </c>
      <c r="I27" t="str">
        <f>_xlfn.XLOOKUP($A27,Map!$A:$A,Map!E:E)</f>
        <v>Cash and cash equivalents</v>
      </c>
      <c r="J27" t="str">
        <f>_xlfn.XLOOKUP($A27,Map!$A:$A,Map!F:F)</f>
        <v>Bank balances</v>
      </c>
    </row>
    <row r="28" spans="1:10" hidden="1" x14ac:dyDescent="0.25">
      <c r="A28" s="90">
        <v>130004</v>
      </c>
      <c r="B28" s="90" t="s">
        <v>23</v>
      </c>
      <c r="C28" s="91">
        <v>0</v>
      </c>
      <c r="D28" s="91">
        <v>0</v>
      </c>
      <c r="E28" s="91">
        <v>0</v>
      </c>
      <c r="F28" s="91">
        <v>0</v>
      </c>
      <c r="G28" t="str">
        <f>_xlfn.XLOOKUP($A28,Map!$A:$A,Map!C:C)</f>
        <v>BS</v>
      </c>
      <c r="H28" t="str">
        <f>_xlfn.XLOOKUP($A28,Map!$A:$A,Map!D:D)</f>
        <v>Current Assets</v>
      </c>
      <c r="I28" t="str">
        <f>_xlfn.XLOOKUP($A28,Map!$A:$A,Map!E:E)</f>
        <v>Cash and cash equivalents</v>
      </c>
      <c r="J28" t="str">
        <f>_xlfn.XLOOKUP($A28,Map!$A:$A,Map!F:F)</f>
        <v>Bank balances</v>
      </c>
    </row>
    <row r="29" spans="1:10" hidden="1" x14ac:dyDescent="0.25">
      <c r="A29" s="90">
        <v>130005</v>
      </c>
      <c r="B29" s="90" t="s">
        <v>24</v>
      </c>
      <c r="C29" s="91">
        <v>0</v>
      </c>
      <c r="D29" s="91">
        <v>0</v>
      </c>
      <c r="E29" s="91">
        <v>0</v>
      </c>
      <c r="F29" s="91">
        <v>0</v>
      </c>
      <c r="G29" t="str">
        <f>_xlfn.XLOOKUP($A29,Map!$A:$A,Map!C:C)</f>
        <v>BS</v>
      </c>
      <c r="H29" t="str">
        <f>_xlfn.XLOOKUP($A29,Map!$A:$A,Map!D:D)</f>
        <v>Current Assets</v>
      </c>
      <c r="I29" t="str">
        <f>_xlfn.XLOOKUP($A29,Map!$A:$A,Map!E:E)</f>
        <v>Cash and cash equivalents</v>
      </c>
      <c r="J29" t="str">
        <f>_xlfn.XLOOKUP($A29,Map!$A:$A,Map!F:F)</f>
        <v>Bank balances</v>
      </c>
    </row>
    <row r="30" spans="1:10" hidden="1" x14ac:dyDescent="0.25">
      <c r="A30" s="90">
        <v>130006</v>
      </c>
      <c r="B30" s="90" t="s">
        <v>25</v>
      </c>
      <c r="C30" s="91">
        <v>0</v>
      </c>
      <c r="D30" s="91">
        <v>0</v>
      </c>
      <c r="E30" s="91">
        <v>0</v>
      </c>
      <c r="F30" s="91">
        <v>0</v>
      </c>
      <c r="G30" t="str">
        <f>_xlfn.XLOOKUP($A30,Map!$A:$A,Map!C:C)</f>
        <v>BS</v>
      </c>
      <c r="H30" t="str">
        <f>_xlfn.XLOOKUP($A30,Map!$A:$A,Map!D:D)</f>
        <v>Current Assets</v>
      </c>
      <c r="I30" t="str">
        <f>_xlfn.XLOOKUP($A30,Map!$A:$A,Map!E:E)</f>
        <v>Cash and cash equivalents</v>
      </c>
      <c r="J30" t="str">
        <f>_xlfn.XLOOKUP($A30,Map!$A:$A,Map!F:F)</f>
        <v>Bank balances</v>
      </c>
    </row>
    <row r="31" spans="1:10" hidden="1" x14ac:dyDescent="0.25">
      <c r="A31" s="90">
        <v>130007</v>
      </c>
      <c r="B31" s="90" t="s">
        <v>26</v>
      </c>
      <c r="C31" s="91">
        <v>0</v>
      </c>
      <c r="D31" s="91">
        <v>0</v>
      </c>
      <c r="E31" s="91">
        <v>0</v>
      </c>
      <c r="F31" s="91">
        <v>0</v>
      </c>
      <c r="G31" t="str">
        <f>_xlfn.XLOOKUP($A31,Map!$A:$A,Map!C:C)</f>
        <v>BS</v>
      </c>
      <c r="H31" t="str">
        <f>_xlfn.XLOOKUP($A31,Map!$A:$A,Map!D:D)</f>
        <v>Current Assets</v>
      </c>
      <c r="I31" t="str">
        <f>_xlfn.XLOOKUP($A31,Map!$A:$A,Map!E:E)</f>
        <v>Cash and cash equivalents</v>
      </c>
      <c r="J31" t="str">
        <f>_xlfn.XLOOKUP($A31,Map!$A:$A,Map!F:F)</f>
        <v>Bank balances</v>
      </c>
    </row>
    <row r="32" spans="1:10" hidden="1" x14ac:dyDescent="0.25">
      <c r="A32" s="90">
        <v>130008</v>
      </c>
      <c r="B32" s="90" t="s">
        <v>247</v>
      </c>
      <c r="C32" s="91">
        <v>194366.21</v>
      </c>
      <c r="D32" s="91">
        <v>78364147.299999997</v>
      </c>
      <c r="E32" s="91">
        <v>78095236.280000001</v>
      </c>
      <c r="F32" s="91">
        <v>463277.23</v>
      </c>
      <c r="G32" t="str">
        <f>_xlfn.XLOOKUP($A32,Map!$A:$A,Map!C:C)</f>
        <v>BS</v>
      </c>
      <c r="H32" t="str">
        <f>_xlfn.XLOOKUP($A32,Map!$A:$A,Map!D:D)</f>
        <v>Current Assets</v>
      </c>
      <c r="I32" t="str">
        <f>_xlfn.XLOOKUP($A32,Map!$A:$A,Map!E:E)</f>
        <v>Cash and cash equivalents</v>
      </c>
      <c r="J32" t="str">
        <f>_xlfn.XLOOKUP($A32,Map!$A:$A,Map!F:F)</f>
        <v>Bank balances</v>
      </c>
    </row>
    <row r="33" spans="1:10" hidden="1" x14ac:dyDescent="0.25">
      <c r="A33" s="90">
        <v>130009</v>
      </c>
      <c r="B33" s="90" t="s">
        <v>27</v>
      </c>
      <c r="C33" s="91">
        <v>38160.93</v>
      </c>
      <c r="D33" s="91">
        <v>100464074.41</v>
      </c>
      <c r="E33" s="91">
        <v>100322598.265</v>
      </c>
      <c r="F33" s="91">
        <v>179637.07500000001</v>
      </c>
      <c r="G33" t="str">
        <f>_xlfn.XLOOKUP($A33,Map!$A:$A,Map!C:C)</f>
        <v>BS</v>
      </c>
      <c r="H33" t="str">
        <f>_xlfn.XLOOKUP($A33,Map!$A:$A,Map!D:D)</f>
        <v>Current Assets</v>
      </c>
      <c r="I33" t="str">
        <f>_xlfn.XLOOKUP($A33,Map!$A:$A,Map!E:E)</f>
        <v>Cash and cash equivalents</v>
      </c>
      <c r="J33" t="str">
        <f>_xlfn.XLOOKUP($A33,Map!$A:$A,Map!F:F)</f>
        <v>Bank balances</v>
      </c>
    </row>
    <row r="34" spans="1:10" hidden="1" x14ac:dyDescent="0.25">
      <c r="A34" s="90">
        <v>130010</v>
      </c>
      <c r="B34" s="90" t="s">
        <v>28</v>
      </c>
      <c r="C34" s="91">
        <v>355055.14899999998</v>
      </c>
      <c r="D34" s="91">
        <v>232458703.20699999</v>
      </c>
      <c r="E34" s="91">
        <v>232813758.35600001</v>
      </c>
      <c r="F34" s="91">
        <v>0</v>
      </c>
      <c r="G34" t="str">
        <f>_xlfn.XLOOKUP($A34,Map!$A:$A,Map!C:C)</f>
        <v>BS</v>
      </c>
      <c r="H34" t="str">
        <f>_xlfn.XLOOKUP($A34,Map!$A:$A,Map!D:D)</f>
        <v>Current Assets</v>
      </c>
      <c r="I34" t="str">
        <f>_xlfn.XLOOKUP($A34,Map!$A:$A,Map!E:E)</f>
        <v>Cash and cash equivalents</v>
      </c>
      <c r="J34" t="str">
        <f>_xlfn.XLOOKUP($A34,Map!$A:$A,Map!F:F)</f>
        <v>Bank balances</v>
      </c>
    </row>
    <row r="35" spans="1:10" hidden="1" x14ac:dyDescent="0.25">
      <c r="A35" s="90">
        <v>130011</v>
      </c>
      <c r="B35" s="90" t="s">
        <v>29</v>
      </c>
      <c r="C35" s="91">
        <v>136162.01</v>
      </c>
      <c r="D35" s="91">
        <v>46775529.148000002</v>
      </c>
      <c r="E35" s="91">
        <v>46824915.038000003</v>
      </c>
      <c r="F35" s="91">
        <v>86776.12</v>
      </c>
      <c r="G35" t="str">
        <f>_xlfn.XLOOKUP($A35,Map!$A:$A,Map!C:C)</f>
        <v>BS</v>
      </c>
      <c r="H35" t="str">
        <f>_xlfn.XLOOKUP($A35,Map!$A:$A,Map!D:D)</f>
        <v>Current Assets</v>
      </c>
      <c r="I35" t="str">
        <f>_xlfn.XLOOKUP($A35,Map!$A:$A,Map!E:E)</f>
        <v>Cash and cash equivalents</v>
      </c>
      <c r="J35" t="str">
        <f>_xlfn.XLOOKUP($A35,Map!$A:$A,Map!F:F)</f>
        <v>Bank balances</v>
      </c>
    </row>
    <row r="36" spans="1:10" hidden="1" x14ac:dyDescent="0.25">
      <c r="A36" s="90">
        <v>130012</v>
      </c>
      <c r="B36" s="90" t="s">
        <v>248</v>
      </c>
      <c r="C36" s="91">
        <v>166205.87</v>
      </c>
      <c r="D36" s="91">
        <v>111735678.27599999</v>
      </c>
      <c r="E36" s="91">
        <v>111843053.16599999</v>
      </c>
      <c r="F36" s="91">
        <v>58830.98</v>
      </c>
      <c r="G36" t="str">
        <f>_xlfn.XLOOKUP($A36,Map!$A:$A,Map!C:C)</f>
        <v>BS</v>
      </c>
      <c r="H36" t="str">
        <f>_xlfn.XLOOKUP($A36,Map!$A:$A,Map!D:D)</f>
        <v>Current Assets</v>
      </c>
      <c r="I36" t="str">
        <f>_xlfn.XLOOKUP($A36,Map!$A:$A,Map!E:E)</f>
        <v>Cash and cash equivalents</v>
      </c>
      <c r="J36" t="str">
        <f>_xlfn.XLOOKUP($A36,Map!$A:$A,Map!F:F)</f>
        <v>Bank balances</v>
      </c>
    </row>
    <row r="37" spans="1:10" hidden="1" x14ac:dyDescent="0.25">
      <c r="A37" s="90">
        <v>130013</v>
      </c>
      <c r="B37" s="90" t="s">
        <v>30</v>
      </c>
      <c r="C37" s="91">
        <v>1760.4380000000001</v>
      </c>
      <c r="D37" s="91">
        <v>126841333.55599999</v>
      </c>
      <c r="E37" s="91">
        <v>126456303.065</v>
      </c>
      <c r="F37" s="91">
        <v>386790.929</v>
      </c>
      <c r="G37" t="str">
        <f>_xlfn.XLOOKUP($A37,Map!$A:$A,Map!C:C)</f>
        <v>BS</v>
      </c>
      <c r="H37" t="str">
        <f>_xlfn.XLOOKUP($A37,Map!$A:$A,Map!D:D)</f>
        <v>Current Assets</v>
      </c>
      <c r="I37" t="str">
        <f>_xlfn.XLOOKUP($A37,Map!$A:$A,Map!E:E)</f>
        <v>Cash and cash equivalents</v>
      </c>
      <c r="J37" t="str">
        <f>_xlfn.XLOOKUP($A37,Map!$A:$A,Map!F:F)</f>
        <v>Bank balances</v>
      </c>
    </row>
    <row r="38" spans="1:10" hidden="1" x14ac:dyDescent="0.25">
      <c r="A38" s="90">
        <v>130014</v>
      </c>
      <c r="B38" s="90" t="s">
        <v>31</v>
      </c>
      <c r="C38" s="91">
        <v>2761.25</v>
      </c>
      <c r="D38" s="91">
        <v>0</v>
      </c>
      <c r="E38" s="91">
        <v>2761.25</v>
      </c>
      <c r="F38" s="91">
        <v>0</v>
      </c>
      <c r="G38" t="str">
        <f>_xlfn.XLOOKUP($A38,Map!$A:$A,Map!C:C)</f>
        <v>BS</v>
      </c>
      <c r="H38" t="str">
        <f>_xlfn.XLOOKUP($A38,Map!$A:$A,Map!D:D)</f>
        <v>Current Assets</v>
      </c>
      <c r="I38" t="str">
        <f>_xlfn.XLOOKUP($A38,Map!$A:$A,Map!E:E)</f>
        <v>Cash and cash equivalents</v>
      </c>
      <c r="J38" t="str">
        <f>_xlfn.XLOOKUP($A38,Map!$A:$A,Map!F:F)</f>
        <v>Bank balances</v>
      </c>
    </row>
    <row r="39" spans="1:10" hidden="1" x14ac:dyDescent="0.25">
      <c r="A39" s="90">
        <v>130015</v>
      </c>
      <c r="B39" s="90" t="s">
        <v>32</v>
      </c>
      <c r="C39" s="91">
        <v>10056.36</v>
      </c>
      <c r="D39" s="91">
        <v>10226500</v>
      </c>
      <c r="E39" s="91">
        <v>10230928.189999999</v>
      </c>
      <c r="F39" s="91">
        <v>5628.17</v>
      </c>
      <c r="G39" t="str">
        <f>_xlfn.XLOOKUP($A39,Map!$A:$A,Map!C:C)</f>
        <v>BS</v>
      </c>
      <c r="H39" t="str">
        <f>_xlfn.XLOOKUP($A39,Map!$A:$A,Map!D:D)</f>
        <v>Current Assets</v>
      </c>
      <c r="I39" t="str">
        <f>_xlfn.XLOOKUP($A39,Map!$A:$A,Map!E:E)</f>
        <v>Cash and cash equivalents</v>
      </c>
      <c r="J39" t="str">
        <f>_xlfn.XLOOKUP($A39,Map!$A:$A,Map!F:F)</f>
        <v>Bank balances</v>
      </c>
    </row>
    <row r="40" spans="1:10" hidden="1" x14ac:dyDescent="0.25">
      <c r="A40" s="90">
        <v>130016</v>
      </c>
      <c r="B40" s="90" t="s">
        <v>33</v>
      </c>
      <c r="C40" s="91">
        <v>98386.5</v>
      </c>
      <c r="D40" s="91">
        <v>17773911</v>
      </c>
      <c r="E40" s="91">
        <v>17848965.199999999</v>
      </c>
      <c r="F40" s="91">
        <v>23332.3</v>
      </c>
      <c r="G40" t="str">
        <f>_xlfn.XLOOKUP($A40,Map!$A:$A,Map!C:C)</f>
        <v>BS</v>
      </c>
      <c r="H40" t="str">
        <f>_xlfn.XLOOKUP($A40,Map!$A:$A,Map!D:D)</f>
        <v>Current Assets</v>
      </c>
      <c r="I40" t="str">
        <f>_xlfn.XLOOKUP($A40,Map!$A:$A,Map!E:E)</f>
        <v>Cash and cash equivalents</v>
      </c>
      <c r="J40" t="str">
        <f>_xlfn.XLOOKUP($A40,Map!$A:$A,Map!F:F)</f>
        <v>Bank balances</v>
      </c>
    </row>
    <row r="41" spans="1:10" hidden="1" x14ac:dyDescent="0.25">
      <c r="A41" s="90">
        <v>130017</v>
      </c>
      <c r="B41" s="90" t="s">
        <v>555</v>
      </c>
      <c r="C41" s="91">
        <v>0</v>
      </c>
      <c r="D41" s="91">
        <v>10804665.828</v>
      </c>
      <c r="E41" s="91">
        <v>10804373.419</v>
      </c>
      <c r="F41" s="91">
        <v>292.40899999999999</v>
      </c>
      <c r="G41" t="str">
        <f>_xlfn.XLOOKUP($A41,Map!$A:$A,Map!C:C)</f>
        <v>BS</v>
      </c>
      <c r="H41" t="str">
        <f>_xlfn.XLOOKUP($A41,Map!$A:$A,Map!D:D)</f>
        <v>Current Assets</v>
      </c>
      <c r="I41" t="str">
        <f>_xlfn.XLOOKUP($A41,Map!$A:$A,Map!E:E)</f>
        <v>Cash and cash equivalents</v>
      </c>
      <c r="J41" t="str">
        <f>_xlfn.XLOOKUP($A41,Map!$A:$A,Map!F:F)</f>
        <v>Bank balances</v>
      </c>
    </row>
    <row r="42" spans="1:10" hidden="1" x14ac:dyDescent="0.25">
      <c r="A42" s="90">
        <v>130099</v>
      </c>
      <c r="B42" s="90" t="s">
        <v>34</v>
      </c>
      <c r="C42" s="91">
        <v>0</v>
      </c>
      <c r="D42" s="91">
        <v>312042737.417</v>
      </c>
      <c r="E42" s="91">
        <v>312042737.417</v>
      </c>
      <c r="F42" s="91">
        <v>0</v>
      </c>
      <c r="G42" t="str">
        <f>_xlfn.XLOOKUP($A42,Map!$A:$A,Map!C:C)</f>
        <v>BS</v>
      </c>
      <c r="H42" t="str">
        <f>_xlfn.XLOOKUP($A42,Map!$A:$A,Map!D:D)</f>
        <v>Current Assets</v>
      </c>
      <c r="I42" t="str">
        <f>_xlfn.XLOOKUP($A42,Map!$A:$A,Map!E:E)</f>
        <v>Cash and cash equivalents</v>
      </c>
      <c r="J42" t="str">
        <f>_xlfn.XLOOKUP($A42,Map!$A:$A,Map!F:F)</f>
        <v>Bank balances</v>
      </c>
    </row>
    <row r="43" spans="1:10" hidden="1" x14ac:dyDescent="0.25">
      <c r="A43" s="90">
        <v>140001</v>
      </c>
      <c r="B43" s="90" t="s">
        <v>35</v>
      </c>
      <c r="C43" s="91">
        <v>52577571.138999999</v>
      </c>
      <c r="D43" s="91">
        <v>260965359.96900001</v>
      </c>
      <c r="E43" s="91">
        <v>274495863.37900001</v>
      </c>
      <c r="F43" s="91">
        <v>39047067.729000002</v>
      </c>
      <c r="G43" t="str">
        <f>_xlfn.XLOOKUP($A43,Map!$A:$A,Map!C:C)</f>
        <v>BS</v>
      </c>
      <c r="H43" t="str">
        <f>_xlfn.XLOOKUP($A43,Map!$A:$A,Map!D:D)</f>
        <v>Current Assets</v>
      </c>
      <c r="I43" t="str">
        <f>_xlfn.XLOOKUP($A43,Map!$A:$A,Map!E:E)</f>
        <v>Trade receivables</v>
      </c>
      <c r="J43" t="str">
        <f>_xlfn.XLOOKUP($A43,Map!$A:$A,Map!F:F)</f>
        <v>Trade receivables - current</v>
      </c>
    </row>
    <row r="44" spans="1:10" hidden="1" x14ac:dyDescent="0.25">
      <c r="A44" s="90">
        <v>140010</v>
      </c>
      <c r="B44" s="90" t="s">
        <v>36</v>
      </c>
      <c r="C44" s="91">
        <v>0</v>
      </c>
      <c r="D44" s="91">
        <v>2705601.2080000001</v>
      </c>
      <c r="E44" s="91">
        <v>2577487.4700000002</v>
      </c>
      <c r="F44" s="91">
        <v>128113.738</v>
      </c>
      <c r="G44" t="str">
        <f>_xlfn.XLOOKUP($A44,Map!$A:$A,Map!C:C)</f>
        <v>BS</v>
      </c>
      <c r="H44" t="str">
        <f>_xlfn.XLOOKUP($A44,Map!$A:$A,Map!D:D)</f>
        <v>Current Assets</v>
      </c>
      <c r="I44" t="str">
        <f>_xlfn.XLOOKUP($A44,Map!$A:$A,Map!E:E)</f>
        <v>Trade receivables</v>
      </c>
      <c r="J44" t="str">
        <f>_xlfn.XLOOKUP($A44,Map!$A:$A,Map!F:F)</f>
        <v>Trade receivables - current</v>
      </c>
    </row>
    <row r="45" spans="1:10" hidden="1" x14ac:dyDescent="0.25">
      <c r="A45" s="90">
        <v>150001</v>
      </c>
      <c r="B45" s="90" t="s">
        <v>37</v>
      </c>
      <c r="C45" s="91">
        <v>1337414.8400000001</v>
      </c>
      <c r="D45" s="91">
        <v>1886175.58</v>
      </c>
      <c r="E45" s="91">
        <v>1617688.9</v>
      </c>
      <c r="F45" s="91">
        <v>1605901.52</v>
      </c>
      <c r="G45" t="str">
        <f>_xlfn.XLOOKUP($A45,Map!$A:$A,Map!C:C)</f>
        <v>BS</v>
      </c>
      <c r="H45" t="str">
        <f>_xlfn.XLOOKUP($A45,Map!$A:$A,Map!D:D)</f>
        <v>Current Assets</v>
      </c>
      <c r="I45" t="str">
        <f>_xlfn.XLOOKUP($A45,Map!$A:$A,Map!E:E)</f>
        <v>Prepaid expenses</v>
      </c>
      <c r="J45" t="str">
        <f>_xlfn.XLOOKUP($A45,Map!$A:$A,Map!F:F)</f>
        <v>Advances - current</v>
      </c>
    </row>
    <row r="46" spans="1:10" hidden="1" x14ac:dyDescent="0.25">
      <c r="A46" s="90">
        <v>150002</v>
      </c>
      <c r="B46" s="90" t="s">
        <v>38</v>
      </c>
      <c r="C46" s="91">
        <v>0</v>
      </c>
      <c r="D46" s="91">
        <v>0</v>
      </c>
      <c r="E46" s="91">
        <v>0</v>
      </c>
      <c r="F46" s="91">
        <v>0</v>
      </c>
      <c r="G46" t="str">
        <f>_xlfn.XLOOKUP($A46,Map!$A:$A,Map!C:C)</f>
        <v>BS</v>
      </c>
      <c r="H46" t="str">
        <f>_xlfn.XLOOKUP($A46,Map!$A:$A,Map!D:D)</f>
        <v>Non-Current Liabilities</v>
      </c>
      <c r="I46" t="str">
        <f>_xlfn.XLOOKUP($A46,Map!$A:$A,Map!E:E)</f>
        <v xml:space="preserve">End-of-service indemnities </v>
      </c>
      <c r="J46" t="str">
        <f>_xlfn.XLOOKUP($A46,Map!$A:$A,Map!F:F)</f>
        <v xml:space="preserve">End-of-service indemnities </v>
      </c>
    </row>
    <row r="47" spans="1:10" hidden="1" x14ac:dyDescent="0.25">
      <c r="A47" s="90">
        <v>160001</v>
      </c>
      <c r="B47" s="90" t="s">
        <v>39</v>
      </c>
      <c r="C47" s="91">
        <v>35582.42</v>
      </c>
      <c r="D47" s="91">
        <v>1242408.399</v>
      </c>
      <c r="E47" s="91">
        <v>971851.054</v>
      </c>
      <c r="F47" s="91">
        <v>306139.76500000001</v>
      </c>
      <c r="G47" t="str">
        <f>_xlfn.XLOOKUP($A47,Map!$A:$A,Map!C:C)</f>
        <v>BS</v>
      </c>
      <c r="H47" t="str">
        <f>_xlfn.XLOOKUP($A47,Map!$A:$A,Map!D:D)</f>
        <v>Current Assets</v>
      </c>
      <c r="I47" t="str">
        <f>_xlfn.XLOOKUP($A47,Map!$A:$A,Map!E:E)</f>
        <v>Cash and cash equivalents</v>
      </c>
      <c r="J47" t="str">
        <f>_xlfn.XLOOKUP($A47,Map!$A:$A,Map!F:F)</f>
        <v>Petty cash</v>
      </c>
    </row>
    <row r="48" spans="1:10" hidden="1" x14ac:dyDescent="0.25">
      <c r="A48" s="90">
        <v>170000</v>
      </c>
      <c r="B48" s="90" t="s">
        <v>40</v>
      </c>
      <c r="C48" s="91">
        <v>0.22500000000000001</v>
      </c>
      <c r="D48" s="91">
        <v>2677671.15</v>
      </c>
      <c r="E48" s="91">
        <v>1990950.1839999999</v>
      </c>
      <c r="F48" s="91">
        <v>686721.19099999999</v>
      </c>
      <c r="G48" t="str">
        <f>_xlfn.XLOOKUP($A48,Map!$A:$A,Map!C:C)</f>
        <v>BS</v>
      </c>
      <c r="H48" t="str">
        <f>_xlfn.XLOOKUP($A48,Map!$A:$A,Map!D:D)</f>
        <v>Current Liabilities</v>
      </c>
      <c r="I48" t="str">
        <f>_xlfn.XLOOKUP($A48,Map!$A:$A,Map!E:E)</f>
        <v>Short-term Murabaha loans</v>
      </c>
      <c r="J48" t="str">
        <f>_xlfn.XLOOKUP($A48,Map!$A:$A,Map!F:F)</f>
        <v>Prepayments - current</v>
      </c>
    </row>
    <row r="49" spans="1:10" hidden="1" x14ac:dyDescent="0.25">
      <c r="A49" s="90">
        <v>170001</v>
      </c>
      <c r="B49" s="90" t="s">
        <v>41</v>
      </c>
      <c r="C49" s="91">
        <v>1201752.2220000001</v>
      </c>
      <c r="D49" s="91">
        <v>4993651.318</v>
      </c>
      <c r="E49" s="91">
        <v>4781487.6469999999</v>
      </c>
      <c r="F49" s="91">
        <v>1413915.8929999999</v>
      </c>
      <c r="G49" t="str">
        <f>_xlfn.XLOOKUP($A49,Map!$A:$A,Map!C:C)</f>
        <v>BS</v>
      </c>
      <c r="H49" t="str">
        <f>_xlfn.XLOOKUP($A49,Map!$A:$A,Map!D:D)</f>
        <v>Current Liabilities</v>
      </c>
      <c r="I49" t="str">
        <f>_xlfn.XLOOKUP($A49,Map!$A:$A,Map!E:E)</f>
        <v>Short-term Murabaha loans</v>
      </c>
      <c r="J49" t="str">
        <f>_xlfn.XLOOKUP($A49,Map!$A:$A,Map!F:F)</f>
        <v>Prepayments - current</v>
      </c>
    </row>
    <row r="50" spans="1:10" hidden="1" x14ac:dyDescent="0.25">
      <c r="A50" s="90">
        <v>170002</v>
      </c>
      <c r="B50" s="90" t="s">
        <v>42</v>
      </c>
      <c r="C50" s="91">
        <v>1176947.8540000001</v>
      </c>
      <c r="D50" s="91">
        <v>6107394.3969999999</v>
      </c>
      <c r="E50" s="91">
        <v>3677138.2620000001</v>
      </c>
      <c r="F50" s="91">
        <v>3607203.9890000001</v>
      </c>
      <c r="G50" t="str">
        <f>_xlfn.XLOOKUP($A50,Map!$A:$A,Map!C:C)</f>
        <v>BS</v>
      </c>
      <c r="H50" t="str">
        <f>_xlfn.XLOOKUP($A50,Map!$A:$A,Map!D:D)</f>
        <v>Current Liabilities</v>
      </c>
      <c r="I50" t="str">
        <f>_xlfn.XLOOKUP($A50,Map!$A:$A,Map!E:E)</f>
        <v>Short-term Murabaha loans</v>
      </c>
      <c r="J50" t="str">
        <f>_xlfn.XLOOKUP($A50,Map!$A:$A,Map!F:F)</f>
        <v>Prepayments - current</v>
      </c>
    </row>
    <row r="51" spans="1:10" hidden="1" x14ac:dyDescent="0.25">
      <c r="A51" s="90">
        <v>170003</v>
      </c>
      <c r="B51" s="90" t="s">
        <v>43</v>
      </c>
      <c r="C51" s="91">
        <v>0</v>
      </c>
      <c r="D51" s="91">
        <v>0</v>
      </c>
      <c r="E51" s="91">
        <v>0</v>
      </c>
      <c r="F51" s="91">
        <v>0</v>
      </c>
      <c r="G51" t="str">
        <f>_xlfn.XLOOKUP($A51,Map!$A:$A,Map!C:C)</f>
        <v>BS</v>
      </c>
      <c r="H51" t="str">
        <f>_xlfn.XLOOKUP($A51,Map!$A:$A,Map!D:D)</f>
        <v>Current Liabilities</v>
      </c>
      <c r="I51" t="str">
        <f>_xlfn.XLOOKUP($A51,Map!$A:$A,Map!E:E)</f>
        <v>Short-term Murabaha loans</v>
      </c>
      <c r="J51" t="str">
        <f>_xlfn.XLOOKUP($A51,Map!$A:$A,Map!F:F)</f>
        <v>Prepayments - current</v>
      </c>
    </row>
    <row r="52" spans="1:10" hidden="1" x14ac:dyDescent="0.25">
      <c r="A52" s="90">
        <v>170004</v>
      </c>
      <c r="B52" s="90" t="s">
        <v>244</v>
      </c>
      <c r="C52" s="91">
        <v>1E-3</v>
      </c>
      <c r="D52" s="91">
        <v>0</v>
      </c>
      <c r="E52" s="91">
        <v>0</v>
      </c>
      <c r="F52" s="91">
        <v>1E-3</v>
      </c>
      <c r="G52" t="str">
        <f>_xlfn.XLOOKUP($A52,Map!$A:$A,Map!C:C)</f>
        <v>BS</v>
      </c>
      <c r="H52" t="str">
        <f>_xlfn.XLOOKUP($A52,Map!$A:$A,Map!D:D)</f>
        <v>Current Liabilities</v>
      </c>
      <c r="I52" t="str">
        <f>_xlfn.XLOOKUP($A52,Map!$A:$A,Map!E:E)</f>
        <v>Short-term Murabaha loans</v>
      </c>
      <c r="J52" t="str">
        <f>_xlfn.XLOOKUP($A52,Map!$A:$A,Map!F:F)</f>
        <v>Prepayments - current</v>
      </c>
    </row>
    <row r="53" spans="1:10" hidden="1" x14ac:dyDescent="0.25">
      <c r="A53" s="90">
        <v>170005</v>
      </c>
      <c r="B53" s="90" t="s">
        <v>44</v>
      </c>
      <c r="C53" s="91">
        <v>0</v>
      </c>
      <c r="D53" s="91">
        <v>0</v>
      </c>
      <c r="E53" s="91">
        <v>0</v>
      </c>
      <c r="F53" s="91">
        <v>0</v>
      </c>
      <c r="G53" t="str">
        <f>_xlfn.XLOOKUP($A53,Map!$A:$A,Map!C:C)</f>
        <v>BS</v>
      </c>
      <c r="H53" t="str">
        <f>_xlfn.XLOOKUP($A53,Map!$A:$A,Map!D:D)</f>
        <v>Current Assets</v>
      </c>
      <c r="I53" t="str">
        <f>_xlfn.XLOOKUP($A53,Map!$A:$A,Map!E:E)</f>
        <v>Prepaid expenses</v>
      </c>
      <c r="J53" t="str">
        <f>_xlfn.XLOOKUP($A53,Map!$A:$A,Map!F:F)</f>
        <v>Deposits - current</v>
      </c>
    </row>
    <row r="54" spans="1:10" hidden="1" x14ac:dyDescent="0.25">
      <c r="A54" s="90">
        <v>170006</v>
      </c>
      <c r="B54" s="90" t="s">
        <v>45</v>
      </c>
      <c r="C54" s="91">
        <v>0</v>
      </c>
      <c r="D54" s="91">
        <v>0</v>
      </c>
      <c r="E54" s="91">
        <v>0</v>
      </c>
      <c r="F54" s="91">
        <v>0</v>
      </c>
      <c r="G54" t="str">
        <f>_xlfn.XLOOKUP($A54,Map!$A:$A,Map!C:C)</f>
        <v>BS</v>
      </c>
      <c r="H54" t="str">
        <f>_xlfn.XLOOKUP($A54,Map!$A:$A,Map!D:D)</f>
        <v>Current Assets</v>
      </c>
      <c r="I54" t="str">
        <f>_xlfn.XLOOKUP($A54,Map!$A:$A,Map!E:E)</f>
        <v>Prepaid expenses</v>
      </c>
      <c r="J54" t="str">
        <f>_xlfn.XLOOKUP($A54,Map!$A:$A,Map!F:F)</f>
        <v>Deposits - current</v>
      </c>
    </row>
    <row r="55" spans="1:10" hidden="1" x14ac:dyDescent="0.25">
      <c r="A55" s="90">
        <v>170007</v>
      </c>
      <c r="B55" s="90" t="s">
        <v>46</v>
      </c>
      <c r="C55" s="91">
        <v>0</v>
      </c>
      <c r="D55" s="91">
        <v>0</v>
      </c>
      <c r="E55" s="91">
        <v>0</v>
      </c>
      <c r="F55" s="91">
        <v>0</v>
      </c>
      <c r="G55" t="str">
        <f>_xlfn.XLOOKUP($A55,Map!$A:$A,Map!C:C)</f>
        <v>BS</v>
      </c>
      <c r="H55" t="str">
        <f>_xlfn.XLOOKUP($A55,Map!$A:$A,Map!D:D)</f>
        <v>Current Assets</v>
      </c>
      <c r="I55" t="str">
        <f>_xlfn.XLOOKUP($A55,Map!$A:$A,Map!E:E)</f>
        <v>Prepaid expenses</v>
      </c>
      <c r="J55" t="str">
        <f>_xlfn.XLOOKUP($A55,Map!$A:$A,Map!F:F)</f>
        <v>Deposits - current</v>
      </c>
    </row>
    <row r="56" spans="1:10" hidden="1" x14ac:dyDescent="0.25">
      <c r="A56" s="90">
        <v>170008</v>
      </c>
      <c r="B56" s="90" t="s">
        <v>47</v>
      </c>
      <c r="C56" s="91">
        <v>65928.34</v>
      </c>
      <c r="D56" s="91">
        <v>376741.19</v>
      </c>
      <c r="E56" s="91">
        <v>539907.62600000005</v>
      </c>
      <c r="F56" s="91">
        <v>-97238.096000000005</v>
      </c>
      <c r="G56" t="str">
        <f>_xlfn.XLOOKUP($A56,Map!$A:$A,Map!C:C)</f>
        <v>BS</v>
      </c>
      <c r="H56" t="str">
        <f>_xlfn.XLOOKUP($A56,Map!$A:$A,Map!D:D)</f>
        <v>Current Assets</v>
      </c>
      <c r="I56" t="str">
        <f>_xlfn.XLOOKUP($A56,Map!$A:$A,Map!E:E)</f>
        <v>Prepaid expenses</v>
      </c>
      <c r="J56" t="str">
        <f>_xlfn.XLOOKUP($A56,Map!$A:$A,Map!F:F)</f>
        <v>Deposits - current</v>
      </c>
    </row>
    <row r="57" spans="1:10" hidden="1" x14ac:dyDescent="0.25">
      <c r="A57" s="90">
        <v>170009</v>
      </c>
      <c r="B57" s="90" t="s">
        <v>48</v>
      </c>
      <c r="C57" s="91">
        <v>81690.100999999995</v>
      </c>
      <c r="D57" s="91">
        <v>965114.6</v>
      </c>
      <c r="E57" s="91">
        <v>855775.07400000002</v>
      </c>
      <c r="F57" s="91">
        <v>191029.62700000001</v>
      </c>
      <c r="G57" t="str">
        <f>_xlfn.XLOOKUP($A57,Map!$A:$A,Map!C:C)</f>
        <v>BS</v>
      </c>
      <c r="H57" t="str">
        <f>_xlfn.XLOOKUP($A57,Map!$A:$A,Map!D:D)</f>
        <v>Current Assets</v>
      </c>
      <c r="I57" t="str">
        <f>_xlfn.XLOOKUP($A57,Map!$A:$A,Map!E:E)</f>
        <v>Prepaid expenses</v>
      </c>
      <c r="J57" t="str">
        <f>_xlfn.XLOOKUP($A57,Map!$A:$A,Map!F:F)</f>
        <v>Rent</v>
      </c>
    </row>
    <row r="58" spans="1:10" hidden="1" x14ac:dyDescent="0.25">
      <c r="A58" s="90">
        <v>170010</v>
      </c>
      <c r="B58" s="90" t="s">
        <v>49</v>
      </c>
      <c r="C58" s="91">
        <v>0</v>
      </c>
      <c r="D58" s="91">
        <v>0</v>
      </c>
      <c r="E58" s="91">
        <v>0</v>
      </c>
      <c r="F58" s="91">
        <v>0</v>
      </c>
      <c r="G58" t="str">
        <f>_xlfn.XLOOKUP($A58,Map!$A:$A,Map!C:C)</f>
        <v>BS</v>
      </c>
      <c r="H58" t="str">
        <f>_xlfn.XLOOKUP($A58,Map!$A:$A,Map!D:D)</f>
        <v>Current Assets</v>
      </c>
      <c r="I58" t="str">
        <f>_xlfn.XLOOKUP($A58,Map!$A:$A,Map!E:E)</f>
        <v>Prepaid expenses</v>
      </c>
      <c r="J58" t="str">
        <f>_xlfn.XLOOKUP($A58,Map!$A:$A,Map!F:F)</f>
        <v>Housing allowance</v>
      </c>
    </row>
    <row r="59" spans="1:10" hidden="1" x14ac:dyDescent="0.25">
      <c r="A59" s="90">
        <v>170011</v>
      </c>
      <c r="B59" s="90" t="s">
        <v>50</v>
      </c>
      <c r="C59" s="91">
        <v>0</v>
      </c>
      <c r="D59" s="91">
        <v>75000</v>
      </c>
      <c r="E59" s="91">
        <v>25000</v>
      </c>
      <c r="F59" s="91">
        <v>50000</v>
      </c>
      <c r="G59" t="str">
        <f>_xlfn.XLOOKUP($A59,Map!$A:$A,Map!C:C)</f>
        <v>BS</v>
      </c>
      <c r="H59" t="str">
        <f>_xlfn.XLOOKUP($A59,Map!$A:$A,Map!D:D)</f>
        <v>Current Assets</v>
      </c>
      <c r="I59" t="str">
        <f>_xlfn.XLOOKUP($A59,Map!$A:$A,Map!E:E)</f>
        <v>Prepaid expenses</v>
      </c>
      <c r="J59" t="str">
        <f>_xlfn.XLOOKUP($A59,Map!$A:$A,Map!F:F)</f>
        <v>Air tickets</v>
      </c>
    </row>
    <row r="60" spans="1:10" hidden="1" x14ac:dyDescent="0.25">
      <c r="A60" s="90">
        <v>170012</v>
      </c>
      <c r="B60" s="90" t="s">
        <v>51</v>
      </c>
      <c r="C60" s="91">
        <v>0</v>
      </c>
      <c r="D60" s="91">
        <v>0</v>
      </c>
      <c r="E60" s="91">
        <v>0</v>
      </c>
      <c r="F60" s="91">
        <v>0</v>
      </c>
      <c r="G60" t="str">
        <f>_xlfn.XLOOKUP($A60,Map!$A:$A,Map!C:C)</f>
        <v>BS</v>
      </c>
      <c r="H60" t="str">
        <f>_xlfn.XLOOKUP($A60,Map!$A:$A,Map!D:D)</f>
        <v>Current Assets</v>
      </c>
      <c r="I60" t="str">
        <f>_xlfn.XLOOKUP($A60,Map!$A:$A,Map!E:E)</f>
        <v>Prepaid expenses</v>
      </c>
      <c r="J60" t="str">
        <f>_xlfn.XLOOKUP($A60,Map!$A:$A,Map!F:F)</f>
        <v>Furniture allowance</v>
      </c>
    </row>
    <row r="61" spans="1:10" hidden="1" x14ac:dyDescent="0.25">
      <c r="A61" s="90">
        <v>170013</v>
      </c>
      <c r="B61" s="90" t="s">
        <v>52</v>
      </c>
      <c r="C61" s="91">
        <v>0</v>
      </c>
      <c r="D61" s="91">
        <v>0</v>
      </c>
      <c r="E61" s="91">
        <v>0</v>
      </c>
      <c r="F61" s="91">
        <v>0</v>
      </c>
      <c r="G61" t="str">
        <f>_xlfn.XLOOKUP($A61,Map!$A:$A,Map!C:C)</f>
        <v>BS</v>
      </c>
      <c r="H61" t="str">
        <f>_xlfn.XLOOKUP($A61,Map!$A:$A,Map!D:D)</f>
        <v>Current Assets</v>
      </c>
      <c r="I61" t="str">
        <f>_xlfn.XLOOKUP($A61,Map!$A:$A,Map!E:E)</f>
        <v>Prepaid expenses</v>
      </c>
      <c r="J61" t="str">
        <f>_xlfn.XLOOKUP($A61,Map!$A:$A,Map!F:F)</f>
        <v>Insurance</v>
      </c>
    </row>
    <row r="62" spans="1:10" hidden="1" x14ac:dyDescent="0.25">
      <c r="A62" s="90">
        <v>170014</v>
      </c>
      <c r="B62" s="90" t="s">
        <v>53</v>
      </c>
      <c r="C62" s="91">
        <v>384085.83399999997</v>
      </c>
      <c r="D62" s="91">
        <v>1201110.6950000001</v>
      </c>
      <c r="E62" s="91">
        <v>1044644.318</v>
      </c>
      <c r="F62" s="91">
        <v>540552.21100000001</v>
      </c>
      <c r="G62" t="str">
        <f>_xlfn.XLOOKUP($A62,Map!$A:$A,Map!C:C)</f>
        <v>BS</v>
      </c>
      <c r="H62" t="str">
        <f>_xlfn.XLOOKUP($A62,Map!$A:$A,Map!D:D)</f>
        <v>Current Assets</v>
      </c>
      <c r="I62" t="str">
        <f>_xlfn.XLOOKUP($A62,Map!$A:$A,Map!E:E)</f>
        <v>Prepaid expenses</v>
      </c>
      <c r="J62" t="str">
        <f>_xlfn.XLOOKUP($A62,Map!$A:$A,Map!F:F)</f>
        <v>Insurance</v>
      </c>
    </row>
    <row r="63" spans="1:10" hidden="1" x14ac:dyDescent="0.25">
      <c r="A63" s="90">
        <v>170015</v>
      </c>
      <c r="B63" s="90" t="s">
        <v>54</v>
      </c>
      <c r="C63" s="91">
        <v>0</v>
      </c>
      <c r="D63" s="91">
        <v>300000</v>
      </c>
      <c r="E63" s="91">
        <v>300000</v>
      </c>
      <c r="F63" s="91">
        <v>0</v>
      </c>
      <c r="G63" t="str">
        <f>_xlfn.XLOOKUP($A63,Map!$A:$A,Map!C:C)</f>
        <v>BS</v>
      </c>
      <c r="H63" t="str">
        <f>_xlfn.XLOOKUP($A63,Map!$A:$A,Map!D:D)</f>
        <v>Current Assets</v>
      </c>
      <c r="I63" t="str">
        <f>_xlfn.XLOOKUP($A63,Map!$A:$A,Map!E:E)</f>
        <v>Prepaid expenses</v>
      </c>
      <c r="J63" t="str">
        <f>_xlfn.XLOOKUP($A63,Map!$A:$A,Map!F:F)</f>
        <v>Salaries and wages</v>
      </c>
    </row>
    <row r="64" spans="1:10" hidden="1" x14ac:dyDescent="0.25">
      <c r="A64" s="90">
        <v>170016</v>
      </c>
      <c r="B64" s="90" t="s">
        <v>55</v>
      </c>
      <c r="C64" s="91">
        <v>169324</v>
      </c>
      <c r="D64" s="91">
        <v>0</v>
      </c>
      <c r="E64" s="91">
        <v>0</v>
      </c>
      <c r="F64" s="91">
        <v>169324</v>
      </c>
      <c r="G64" t="str">
        <f>_xlfn.XLOOKUP($A64,Map!$A:$A,Map!C:C)</f>
        <v>BS</v>
      </c>
      <c r="H64" t="str">
        <f>_xlfn.XLOOKUP($A64,Map!$A:$A,Map!D:D)</f>
        <v>Current Assets</v>
      </c>
      <c r="I64" t="str">
        <f>_xlfn.XLOOKUP($A64,Map!$A:$A,Map!E:E)</f>
        <v>Prepaid expenses</v>
      </c>
      <c r="J64" t="str">
        <f>_xlfn.XLOOKUP($A64,Map!$A:$A,Map!F:F)</f>
        <v>Other receivables - current</v>
      </c>
    </row>
    <row r="65" spans="1:10" hidden="1" x14ac:dyDescent="0.25">
      <c r="A65" s="90">
        <v>170017</v>
      </c>
      <c r="B65" s="90" t="s">
        <v>56</v>
      </c>
      <c r="C65" s="91">
        <v>0</v>
      </c>
      <c r="D65" s="91">
        <v>0</v>
      </c>
      <c r="E65" s="91">
        <v>0</v>
      </c>
      <c r="F65" s="91">
        <v>0</v>
      </c>
      <c r="G65" t="str">
        <f>_xlfn.XLOOKUP($A65,Map!$A:$A,Map!C:C)</f>
        <v>BS</v>
      </c>
      <c r="H65" t="str">
        <f>_xlfn.XLOOKUP($A65,Map!$A:$A,Map!D:D)</f>
        <v>Current Assets</v>
      </c>
      <c r="I65" t="str">
        <f>_xlfn.XLOOKUP($A65,Map!$A:$A,Map!E:E)</f>
        <v>Prepaid expenses</v>
      </c>
      <c r="J65" t="str">
        <f>_xlfn.XLOOKUP($A65,Map!$A:$A,Map!F:F)</f>
        <v>Family allowance</v>
      </c>
    </row>
    <row r="66" spans="1:10" hidden="1" x14ac:dyDescent="0.25">
      <c r="A66" s="90">
        <v>170018</v>
      </c>
      <c r="B66" s="90" t="s">
        <v>57</v>
      </c>
      <c r="C66" s="91">
        <v>0</v>
      </c>
      <c r="D66" s="91">
        <v>6600</v>
      </c>
      <c r="E66" s="91">
        <v>0</v>
      </c>
      <c r="F66" s="91">
        <v>6600</v>
      </c>
      <c r="G66" t="str">
        <f>_xlfn.XLOOKUP($A66,Map!$A:$A,Map!C:C)</f>
        <v>BS</v>
      </c>
      <c r="H66" t="str">
        <f>_xlfn.XLOOKUP($A66,Map!$A:$A,Map!D:D)</f>
        <v>Current Assets</v>
      </c>
      <c r="I66" t="str">
        <f>_xlfn.XLOOKUP($A66,Map!$A:$A,Map!E:E)</f>
        <v>Prepaid expenses</v>
      </c>
      <c r="J66" t="str">
        <f>_xlfn.XLOOKUP($A66,Map!$A:$A,Map!F:F)</f>
        <v>Other receivables - current</v>
      </c>
    </row>
    <row r="67" spans="1:10" hidden="1" x14ac:dyDescent="0.25">
      <c r="A67" s="90">
        <v>170019</v>
      </c>
      <c r="B67" s="90" t="s">
        <v>58</v>
      </c>
      <c r="C67" s="91">
        <v>0</v>
      </c>
      <c r="D67" s="91">
        <v>85958.225999999995</v>
      </c>
      <c r="E67" s="91">
        <v>85958.225999999995</v>
      </c>
      <c r="F67" s="91">
        <v>0</v>
      </c>
      <c r="G67" t="str">
        <f>_xlfn.XLOOKUP($A67,Map!$A:$A,Map!C:C)</f>
        <v>BS</v>
      </c>
      <c r="H67" t="str">
        <f>_xlfn.XLOOKUP($A67,Map!$A:$A,Map!D:D)</f>
        <v>Current Assets</v>
      </c>
      <c r="I67" t="str">
        <f>_xlfn.XLOOKUP($A67,Map!$A:$A,Map!E:E)</f>
        <v>Prepaid expenses</v>
      </c>
      <c r="J67" t="str">
        <f>_xlfn.XLOOKUP($A67,Map!$A:$A,Map!F:F)</f>
        <v>Other receivables - current</v>
      </c>
    </row>
    <row r="68" spans="1:10" hidden="1" x14ac:dyDescent="0.25">
      <c r="A68" s="90">
        <v>170020</v>
      </c>
      <c r="B68" s="90" t="s">
        <v>59</v>
      </c>
      <c r="C68" s="91">
        <v>187932.64</v>
      </c>
      <c r="D68" s="91">
        <v>2642661.023</v>
      </c>
      <c r="E68" s="91">
        <v>0</v>
      </c>
      <c r="F68" s="91">
        <v>2830593.6630000002</v>
      </c>
      <c r="G68" t="str">
        <f>_xlfn.XLOOKUP($A68,Map!$A:$A,Map!C:C)</f>
        <v>BS</v>
      </c>
      <c r="H68" t="str">
        <f>_xlfn.XLOOKUP($A68,Map!$A:$A,Map!D:D)</f>
        <v>Current Assets</v>
      </c>
      <c r="I68" t="str">
        <f>_xlfn.XLOOKUP($A68,Map!$A:$A,Map!E:E)</f>
        <v>Prepaid expenses</v>
      </c>
      <c r="J68" t="str">
        <f>_xlfn.XLOOKUP($A68,Map!$A:$A,Map!F:F)</f>
        <v>Insurance</v>
      </c>
    </row>
    <row r="69" spans="1:10" hidden="1" x14ac:dyDescent="0.25">
      <c r="A69" s="90">
        <v>170021</v>
      </c>
      <c r="B69" s="90" t="s">
        <v>535</v>
      </c>
      <c r="C69" s="91">
        <v>0</v>
      </c>
      <c r="D69" s="91">
        <v>1529531.855</v>
      </c>
      <c r="E69" s="91">
        <v>1248842.392</v>
      </c>
      <c r="F69" s="91">
        <v>280689.46299999999</v>
      </c>
      <c r="G69" t="str">
        <f>_xlfn.XLOOKUP($A69,Map!$A:$A,Map!C:C)</f>
        <v>BS</v>
      </c>
      <c r="H69" t="str">
        <f>_xlfn.XLOOKUP($A69,Map!$A:$A,Map!D:D)</f>
        <v>Current Assets</v>
      </c>
      <c r="I69" t="str">
        <f>_xlfn.XLOOKUP($A69,Map!$A:$A,Map!E:E)</f>
        <v>Prepaid expenses</v>
      </c>
      <c r="J69" t="str">
        <f>_xlfn.XLOOKUP($A69,Map!$A:$A,Map!F:F)</f>
        <v>Prepaid expense</v>
      </c>
    </row>
    <row r="70" spans="1:10" hidden="1" x14ac:dyDescent="0.25">
      <c r="A70" s="90">
        <v>180001</v>
      </c>
      <c r="B70" s="90" t="s">
        <v>60</v>
      </c>
      <c r="C70" s="91">
        <v>1808123.993</v>
      </c>
      <c r="D70" s="91">
        <v>8230305.0860000001</v>
      </c>
      <c r="E70" s="91">
        <v>6401876.6349999998</v>
      </c>
      <c r="F70" s="91">
        <v>3636552.4440000001</v>
      </c>
      <c r="G70" t="str">
        <f>_xlfn.XLOOKUP($A70,Map!$A:$A,Map!C:C)</f>
        <v>BS</v>
      </c>
      <c r="H70" t="str">
        <f>_xlfn.XLOOKUP($A70,Map!$A:$A,Map!D:D)</f>
        <v>Current Assets</v>
      </c>
      <c r="I70" t="str">
        <f>_xlfn.XLOOKUP($A70,Map!$A:$A,Map!E:E)</f>
        <v>Inventories</v>
      </c>
      <c r="J70" t="str">
        <f>_xlfn.XLOOKUP($A70,Map!$A:$A,Map!F:F)</f>
        <v>Raw materials - Inventory</v>
      </c>
    </row>
    <row r="71" spans="1:10" hidden="1" x14ac:dyDescent="0.25">
      <c r="A71" s="90">
        <v>180002</v>
      </c>
      <c r="B71" s="90" t="s">
        <v>61</v>
      </c>
      <c r="C71" s="91">
        <v>0</v>
      </c>
      <c r="D71" s="91">
        <v>0</v>
      </c>
      <c r="E71" s="91">
        <v>0</v>
      </c>
      <c r="F71" s="91">
        <v>0</v>
      </c>
      <c r="G71" t="str">
        <f>_xlfn.XLOOKUP($A71,Map!$A:$A,Map!C:C)</f>
        <v>BS</v>
      </c>
      <c r="H71" t="str">
        <f>_xlfn.XLOOKUP($A71,Map!$A:$A,Map!D:D)</f>
        <v>Current Assets</v>
      </c>
      <c r="I71" t="str">
        <f>_xlfn.XLOOKUP($A71,Map!$A:$A,Map!E:E)</f>
        <v>Inventories</v>
      </c>
      <c r="J71" t="str">
        <f>_xlfn.XLOOKUP($A71,Map!$A:$A,Map!F:F)</f>
        <v>Raw materials - Inventory</v>
      </c>
    </row>
    <row r="72" spans="1:10" hidden="1" x14ac:dyDescent="0.25">
      <c r="A72" s="90">
        <v>180003</v>
      </c>
      <c r="B72" s="90" t="s">
        <v>62</v>
      </c>
      <c r="C72" s="91">
        <v>9421144.9240000006</v>
      </c>
      <c r="D72" s="91">
        <v>14159769.505999999</v>
      </c>
      <c r="E72" s="91">
        <v>10913469.530999999</v>
      </c>
      <c r="F72" s="91">
        <v>12667444.899</v>
      </c>
      <c r="G72" t="str">
        <f>_xlfn.XLOOKUP($A72,Map!$A:$A,Map!C:C)</f>
        <v>BS</v>
      </c>
      <c r="H72" t="str">
        <f>_xlfn.XLOOKUP($A72,Map!$A:$A,Map!D:D)</f>
        <v>Current Assets</v>
      </c>
      <c r="I72" t="str">
        <f>_xlfn.XLOOKUP($A72,Map!$A:$A,Map!E:E)</f>
        <v>Inventories</v>
      </c>
      <c r="J72" t="str">
        <f>_xlfn.XLOOKUP($A72,Map!$A:$A,Map!F:F)</f>
        <v>Spare parts - Inventory</v>
      </c>
    </row>
    <row r="73" spans="1:10" hidden="1" x14ac:dyDescent="0.25">
      <c r="A73" s="90">
        <v>180004</v>
      </c>
      <c r="B73" s="90" t="s">
        <v>63</v>
      </c>
      <c r="C73" s="91">
        <v>5934186.6670000004</v>
      </c>
      <c r="D73" s="91">
        <v>221971008.039</v>
      </c>
      <c r="E73" s="91">
        <v>189038689.794</v>
      </c>
      <c r="F73" s="91">
        <v>38866504.912</v>
      </c>
      <c r="G73" t="str">
        <f>_xlfn.XLOOKUP($A73,Map!$A:$A,Map!C:C)</f>
        <v>BS</v>
      </c>
      <c r="H73" t="str">
        <f>_xlfn.XLOOKUP($A73,Map!$A:$A,Map!D:D)</f>
        <v>Current Assets</v>
      </c>
      <c r="I73" t="str">
        <f>_xlfn.XLOOKUP($A73,Map!$A:$A,Map!E:E)</f>
        <v>Inventories</v>
      </c>
      <c r="J73" t="str">
        <f>_xlfn.XLOOKUP($A73,Map!$A:$A,Map!F:F)</f>
        <v>Raw materials - Inventory</v>
      </c>
    </row>
    <row r="74" spans="1:10" hidden="1" x14ac:dyDescent="0.25">
      <c r="A74" s="90">
        <v>180005</v>
      </c>
      <c r="B74" s="90" t="s">
        <v>64</v>
      </c>
      <c r="C74" s="91">
        <v>7778933.2960000001</v>
      </c>
      <c r="D74" s="91">
        <v>22482966.136999998</v>
      </c>
      <c r="E74" s="91">
        <v>27208040.782000002</v>
      </c>
      <c r="F74" s="91">
        <v>3053858.6510000001</v>
      </c>
      <c r="G74" t="str">
        <f>_xlfn.XLOOKUP($A74,Map!$A:$A,Map!C:C)</f>
        <v>BS</v>
      </c>
      <c r="H74" t="str">
        <f>_xlfn.XLOOKUP($A74,Map!$A:$A,Map!D:D)</f>
        <v>Current Assets</v>
      </c>
      <c r="I74" t="str">
        <f>_xlfn.XLOOKUP($A74,Map!$A:$A,Map!E:E)</f>
        <v>Inventories</v>
      </c>
      <c r="J74" t="str">
        <f>_xlfn.XLOOKUP($A74,Map!$A:$A,Map!F:F)</f>
        <v>Raw materials - Inventory</v>
      </c>
    </row>
    <row r="75" spans="1:10" hidden="1" x14ac:dyDescent="0.25">
      <c r="A75" s="90">
        <v>180006</v>
      </c>
      <c r="B75" s="90" t="s">
        <v>65</v>
      </c>
      <c r="C75" s="91">
        <v>184644.11300000001</v>
      </c>
      <c r="D75" s="91">
        <v>3935936.5060000001</v>
      </c>
      <c r="E75" s="91">
        <v>4064303.7089999998</v>
      </c>
      <c r="F75" s="91">
        <v>56276.91</v>
      </c>
      <c r="G75" t="str">
        <f>_xlfn.XLOOKUP($A75,Map!$A:$A,Map!C:C)</f>
        <v>BS</v>
      </c>
      <c r="H75" t="str">
        <f>_xlfn.XLOOKUP($A75,Map!$A:$A,Map!D:D)</f>
        <v>Current Assets</v>
      </c>
      <c r="I75" t="str">
        <f>_xlfn.XLOOKUP($A75,Map!$A:$A,Map!E:E)</f>
        <v>Inventories</v>
      </c>
      <c r="J75" t="str">
        <f>_xlfn.XLOOKUP($A75,Map!$A:$A,Map!F:F)</f>
        <v>Raw materials - Inventory</v>
      </c>
    </row>
    <row r="76" spans="1:10" hidden="1" x14ac:dyDescent="0.25">
      <c r="A76" s="90">
        <v>180007</v>
      </c>
      <c r="B76" s="90" t="s">
        <v>66</v>
      </c>
      <c r="C76" s="91">
        <v>133828.25200000001</v>
      </c>
      <c r="D76" s="91">
        <v>0</v>
      </c>
      <c r="E76" s="91">
        <v>0</v>
      </c>
      <c r="F76" s="91">
        <v>133828.25200000001</v>
      </c>
      <c r="G76" t="str">
        <f>_xlfn.XLOOKUP($A76,Map!$A:$A,Map!C:C)</f>
        <v>BS</v>
      </c>
      <c r="H76" t="str">
        <f>_xlfn.XLOOKUP($A76,Map!$A:$A,Map!D:D)</f>
        <v>Current Assets</v>
      </c>
      <c r="I76" t="str">
        <f>_xlfn.XLOOKUP($A76,Map!$A:$A,Map!E:E)</f>
        <v>Inventories</v>
      </c>
      <c r="J76" t="str">
        <f>_xlfn.XLOOKUP($A76,Map!$A:$A,Map!F:F)</f>
        <v>Raw materials - Inventory</v>
      </c>
    </row>
    <row r="77" spans="1:10" hidden="1" x14ac:dyDescent="0.25">
      <c r="A77" s="90">
        <v>180008</v>
      </c>
      <c r="B77" s="90" t="s">
        <v>67</v>
      </c>
      <c r="C77" s="91">
        <v>0</v>
      </c>
      <c r="D77" s="91">
        <v>0</v>
      </c>
      <c r="E77" s="91">
        <v>0</v>
      </c>
      <c r="F77" s="91">
        <v>0</v>
      </c>
      <c r="G77" t="str">
        <f>_xlfn.XLOOKUP($A77,Map!$A:$A,Map!C:C)</f>
        <v>BS</v>
      </c>
      <c r="H77" t="str">
        <f>_xlfn.XLOOKUP($A77,Map!$A:$A,Map!D:D)</f>
        <v>Current Assets</v>
      </c>
      <c r="I77" t="str">
        <f>_xlfn.XLOOKUP($A77,Map!$A:$A,Map!E:E)</f>
        <v>Inventories</v>
      </c>
      <c r="J77" t="str">
        <f>_xlfn.XLOOKUP($A77,Map!$A:$A,Map!F:F)</f>
        <v>Raw materials - Inventory</v>
      </c>
    </row>
    <row r="78" spans="1:10" hidden="1" x14ac:dyDescent="0.25">
      <c r="A78" s="90">
        <v>180009</v>
      </c>
      <c r="B78" s="90" t="s">
        <v>68</v>
      </c>
      <c r="C78" s="91">
        <v>0</v>
      </c>
      <c r="D78" s="91">
        <v>0</v>
      </c>
      <c r="E78" s="91">
        <v>0</v>
      </c>
      <c r="F78" s="91">
        <v>0</v>
      </c>
      <c r="G78" t="str">
        <f>_xlfn.XLOOKUP($A78,Map!$A:$A,Map!C:C)</f>
        <v>BS</v>
      </c>
      <c r="H78" t="str">
        <f>_xlfn.XLOOKUP($A78,Map!$A:$A,Map!D:D)</f>
        <v>Current Assets</v>
      </c>
      <c r="I78" t="str">
        <f>_xlfn.XLOOKUP($A78,Map!$A:$A,Map!E:E)</f>
        <v>Inventories</v>
      </c>
      <c r="J78" t="str">
        <f>_xlfn.XLOOKUP($A78,Map!$A:$A,Map!F:F)</f>
        <v>Raw materials - Inventory</v>
      </c>
    </row>
    <row r="79" spans="1:10" hidden="1" x14ac:dyDescent="0.25">
      <c r="A79" s="90">
        <v>180010</v>
      </c>
      <c r="B79" s="90" t="s">
        <v>69</v>
      </c>
      <c r="C79" s="91">
        <v>3576344.7710000002</v>
      </c>
      <c r="D79" s="91">
        <v>19723312.442000002</v>
      </c>
      <c r="E79" s="91">
        <v>17581924.096000001</v>
      </c>
      <c r="F79" s="91">
        <v>5717733.1169999996</v>
      </c>
      <c r="G79" t="str">
        <f>_xlfn.XLOOKUP($A79,Map!$A:$A,Map!C:C)</f>
        <v>BS</v>
      </c>
      <c r="H79" t="str">
        <f>_xlfn.XLOOKUP($A79,Map!$A:$A,Map!D:D)</f>
        <v>Current Assets</v>
      </c>
      <c r="I79" t="str">
        <f>_xlfn.XLOOKUP($A79,Map!$A:$A,Map!E:E)</f>
        <v>Inventories</v>
      </c>
      <c r="J79" t="str">
        <f>_xlfn.XLOOKUP($A79,Map!$A:$A,Map!F:F)</f>
        <v>Packaging materials - Inventory</v>
      </c>
    </row>
    <row r="80" spans="1:10" hidden="1" x14ac:dyDescent="0.25">
      <c r="A80" s="90">
        <v>180011</v>
      </c>
      <c r="B80" s="90" t="s">
        <v>70</v>
      </c>
      <c r="C80" s="91">
        <v>9484544.6830000002</v>
      </c>
      <c r="D80" s="91">
        <v>147474718.84400001</v>
      </c>
      <c r="E80" s="91">
        <v>145113287.324</v>
      </c>
      <c r="F80" s="91">
        <v>11845976.203</v>
      </c>
      <c r="G80" t="str">
        <f>_xlfn.XLOOKUP($A80,Map!$A:$A,Map!C:C)</f>
        <v>BS</v>
      </c>
      <c r="H80" t="str">
        <f>_xlfn.XLOOKUP($A80,Map!$A:$A,Map!D:D)</f>
        <v>Current Assets</v>
      </c>
      <c r="I80" t="str">
        <f>_xlfn.XLOOKUP($A80,Map!$A:$A,Map!E:E)</f>
        <v>Inventories</v>
      </c>
      <c r="J80" t="str">
        <f>_xlfn.XLOOKUP($A80,Map!$A:$A,Map!F:F)</f>
        <v>Finished goods - Inventory</v>
      </c>
    </row>
    <row r="81" spans="1:10" hidden="1" x14ac:dyDescent="0.25">
      <c r="A81" s="90">
        <v>180012</v>
      </c>
      <c r="B81" s="90" t="s">
        <v>71</v>
      </c>
      <c r="C81" s="91">
        <v>4089189.5980000002</v>
      </c>
      <c r="D81" s="91">
        <v>202662952.25400001</v>
      </c>
      <c r="E81" s="91">
        <v>202815073.84599999</v>
      </c>
      <c r="F81" s="91">
        <v>3937068.0060000001</v>
      </c>
      <c r="G81" t="str">
        <f>_xlfn.XLOOKUP($A81,Map!$A:$A,Map!C:C)</f>
        <v>BS</v>
      </c>
      <c r="H81" t="str">
        <f>_xlfn.XLOOKUP($A81,Map!$A:$A,Map!D:D)</f>
        <v>Current Assets</v>
      </c>
      <c r="I81" t="str">
        <f>_xlfn.XLOOKUP($A81,Map!$A:$A,Map!E:E)</f>
        <v>Inventories</v>
      </c>
      <c r="J81" t="str">
        <f>_xlfn.XLOOKUP($A81,Map!$A:$A,Map!F:F)</f>
        <v>Work in progress - Inventory</v>
      </c>
    </row>
    <row r="82" spans="1:10" hidden="1" x14ac:dyDescent="0.25">
      <c r="A82" s="90">
        <v>180013</v>
      </c>
      <c r="B82" s="90" t="s">
        <v>72</v>
      </c>
      <c r="C82" s="91">
        <v>1779013.747</v>
      </c>
      <c r="D82" s="91">
        <v>5323676.2240000004</v>
      </c>
      <c r="E82" s="91">
        <v>4723856.0269999998</v>
      </c>
      <c r="F82" s="91">
        <v>2378833.9440000001</v>
      </c>
      <c r="G82" t="str">
        <f>_xlfn.XLOOKUP($A82,Map!$A:$A,Map!C:C)</f>
        <v>BS</v>
      </c>
      <c r="H82" t="str">
        <f>_xlfn.XLOOKUP($A82,Map!$A:$A,Map!D:D)</f>
        <v>Current Assets</v>
      </c>
      <c r="I82" t="str">
        <f>_xlfn.XLOOKUP($A82,Map!$A:$A,Map!E:E)</f>
        <v>Inventories</v>
      </c>
      <c r="J82" t="str">
        <f>_xlfn.XLOOKUP($A82,Map!$A:$A,Map!F:F)</f>
        <v>Finished goods - Inventory</v>
      </c>
    </row>
    <row r="83" spans="1:10" hidden="1" x14ac:dyDescent="0.25">
      <c r="A83" s="90">
        <v>180014</v>
      </c>
      <c r="B83" s="90" t="s">
        <v>73</v>
      </c>
      <c r="C83" s="91">
        <v>470760.93300000002</v>
      </c>
      <c r="D83" s="91">
        <v>336401555.35900003</v>
      </c>
      <c r="E83" s="91">
        <v>335636238.19099998</v>
      </c>
      <c r="F83" s="91">
        <v>1236078.101</v>
      </c>
      <c r="G83" t="str">
        <f>_xlfn.XLOOKUP($A83,Map!$A:$A,Map!C:C)</f>
        <v>BS</v>
      </c>
      <c r="H83" t="str">
        <f>_xlfn.XLOOKUP($A83,Map!$A:$A,Map!D:D)</f>
        <v>Current Assets</v>
      </c>
      <c r="I83" t="str">
        <f>_xlfn.XLOOKUP($A83,Map!$A:$A,Map!E:E)</f>
        <v>Inventories</v>
      </c>
      <c r="J83" t="str">
        <f>_xlfn.XLOOKUP($A83,Map!$A:$A,Map!F:F)</f>
        <v>Work in progress - Inventory</v>
      </c>
    </row>
    <row r="84" spans="1:10" hidden="1" x14ac:dyDescent="0.25">
      <c r="A84" s="90">
        <v>180096</v>
      </c>
      <c r="B84" s="90" t="s">
        <v>74</v>
      </c>
      <c r="C84" s="91">
        <v>0</v>
      </c>
      <c r="D84" s="91">
        <v>136965245.90000001</v>
      </c>
      <c r="E84" s="91">
        <v>136945451.956</v>
      </c>
      <c r="F84" s="91">
        <v>19793.944</v>
      </c>
      <c r="G84" t="str">
        <f>_xlfn.XLOOKUP($A84,Map!$A:$A,Map!C:C)</f>
        <v>BS</v>
      </c>
      <c r="H84" t="str">
        <f>_xlfn.XLOOKUP($A84,Map!$A:$A,Map!D:D)</f>
        <v>Current Assets</v>
      </c>
      <c r="I84" t="str">
        <f>_xlfn.XLOOKUP($A84,Map!$A:$A,Map!E:E)</f>
        <v>Inventories</v>
      </c>
      <c r="J84" t="str">
        <f>_xlfn.XLOOKUP($A84,Map!$A:$A,Map!F:F)</f>
        <v>Work in progress - Inventory</v>
      </c>
    </row>
    <row r="85" spans="1:10" hidden="1" x14ac:dyDescent="0.25">
      <c r="A85" s="90">
        <v>180097</v>
      </c>
      <c r="B85" s="90" t="s">
        <v>75</v>
      </c>
      <c r="C85" s="91">
        <v>6050.9250000000002</v>
      </c>
      <c r="D85" s="91">
        <v>79360.682000000001</v>
      </c>
      <c r="E85" s="91">
        <v>79360.682000000001</v>
      </c>
      <c r="F85" s="91">
        <v>6050.9250000000002</v>
      </c>
      <c r="G85" t="str">
        <f>_xlfn.XLOOKUP($A85,Map!$A:$A,Map!C:C)</f>
        <v>BS</v>
      </c>
      <c r="H85" t="str">
        <f>_xlfn.XLOOKUP($A85,Map!$A:$A,Map!D:D)</f>
        <v>Current Assets</v>
      </c>
      <c r="I85" t="str">
        <f>_xlfn.XLOOKUP($A85,Map!$A:$A,Map!E:E)</f>
        <v>Inventories</v>
      </c>
      <c r="J85" t="str">
        <f>_xlfn.XLOOKUP($A85,Map!$A:$A,Map!F:F)</f>
        <v>Work in progress - Inventory</v>
      </c>
    </row>
    <row r="86" spans="1:10" hidden="1" x14ac:dyDescent="0.25">
      <c r="A86" s="90">
        <v>180098</v>
      </c>
      <c r="B86" s="90" t="s">
        <v>76</v>
      </c>
      <c r="C86" s="91">
        <v>-0.90800000000000003</v>
      </c>
      <c r="D86" s="91">
        <v>20173239.412999999</v>
      </c>
      <c r="E86" s="91">
        <v>19978309.853</v>
      </c>
      <c r="F86" s="91">
        <v>194928.652</v>
      </c>
      <c r="G86" t="str">
        <f>_xlfn.XLOOKUP($A86,Map!$A:$A,Map!C:C)</f>
        <v>BS</v>
      </c>
      <c r="H86" t="str">
        <f>_xlfn.XLOOKUP($A86,Map!$A:$A,Map!D:D)</f>
        <v>Current Assets</v>
      </c>
      <c r="I86" t="str">
        <f>_xlfn.XLOOKUP($A86,Map!$A:$A,Map!E:E)</f>
        <v>Inventories</v>
      </c>
      <c r="J86" t="str">
        <f>_xlfn.XLOOKUP($A86,Map!$A:$A,Map!F:F)</f>
        <v>Work in progress - Inventory</v>
      </c>
    </row>
    <row r="87" spans="1:10" hidden="1" x14ac:dyDescent="0.25">
      <c r="A87" s="90">
        <v>180099</v>
      </c>
      <c r="B87" s="90" t="s">
        <v>77</v>
      </c>
      <c r="C87" s="91">
        <v>15265919.785</v>
      </c>
      <c r="D87" s="91">
        <v>119440890.969</v>
      </c>
      <c r="E87" s="91">
        <v>100427991.00399999</v>
      </c>
      <c r="F87" s="91">
        <v>34278819.75</v>
      </c>
      <c r="G87" t="str">
        <f>_xlfn.XLOOKUP($A87,Map!$A:$A,Map!C:C)</f>
        <v>BS</v>
      </c>
      <c r="H87" t="str">
        <f>_xlfn.XLOOKUP($A87,Map!$A:$A,Map!D:D)</f>
        <v>Current Assets</v>
      </c>
      <c r="I87" t="str">
        <f>_xlfn.XLOOKUP($A87,Map!$A:$A,Map!E:E)</f>
        <v>Inventories</v>
      </c>
      <c r="J87" t="str">
        <f>_xlfn.XLOOKUP($A87,Map!$A:$A,Map!F:F)</f>
        <v>Goods in transit - Inventory</v>
      </c>
    </row>
    <row r="88" spans="1:10" hidden="1" x14ac:dyDescent="0.25">
      <c r="A88" s="90">
        <v>210001</v>
      </c>
      <c r="B88" s="90" t="s">
        <v>78</v>
      </c>
      <c r="C88" s="91">
        <v>7017867.5410000002</v>
      </c>
      <c r="D88" s="91">
        <v>577322958.47399998</v>
      </c>
      <c r="E88" s="91">
        <v>586605074.13499999</v>
      </c>
      <c r="F88" s="91">
        <v>-2264248.12</v>
      </c>
      <c r="G88" t="str">
        <f>_xlfn.XLOOKUP($A88,Map!$A:$A,Map!C:C)</f>
        <v>BS</v>
      </c>
      <c r="H88" t="str">
        <f>_xlfn.XLOOKUP($A88,Map!$A:$A,Map!D:D)</f>
        <v>Current Liabilities</v>
      </c>
      <c r="I88" t="str">
        <f>_xlfn.XLOOKUP($A88,Map!$A:$A,Map!E:E)</f>
        <v>Tade payables and Accuals &amp; other credit balances</v>
      </c>
      <c r="J88" t="str">
        <f>_xlfn.XLOOKUP($A88,Map!$A:$A,Map!F:F)</f>
        <v>Trade payables - Foreign</v>
      </c>
    </row>
    <row r="89" spans="1:10" hidden="1" x14ac:dyDescent="0.25">
      <c r="A89" s="90">
        <v>210002</v>
      </c>
      <c r="B89" s="90" t="s">
        <v>79</v>
      </c>
      <c r="C89" s="91">
        <v>-5949624.8770000003</v>
      </c>
      <c r="D89" s="91">
        <v>228846410.88699999</v>
      </c>
      <c r="E89" s="91">
        <v>233527109.94800001</v>
      </c>
      <c r="F89" s="91">
        <v>-10630323.937999999</v>
      </c>
      <c r="G89" t="str">
        <f>_xlfn.XLOOKUP($A89,Map!$A:$A,Map!C:C)</f>
        <v>BS</v>
      </c>
      <c r="H89" t="str">
        <f>_xlfn.XLOOKUP($A89,Map!$A:$A,Map!D:D)</f>
        <v>Current Liabilities</v>
      </c>
      <c r="I89" t="str">
        <f>_xlfn.XLOOKUP($A89,Map!$A:$A,Map!E:E)</f>
        <v>Tade payables and Accuals &amp; other credit balances</v>
      </c>
      <c r="J89" t="str">
        <f>_xlfn.XLOOKUP($A89,Map!$A:$A,Map!F:F)</f>
        <v>Trade payables - Local</v>
      </c>
    </row>
    <row r="90" spans="1:10" hidden="1" x14ac:dyDescent="0.25">
      <c r="A90" s="90">
        <v>220001</v>
      </c>
      <c r="B90" s="90" t="s">
        <v>80</v>
      </c>
      <c r="C90" s="91">
        <v>0</v>
      </c>
      <c r="D90" s="91">
        <v>0</v>
      </c>
      <c r="E90" s="91">
        <v>0</v>
      </c>
      <c r="F90" s="91">
        <v>0</v>
      </c>
      <c r="G90" t="str">
        <f>_xlfn.XLOOKUP($A90,Map!$A:$A,Map!C:C)</f>
        <v>BS</v>
      </c>
      <c r="H90" t="str">
        <f>_xlfn.XLOOKUP($A90,Map!$A:$A,Map!D:D)</f>
        <v>Current Liabilities</v>
      </c>
      <c r="I90" t="str">
        <f>_xlfn.XLOOKUP($A90,Map!$A:$A,Map!E:E)</f>
        <v>Short-term Murabaha loans</v>
      </c>
      <c r="J90" t="str">
        <f>_xlfn.XLOOKUP($A90,Map!$A:$A,Map!F:F)</f>
        <v>Other loans - current</v>
      </c>
    </row>
    <row r="91" spans="1:10" hidden="1" x14ac:dyDescent="0.25">
      <c r="A91" s="90">
        <v>220002</v>
      </c>
      <c r="B91" s="90" t="s">
        <v>81</v>
      </c>
      <c r="C91" s="91">
        <v>0</v>
      </c>
      <c r="D91" s="91">
        <v>0</v>
      </c>
      <c r="E91" s="91">
        <v>0</v>
      </c>
      <c r="F91" s="91">
        <v>0</v>
      </c>
      <c r="G91" t="str">
        <f>_xlfn.XLOOKUP($A91,Map!$A:$A,Map!C:C)</f>
        <v>BS</v>
      </c>
      <c r="H91" t="str">
        <f>_xlfn.XLOOKUP($A91,Map!$A:$A,Map!D:D)</f>
        <v>Current Liabilities</v>
      </c>
      <c r="I91" t="str">
        <f>_xlfn.XLOOKUP($A91,Map!$A:$A,Map!E:E)</f>
        <v>Short-term Murabaha loans</v>
      </c>
      <c r="J91" t="str">
        <f>_xlfn.XLOOKUP($A91,Map!$A:$A,Map!F:F)</f>
        <v>Other loans - current</v>
      </c>
    </row>
    <row r="92" spans="1:10" hidden="1" x14ac:dyDescent="0.25">
      <c r="A92" s="90">
        <v>220003</v>
      </c>
      <c r="B92" s="90" t="s">
        <v>82</v>
      </c>
      <c r="C92" s="91">
        <v>0</v>
      </c>
      <c r="D92" s="91">
        <v>0</v>
      </c>
      <c r="E92" s="91">
        <v>0</v>
      </c>
      <c r="F92" s="91">
        <v>0</v>
      </c>
      <c r="G92" t="str">
        <f>_xlfn.XLOOKUP($A92,Map!$A:$A,Map!C:C)</f>
        <v>BS</v>
      </c>
      <c r="H92" t="str">
        <f>_xlfn.XLOOKUP($A92,Map!$A:$A,Map!D:D)</f>
        <v>Current Liabilities</v>
      </c>
      <c r="I92" t="str">
        <f>_xlfn.XLOOKUP($A92,Map!$A:$A,Map!E:E)</f>
        <v>Short-term Murabaha loans</v>
      </c>
      <c r="J92" t="str">
        <f>_xlfn.XLOOKUP($A92,Map!$A:$A,Map!F:F)</f>
        <v>Other loans - current</v>
      </c>
    </row>
    <row r="93" spans="1:10" hidden="1" x14ac:dyDescent="0.25">
      <c r="A93" s="90">
        <v>220004</v>
      </c>
      <c r="B93" s="90" t="s">
        <v>83</v>
      </c>
      <c r="C93" s="91">
        <v>0</v>
      </c>
      <c r="D93" s="91">
        <v>15631763.4</v>
      </c>
      <c r="E93" s="91">
        <v>57677671.149999999</v>
      </c>
      <c r="F93" s="91">
        <v>-42045907.75</v>
      </c>
      <c r="G93" t="str">
        <f>_xlfn.XLOOKUP($A93,Map!$A:$A,Map!C:C)</f>
        <v>BS</v>
      </c>
      <c r="H93" t="str">
        <f>_xlfn.XLOOKUP($A93,Map!$A:$A,Map!D:D)</f>
        <v>Current Liabilities</v>
      </c>
      <c r="I93" t="str">
        <f>_xlfn.XLOOKUP($A93,Map!$A:$A,Map!E:E)</f>
        <v>Short-term Murabaha loans</v>
      </c>
      <c r="J93" t="str">
        <f>_xlfn.XLOOKUP($A93,Map!$A:$A,Map!F:F)</f>
        <v>Other loans - current</v>
      </c>
    </row>
    <row r="94" spans="1:10" hidden="1" x14ac:dyDescent="0.25">
      <c r="A94" s="90">
        <v>220005</v>
      </c>
      <c r="B94" s="90" t="s">
        <v>84</v>
      </c>
      <c r="C94" s="91">
        <v>-74274660.937000006</v>
      </c>
      <c r="D94" s="91">
        <v>79759425.930000007</v>
      </c>
      <c r="E94" s="91">
        <v>96901135.717999995</v>
      </c>
      <c r="F94" s="91">
        <v>-91416370.724999994</v>
      </c>
      <c r="G94" t="str">
        <f>_xlfn.XLOOKUP($A94,Map!$A:$A,Map!C:C)</f>
        <v>BS</v>
      </c>
      <c r="H94" t="str">
        <f>_xlfn.XLOOKUP($A94,Map!$A:$A,Map!D:D)</f>
        <v>Current Liabilities</v>
      </c>
      <c r="I94" t="str">
        <f>_xlfn.XLOOKUP($A94,Map!$A:$A,Map!E:E)</f>
        <v>Short-term Murabaha loans</v>
      </c>
      <c r="J94" t="str">
        <f>_xlfn.XLOOKUP($A94,Map!$A:$A,Map!F:F)</f>
        <v>Other loans - current</v>
      </c>
    </row>
    <row r="95" spans="1:10" hidden="1" x14ac:dyDescent="0.25">
      <c r="A95" s="90">
        <v>220006</v>
      </c>
      <c r="B95" s="90" t="s">
        <v>85</v>
      </c>
      <c r="C95" s="91">
        <v>-39496505.284999996</v>
      </c>
      <c r="D95" s="91">
        <v>90381268.120000005</v>
      </c>
      <c r="E95" s="91">
        <v>116527144.11399999</v>
      </c>
      <c r="F95" s="91">
        <v>-65642381.278999999</v>
      </c>
      <c r="G95" t="str">
        <f>_xlfn.XLOOKUP($A95,Map!$A:$A,Map!C:C)</f>
        <v>BS</v>
      </c>
      <c r="H95" t="str">
        <f>_xlfn.XLOOKUP($A95,Map!$A:$A,Map!D:D)</f>
        <v>Current Liabilities</v>
      </c>
      <c r="I95" t="str">
        <f>_xlfn.XLOOKUP($A95,Map!$A:$A,Map!E:E)</f>
        <v>Short-term Murabaha loans</v>
      </c>
      <c r="J95" t="str">
        <f>_xlfn.XLOOKUP($A95,Map!$A:$A,Map!F:F)</f>
        <v>Other loans - current</v>
      </c>
    </row>
    <row r="96" spans="1:10" hidden="1" x14ac:dyDescent="0.25">
      <c r="A96" s="90">
        <v>220007</v>
      </c>
      <c r="B96" s="90" t="s">
        <v>249</v>
      </c>
      <c r="C96" s="91">
        <v>1E-3</v>
      </c>
      <c r="D96" s="91">
        <v>0</v>
      </c>
      <c r="E96" s="91">
        <v>0</v>
      </c>
      <c r="F96" s="91">
        <v>1E-3</v>
      </c>
      <c r="G96" t="str">
        <f>_xlfn.XLOOKUP($A96,Map!$A:$A,Map!C:C)</f>
        <v>BS</v>
      </c>
      <c r="H96" t="str">
        <f>_xlfn.XLOOKUP($A96,Map!$A:$A,Map!D:D)</f>
        <v>Current Liabilities</v>
      </c>
      <c r="I96" t="str">
        <f>_xlfn.XLOOKUP($A96,Map!$A:$A,Map!E:E)</f>
        <v>Short-term Murabaha loans</v>
      </c>
      <c r="J96" t="str">
        <f>_xlfn.XLOOKUP($A96,Map!$A:$A,Map!F:F)</f>
        <v>Other loans - current</v>
      </c>
    </row>
    <row r="97" spans="1:10" hidden="1" x14ac:dyDescent="0.25">
      <c r="A97" s="90">
        <v>230001</v>
      </c>
      <c r="B97" s="90" t="s">
        <v>86</v>
      </c>
      <c r="C97" s="91">
        <v>0</v>
      </c>
      <c r="D97" s="91">
        <v>225973447.71000001</v>
      </c>
      <c r="E97" s="91">
        <v>228326845.961</v>
      </c>
      <c r="F97" s="91">
        <v>-2353398.2510000002</v>
      </c>
      <c r="G97" t="str">
        <f>_xlfn.XLOOKUP($A97,Map!$A:$A,Map!C:C)</f>
        <v>BS</v>
      </c>
      <c r="H97" t="str">
        <f>_xlfn.XLOOKUP($A97,Map!$A:$A,Map!D:D)</f>
        <v>Current Liabilities</v>
      </c>
      <c r="I97" t="str">
        <f>_xlfn.XLOOKUP($A97,Map!$A:$A,Map!E:E)</f>
        <v>Tade payables and Accuals &amp; other credit balances</v>
      </c>
      <c r="J97" t="str">
        <f>_xlfn.XLOOKUP($A97,Map!$A:$A,Map!F:F)</f>
        <v>Clearing account</v>
      </c>
    </row>
    <row r="98" spans="1:10" hidden="1" x14ac:dyDescent="0.25">
      <c r="A98" s="90">
        <v>240001</v>
      </c>
      <c r="B98" s="90" t="s">
        <v>87</v>
      </c>
      <c r="C98" s="91">
        <v>103568.52499999999</v>
      </c>
      <c r="D98" s="91">
        <v>6642028.6600000001</v>
      </c>
      <c r="E98" s="91">
        <v>6481009.6069999998</v>
      </c>
      <c r="F98" s="91">
        <v>264587.57799999998</v>
      </c>
      <c r="G98" t="str">
        <f>_xlfn.XLOOKUP($A98,Map!$A:$A,Map!C:C)</f>
        <v>BS</v>
      </c>
      <c r="H98" t="str">
        <f>_xlfn.XLOOKUP($A98,Map!$A:$A,Map!D:D)</f>
        <v>Current Liabilities</v>
      </c>
      <c r="I98" t="str">
        <f>_xlfn.XLOOKUP($A98,Map!$A:$A,Map!E:E)</f>
        <v>Tade payables and Accuals &amp; other credit balances</v>
      </c>
      <c r="J98" t="str">
        <f>_xlfn.XLOOKUP($A98,Map!$A:$A,Map!F:F)</f>
        <v>Overhead</v>
      </c>
    </row>
    <row r="99" spans="1:10" hidden="1" x14ac:dyDescent="0.25">
      <c r="A99" s="90">
        <v>240002</v>
      </c>
      <c r="B99" s="90" t="s">
        <v>88</v>
      </c>
      <c r="C99" s="91">
        <v>443</v>
      </c>
      <c r="D99" s="91">
        <v>0</v>
      </c>
      <c r="E99" s="91">
        <v>0</v>
      </c>
      <c r="F99" s="91">
        <v>443</v>
      </c>
      <c r="G99" t="str">
        <f>_xlfn.XLOOKUP($A99,Map!$A:$A,Map!C:C)</f>
        <v>BS</v>
      </c>
      <c r="H99" t="str">
        <f>_xlfn.XLOOKUP($A99,Map!$A:$A,Map!D:D)</f>
        <v>Current Liabilities</v>
      </c>
      <c r="I99" t="str">
        <f>_xlfn.XLOOKUP($A99,Map!$A:$A,Map!E:E)</f>
        <v>Tade payables and Accuals &amp; other credit balances</v>
      </c>
      <c r="J99" t="str">
        <f>_xlfn.XLOOKUP($A99,Map!$A:$A,Map!F:F)</f>
        <v>Landed Cost - Customs</v>
      </c>
    </row>
    <row r="100" spans="1:10" hidden="1" x14ac:dyDescent="0.25">
      <c r="A100" s="90">
        <v>240003</v>
      </c>
      <c r="B100" s="90" t="s">
        <v>89</v>
      </c>
      <c r="C100" s="91">
        <v>-1399831.0689999999</v>
      </c>
      <c r="D100" s="91">
        <v>520104.6</v>
      </c>
      <c r="E100" s="91">
        <v>1706095.58</v>
      </c>
      <c r="F100" s="91">
        <v>-2585822.0490000001</v>
      </c>
      <c r="G100" t="str">
        <f>_xlfn.XLOOKUP($A100,Map!$A:$A,Map!C:C)</f>
        <v>BS</v>
      </c>
      <c r="H100" t="str">
        <f>_xlfn.XLOOKUP($A100,Map!$A:$A,Map!D:D)</f>
        <v>Non-Current Liabilities</v>
      </c>
      <c r="I100" t="str">
        <f>_xlfn.XLOOKUP($A100,Map!$A:$A,Map!E:E)</f>
        <v xml:space="preserve">Lease liabilities non-current </v>
      </c>
      <c r="J100" t="str">
        <f>_xlfn.XLOOKUP($A100,Map!$A:$A,Map!F:F)</f>
        <v xml:space="preserve"> Lease Obligation</v>
      </c>
    </row>
    <row r="101" spans="1:10" hidden="1" x14ac:dyDescent="0.25">
      <c r="A101" s="90">
        <v>250001</v>
      </c>
      <c r="B101" s="90" t="s">
        <v>90</v>
      </c>
      <c r="C101" s="91">
        <v>-51677</v>
      </c>
      <c r="D101" s="91">
        <v>17856113.82</v>
      </c>
      <c r="E101" s="91">
        <v>17856550.010000002</v>
      </c>
      <c r="F101" s="91">
        <v>-52113.19</v>
      </c>
      <c r="G101" t="str">
        <f>_xlfn.XLOOKUP($A101,Map!$A:$A,Map!C:C)</f>
        <v>BS</v>
      </c>
      <c r="H101" t="str">
        <f>_xlfn.XLOOKUP($A101,Map!$A:$A,Map!D:D)</f>
        <v>Current Liabilities</v>
      </c>
      <c r="I101" t="str">
        <f>_xlfn.XLOOKUP($A101,Map!$A:$A,Map!E:E)</f>
        <v>Tade payables and Accuals &amp; other credit balances</v>
      </c>
      <c r="J101" t="str">
        <f>_xlfn.XLOOKUP($A101,Map!$A:$A,Map!F:F)</f>
        <v>Accrued salaries and wages</v>
      </c>
    </row>
    <row r="102" spans="1:10" hidden="1" x14ac:dyDescent="0.25">
      <c r="A102" s="90">
        <v>250002</v>
      </c>
      <c r="B102" s="90" t="s">
        <v>91</v>
      </c>
      <c r="C102" s="91">
        <v>0</v>
      </c>
      <c r="D102" s="91">
        <v>0</v>
      </c>
      <c r="E102" s="91">
        <v>0</v>
      </c>
      <c r="F102" s="91">
        <v>0</v>
      </c>
      <c r="G102" t="str">
        <f>_xlfn.XLOOKUP($A102,Map!$A:$A,Map!C:C)</f>
        <v>BS</v>
      </c>
      <c r="H102" t="str">
        <f>_xlfn.XLOOKUP($A102,Map!$A:$A,Map!D:D)</f>
        <v>Current Liabilities</v>
      </c>
      <c r="I102" t="str">
        <f>_xlfn.XLOOKUP($A102,Map!$A:$A,Map!E:E)</f>
        <v>Tade payables and Accuals &amp; other credit balances</v>
      </c>
      <c r="J102" t="str">
        <f>_xlfn.XLOOKUP($A102,Map!$A:$A,Map!F:F)</f>
        <v>Accrued utilities</v>
      </c>
    </row>
    <row r="103" spans="1:10" hidden="1" x14ac:dyDescent="0.25">
      <c r="A103" s="90">
        <v>250003</v>
      </c>
      <c r="B103" s="90" t="s">
        <v>92</v>
      </c>
      <c r="C103" s="91">
        <v>0</v>
      </c>
      <c r="D103" s="91">
        <v>0</v>
      </c>
      <c r="E103" s="91">
        <v>0</v>
      </c>
      <c r="F103" s="91">
        <v>0</v>
      </c>
      <c r="G103" t="str">
        <f>_xlfn.XLOOKUP($A103,Map!$A:$A,Map!C:C)</f>
        <v>BS</v>
      </c>
      <c r="H103" t="str">
        <f>_xlfn.XLOOKUP($A103,Map!$A:$A,Map!D:D)</f>
        <v>Current Liabilities</v>
      </c>
      <c r="I103" t="str">
        <f>_xlfn.XLOOKUP($A103,Map!$A:$A,Map!E:E)</f>
        <v>Zakat provision</v>
      </c>
      <c r="J103" t="str">
        <f>_xlfn.XLOOKUP($A103,Map!$A:$A,Map!F:F)</f>
        <v>Zakat provision</v>
      </c>
    </row>
    <row r="104" spans="1:10" hidden="1" x14ac:dyDescent="0.25">
      <c r="A104" s="90">
        <v>250004</v>
      </c>
      <c r="B104" s="90" t="s">
        <v>93</v>
      </c>
      <c r="C104" s="91">
        <v>0</v>
      </c>
      <c r="D104" s="91">
        <v>0</v>
      </c>
      <c r="E104" s="91">
        <v>0</v>
      </c>
      <c r="F104" s="91">
        <v>0</v>
      </c>
      <c r="G104" t="str">
        <f>_xlfn.XLOOKUP($A104,Map!$A:$A,Map!C:C)</f>
        <v>BS</v>
      </c>
      <c r="H104" t="str">
        <f>_xlfn.XLOOKUP($A104,Map!$A:$A,Map!D:D)</f>
        <v>Current Liabilities</v>
      </c>
      <c r="I104" t="str">
        <f>_xlfn.XLOOKUP($A104,Map!$A:$A,Map!E:E)</f>
        <v>Tade payables and Accuals &amp; other credit balances</v>
      </c>
      <c r="J104" t="str">
        <f>_xlfn.XLOOKUP($A104,Map!$A:$A,Map!F:F)</f>
        <v>Accrued bonus</v>
      </c>
    </row>
    <row r="105" spans="1:10" hidden="1" x14ac:dyDescent="0.25">
      <c r="A105" s="90">
        <v>250005</v>
      </c>
      <c r="B105" s="90" t="s">
        <v>94</v>
      </c>
      <c r="C105" s="91">
        <v>-430386.94400000002</v>
      </c>
      <c r="D105" s="91">
        <v>3261835.61</v>
      </c>
      <c r="E105" s="91">
        <v>3263525.3859999999</v>
      </c>
      <c r="F105" s="91">
        <v>-432076.72</v>
      </c>
      <c r="G105" t="str">
        <f>_xlfn.XLOOKUP($A105,Map!$A:$A,Map!C:C)</f>
        <v>BS</v>
      </c>
      <c r="H105" t="str">
        <f>_xlfn.XLOOKUP($A105,Map!$A:$A,Map!D:D)</f>
        <v>Current Liabilities</v>
      </c>
      <c r="I105" t="str">
        <f>_xlfn.XLOOKUP($A105,Map!$A:$A,Map!E:E)</f>
        <v>Tade payables and Accuals &amp; other credit balances</v>
      </c>
      <c r="J105" t="str">
        <f>_xlfn.XLOOKUP($A105,Map!$A:$A,Map!F:F)</f>
        <v>Accrued expenses</v>
      </c>
    </row>
    <row r="106" spans="1:10" hidden="1" x14ac:dyDescent="0.25">
      <c r="A106" s="90">
        <v>250006</v>
      </c>
      <c r="B106" s="90" t="s">
        <v>95</v>
      </c>
      <c r="C106" s="91">
        <v>0</v>
      </c>
      <c r="D106" s="91">
        <v>0</v>
      </c>
      <c r="E106" s="91">
        <v>0</v>
      </c>
      <c r="F106" s="91">
        <v>0</v>
      </c>
      <c r="G106" t="str">
        <f>_xlfn.XLOOKUP($A106,Map!$A:$A,Map!C:C)</f>
        <v>BS</v>
      </c>
      <c r="H106" t="str">
        <f>_xlfn.XLOOKUP($A106,Map!$A:$A,Map!D:D)</f>
        <v>Current Liabilities</v>
      </c>
      <c r="I106" t="str">
        <f>_xlfn.XLOOKUP($A106,Map!$A:$A,Map!E:E)</f>
        <v>Tade payables and Accuals &amp; other credit balances</v>
      </c>
      <c r="J106" t="str">
        <f>_xlfn.XLOOKUP($A106,Map!$A:$A,Map!F:F)</f>
        <v>Accrued leave</v>
      </c>
    </row>
    <row r="107" spans="1:10" hidden="1" x14ac:dyDescent="0.25">
      <c r="A107" s="90">
        <v>260001</v>
      </c>
      <c r="B107" s="90" t="s">
        <v>96</v>
      </c>
      <c r="C107" s="91">
        <v>-7846137</v>
      </c>
      <c r="D107" s="91">
        <v>0</v>
      </c>
      <c r="E107" s="91">
        <v>0</v>
      </c>
      <c r="F107" s="91">
        <v>-7846137</v>
      </c>
      <c r="G107" t="str">
        <f>_xlfn.XLOOKUP($A107,Map!$A:$A,Map!C:C)</f>
        <v>BS</v>
      </c>
      <c r="H107" t="str">
        <f>_xlfn.XLOOKUP($A107,Map!$A:$A,Map!D:D)</f>
        <v>Stockholder's equity</v>
      </c>
      <c r="I107" t="str">
        <f>_xlfn.XLOOKUP($A107,Map!$A:$A,Map!E:E)</f>
        <v>Statutory reserve</v>
      </c>
      <c r="J107" t="str">
        <f>_xlfn.XLOOKUP($A107,Map!$A:$A,Map!F:F)</f>
        <v>Statutory reserve</v>
      </c>
    </row>
    <row r="108" spans="1:10" hidden="1" x14ac:dyDescent="0.25">
      <c r="A108" s="90">
        <v>260002</v>
      </c>
      <c r="B108" s="90" t="s">
        <v>97</v>
      </c>
      <c r="C108" s="91">
        <v>-3409950.92</v>
      </c>
      <c r="D108" s="91">
        <v>551427</v>
      </c>
      <c r="E108" s="91">
        <v>1573461</v>
      </c>
      <c r="F108" s="91">
        <v>-4431984.92</v>
      </c>
      <c r="G108" t="str">
        <f>_xlfn.XLOOKUP($A108,Map!$A:$A,Map!C:C)</f>
        <v>BS</v>
      </c>
      <c r="H108" t="str">
        <f>_xlfn.XLOOKUP($A108,Map!$A:$A,Map!D:D)</f>
        <v>Non-Current Liabilities</v>
      </c>
      <c r="I108" t="str">
        <f>_xlfn.XLOOKUP($A108,Map!$A:$A,Map!E:E)</f>
        <v xml:space="preserve">End-of-service indemnities </v>
      </c>
      <c r="J108" t="str">
        <f>_xlfn.XLOOKUP($A108,Map!$A:$A,Map!F:F)</f>
        <v xml:space="preserve">End-of-service indemnities </v>
      </c>
    </row>
    <row r="109" spans="1:10" hidden="1" x14ac:dyDescent="0.25">
      <c r="A109" s="90">
        <v>260003</v>
      </c>
      <c r="B109" s="90" t="s">
        <v>98</v>
      </c>
      <c r="C109" s="91">
        <v>-7368638.8590000002</v>
      </c>
      <c r="D109" s="91">
        <v>2808284.8930000002</v>
      </c>
      <c r="E109" s="91">
        <v>0</v>
      </c>
      <c r="F109" s="91">
        <v>-4560353.966</v>
      </c>
      <c r="G109" t="str">
        <f>_xlfn.XLOOKUP($A109,Map!$A:$A,Map!C:C)</f>
        <v>BS</v>
      </c>
      <c r="H109" t="str">
        <f>_xlfn.XLOOKUP($A109,Map!$A:$A,Map!D:D)</f>
        <v>Current Assets</v>
      </c>
      <c r="I109" t="str">
        <f>_xlfn.XLOOKUP($A109,Map!$A:$A,Map!E:E)</f>
        <v>Trade receivables</v>
      </c>
      <c r="J109" t="str">
        <f>_xlfn.XLOOKUP($A109,Map!$A:$A,Map!F:F)</f>
        <v>Provisions</v>
      </c>
    </row>
    <row r="110" spans="1:10" hidden="1" x14ac:dyDescent="0.25">
      <c r="A110" s="90">
        <v>260004</v>
      </c>
      <c r="B110" s="90" t="s">
        <v>99</v>
      </c>
      <c r="C110" s="91">
        <v>0</v>
      </c>
      <c r="D110" s="91">
        <v>0</v>
      </c>
      <c r="E110" s="91">
        <v>0</v>
      </c>
      <c r="F110" s="91">
        <v>0</v>
      </c>
      <c r="G110" t="str">
        <f>_xlfn.XLOOKUP($A110,Map!$A:$A,Map!C:C)</f>
        <v>BS</v>
      </c>
      <c r="H110" t="str">
        <f>_xlfn.XLOOKUP($A110,Map!$A:$A,Map!D:D)</f>
        <v>Current Assets</v>
      </c>
      <c r="I110" t="str">
        <f>_xlfn.XLOOKUP($A110,Map!$A:$A,Map!E:E)</f>
        <v>Inventories</v>
      </c>
      <c r="J110" t="str">
        <f>_xlfn.XLOOKUP($A110,Map!$A:$A,Map!F:F)</f>
        <v>Allowance for slow moving/obsolete inventories - Inventory</v>
      </c>
    </row>
    <row r="111" spans="1:10" hidden="1" x14ac:dyDescent="0.25">
      <c r="A111" s="90">
        <v>260005</v>
      </c>
      <c r="B111" s="90" t="s">
        <v>100</v>
      </c>
      <c r="C111" s="91">
        <v>-4807655.8289999999</v>
      </c>
      <c r="D111" s="91">
        <v>54904</v>
      </c>
      <c r="E111" s="91">
        <v>109421.12</v>
      </c>
      <c r="F111" s="91">
        <v>-4862172.949</v>
      </c>
      <c r="G111" t="str">
        <f>_xlfn.XLOOKUP($A111,Map!$A:$A,Map!C:C)</f>
        <v>BS</v>
      </c>
      <c r="H111" t="str">
        <f>_xlfn.XLOOKUP($A111,Map!$A:$A,Map!D:D)</f>
        <v>Non-Current Liabilities</v>
      </c>
      <c r="I111" t="str">
        <f>_xlfn.XLOOKUP($A111,Map!$A:$A,Map!E:E)</f>
        <v>Provision for evacuation</v>
      </c>
      <c r="J111" t="str">
        <f>_xlfn.XLOOKUP($A111,Map!$A:$A,Map!F:F)</f>
        <v>Provision for evacuation</v>
      </c>
    </row>
    <row r="112" spans="1:10" hidden="1" x14ac:dyDescent="0.25">
      <c r="A112" s="90">
        <v>260006</v>
      </c>
      <c r="B112" s="90" t="s">
        <v>250</v>
      </c>
      <c r="C112" s="91">
        <v>-539634.05900000001</v>
      </c>
      <c r="D112" s="91">
        <v>7299.79</v>
      </c>
      <c r="E112" s="91">
        <v>561763.36899999995</v>
      </c>
      <c r="F112" s="91">
        <v>-1094097.638</v>
      </c>
      <c r="G112" t="str">
        <f>_xlfn.XLOOKUP($A112,Map!$A:$A,Map!C:C)</f>
        <v>BS</v>
      </c>
      <c r="H112" t="str">
        <f>_xlfn.XLOOKUP($A112,Map!$A:$A,Map!D:D)</f>
        <v>Current Liabilities</v>
      </c>
      <c r="I112" t="str">
        <f>_xlfn.XLOOKUP($A112,Map!$A:$A,Map!E:E)</f>
        <v>Tade payables and Accuals &amp; other credit balances</v>
      </c>
      <c r="J112" t="str">
        <f>_xlfn.XLOOKUP($A112,Map!$A:$A,Map!F:F)</f>
        <v>Accrued leave</v>
      </c>
    </row>
    <row r="113" spans="1:10" hidden="1" x14ac:dyDescent="0.25">
      <c r="A113" s="90">
        <v>270001</v>
      </c>
      <c r="B113" s="90" t="s">
        <v>101</v>
      </c>
      <c r="C113" s="91">
        <v>-7409764.79</v>
      </c>
      <c r="D113" s="91">
        <v>524125</v>
      </c>
      <c r="E113" s="91">
        <v>22270537.68</v>
      </c>
      <c r="F113" s="91">
        <v>-29156177.469999999</v>
      </c>
      <c r="G113" t="str">
        <f>_xlfn.XLOOKUP($A113,Map!$A:$A,Map!C:C)</f>
        <v>BS</v>
      </c>
      <c r="H113" t="str">
        <f>_xlfn.XLOOKUP($A113,Map!$A:$A,Map!D:D)</f>
        <v>Non-Current Liabilities</v>
      </c>
      <c r="I113" t="str">
        <f>_xlfn.XLOOKUP($A113,Map!$A:$A,Map!E:E)</f>
        <v xml:space="preserve">Due to related parties </v>
      </c>
      <c r="J113" t="str">
        <f>_xlfn.XLOOKUP($A113,Map!$A:$A,Map!F:F)</f>
        <v>Aims Holding  Current Acc</v>
      </c>
    </row>
    <row r="114" spans="1:10" hidden="1" x14ac:dyDescent="0.25">
      <c r="A114" s="90">
        <v>270002</v>
      </c>
      <c r="B114" s="90" t="s">
        <v>102</v>
      </c>
      <c r="C114" s="91">
        <v>-2E-3</v>
      </c>
      <c r="D114" s="91">
        <v>182237.625</v>
      </c>
      <c r="E114" s="91">
        <v>8761726.5419999994</v>
      </c>
      <c r="F114" s="91">
        <v>-8579488.9189999998</v>
      </c>
      <c r="G114" t="str">
        <f>_xlfn.XLOOKUP($A114,Map!$A:$A,Map!C:C)</f>
        <v>BS</v>
      </c>
      <c r="H114" t="str">
        <f>_xlfn.XLOOKUP($A114,Map!$A:$A,Map!D:D)</f>
        <v>Current Liabilities</v>
      </c>
      <c r="I114" t="str">
        <f>_xlfn.XLOOKUP($A114,Map!$A:$A,Map!E:E)</f>
        <v>Tade payables and Accuals &amp; other credit balances</v>
      </c>
      <c r="J114" t="str">
        <f>_xlfn.XLOOKUP($A114,Map!$A:$A,Map!F:F)</f>
        <v>VAT payables</v>
      </c>
    </row>
    <row r="115" spans="1:10" hidden="1" x14ac:dyDescent="0.25">
      <c r="A115" s="90">
        <v>270003</v>
      </c>
      <c r="B115" s="90" t="s">
        <v>103</v>
      </c>
      <c r="C115" s="91">
        <v>0</v>
      </c>
      <c r="D115" s="91">
        <v>6629633.8300000001</v>
      </c>
      <c r="E115" s="91">
        <v>39841.444000000003</v>
      </c>
      <c r="F115" s="91">
        <v>6589792.3859999999</v>
      </c>
      <c r="G115" t="str">
        <f>_xlfn.XLOOKUP($A115,Map!$A:$A,Map!C:C)</f>
        <v>BS</v>
      </c>
      <c r="H115" t="str">
        <f>_xlfn.XLOOKUP($A115,Map!$A:$A,Map!D:D)</f>
        <v>Current Liabilities</v>
      </c>
      <c r="I115" t="str">
        <f>_xlfn.XLOOKUP($A115,Map!$A:$A,Map!E:E)</f>
        <v>Tade payables and Accuals &amp; other credit balances</v>
      </c>
      <c r="J115" t="str">
        <f>_xlfn.XLOOKUP($A115,Map!$A:$A,Map!F:F)</f>
        <v>VAT payables</v>
      </c>
    </row>
    <row r="116" spans="1:10" hidden="1" x14ac:dyDescent="0.25">
      <c r="A116" s="90">
        <v>270004</v>
      </c>
      <c r="B116" s="90" t="s">
        <v>104</v>
      </c>
      <c r="C116" s="91">
        <v>-1049001.149</v>
      </c>
      <c r="D116" s="91">
        <v>83030.751999999993</v>
      </c>
      <c r="E116" s="91">
        <v>83030.754000000001</v>
      </c>
      <c r="F116" s="91">
        <v>-1049001.1510000001</v>
      </c>
      <c r="G116" t="str">
        <f>_xlfn.XLOOKUP($A116,Map!$A:$A,Map!C:C)</f>
        <v>BS</v>
      </c>
      <c r="H116" t="str">
        <f>_xlfn.XLOOKUP($A116,Map!$A:$A,Map!D:D)</f>
        <v>Current Liabilities</v>
      </c>
      <c r="I116" t="str">
        <f>_xlfn.XLOOKUP($A116,Map!$A:$A,Map!E:E)</f>
        <v>Tade payables and Accuals &amp; other credit balances</v>
      </c>
      <c r="J116" t="str">
        <f>_xlfn.XLOOKUP($A116,Map!$A:$A,Map!F:F)</f>
        <v>VAT payables</v>
      </c>
    </row>
    <row r="117" spans="1:10" hidden="1" x14ac:dyDescent="0.25">
      <c r="A117" s="90">
        <v>270005</v>
      </c>
      <c r="B117" s="90" t="s">
        <v>105</v>
      </c>
      <c r="C117" s="91">
        <v>-8694168.5409999993</v>
      </c>
      <c r="D117" s="91">
        <v>38435410.203000002</v>
      </c>
      <c r="E117" s="91">
        <v>31185681.563999999</v>
      </c>
      <c r="F117" s="91">
        <v>-1444439.902</v>
      </c>
      <c r="G117" t="str">
        <f>_xlfn.XLOOKUP($A117,Map!$A:$A,Map!C:C)</f>
        <v>BS</v>
      </c>
      <c r="H117" t="str">
        <f>_xlfn.XLOOKUP($A117,Map!$A:$A,Map!D:D)</f>
        <v>Non-Current Liabilities</v>
      </c>
      <c r="I117" t="str">
        <f>_xlfn.XLOOKUP($A117,Map!$A:$A,Map!E:E)</f>
        <v xml:space="preserve">Due to related parties </v>
      </c>
      <c r="J117" t="str">
        <f>_xlfn.XLOOKUP($A117,Map!$A:$A,Map!F:F)</f>
        <v>Vision Horzon Indestrial Company</v>
      </c>
    </row>
    <row r="118" spans="1:10" hidden="1" x14ac:dyDescent="0.25">
      <c r="A118" s="90">
        <v>310001</v>
      </c>
      <c r="B118" s="90" t="s">
        <v>106</v>
      </c>
      <c r="C118" s="91">
        <v>35110867.218000002</v>
      </c>
      <c r="D118" s="91">
        <v>0</v>
      </c>
      <c r="E118" s="91">
        <v>0</v>
      </c>
      <c r="F118" s="91">
        <v>35110867.218000002</v>
      </c>
      <c r="G118" t="str">
        <f>_xlfn.XLOOKUP($A118,Map!$A:$A,Map!C:C)</f>
        <v>BS</v>
      </c>
      <c r="H118" t="str">
        <f>_xlfn.XLOOKUP($A118,Map!$A:$A,Map!D:D)</f>
        <v>Stockholder's equity</v>
      </c>
      <c r="I118" t="str">
        <f>_xlfn.XLOOKUP($A118,Map!$A:$A,Map!E:E)</f>
        <v>Retained earnings</v>
      </c>
      <c r="J118" t="str">
        <f>_xlfn.XLOOKUP($A118,Map!$A:$A,Map!F:F)</f>
        <v>Retained earnings</v>
      </c>
    </row>
    <row r="119" spans="1:10" hidden="1" x14ac:dyDescent="0.25">
      <c r="A119" s="90">
        <v>330001</v>
      </c>
      <c r="B119" s="90" t="s">
        <v>107</v>
      </c>
      <c r="C119" s="91">
        <v>0</v>
      </c>
      <c r="D119" s="91">
        <v>0</v>
      </c>
      <c r="E119" s="91">
        <v>0</v>
      </c>
      <c r="F119" s="91">
        <v>0</v>
      </c>
      <c r="G119" t="str">
        <f>_xlfn.XLOOKUP($A119,Map!$A:$A,Map!C:C)</f>
        <v>BS</v>
      </c>
      <c r="H119" t="str">
        <f>_xlfn.XLOOKUP($A119,Map!$A:$A,Map!D:D)</f>
        <v>Stockholder's equity</v>
      </c>
      <c r="I119" t="str">
        <f>_xlfn.XLOOKUP($A119,Map!$A:$A,Map!E:E)</f>
        <v>Retained earnings</v>
      </c>
      <c r="J119" t="str">
        <f>_xlfn.XLOOKUP($A119,Map!$A:$A,Map!F:F)</f>
        <v>Retained earnings</v>
      </c>
    </row>
    <row r="120" spans="1:10" hidden="1" x14ac:dyDescent="0.25">
      <c r="A120" s="90">
        <v>330002</v>
      </c>
      <c r="B120" s="90" t="s">
        <v>108</v>
      </c>
      <c r="C120" s="91">
        <v>-35335000</v>
      </c>
      <c r="D120" s="91">
        <v>0</v>
      </c>
      <c r="E120" s="91">
        <v>0</v>
      </c>
      <c r="F120" s="91">
        <v>-35335000</v>
      </c>
      <c r="G120" t="str">
        <f>_xlfn.XLOOKUP($A120,Map!$A:$A,Map!C:C)</f>
        <v>BS</v>
      </c>
      <c r="H120" t="str">
        <f>_xlfn.XLOOKUP($A120,Map!$A:$A,Map!D:D)</f>
        <v>Stockholder's equity</v>
      </c>
      <c r="I120" t="str">
        <f>_xlfn.XLOOKUP($A120,Map!$A:$A,Map!E:E)</f>
        <v>Share capital</v>
      </c>
      <c r="J120" t="str">
        <f>_xlfn.XLOOKUP($A120,Map!$A:$A,Map!F:F)</f>
        <v>Share capital</v>
      </c>
    </row>
    <row r="121" spans="1:10" hidden="1" x14ac:dyDescent="0.25">
      <c r="A121" s="90">
        <v>330003</v>
      </c>
      <c r="B121" s="90" t="s">
        <v>109</v>
      </c>
      <c r="C121" s="91">
        <v>-102255315.01000001</v>
      </c>
      <c r="D121" s="91">
        <v>0</v>
      </c>
      <c r="E121" s="91">
        <v>0</v>
      </c>
      <c r="F121" s="91">
        <v>-102255315.01000001</v>
      </c>
      <c r="G121" t="str">
        <f>_xlfn.XLOOKUP($A121,Map!$A:$A,Map!C:C)</f>
        <v>BS</v>
      </c>
      <c r="H121" t="str">
        <f>_xlfn.XLOOKUP($A121,Map!$A:$A,Map!D:D)</f>
        <v>Stockholder's equity</v>
      </c>
      <c r="I121" t="str">
        <f>_xlfn.XLOOKUP($A121,Map!$A:$A,Map!E:E)</f>
        <v>Additional contribution from shareholders</v>
      </c>
      <c r="J121" t="str">
        <f>_xlfn.XLOOKUP($A121,Map!$A:$A,Map!F:F)</f>
        <v>Additional contribution from shareholders</v>
      </c>
    </row>
    <row r="122" spans="1:10" hidden="1" x14ac:dyDescent="0.25">
      <c r="A122" s="90">
        <v>410001</v>
      </c>
      <c r="B122" s="90" t="s">
        <v>110</v>
      </c>
      <c r="C122" s="91">
        <v>0</v>
      </c>
      <c r="D122" s="91">
        <v>3047977.58</v>
      </c>
      <c r="E122" s="91">
        <v>203516688.123</v>
      </c>
      <c r="F122" s="91">
        <v>-200468710.54300001</v>
      </c>
      <c r="G122" t="str">
        <f>_xlfn.XLOOKUP($A122,Map!$A:$A,Map!C:C)</f>
        <v>IS</v>
      </c>
      <c r="H122" t="str">
        <f>_xlfn.XLOOKUP($A122,Map!$A:$A,Map!D:D)</f>
        <v>Sales</v>
      </c>
      <c r="I122" t="str">
        <f>_xlfn.XLOOKUP($A122,Map!$A:$A,Map!E:E)</f>
        <v>Sales</v>
      </c>
      <c r="J122" t="str">
        <f>_xlfn.XLOOKUP($A122,Map!$A:$A,Map!F:F)</f>
        <v>Trading revenue</v>
      </c>
    </row>
    <row r="123" spans="1:10" hidden="1" x14ac:dyDescent="0.25">
      <c r="A123" s="90">
        <v>410002</v>
      </c>
      <c r="B123" s="90" t="s">
        <v>111</v>
      </c>
      <c r="C123" s="91">
        <v>0</v>
      </c>
      <c r="D123" s="91">
        <v>7483878.3380000005</v>
      </c>
      <c r="E123" s="91">
        <v>84293.63</v>
      </c>
      <c r="F123" s="91">
        <v>7399584.7079999996</v>
      </c>
      <c r="G123" t="str">
        <f>_xlfn.XLOOKUP($A123,Map!$A:$A,Map!C:C)</f>
        <v>IS</v>
      </c>
      <c r="H123" t="str">
        <f>_xlfn.XLOOKUP($A123,Map!$A:$A,Map!D:D)</f>
        <v>Sales</v>
      </c>
      <c r="I123" t="str">
        <f>_xlfn.XLOOKUP($A123,Map!$A:$A,Map!E:E)</f>
        <v>Sales</v>
      </c>
      <c r="J123" t="str">
        <f>_xlfn.XLOOKUP($A123,Map!$A:$A,Map!F:F)</f>
        <v>Trading revenue</v>
      </c>
    </row>
    <row r="124" spans="1:10" hidden="1" x14ac:dyDescent="0.25">
      <c r="A124" s="90">
        <v>410003</v>
      </c>
      <c r="B124" s="90" t="s">
        <v>112</v>
      </c>
      <c r="C124" s="91">
        <v>0</v>
      </c>
      <c r="D124" s="91">
        <v>512875.73700000002</v>
      </c>
      <c r="E124" s="91">
        <v>1095.723</v>
      </c>
      <c r="F124" s="91">
        <v>511780.01400000002</v>
      </c>
      <c r="G124" t="str">
        <f>_xlfn.XLOOKUP($A124,Map!$A:$A,Map!C:C)</f>
        <v>IS</v>
      </c>
      <c r="H124" t="str">
        <f>_xlfn.XLOOKUP($A124,Map!$A:$A,Map!D:D)</f>
        <v>Sales</v>
      </c>
      <c r="I124" t="str">
        <f>_xlfn.XLOOKUP($A124,Map!$A:$A,Map!E:E)</f>
        <v>Sales</v>
      </c>
      <c r="J124" t="str">
        <f>_xlfn.XLOOKUP($A124,Map!$A:$A,Map!F:F)</f>
        <v>Trading revenue</v>
      </c>
    </row>
    <row r="125" spans="1:10" hidden="1" x14ac:dyDescent="0.25">
      <c r="A125" s="90">
        <v>410004</v>
      </c>
      <c r="B125" s="90" t="s">
        <v>113</v>
      </c>
      <c r="C125" s="91">
        <v>0</v>
      </c>
      <c r="D125" s="91">
        <v>0</v>
      </c>
      <c r="E125" s="91">
        <v>2174324.4040000001</v>
      </c>
      <c r="F125" s="91">
        <v>-2174324.4040000001</v>
      </c>
      <c r="G125" t="str">
        <f>_xlfn.XLOOKUP($A125,Map!$A:$A,Map!C:C)</f>
        <v>IS</v>
      </c>
      <c r="H125" t="str">
        <f>_xlfn.XLOOKUP($A125,Map!$A:$A,Map!D:D)</f>
        <v>Sales</v>
      </c>
      <c r="I125" t="str">
        <f>_xlfn.XLOOKUP($A125,Map!$A:$A,Map!E:E)</f>
        <v>Sales</v>
      </c>
      <c r="J125" t="str">
        <f>_xlfn.XLOOKUP($A125,Map!$A:$A,Map!F:F)</f>
        <v>Scrap sales</v>
      </c>
    </row>
    <row r="126" spans="1:10" hidden="1" x14ac:dyDescent="0.25">
      <c r="A126" s="90">
        <v>420001</v>
      </c>
      <c r="B126" s="90" t="s">
        <v>114</v>
      </c>
      <c r="C126" s="91">
        <v>0</v>
      </c>
      <c r="D126" s="91">
        <v>0</v>
      </c>
      <c r="E126" s="91">
        <v>0</v>
      </c>
      <c r="F126" s="91">
        <v>0</v>
      </c>
      <c r="G126" t="str">
        <f>_xlfn.XLOOKUP($A126,Map!$A:$A,Map!C:C)</f>
        <v>IS</v>
      </c>
      <c r="H126" t="str">
        <f>_xlfn.XLOOKUP($A126,Map!$A:$A,Map!D:D)</f>
        <v>Sales</v>
      </c>
      <c r="I126" t="str">
        <f>_xlfn.XLOOKUP($A126,Map!$A:$A,Map!E:E)</f>
        <v>Sales</v>
      </c>
      <c r="J126" t="str">
        <f>_xlfn.XLOOKUP($A126,Map!$A:$A,Map!F:F)</f>
        <v>Other income</v>
      </c>
    </row>
    <row r="127" spans="1:10" hidden="1" x14ac:dyDescent="0.25">
      <c r="A127" s="90">
        <v>420002</v>
      </c>
      <c r="B127" s="90" t="s">
        <v>251</v>
      </c>
      <c r="C127" s="91">
        <v>0</v>
      </c>
      <c r="D127" s="91">
        <v>1312213.6189999999</v>
      </c>
      <c r="E127" s="91">
        <v>267588.57699999999</v>
      </c>
      <c r="F127" s="91">
        <v>1044625.042</v>
      </c>
      <c r="G127" t="str">
        <f>_xlfn.XLOOKUP($A127,Map!$A:$A,Map!C:C)</f>
        <v>IS</v>
      </c>
      <c r="H127" t="str">
        <f>_xlfn.XLOOKUP($A127,Map!$A:$A,Map!D:D)</f>
        <v>Sales</v>
      </c>
      <c r="I127" t="str">
        <f>_xlfn.XLOOKUP($A127,Map!$A:$A,Map!E:E)</f>
        <v>Sales</v>
      </c>
      <c r="J127" t="str">
        <f>_xlfn.XLOOKUP($A127,Map!$A:$A,Map!F:F)</f>
        <v xml:space="preserve"> Gain/Loss On Sale Of FA</v>
      </c>
    </row>
    <row r="128" spans="1:10" hidden="1" x14ac:dyDescent="0.25">
      <c r="A128" s="90">
        <v>420003</v>
      </c>
      <c r="B128" s="90" t="s">
        <v>115</v>
      </c>
      <c r="C128" s="91">
        <v>0</v>
      </c>
      <c r="D128" s="91">
        <v>702398.43599999999</v>
      </c>
      <c r="E128" s="91">
        <v>837078.98100000003</v>
      </c>
      <c r="F128" s="91">
        <v>-134680.54500000001</v>
      </c>
      <c r="G128" t="str">
        <f>_xlfn.XLOOKUP($A128,Map!$A:$A,Map!C:C)</f>
        <v>IS</v>
      </c>
      <c r="H128" t="str">
        <f>_xlfn.XLOOKUP($A128,Map!$A:$A,Map!D:D)</f>
        <v>Sales</v>
      </c>
      <c r="I128" t="str">
        <f>_xlfn.XLOOKUP($A128,Map!$A:$A,Map!E:E)</f>
        <v>Sales</v>
      </c>
      <c r="J128" t="str">
        <f>_xlfn.XLOOKUP($A128,Map!$A:$A,Map!F:F)</f>
        <v>Scrap sales</v>
      </c>
    </row>
    <row r="129" spans="1:10" hidden="1" x14ac:dyDescent="0.25">
      <c r="A129" s="90">
        <v>510001</v>
      </c>
      <c r="B129" s="90" t="s">
        <v>116</v>
      </c>
      <c r="C129" s="91">
        <v>0</v>
      </c>
      <c r="D129" s="91">
        <v>133356320.48800001</v>
      </c>
      <c r="E129" s="91">
        <v>6145400.6739999996</v>
      </c>
      <c r="F129" s="91">
        <v>127210919.814</v>
      </c>
      <c r="G129" t="str">
        <f>_xlfn.XLOOKUP($A129,Map!$A:$A,Map!C:C)</f>
        <v>IS</v>
      </c>
      <c r="H129" t="str">
        <f>_xlfn.XLOOKUP($A129,Map!$A:$A,Map!D:D)</f>
        <v>Cost of sales</v>
      </c>
      <c r="I129" t="str">
        <f>_xlfn.XLOOKUP($A129,Map!$A:$A,Map!E:E)</f>
        <v>Raw materials</v>
      </c>
      <c r="J129" t="str">
        <f>_xlfn.XLOOKUP($A129,Map!$A:$A,Map!F:F)</f>
        <v>Raw materials</v>
      </c>
    </row>
    <row r="130" spans="1:10" hidden="1" x14ac:dyDescent="0.25">
      <c r="A130" s="90">
        <v>510002</v>
      </c>
      <c r="B130" s="90" t="s">
        <v>117</v>
      </c>
      <c r="C130" s="91">
        <v>0</v>
      </c>
      <c r="D130" s="91">
        <v>40743.796999999999</v>
      </c>
      <c r="E130" s="91">
        <v>0</v>
      </c>
      <c r="F130" s="91">
        <v>40743.796999999999</v>
      </c>
      <c r="G130" t="str">
        <f>_xlfn.XLOOKUP($A130,Map!$A:$A,Map!C:C)</f>
        <v>IS</v>
      </c>
      <c r="H130" t="str">
        <f>_xlfn.XLOOKUP($A130,Map!$A:$A,Map!D:D)</f>
        <v>Cost of sales</v>
      </c>
      <c r="I130" t="str">
        <f>_xlfn.XLOOKUP($A130,Map!$A:$A,Map!E:E)</f>
        <v>Direct Labor</v>
      </c>
      <c r="J130" t="str">
        <f>_xlfn.XLOOKUP($A130,Map!$A:$A,Map!F:F)</f>
        <v>Direct Labor</v>
      </c>
    </row>
    <row r="131" spans="1:10" hidden="1" x14ac:dyDescent="0.25">
      <c r="A131" s="90">
        <v>510003</v>
      </c>
      <c r="B131" s="90" t="s">
        <v>118</v>
      </c>
      <c r="C131" s="91">
        <v>0</v>
      </c>
      <c r="D131" s="91">
        <v>2720663.6839999999</v>
      </c>
      <c r="E131" s="91">
        <v>0</v>
      </c>
      <c r="F131" s="91">
        <v>2720663.6839999999</v>
      </c>
      <c r="G131" t="str">
        <f>_xlfn.XLOOKUP($A131,Map!$A:$A,Map!C:C)</f>
        <v>IS</v>
      </c>
      <c r="H131" t="str">
        <f>_xlfn.XLOOKUP($A131,Map!$A:$A,Map!D:D)</f>
        <v>Cost of sales</v>
      </c>
      <c r="I131" t="str">
        <f>_xlfn.XLOOKUP($A131,Map!$A:$A,Map!E:E)</f>
        <v>Raw materials</v>
      </c>
      <c r="J131" t="str">
        <f>_xlfn.XLOOKUP($A131,Map!$A:$A,Map!F:F)</f>
        <v>Raw materials</v>
      </c>
    </row>
    <row r="132" spans="1:10" hidden="1" x14ac:dyDescent="0.25">
      <c r="A132" s="90">
        <v>510004</v>
      </c>
      <c r="B132" s="90" t="s">
        <v>119</v>
      </c>
      <c r="C132" s="91">
        <v>0</v>
      </c>
      <c r="D132" s="91">
        <v>5782256.3310000002</v>
      </c>
      <c r="E132" s="91">
        <v>0</v>
      </c>
      <c r="F132" s="4">
        <v>5782256.3310000002</v>
      </c>
      <c r="G132" t="str">
        <f>_xlfn.XLOOKUP($A132,Map!$A:$A,Map!C:C)</f>
        <v>IS</v>
      </c>
      <c r="H132" t="str">
        <f>_xlfn.XLOOKUP($A132,Map!$A:$A,Map!D:D)</f>
        <v>Cost of sales</v>
      </c>
      <c r="I132" t="str">
        <f>_xlfn.XLOOKUP($A132,Map!$A:$A,Map!E:E)</f>
        <v>Raw materials</v>
      </c>
      <c r="J132" t="str">
        <f>_xlfn.XLOOKUP($A132,Map!$A:$A,Map!F:F)</f>
        <v>Other expenses</v>
      </c>
    </row>
    <row r="133" spans="1:10" hidden="1" x14ac:dyDescent="0.25">
      <c r="A133" s="90">
        <v>510005</v>
      </c>
      <c r="B133" s="90" t="s">
        <v>120</v>
      </c>
      <c r="C133" s="91">
        <v>0</v>
      </c>
      <c r="D133" s="91">
        <v>0</v>
      </c>
      <c r="E133" s="91">
        <v>0</v>
      </c>
      <c r="F133" s="91">
        <v>0</v>
      </c>
      <c r="G133" t="str">
        <f>_xlfn.XLOOKUP($A133,Map!$A:$A,Map!C:C)</f>
        <v>IS</v>
      </c>
      <c r="H133" t="str">
        <f>_xlfn.XLOOKUP($A133,Map!$A:$A,Map!D:D)</f>
        <v>Cost of sales</v>
      </c>
      <c r="I133" t="str">
        <f>_xlfn.XLOOKUP($A133,Map!$A:$A,Map!E:E)</f>
        <v>Raw materials</v>
      </c>
      <c r="J133" t="str">
        <f>_xlfn.XLOOKUP($A133,Map!$A:$A,Map!F:F)</f>
        <v>Other expenses</v>
      </c>
    </row>
    <row r="134" spans="1:10" hidden="1" x14ac:dyDescent="0.25">
      <c r="A134" s="90">
        <v>520001</v>
      </c>
      <c r="B134" s="90" t="s">
        <v>121</v>
      </c>
      <c r="C134" s="91">
        <v>0</v>
      </c>
      <c r="D134" s="91">
        <v>4062430.04</v>
      </c>
      <c r="E134" s="91">
        <v>121449.98</v>
      </c>
      <c r="F134" s="91">
        <v>3940980.06</v>
      </c>
      <c r="G134" t="str">
        <f>_xlfn.XLOOKUP($A134,Map!$A:$A,Map!C:C)</f>
        <v>IS</v>
      </c>
      <c r="H134" t="str">
        <f>_xlfn.XLOOKUP($A134,Map!$A:$A,Map!D:D)</f>
        <v>Cost of sales</v>
      </c>
      <c r="I134" t="str">
        <f>_xlfn.XLOOKUP($A134,Map!$A:$A,Map!E:E)</f>
        <v>Direct Labor</v>
      </c>
      <c r="J134" t="str">
        <f>_xlfn.XLOOKUP($A134,Map!$A:$A,Map!F:F)</f>
        <v>Salaries and wages</v>
      </c>
    </row>
    <row r="135" spans="1:10" hidden="1" x14ac:dyDescent="0.25">
      <c r="A135" s="90">
        <v>520002</v>
      </c>
      <c r="B135" s="90" t="s">
        <v>122</v>
      </c>
      <c r="C135" s="91">
        <v>0</v>
      </c>
      <c r="D135" s="91">
        <v>2234213.0499999998</v>
      </c>
      <c r="E135" s="91">
        <v>188474</v>
      </c>
      <c r="F135" s="91">
        <v>2045739.05</v>
      </c>
      <c r="G135" t="str">
        <f>_xlfn.XLOOKUP($A135,Map!$A:$A,Map!C:C)</f>
        <v>IS</v>
      </c>
      <c r="H135" t="str">
        <f>_xlfn.XLOOKUP($A135,Map!$A:$A,Map!D:D)</f>
        <v>Cost of sales</v>
      </c>
      <c r="I135" t="str">
        <f>_xlfn.XLOOKUP($A135,Map!$A:$A,Map!E:E)</f>
        <v>Direct Labor</v>
      </c>
      <c r="J135" t="str">
        <f>_xlfn.XLOOKUP($A135,Map!$A:$A,Map!F:F)</f>
        <v>Overtime pay</v>
      </c>
    </row>
    <row r="136" spans="1:10" hidden="1" x14ac:dyDescent="0.25">
      <c r="A136" s="90">
        <v>520003</v>
      </c>
      <c r="B136" s="90" t="s">
        <v>123</v>
      </c>
      <c r="C136" s="91">
        <v>0</v>
      </c>
      <c r="D136" s="91">
        <v>223538.4</v>
      </c>
      <c r="E136" s="91">
        <v>0</v>
      </c>
      <c r="F136" s="91">
        <v>223538.4</v>
      </c>
      <c r="G136" t="str">
        <f>_xlfn.XLOOKUP($A136,Map!$A:$A,Map!C:C)</f>
        <v>IS</v>
      </c>
      <c r="H136" t="str">
        <f>_xlfn.XLOOKUP($A136,Map!$A:$A,Map!D:D)</f>
        <v>Cost of sales</v>
      </c>
      <c r="I136" t="str">
        <f>_xlfn.XLOOKUP($A136,Map!$A:$A,Map!E:E)</f>
        <v>Direct Labor</v>
      </c>
      <c r="J136" t="str">
        <f>_xlfn.XLOOKUP($A136,Map!$A:$A,Map!F:F)</f>
        <v>Transportation allowance</v>
      </c>
    </row>
    <row r="137" spans="1:10" hidden="1" x14ac:dyDescent="0.25">
      <c r="A137" s="90">
        <v>520004</v>
      </c>
      <c r="B137" s="90" t="s">
        <v>124</v>
      </c>
      <c r="C137" s="91">
        <v>0</v>
      </c>
      <c r="D137" s="91">
        <v>248902</v>
      </c>
      <c r="E137" s="91">
        <v>0</v>
      </c>
      <c r="F137" s="91">
        <v>248902</v>
      </c>
      <c r="G137" t="str">
        <f>_xlfn.XLOOKUP($A137,Map!$A:$A,Map!C:C)</f>
        <v>IS</v>
      </c>
      <c r="H137" t="str">
        <f>_xlfn.XLOOKUP($A137,Map!$A:$A,Map!D:D)</f>
        <v>Cost of sales</v>
      </c>
      <c r="I137" t="str">
        <f>_xlfn.XLOOKUP($A137,Map!$A:$A,Map!E:E)</f>
        <v>Direct Labor</v>
      </c>
      <c r="J137" t="str">
        <f>_xlfn.XLOOKUP($A137,Map!$A:$A,Map!F:F)</f>
        <v>Food and housing</v>
      </c>
    </row>
    <row r="138" spans="1:10" hidden="1" x14ac:dyDescent="0.25">
      <c r="A138" s="90">
        <v>520005</v>
      </c>
      <c r="B138" s="90" t="s">
        <v>125</v>
      </c>
      <c r="C138" s="91">
        <v>0</v>
      </c>
      <c r="D138" s="91">
        <v>67941.464000000007</v>
      </c>
      <c r="E138" s="91">
        <v>58678.07</v>
      </c>
      <c r="F138" s="91">
        <v>9263.3940000000002</v>
      </c>
      <c r="G138" t="str">
        <f>_xlfn.XLOOKUP($A138,Map!$A:$A,Map!C:C)</f>
        <v>IS</v>
      </c>
      <c r="H138" t="str">
        <f>_xlfn.XLOOKUP($A138,Map!$A:$A,Map!D:D)</f>
        <v>Cost of sales</v>
      </c>
      <c r="I138" t="str">
        <f>_xlfn.XLOOKUP($A138,Map!$A:$A,Map!E:E)</f>
        <v>Direct Labor</v>
      </c>
      <c r="J138" t="str">
        <f>_xlfn.XLOOKUP($A138,Map!$A:$A,Map!F:F)</f>
        <v>Leave pay</v>
      </c>
    </row>
    <row r="139" spans="1:10" hidden="1" x14ac:dyDescent="0.25">
      <c r="A139" s="90">
        <v>520006</v>
      </c>
      <c r="B139" s="90" t="s">
        <v>126</v>
      </c>
      <c r="C139" s="91">
        <v>0</v>
      </c>
      <c r="D139" s="91">
        <v>217296.93700000001</v>
      </c>
      <c r="E139" s="91">
        <v>0</v>
      </c>
      <c r="F139" s="91">
        <v>217296.93700000001</v>
      </c>
      <c r="G139" t="str">
        <f>_xlfn.XLOOKUP($A139,Map!$A:$A,Map!C:C)</f>
        <v>IS</v>
      </c>
      <c r="H139" t="str">
        <f>_xlfn.XLOOKUP($A139,Map!$A:$A,Map!D:D)</f>
        <v>Cost of sales</v>
      </c>
      <c r="I139" t="str">
        <f>_xlfn.XLOOKUP($A139,Map!$A:$A,Map!E:E)</f>
        <v>Direct Labor</v>
      </c>
      <c r="J139" t="str">
        <f>_xlfn.XLOOKUP($A139,Map!$A:$A,Map!F:F)</f>
        <v>Medical insurance</v>
      </c>
    </row>
    <row r="140" spans="1:10" hidden="1" x14ac:dyDescent="0.25">
      <c r="A140" s="90">
        <v>520010</v>
      </c>
      <c r="B140" s="90" t="s">
        <v>127</v>
      </c>
      <c r="C140" s="91">
        <v>0</v>
      </c>
      <c r="D140" s="91">
        <v>0</v>
      </c>
      <c r="E140" s="91">
        <v>0</v>
      </c>
      <c r="F140" s="91">
        <v>0</v>
      </c>
      <c r="G140" t="str">
        <f>_xlfn.XLOOKUP($A140,Map!$A:$A,Map!C:C)</f>
        <v>IS</v>
      </c>
      <c r="H140" t="str">
        <f>_xlfn.XLOOKUP($A140,Map!$A:$A,Map!D:D)</f>
        <v>Cost of sales</v>
      </c>
      <c r="I140" t="str">
        <f>_xlfn.XLOOKUP($A140,Map!$A:$A,Map!E:E)</f>
        <v>Direct Labor</v>
      </c>
      <c r="J140" t="str">
        <f>_xlfn.XLOOKUP($A140,Map!$A:$A,Map!F:F)</f>
        <v>Salaries and wages</v>
      </c>
    </row>
    <row r="141" spans="1:10" hidden="1" x14ac:dyDescent="0.25">
      <c r="A141" s="90">
        <v>520011</v>
      </c>
      <c r="B141" s="90" t="s">
        <v>122</v>
      </c>
      <c r="C141" s="91">
        <v>0</v>
      </c>
      <c r="D141" s="91">
        <v>0</v>
      </c>
      <c r="E141" s="91">
        <v>0</v>
      </c>
      <c r="F141" s="91">
        <v>0</v>
      </c>
      <c r="G141" t="str">
        <f>_xlfn.XLOOKUP($A141,Map!$A:$A,Map!C:C)</f>
        <v>IS</v>
      </c>
      <c r="H141" t="str">
        <f>_xlfn.XLOOKUP($A141,Map!$A:$A,Map!D:D)</f>
        <v>Cost of sales</v>
      </c>
      <c r="I141" t="str">
        <f>_xlfn.XLOOKUP($A141,Map!$A:$A,Map!E:E)</f>
        <v>Direct Labor</v>
      </c>
      <c r="J141" t="str">
        <f>_xlfn.XLOOKUP($A141,Map!$A:$A,Map!F:F)</f>
        <v>Overtime pay</v>
      </c>
    </row>
    <row r="142" spans="1:10" hidden="1" x14ac:dyDescent="0.25">
      <c r="A142" s="90">
        <v>520013</v>
      </c>
      <c r="B142" s="90" t="s">
        <v>124</v>
      </c>
      <c r="C142" s="91">
        <v>0</v>
      </c>
      <c r="D142" s="91">
        <v>0</v>
      </c>
      <c r="E142" s="91">
        <v>0</v>
      </c>
      <c r="F142" s="91">
        <v>0</v>
      </c>
      <c r="G142" t="str">
        <f>_xlfn.XLOOKUP($A142,Map!$A:$A,Map!C:C)</f>
        <v>IS</v>
      </c>
      <c r="H142" t="str">
        <f>_xlfn.XLOOKUP($A142,Map!$A:$A,Map!D:D)</f>
        <v>Cost of sales</v>
      </c>
      <c r="I142" t="str">
        <f>_xlfn.XLOOKUP($A142,Map!$A:$A,Map!E:E)</f>
        <v>Direct Labor</v>
      </c>
      <c r="J142" t="str">
        <f>_xlfn.XLOOKUP($A142,Map!$A:$A,Map!F:F)</f>
        <v>Food and housing</v>
      </c>
    </row>
    <row r="143" spans="1:10" hidden="1" x14ac:dyDescent="0.25">
      <c r="A143" s="90">
        <v>520014</v>
      </c>
      <c r="B143" s="90" t="s">
        <v>125</v>
      </c>
      <c r="C143" s="91">
        <v>0</v>
      </c>
      <c r="D143" s="91">
        <v>2811</v>
      </c>
      <c r="E143" s="91">
        <v>0</v>
      </c>
      <c r="F143" s="91">
        <v>2811</v>
      </c>
      <c r="G143" t="str">
        <f>_xlfn.XLOOKUP($A143,Map!$A:$A,Map!C:C)</f>
        <v>IS</v>
      </c>
      <c r="H143" t="str">
        <f>_xlfn.XLOOKUP($A143,Map!$A:$A,Map!D:D)</f>
        <v>Cost of sales</v>
      </c>
      <c r="I143" t="str">
        <f>_xlfn.XLOOKUP($A143,Map!$A:$A,Map!E:E)</f>
        <v>Direct Labor</v>
      </c>
      <c r="J143" t="str">
        <f>_xlfn.XLOOKUP($A143,Map!$A:$A,Map!F:F)</f>
        <v>Leave pay</v>
      </c>
    </row>
    <row r="144" spans="1:10" hidden="1" x14ac:dyDescent="0.25">
      <c r="A144" s="90">
        <v>520015</v>
      </c>
      <c r="B144" s="90" t="s">
        <v>128</v>
      </c>
      <c r="C144" s="91">
        <v>0</v>
      </c>
      <c r="D144" s="91">
        <v>1213682.551</v>
      </c>
      <c r="E144" s="91">
        <v>490.64400000000001</v>
      </c>
      <c r="F144" s="91">
        <v>1213191.9069999999</v>
      </c>
      <c r="G144" t="str">
        <f>_xlfn.XLOOKUP($A144,Map!$A:$A,Map!C:C)</f>
        <v>IS</v>
      </c>
      <c r="H144" t="str">
        <f>_xlfn.XLOOKUP($A144,Map!$A:$A,Map!D:D)</f>
        <v>Cost of sales</v>
      </c>
      <c r="I144" t="str">
        <f>_xlfn.XLOOKUP($A144,Map!$A:$A,Map!E:E)</f>
        <v>Direct Labor</v>
      </c>
      <c r="J144" t="str">
        <f>_xlfn.XLOOKUP($A144,Map!$A:$A,Map!F:F)</f>
        <v>Food and housing</v>
      </c>
    </row>
    <row r="145" spans="1:10" hidden="1" x14ac:dyDescent="0.25">
      <c r="A145" s="90">
        <v>520019</v>
      </c>
      <c r="B145" s="90" t="s">
        <v>241</v>
      </c>
      <c r="C145" s="91">
        <v>0</v>
      </c>
      <c r="D145" s="91">
        <v>1114554.5209999999</v>
      </c>
      <c r="E145" s="91">
        <v>1190</v>
      </c>
      <c r="F145" s="91">
        <v>1113364.5209999999</v>
      </c>
      <c r="G145" t="str">
        <f>_xlfn.XLOOKUP($A145,Map!$A:$A,Map!C:C)</f>
        <v>IS</v>
      </c>
      <c r="H145" t="str">
        <f>_xlfn.XLOOKUP($A145,Map!$A:$A,Map!D:D)</f>
        <v>Cost of sales</v>
      </c>
      <c r="I145" t="str">
        <f>_xlfn.XLOOKUP($A145,Map!$A:$A,Map!E:E)</f>
        <v>Direct Labor</v>
      </c>
      <c r="J145" t="str">
        <f>_xlfn.XLOOKUP($A145,Map!$A:$A,Map!F:F)</f>
        <v>Food and housing</v>
      </c>
    </row>
    <row r="146" spans="1:10" hidden="1" x14ac:dyDescent="0.25">
      <c r="A146" s="90">
        <v>520021</v>
      </c>
      <c r="B146" s="90" t="s">
        <v>129</v>
      </c>
      <c r="C146" s="91">
        <v>0</v>
      </c>
      <c r="D146" s="91">
        <v>0</v>
      </c>
      <c r="E146" s="91">
        <v>0</v>
      </c>
      <c r="F146" s="91">
        <v>0</v>
      </c>
      <c r="G146" t="str">
        <f>_xlfn.XLOOKUP($A146,Map!$A:$A,Map!C:C)</f>
        <v>IS</v>
      </c>
      <c r="H146" t="str">
        <f>_xlfn.XLOOKUP($A146,Map!$A:$A,Map!D:D)</f>
        <v>Cost of sales</v>
      </c>
      <c r="I146" t="str">
        <f>_xlfn.XLOOKUP($A146,Map!$A:$A,Map!E:E)</f>
        <v>Direct Labor</v>
      </c>
      <c r="J146" t="str">
        <f>_xlfn.XLOOKUP($A146,Map!$A:$A,Map!F:F)</f>
        <v>Medical insurance</v>
      </c>
    </row>
    <row r="147" spans="1:10" hidden="1" x14ac:dyDescent="0.25">
      <c r="A147" s="90">
        <v>520022</v>
      </c>
      <c r="B147" s="90" t="s">
        <v>130</v>
      </c>
      <c r="C147" s="91">
        <v>0</v>
      </c>
      <c r="D147" s="91">
        <v>0</v>
      </c>
      <c r="E147" s="91">
        <v>0</v>
      </c>
      <c r="F147" s="91">
        <v>0</v>
      </c>
      <c r="G147" t="str">
        <f>_xlfn.XLOOKUP($A147,Map!$A:$A,Map!C:C)</f>
        <v>IS</v>
      </c>
      <c r="H147" t="str">
        <f>_xlfn.XLOOKUP($A147,Map!$A:$A,Map!D:D)</f>
        <v>Cost of sales</v>
      </c>
      <c r="I147" t="str">
        <f>_xlfn.XLOOKUP($A147,Map!$A:$A,Map!E:E)</f>
        <v>Direct Labor</v>
      </c>
      <c r="J147" t="str">
        <f>_xlfn.XLOOKUP($A147,Map!$A:$A,Map!F:F)</f>
        <v>Iqama renewal</v>
      </c>
    </row>
    <row r="148" spans="1:10" hidden="1" x14ac:dyDescent="0.25">
      <c r="A148" s="90">
        <v>520023</v>
      </c>
      <c r="B148" s="90" t="s">
        <v>255</v>
      </c>
      <c r="C148" s="91">
        <v>0</v>
      </c>
      <c r="D148" s="91">
        <v>0</v>
      </c>
      <c r="E148" s="91">
        <v>0</v>
      </c>
      <c r="F148" s="91">
        <v>0</v>
      </c>
      <c r="G148" t="str">
        <f>_xlfn.XLOOKUP($A148,Map!$A:$A,Map!C:C)</f>
        <v>IS</v>
      </c>
      <c r="H148" t="str">
        <f>_xlfn.XLOOKUP($A148,Map!$A:$A,Map!D:D)</f>
        <v>Cost of sales</v>
      </c>
      <c r="I148" t="str">
        <f>_xlfn.XLOOKUP($A148,Map!$A:$A,Map!E:E)</f>
        <v>Direct Labor</v>
      </c>
      <c r="J148" t="str">
        <f>_xlfn.XLOOKUP($A148,Map!$A:$A,Map!F:F)</f>
        <v>Medical insurance</v>
      </c>
    </row>
    <row r="149" spans="1:10" hidden="1" x14ac:dyDescent="0.25">
      <c r="A149" s="90">
        <v>520032</v>
      </c>
      <c r="B149" s="90" t="s">
        <v>131</v>
      </c>
      <c r="C149" s="91">
        <v>0</v>
      </c>
      <c r="D149" s="91">
        <v>0</v>
      </c>
      <c r="E149" s="91">
        <v>0</v>
      </c>
      <c r="F149" s="91">
        <v>0</v>
      </c>
      <c r="G149" t="str">
        <f>_xlfn.XLOOKUP($A149,Map!$A:$A,Map!C:C)</f>
        <v>IS</v>
      </c>
      <c r="H149" t="str">
        <f>_xlfn.XLOOKUP($A149,Map!$A:$A,Map!D:D)</f>
        <v>Cost of sales</v>
      </c>
      <c r="I149" t="str">
        <f>_xlfn.XLOOKUP($A149,Map!$A:$A,Map!E:E)</f>
        <v>Raw materials</v>
      </c>
      <c r="J149" t="str">
        <f>_xlfn.XLOOKUP($A149,Map!$A:$A,Map!F:F)</f>
        <v>Consumables</v>
      </c>
    </row>
    <row r="150" spans="1:10" hidden="1" x14ac:dyDescent="0.25">
      <c r="A150" s="90">
        <v>520036</v>
      </c>
      <c r="B150" s="90" t="s">
        <v>132</v>
      </c>
      <c r="C150" s="91">
        <v>0</v>
      </c>
      <c r="D150" s="91">
        <v>0.32300000000000001</v>
      </c>
      <c r="E150" s="91">
        <v>1.008</v>
      </c>
      <c r="F150" s="91">
        <v>-0.68500000000000005</v>
      </c>
      <c r="G150" t="str">
        <f>_xlfn.XLOOKUP($A150,Map!$A:$A,Map!C:C)</f>
        <v>IS</v>
      </c>
      <c r="H150" t="str">
        <f>_xlfn.XLOOKUP($A150,Map!$A:$A,Map!D:D)</f>
        <v>Cost of sales</v>
      </c>
      <c r="I150" t="str">
        <f>_xlfn.XLOOKUP($A150,Map!$A:$A,Map!E:E)</f>
        <v>Raw materials</v>
      </c>
      <c r="J150" t="str">
        <f>_xlfn.XLOOKUP($A150,Map!$A:$A,Map!F:F)</f>
        <v>Raw materials</v>
      </c>
    </row>
    <row r="151" spans="1:10" hidden="1" x14ac:dyDescent="0.25">
      <c r="A151" s="90">
        <v>520037</v>
      </c>
      <c r="B151" s="90" t="s">
        <v>133</v>
      </c>
      <c r="C151" s="91">
        <v>0</v>
      </c>
      <c r="D151" s="91">
        <v>6145354.7999999998</v>
      </c>
      <c r="E151" s="91">
        <v>4577958.767</v>
      </c>
      <c r="F151" s="91">
        <v>1567396.0330000001</v>
      </c>
      <c r="G151" t="str">
        <f>_xlfn.XLOOKUP($A151,Map!$A:$A,Map!C:C)</f>
        <v>IS</v>
      </c>
      <c r="H151" t="str">
        <f>_xlfn.XLOOKUP($A151,Map!$A:$A,Map!D:D)</f>
        <v>Cost of sales</v>
      </c>
      <c r="I151" t="str">
        <f>_xlfn.XLOOKUP($A151,Map!$A:$A,Map!E:E)</f>
        <v>Raw materials</v>
      </c>
      <c r="J151" t="str">
        <f>_xlfn.XLOOKUP($A151,Map!$A:$A,Map!F:F)</f>
        <v>Raw materials</v>
      </c>
    </row>
    <row r="152" spans="1:10" hidden="1" x14ac:dyDescent="0.25">
      <c r="A152" s="90">
        <v>520039</v>
      </c>
      <c r="B152" s="90" t="s">
        <v>492</v>
      </c>
      <c r="C152" s="91">
        <v>0</v>
      </c>
      <c r="D152" s="91">
        <v>0</v>
      </c>
      <c r="E152" s="91">
        <v>44270.525999999998</v>
      </c>
      <c r="F152" s="91">
        <v>-44270.525999999998</v>
      </c>
      <c r="G152" t="str">
        <f>_xlfn.XLOOKUP($A152,Map!$A:$A,Map!C:C)</f>
        <v>IS</v>
      </c>
      <c r="H152" t="str">
        <f>_xlfn.XLOOKUP($A152,Map!$A:$A,Map!D:D)</f>
        <v>Cost of sales</v>
      </c>
      <c r="I152" t="str">
        <f>_xlfn.XLOOKUP($A152,Map!$A:$A,Map!E:E)</f>
        <v>Direct Labor</v>
      </c>
      <c r="J152" t="str">
        <f>_xlfn.XLOOKUP($A152,Map!$A:$A,Map!F:F)</f>
        <v>Salaries and wages</v>
      </c>
    </row>
    <row r="153" spans="1:10" hidden="1" x14ac:dyDescent="0.25">
      <c r="A153" s="90">
        <v>520040</v>
      </c>
      <c r="B153" s="90" t="s">
        <v>134</v>
      </c>
      <c r="C153" s="91">
        <v>0</v>
      </c>
      <c r="D153" s="91">
        <v>310.98599999999999</v>
      </c>
      <c r="E153" s="91">
        <v>643.77499999999998</v>
      </c>
      <c r="F153" s="91">
        <v>-332.78899999999999</v>
      </c>
      <c r="G153" t="str">
        <f>_xlfn.XLOOKUP($A153,Map!$A:$A,Map!C:C)</f>
        <v>IS</v>
      </c>
      <c r="H153" t="str">
        <f>_xlfn.XLOOKUP($A153,Map!$A:$A,Map!D:D)</f>
        <v>Cost of sales</v>
      </c>
      <c r="I153" t="str">
        <f>_xlfn.XLOOKUP($A153,Map!$A:$A,Map!E:E)</f>
        <v>Raw materials</v>
      </c>
      <c r="J153" t="str">
        <f>_xlfn.XLOOKUP($A153,Map!$A:$A,Map!F:F)</f>
        <v>Other expenses</v>
      </c>
    </row>
    <row r="154" spans="1:10" hidden="1" x14ac:dyDescent="0.25">
      <c r="A154" s="90">
        <v>520041</v>
      </c>
      <c r="B154" s="90" t="s">
        <v>135</v>
      </c>
      <c r="C154" s="91">
        <v>0</v>
      </c>
      <c r="D154" s="91">
        <v>265207.28399999999</v>
      </c>
      <c r="E154" s="91">
        <v>20266290.864</v>
      </c>
      <c r="F154" s="91">
        <v>-20001083.579999998</v>
      </c>
      <c r="G154" t="str">
        <f>_xlfn.XLOOKUP($A154,Map!$A:$A,Map!C:C)</f>
        <v>IS</v>
      </c>
      <c r="H154" t="str">
        <f>_xlfn.XLOOKUP($A154,Map!$A:$A,Map!D:D)</f>
        <v>Cost of sales</v>
      </c>
      <c r="I154" t="str">
        <f>_xlfn.XLOOKUP($A154,Map!$A:$A,Map!E:E)</f>
        <v>Raw materials</v>
      </c>
      <c r="J154" t="str">
        <f>_xlfn.XLOOKUP($A154,Map!$A:$A,Map!F:F)</f>
        <v>Other expenses</v>
      </c>
    </row>
    <row r="155" spans="1:10" hidden="1" x14ac:dyDescent="0.25">
      <c r="A155" s="90">
        <v>520042</v>
      </c>
      <c r="B155" s="90" t="s">
        <v>136</v>
      </c>
      <c r="C155" s="91">
        <v>0</v>
      </c>
      <c r="D155" s="91">
        <v>7122845.2060000002</v>
      </c>
      <c r="E155" s="91">
        <v>10140207.126</v>
      </c>
      <c r="F155" s="91">
        <v>-3017361.92</v>
      </c>
      <c r="G155" t="str">
        <f>_xlfn.XLOOKUP($A155,Map!$A:$A,Map!C:C)</f>
        <v>IS</v>
      </c>
      <c r="H155" t="str">
        <f>_xlfn.XLOOKUP($A155,Map!$A:$A,Map!D:D)</f>
        <v>Cost of sales</v>
      </c>
      <c r="I155" t="str">
        <f>_xlfn.XLOOKUP($A155,Map!$A:$A,Map!E:E)</f>
        <v>Raw materials</v>
      </c>
      <c r="J155" t="str">
        <f>_xlfn.XLOOKUP($A155,Map!$A:$A,Map!F:F)</f>
        <v>Inventory Adjustment</v>
      </c>
    </row>
    <row r="156" spans="1:10" hidden="1" x14ac:dyDescent="0.25">
      <c r="A156" s="90">
        <v>520043</v>
      </c>
      <c r="B156" s="90" t="s">
        <v>490</v>
      </c>
      <c r="C156" s="91">
        <v>0</v>
      </c>
      <c r="D156" s="91">
        <v>17700</v>
      </c>
      <c r="E156" s="91">
        <v>0</v>
      </c>
      <c r="F156" s="91">
        <v>17700</v>
      </c>
      <c r="G156" t="str">
        <f>_xlfn.XLOOKUP($A156,Map!$A:$A,Map!C:C)</f>
        <v>IS</v>
      </c>
      <c r="H156" t="str">
        <f>_xlfn.XLOOKUP($A156,Map!$A:$A,Map!D:D)</f>
        <v>Cost of sales</v>
      </c>
      <c r="I156" t="str">
        <f>_xlfn.XLOOKUP($A156,Map!$A:$A,Map!E:E)</f>
        <v>Direct Labor</v>
      </c>
      <c r="J156" t="str">
        <f>_xlfn.XLOOKUP($A156,Map!$A:$A,Map!F:F)</f>
        <v>Salaries and wages</v>
      </c>
    </row>
    <row r="157" spans="1:10" hidden="1" x14ac:dyDescent="0.25">
      <c r="A157" s="90">
        <v>520044</v>
      </c>
      <c r="B157" s="90" t="s">
        <v>493</v>
      </c>
      <c r="C157" s="91">
        <v>0</v>
      </c>
      <c r="D157" s="91">
        <v>5927147.3119999999</v>
      </c>
      <c r="E157" s="91">
        <v>294135.05099999998</v>
      </c>
      <c r="F157" s="91">
        <v>5633012.2609999999</v>
      </c>
      <c r="G157" t="str">
        <f>_xlfn.XLOOKUP($A157,Map!$A:$A,Map!C:C)</f>
        <v>IS</v>
      </c>
      <c r="H157" t="str">
        <f>_xlfn.XLOOKUP($A157,Map!$A:$A,Map!D:D)</f>
        <v>Cost of sales</v>
      </c>
      <c r="I157" t="str">
        <f>_xlfn.XLOOKUP($A157,Map!$A:$A,Map!E:E)</f>
        <v>Direct Labor</v>
      </c>
      <c r="J157" t="str">
        <f>_xlfn.XLOOKUP($A157,Map!$A:$A,Map!F:F)</f>
        <v>Salaries and wages</v>
      </c>
    </row>
    <row r="158" spans="1:10" hidden="1" x14ac:dyDescent="0.25">
      <c r="A158" s="90">
        <v>600001</v>
      </c>
      <c r="B158" s="90" t="s">
        <v>137</v>
      </c>
      <c r="C158" s="91">
        <v>0</v>
      </c>
      <c r="D158" s="91">
        <v>927299.97</v>
      </c>
      <c r="E158" s="91">
        <v>161005.9</v>
      </c>
      <c r="F158" s="91">
        <v>766294.07</v>
      </c>
      <c r="G158" t="str">
        <f>_xlfn.XLOOKUP($A158,Map!$A:$A,Map!C:C)</f>
        <v>IS</v>
      </c>
      <c r="H158" t="str">
        <f>_xlfn.XLOOKUP($A158,Map!$A:$A,Map!D:D)</f>
        <v>Cost of sales</v>
      </c>
      <c r="I158" t="str">
        <f>_xlfn.XLOOKUP($A158,Map!$A:$A,Map!E:E)</f>
        <v>Overhead - Labor Cost</v>
      </c>
      <c r="J158" t="str">
        <f>_xlfn.XLOOKUP($A158,Map!$A:$A,Map!F:F)</f>
        <v>Salaries and wages</v>
      </c>
    </row>
    <row r="159" spans="1:10" hidden="1" x14ac:dyDescent="0.25">
      <c r="A159" s="90">
        <v>600002</v>
      </c>
      <c r="B159" s="90" t="s">
        <v>138</v>
      </c>
      <c r="C159" s="91">
        <v>0</v>
      </c>
      <c r="D159" s="91">
        <v>516747.24</v>
      </c>
      <c r="E159" s="91">
        <v>0</v>
      </c>
      <c r="F159" s="91">
        <v>516747.24</v>
      </c>
      <c r="G159" t="str">
        <f>_xlfn.XLOOKUP($A159,Map!$A:$A,Map!C:C)</f>
        <v>IS</v>
      </c>
      <c r="H159" t="str">
        <f>_xlfn.XLOOKUP($A159,Map!$A:$A,Map!D:D)</f>
        <v>Cost of sales</v>
      </c>
      <c r="I159" t="str">
        <f>_xlfn.XLOOKUP($A159,Map!$A:$A,Map!E:E)</f>
        <v>Overhead - Labor Cost</v>
      </c>
      <c r="J159" t="str">
        <f>_xlfn.XLOOKUP($A159,Map!$A:$A,Map!F:F)</f>
        <v>Overtime pay</v>
      </c>
    </row>
    <row r="160" spans="1:10" hidden="1" x14ac:dyDescent="0.25">
      <c r="A160" s="90">
        <v>600003</v>
      </c>
      <c r="B160" s="90" t="s">
        <v>139</v>
      </c>
      <c r="C160" s="91">
        <v>0</v>
      </c>
      <c r="D160" s="91">
        <v>247031</v>
      </c>
      <c r="E160" s="91">
        <v>98239.001999999993</v>
      </c>
      <c r="F160" s="91">
        <v>148791.99799999999</v>
      </c>
      <c r="G160" t="str">
        <f>_xlfn.XLOOKUP($A160,Map!$A:$A,Map!C:C)</f>
        <v>IS</v>
      </c>
      <c r="H160" t="str">
        <f>_xlfn.XLOOKUP($A160,Map!$A:$A,Map!D:D)</f>
        <v>Cost of sales</v>
      </c>
      <c r="I160" t="str">
        <f>_xlfn.XLOOKUP($A160,Map!$A:$A,Map!E:E)</f>
        <v>Overhead - Labor Cost</v>
      </c>
      <c r="J160" t="str">
        <f>_xlfn.XLOOKUP($A160,Map!$A:$A,Map!F:F)</f>
        <v xml:space="preserve">Food &amp; Housing </v>
      </c>
    </row>
    <row r="161" spans="1:10" hidden="1" x14ac:dyDescent="0.25">
      <c r="A161" s="90">
        <v>600004</v>
      </c>
      <c r="B161" s="90" t="s">
        <v>140</v>
      </c>
      <c r="C161" s="91">
        <v>0</v>
      </c>
      <c r="D161" s="91">
        <v>156870.42800000001</v>
      </c>
      <c r="E161" s="91">
        <v>25088.33</v>
      </c>
      <c r="F161" s="91">
        <v>131782.098</v>
      </c>
      <c r="G161" t="str">
        <f>_xlfn.XLOOKUP($A161,Map!$A:$A,Map!C:C)</f>
        <v>IS</v>
      </c>
      <c r="H161" t="str">
        <f>_xlfn.XLOOKUP($A161,Map!$A:$A,Map!D:D)</f>
        <v>Cost of sales</v>
      </c>
      <c r="I161" t="str">
        <f>_xlfn.XLOOKUP($A161,Map!$A:$A,Map!E:E)</f>
        <v>Overhead - Labor Cost</v>
      </c>
      <c r="J161" t="str">
        <f>_xlfn.XLOOKUP($A161,Map!$A:$A,Map!F:F)</f>
        <v>Medical insurance</v>
      </c>
    </row>
    <row r="162" spans="1:10" hidden="1" x14ac:dyDescent="0.25">
      <c r="A162" s="90">
        <v>600005</v>
      </c>
      <c r="B162" s="90" t="s">
        <v>141</v>
      </c>
      <c r="C162" s="91">
        <v>0</v>
      </c>
      <c r="D162" s="91">
        <v>103739.48</v>
      </c>
      <c r="E162" s="91">
        <v>2000</v>
      </c>
      <c r="F162" s="91">
        <v>101739.48</v>
      </c>
      <c r="G162" t="str">
        <f>_xlfn.XLOOKUP($A162,Map!$A:$A,Map!C:C)</f>
        <v>IS</v>
      </c>
      <c r="H162" t="str">
        <f>_xlfn.XLOOKUP($A162,Map!$A:$A,Map!D:D)</f>
        <v>General and Admin</v>
      </c>
      <c r="I162" t="str">
        <f>_xlfn.XLOOKUP($A162,Map!$A:$A,Map!E:E)</f>
        <v>Govt license and fees (including modon)</v>
      </c>
      <c r="J162" t="str">
        <f>_xlfn.XLOOKUP($A162,Map!$A:$A,Map!F:F)</f>
        <v>Government fees</v>
      </c>
    </row>
    <row r="163" spans="1:10" hidden="1" x14ac:dyDescent="0.25">
      <c r="A163" s="90">
        <v>600006</v>
      </c>
      <c r="B163" s="90" t="s">
        <v>142</v>
      </c>
      <c r="C163" s="91">
        <v>0</v>
      </c>
      <c r="D163" s="91">
        <v>429924.09700000001</v>
      </c>
      <c r="E163" s="91">
        <v>62154</v>
      </c>
      <c r="F163" s="91">
        <v>367770.09700000001</v>
      </c>
      <c r="G163" t="str">
        <f>_xlfn.XLOOKUP($A163,Map!$A:$A,Map!C:C)</f>
        <v>IS</v>
      </c>
      <c r="H163" t="str">
        <f>_xlfn.XLOOKUP($A163,Map!$A:$A,Map!D:D)</f>
        <v>Cost of sales</v>
      </c>
      <c r="I163" t="str">
        <f>_xlfn.XLOOKUP($A163,Map!$A:$A,Map!E:E)</f>
        <v>Overhead - Labor Cost</v>
      </c>
      <c r="J163" t="str">
        <f>_xlfn.XLOOKUP($A163,Map!$A:$A,Map!F:F)</f>
        <v xml:space="preserve">Food &amp; Housing </v>
      </c>
    </row>
    <row r="164" spans="1:10" hidden="1" x14ac:dyDescent="0.25">
      <c r="A164" s="90">
        <v>600007</v>
      </c>
      <c r="B164" s="90" t="s">
        <v>143</v>
      </c>
      <c r="C164" s="91">
        <v>0</v>
      </c>
      <c r="D164" s="91">
        <v>48184.9</v>
      </c>
      <c r="E164" s="91">
        <v>4800</v>
      </c>
      <c r="F164" s="91">
        <v>43384.9</v>
      </c>
      <c r="G164" t="str">
        <f>_xlfn.XLOOKUP($A164,Map!$A:$A,Map!C:C)</f>
        <v>IS</v>
      </c>
      <c r="H164" t="str">
        <f>_xlfn.XLOOKUP($A164,Map!$A:$A,Map!D:D)</f>
        <v>Cost of sales</v>
      </c>
      <c r="I164" t="str">
        <f>_xlfn.XLOOKUP($A164,Map!$A:$A,Map!E:E)</f>
        <v>Overhead - Labor Cost</v>
      </c>
      <c r="J164" t="str">
        <f>_xlfn.XLOOKUP($A164,Map!$A:$A,Map!F:F)</f>
        <v>Transportation allowance</v>
      </c>
    </row>
    <row r="165" spans="1:10" hidden="1" x14ac:dyDescent="0.25">
      <c r="A165" s="90">
        <v>600008</v>
      </c>
      <c r="B165" s="90" t="s">
        <v>144</v>
      </c>
      <c r="C165" s="91">
        <v>0</v>
      </c>
      <c r="D165" s="91">
        <v>406099.755</v>
      </c>
      <c r="E165" s="91">
        <v>22695.5</v>
      </c>
      <c r="F165" s="91">
        <v>383404.255</v>
      </c>
      <c r="G165" t="str">
        <f>_xlfn.XLOOKUP($A165,Map!$A:$A,Map!C:C)</f>
        <v>IS</v>
      </c>
      <c r="H165" t="str">
        <f>_xlfn.XLOOKUP($A165,Map!$A:$A,Map!D:D)</f>
        <v>Cost of sales</v>
      </c>
      <c r="I165" t="str">
        <f>_xlfn.XLOOKUP($A165,Map!$A:$A,Map!E:E)</f>
        <v>Overhead - Labor Cost</v>
      </c>
      <c r="J165" t="str">
        <f>_xlfn.XLOOKUP($A165,Map!$A:$A,Map!F:F)</f>
        <v>Air tickets</v>
      </c>
    </row>
    <row r="166" spans="1:10" hidden="1" x14ac:dyDescent="0.25">
      <c r="A166" s="90">
        <v>600009</v>
      </c>
      <c r="B166" s="90" t="s">
        <v>145</v>
      </c>
      <c r="C166" s="91">
        <v>0</v>
      </c>
      <c r="D166" s="91">
        <v>170682.304</v>
      </c>
      <c r="E166" s="91">
        <v>51395.49</v>
      </c>
      <c r="F166" s="91">
        <v>119286.814</v>
      </c>
      <c r="G166" t="str">
        <f>_xlfn.XLOOKUP($A166,Map!$A:$A,Map!C:C)</f>
        <v>IS</v>
      </c>
      <c r="H166" t="str">
        <f>_xlfn.XLOOKUP($A166,Map!$A:$A,Map!D:D)</f>
        <v>Cost of sales</v>
      </c>
      <c r="I166" t="str">
        <f>_xlfn.XLOOKUP($A166,Map!$A:$A,Map!E:E)</f>
        <v>Overhead - Labor Cost</v>
      </c>
      <c r="J166" t="str">
        <f>_xlfn.XLOOKUP($A166,Map!$A:$A,Map!F:F)</f>
        <v>Vacation pay</v>
      </c>
    </row>
    <row r="167" spans="1:10" hidden="1" x14ac:dyDescent="0.25">
      <c r="A167" s="90">
        <v>600010</v>
      </c>
      <c r="B167" s="90" t="s">
        <v>146</v>
      </c>
      <c r="C167" s="91">
        <v>0</v>
      </c>
      <c r="D167" s="91">
        <v>39416</v>
      </c>
      <c r="E167" s="91">
        <v>0</v>
      </c>
      <c r="F167" s="91">
        <v>39416</v>
      </c>
      <c r="G167" t="str">
        <f>_xlfn.XLOOKUP($A167,Map!$A:$A,Map!C:C)</f>
        <v>IS</v>
      </c>
      <c r="H167" t="str">
        <f>_xlfn.XLOOKUP($A167,Map!$A:$A,Map!D:D)</f>
        <v>Cost of sales</v>
      </c>
      <c r="I167" t="str">
        <f>_xlfn.XLOOKUP($A167,Map!$A:$A,Map!E:E)</f>
        <v>Overhead - Labor Cost</v>
      </c>
      <c r="J167" t="str">
        <f>_xlfn.XLOOKUP($A167,Map!$A:$A,Map!F:F)</f>
        <v>EOS expenses</v>
      </c>
    </row>
    <row r="168" spans="1:10" hidden="1" x14ac:dyDescent="0.25">
      <c r="A168" s="90">
        <v>600011</v>
      </c>
      <c r="B168" s="90" t="s">
        <v>147</v>
      </c>
      <c r="C168" s="91">
        <v>0</v>
      </c>
      <c r="D168" s="91">
        <v>1570.8330000000001</v>
      </c>
      <c r="E168" s="91">
        <v>0</v>
      </c>
      <c r="F168" s="91">
        <v>1570.8330000000001</v>
      </c>
      <c r="G168" t="str">
        <f>_xlfn.XLOOKUP($A168,Map!$A:$A,Map!C:C)</f>
        <v>IS</v>
      </c>
      <c r="H168" t="str">
        <f>_xlfn.XLOOKUP($A168,Map!$A:$A,Map!D:D)</f>
        <v>Cost of sales</v>
      </c>
      <c r="I168" t="str">
        <f>_xlfn.XLOOKUP($A168,Map!$A:$A,Map!E:E)</f>
        <v>Overhead - Labor Cost</v>
      </c>
      <c r="J168" t="str">
        <f>_xlfn.XLOOKUP($A168,Map!$A:$A,Map!F:F)</f>
        <v>Air tickets</v>
      </c>
    </row>
    <row r="169" spans="1:10" hidden="1" x14ac:dyDescent="0.25">
      <c r="A169" s="90">
        <v>600012</v>
      </c>
      <c r="B169" s="90" t="s">
        <v>148</v>
      </c>
      <c r="C169" s="91">
        <v>0</v>
      </c>
      <c r="D169" s="91">
        <v>24620</v>
      </c>
      <c r="E169" s="91">
        <v>2084</v>
      </c>
      <c r="F169" s="91">
        <v>22536</v>
      </c>
      <c r="G169" t="str">
        <f>_xlfn.XLOOKUP($A169,Map!$A:$A,Map!C:C)</f>
        <v>IS</v>
      </c>
      <c r="H169" t="str">
        <f>_xlfn.XLOOKUP($A169,Map!$A:$A,Map!D:D)</f>
        <v>Cost of sales</v>
      </c>
      <c r="I169" t="str">
        <f>_xlfn.XLOOKUP($A169,Map!$A:$A,Map!E:E)</f>
        <v>Overhead - Labor Cost</v>
      </c>
      <c r="J169" t="str">
        <f>_xlfn.XLOOKUP($A169,Map!$A:$A,Map!F:F)</f>
        <v xml:space="preserve">Education &amp; Furniture Allowances </v>
      </c>
    </row>
    <row r="170" spans="1:10" hidden="1" x14ac:dyDescent="0.25">
      <c r="A170" s="90">
        <v>600013</v>
      </c>
      <c r="B170" s="90" t="s">
        <v>149</v>
      </c>
      <c r="C170" s="91">
        <v>0</v>
      </c>
      <c r="D170" s="91">
        <v>10500</v>
      </c>
      <c r="E170" s="91">
        <v>0</v>
      </c>
      <c r="F170" s="91">
        <v>10500</v>
      </c>
      <c r="G170" t="str">
        <f>_xlfn.XLOOKUP($A170,Map!$A:$A,Map!C:C)</f>
        <v>IS</v>
      </c>
      <c r="H170" t="str">
        <f>_xlfn.XLOOKUP($A170,Map!$A:$A,Map!D:D)</f>
        <v>Cost of sales</v>
      </c>
      <c r="I170" t="str">
        <f>_xlfn.XLOOKUP($A170,Map!$A:$A,Map!E:E)</f>
        <v>Overhead - Labor Cost</v>
      </c>
      <c r="J170" t="str">
        <f>_xlfn.XLOOKUP($A170,Map!$A:$A,Map!F:F)</f>
        <v>Telephone allowance</v>
      </c>
    </row>
    <row r="171" spans="1:10" hidden="1" x14ac:dyDescent="0.25">
      <c r="A171" s="90">
        <v>600014</v>
      </c>
      <c r="B171" s="90" t="s">
        <v>60</v>
      </c>
      <c r="C171" s="91">
        <v>0</v>
      </c>
      <c r="D171" s="91">
        <v>1875195.3759999999</v>
      </c>
      <c r="E171" s="91">
        <v>87541.774999999994</v>
      </c>
      <c r="F171" s="91">
        <v>1787653.601</v>
      </c>
      <c r="G171" t="str">
        <f>_xlfn.XLOOKUP($A171,Map!$A:$A,Map!C:C)</f>
        <v>IS</v>
      </c>
      <c r="H171" t="str">
        <f>_xlfn.XLOOKUP($A171,Map!$A:$A,Map!D:D)</f>
        <v>Cost of sales</v>
      </c>
      <c r="I171" t="str">
        <f>_xlfn.XLOOKUP($A171,Map!$A:$A,Map!E:E)</f>
        <v>Overhead - Consumables &amp; SP</v>
      </c>
      <c r="J171" t="str">
        <f>_xlfn.XLOOKUP($A171,Map!$A:$A,Map!F:F)</f>
        <v>Consumables</v>
      </c>
    </row>
    <row r="172" spans="1:10" hidden="1" x14ac:dyDescent="0.25">
      <c r="A172" s="90">
        <v>600015</v>
      </c>
      <c r="B172" s="90" t="s">
        <v>150</v>
      </c>
      <c r="C172" s="91">
        <v>0</v>
      </c>
      <c r="D172" s="91">
        <v>0</v>
      </c>
      <c r="E172" s="91">
        <v>0</v>
      </c>
      <c r="F172" s="91">
        <v>0</v>
      </c>
      <c r="G172" t="str">
        <f>_xlfn.XLOOKUP($A172,Map!$A:$A,Map!C:C)</f>
        <v>IS</v>
      </c>
      <c r="H172" t="str">
        <f>_xlfn.XLOOKUP($A172,Map!$A:$A,Map!D:D)</f>
        <v>Cost of sales</v>
      </c>
      <c r="I172" t="str">
        <f>_xlfn.XLOOKUP($A172,Map!$A:$A,Map!E:E)</f>
        <v>Overhead - Consumables &amp; SP</v>
      </c>
      <c r="J172" t="str">
        <f>_xlfn.XLOOKUP($A172,Map!$A:$A,Map!F:F)</f>
        <v>Consumables</v>
      </c>
    </row>
    <row r="173" spans="1:10" hidden="1" x14ac:dyDescent="0.25">
      <c r="A173" s="90">
        <v>600016</v>
      </c>
      <c r="B173" s="90" t="s">
        <v>151</v>
      </c>
      <c r="C173" s="91">
        <v>0</v>
      </c>
      <c r="D173" s="91">
        <v>102208.636</v>
      </c>
      <c r="E173" s="91">
        <v>16431.106</v>
      </c>
      <c r="F173" s="91">
        <v>85777.53</v>
      </c>
      <c r="G173" t="str">
        <f>_xlfn.XLOOKUP($A173,Map!$A:$A,Map!C:C)</f>
        <v>IS</v>
      </c>
      <c r="H173" t="str">
        <f>_xlfn.XLOOKUP($A173,Map!$A:$A,Map!D:D)</f>
        <v>Cost of sales</v>
      </c>
      <c r="I173" t="str">
        <f>_xlfn.XLOOKUP($A173,Map!$A:$A,Map!E:E)</f>
        <v>Overhead - Consumables &amp; SP</v>
      </c>
      <c r="J173" t="str">
        <f>_xlfn.XLOOKUP($A173,Map!$A:$A,Map!F:F)</f>
        <v>Tools</v>
      </c>
    </row>
    <row r="174" spans="1:10" hidden="1" x14ac:dyDescent="0.25">
      <c r="A174" s="90">
        <v>600017</v>
      </c>
      <c r="B174" s="90" t="s">
        <v>152</v>
      </c>
      <c r="C174" s="91">
        <v>0</v>
      </c>
      <c r="D174" s="91">
        <v>2698879.15</v>
      </c>
      <c r="E174" s="91">
        <v>138402</v>
      </c>
      <c r="F174" s="91">
        <v>2560477.15</v>
      </c>
      <c r="G174" t="str">
        <f>_xlfn.XLOOKUP($A174,Map!$A:$A,Map!C:C)</f>
        <v>IS</v>
      </c>
      <c r="H174" t="str">
        <f>_xlfn.XLOOKUP($A174,Map!$A:$A,Map!D:D)</f>
        <v>Cost of sales</v>
      </c>
      <c r="I174" t="str">
        <f>_xlfn.XLOOKUP($A174,Map!$A:$A,Map!E:E)</f>
        <v>Overhead - Utility</v>
      </c>
      <c r="J174" t="str">
        <f>_xlfn.XLOOKUP($A174,Map!$A:$A,Map!F:F)</f>
        <v>Electricity expenses</v>
      </c>
    </row>
    <row r="175" spans="1:10" hidden="1" x14ac:dyDescent="0.25">
      <c r="A175" s="90">
        <v>600018</v>
      </c>
      <c r="B175" s="90" t="s">
        <v>153</v>
      </c>
      <c r="C175" s="91">
        <v>0</v>
      </c>
      <c r="D175" s="91">
        <v>276003.04399999999</v>
      </c>
      <c r="E175" s="91">
        <v>31820</v>
      </c>
      <c r="F175" s="91">
        <v>244183.04399999999</v>
      </c>
      <c r="G175" t="str">
        <f>_xlfn.XLOOKUP($A175,Map!$A:$A,Map!C:C)</f>
        <v>IS</v>
      </c>
      <c r="H175" t="str">
        <f>_xlfn.XLOOKUP($A175,Map!$A:$A,Map!D:D)</f>
        <v>Cost of sales</v>
      </c>
      <c r="I175" t="str">
        <f>_xlfn.XLOOKUP($A175,Map!$A:$A,Map!E:E)</f>
        <v>Overhead - Utility</v>
      </c>
      <c r="J175" t="str">
        <f>_xlfn.XLOOKUP($A175,Map!$A:$A,Map!F:F)</f>
        <v>Water expenses</v>
      </c>
    </row>
    <row r="176" spans="1:10" hidden="1" x14ac:dyDescent="0.25">
      <c r="A176" s="90">
        <v>600019</v>
      </c>
      <c r="B176" s="90" t="s">
        <v>154</v>
      </c>
      <c r="C176" s="91">
        <v>0</v>
      </c>
      <c r="D176" s="91">
        <v>76656.383000000002</v>
      </c>
      <c r="E176" s="91">
        <v>6.0000000000000001E-3</v>
      </c>
      <c r="F176" s="91">
        <v>76656.376999999993</v>
      </c>
      <c r="G176" t="str">
        <f>_xlfn.XLOOKUP($A176,Map!$A:$A,Map!C:C)</f>
        <v>IS</v>
      </c>
      <c r="H176" t="str">
        <f>_xlfn.XLOOKUP($A176,Map!$A:$A,Map!D:D)</f>
        <v>Cost of sales</v>
      </c>
      <c r="I176" t="str">
        <f>_xlfn.XLOOKUP($A176,Map!$A:$A,Map!E:E)</f>
        <v>Overhead - Utility</v>
      </c>
      <c r="J176" t="str">
        <f>_xlfn.XLOOKUP($A176,Map!$A:$A,Map!F:F)</f>
        <v>Fuel and oil</v>
      </c>
    </row>
    <row r="177" spans="1:10" hidden="1" x14ac:dyDescent="0.25">
      <c r="A177" s="90">
        <v>600020</v>
      </c>
      <c r="B177" s="90" t="s">
        <v>155</v>
      </c>
      <c r="C177" s="91">
        <v>0</v>
      </c>
      <c r="D177" s="91">
        <v>7249814.5789999999</v>
      </c>
      <c r="E177" s="91">
        <v>23403.323</v>
      </c>
      <c r="F177" s="91">
        <v>7226411.2560000001</v>
      </c>
      <c r="G177" t="str">
        <f>_xlfn.XLOOKUP($A177,Map!$A:$A,Map!C:C)</f>
        <v>IS</v>
      </c>
      <c r="H177" t="str">
        <f>_xlfn.XLOOKUP($A177,Map!$A:$A,Map!D:D)</f>
        <v>Cost of sales</v>
      </c>
      <c r="I177" t="str">
        <f>_xlfn.XLOOKUP($A177,Map!$A:$A,Map!E:E)</f>
        <v>Overhead - R&amp;M</v>
      </c>
      <c r="J177" t="str">
        <f>_xlfn.XLOOKUP($A177,Map!$A:$A,Map!F:F)</f>
        <v>Machine and equipment</v>
      </c>
    </row>
    <row r="178" spans="1:10" hidden="1" x14ac:dyDescent="0.25">
      <c r="A178" s="90">
        <v>600021</v>
      </c>
      <c r="B178" s="90" t="s">
        <v>156</v>
      </c>
      <c r="C178" s="91">
        <v>0</v>
      </c>
      <c r="D178" s="91">
        <v>35160.987000000001</v>
      </c>
      <c r="E178" s="91">
        <v>0</v>
      </c>
      <c r="F178" s="91">
        <v>35160.987000000001</v>
      </c>
      <c r="G178" t="str">
        <f>_xlfn.XLOOKUP($A178,Map!$A:$A,Map!C:C)</f>
        <v>IS</v>
      </c>
      <c r="H178" t="str">
        <f>_xlfn.XLOOKUP($A178,Map!$A:$A,Map!D:D)</f>
        <v>Cost of sales</v>
      </c>
      <c r="I178" t="str">
        <f>_xlfn.XLOOKUP($A178,Map!$A:$A,Map!E:E)</f>
        <v>Overhead - R&amp;M</v>
      </c>
      <c r="J178" t="str">
        <f>_xlfn.XLOOKUP($A178,Map!$A:$A,Map!F:F)</f>
        <v>Vehicle maintenance</v>
      </c>
    </row>
    <row r="179" spans="1:10" hidden="1" x14ac:dyDescent="0.25">
      <c r="A179" s="90">
        <v>600022</v>
      </c>
      <c r="B179" s="90" t="s">
        <v>157</v>
      </c>
      <c r="C179" s="91">
        <v>0</v>
      </c>
      <c r="D179" s="91">
        <v>2680</v>
      </c>
      <c r="E179" s="91">
        <v>0</v>
      </c>
      <c r="F179" s="91">
        <v>2680</v>
      </c>
      <c r="G179" t="str">
        <f>_xlfn.XLOOKUP($A179,Map!$A:$A,Map!C:C)</f>
        <v>IS</v>
      </c>
      <c r="H179" t="str">
        <f>_xlfn.XLOOKUP($A179,Map!$A:$A,Map!D:D)</f>
        <v>Cost of sales</v>
      </c>
      <c r="I179" t="str">
        <f>_xlfn.XLOOKUP($A179,Map!$A:$A,Map!E:E)</f>
        <v>Overhead - R&amp;M</v>
      </c>
      <c r="J179" t="str">
        <f>_xlfn.XLOOKUP($A179,Map!$A:$A,Map!F:F)</f>
        <v>Building maintenance</v>
      </c>
    </row>
    <row r="180" spans="1:10" hidden="1" x14ac:dyDescent="0.25">
      <c r="A180" s="90">
        <v>600023</v>
      </c>
      <c r="B180" s="90" t="s">
        <v>158</v>
      </c>
      <c r="C180" s="91">
        <v>0</v>
      </c>
      <c r="D180" s="91">
        <v>0</v>
      </c>
      <c r="E180" s="91">
        <v>0</v>
      </c>
      <c r="F180" s="91">
        <v>0</v>
      </c>
      <c r="G180" t="str">
        <f>_xlfn.XLOOKUP($A180,Map!$A:$A,Map!C:C)</f>
        <v>IS</v>
      </c>
      <c r="H180" t="str">
        <f>_xlfn.XLOOKUP($A180,Map!$A:$A,Map!D:D)</f>
        <v>Cost of sales</v>
      </c>
      <c r="I180" t="str">
        <f>_xlfn.XLOOKUP($A180,Map!$A:$A,Map!E:E)</f>
        <v>Overhead - R&amp;M</v>
      </c>
      <c r="J180" t="str">
        <f>_xlfn.XLOOKUP($A180,Map!$A:$A,Map!F:F)</f>
        <v>Office equipment maintenance</v>
      </c>
    </row>
    <row r="181" spans="1:10" hidden="1" x14ac:dyDescent="0.25">
      <c r="A181" s="90">
        <v>600024</v>
      </c>
      <c r="B181" s="90" t="s">
        <v>159</v>
      </c>
      <c r="C181" s="91">
        <v>0</v>
      </c>
      <c r="D181" s="91">
        <v>0</v>
      </c>
      <c r="E181" s="91">
        <v>0</v>
      </c>
      <c r="F181" s="91">
        <v>0</v>
      </c>
      <c r="G181" t="str">
        <f>_xlfn.XLOOKUP($A181,Map!$A:$A,Map!C:C)</f>
        <v>IS</v>
      </c>
      <c r="H181" t="str">
        <f>_xlfn.XLOOKUP($A181,Map!$A:$A,Map!D:D)</f>
        <v>Cost of sales</v>
      </c>
      <c r="I181" t="str">
        <f>_xlfn.XLOOKUP($A181,Map!$A:$A,Map!E:E)</f>
        <v>Overhead - Rent</v>
      </c>
      <c r="J181" t="str">
        <f>_xlfn.XLOOKUP($A181,Map!$A:$A,Map!F:F)</f>
        <v>Pump rental expenses</v>
      </c>
    </row>
    <row r="182" spans="1:10" hidden="1" x14ac:dyDescent="0.25">
      <c r="A182" s="90">
        <v>600025</v>
      </c>
      <c r="B182" s="90" t="s">
        <v>160</v>
      </c>
      <c r="C182" s="91">
        <v>0</v>
      </c>
      <c r="D182" s="91">
        <v>0</v>
      </c>
      <c r="E182" s="91">
        <v>0</v>
      </c>
      <c r="F182" s="91">
        <v>0</v>
      </c>
      <c r="G182" t="str">
        <f>_xlfn.XLOOKUP($A182,Map!$A:$A,Map!C:C)</f>
        <v>IS</v>
      </c>
      <c r="H182" t="str">
        <f>_xlfn.XLOOKUP($A182,Map!$A:$A,Map!D:D)</f>
        <v>Cost of sales</v>
      </c>
      <c r="I182" t="str">
        <f>_xlfn.XLOOKUP($A182,Map!$A:$A,Map!E:E)</f>
        <v>Overhead - Insurance</v>
      </c>
      <c r="J182" t="str">
        <f>_xlfn.XLOOKUP($A182,Map!$A:$A,Map!F:F)</f>
        <v>Building insurance</v>
      </c>
    </row>
    <row r="183" spans="1:10" hidden="1" x14ac:dyDescent="0.25">
      <c r="A183" s="90">
        <v>600026</v>
      </c>
      <c r="B183" s="90" t="s">
        <v>161</v>
      </c>
      <c r="C183" s="91">
        <v>0</v>
      </c>
      <c r="D183" s="91">
        <v>0</v>
      </c>
      <c r="E183" s="91">
        <v>0</v>
      </c>
      <c r="F183" s="91">
        <v>0</v>
      </c>
      <c r="G183" t="str">
        <f>_xlfn.XLOOKUP($A183,Map!$A:$A,Map!C:C)</f>
        <v>IS</v>
      </c>
      <c r="H183" t="str">
        <f>_xlfn.XLOOKUP($A183,Map!$A:$A,Map!D:D)</f>
        <v>Cost of sales</v>
      </c>
      <c r="I183" t="str">
        <f>_xlfn.XLOOKUP($A183,Map!$A:$A,Map!E:E)</f>
        <v>Overhead - Insurance</v>
      </c>
      <c r="J183" t="str">
        <f>_xlfn.XLOOKUP($A183,Map!$A:$A,Map!F:F)</f>
        <v>Machine and equipment insurance</v>
      </c>
    </row>
    <row r="184" spans="1:10" hidden="1" x14ac:dyDescent="0.25">
      <c r="A184" s="90">
        <v>600027</v>
      </c>
      <c r="B184" s="90" t="s">
        <v>162</v>
      </c>
      <c r="C184" s="91">
        <v>0</v>
      </c>
      <c r="D184" s="91">
        <v>0</v>
      </c>
      <c r="E184" s="91">
        <v>0</v>
      </c>
      <c r="F184" s="91">
        <v>0</v>
      </c>
      <c r="G184" t="str">
        <f>_xlfn.XLOOKUP($A184,Map!$A:$A,Map!C:C)</f>
        <v>IS</v>
      </c>
      <c r="H184" t="str">
        <f>_xlfn.XLOOKUP($A184,Map!$A:$A,Map!D:D)</f>
        <v>Cost of sales</v>
      </c>
      <c r="I184" t="str">
        <f>_xlfn.XLOOKUP($A184,Map!$A:$A,Map!E:E)</f>
        <v>Overhead - Rent</v>
      </c>
      <c r="J184" t="str">
        <f>_xlfn.XLOOKUP($A184,Map!$A:$A,Map!F:F)</f>
        <v>Production hall rental</v>
      </c>
    </row>
    <row r="185" spans="1:10" hidden="1" x14ac:dyDescent="0.25">
      <c r="A185" s="90">
        <v>600028</v>
      </c>
      <c r="B185" s="90" t="s">
        <v>163</v>
      </c>
      <c r="C185" s="91">
        <v>0</v>
      </c>
      <c r="D185" s="91">
        <v>0</v>
      </c>
      <c r="E185" s="91">
        <v>0</v>
      </c>
      <c r="F185" s="91">
        <v>0</v>
      </c>
      <c r="G185" t="str">
        <f>_xlfn.XLOOKUP($A185,Map!$A:$A,Map!C:C)</f>
        <v>IS</v>
      </c>
      <c r="H185" t="str">
        <f>_xlfn.XLOOKUP($A185,Map!$A:$A,Map!D:D)</f>
        <v>Cost of sales</v>
      </c>
      <c r="I185" t="str">
        <f>_xlfn.XLOOKUP($A185,Map!$A:$A,Map!E:E)</f>
        <v>Overhead - Consumables &amp; SP</v>
      </c>
      <c r="J185" t="str">
        <f>_xlfn.XLOOKUP($A185,Map!$A:$A,Map!F:F)</f>
        <v xml:space="preserve">Education &amp; Furniture Allowances </v>
      </c>
    </row>
    <row r="186" spans="1:10" hidden="1" x14ac:dyDescent="0.25">
      <c r="A186" s="90">
        <v>600029</v>
      </c>
      <c r="B186" s="90" t="s">
        <v>164</v>
      </c>
      <c r="C186" s="91">
        <v>0</v>
      </c>
      <c r="D186" s="91">
        <v>7355690.534</v>
      </c>
      <c r="E186" s="91">
        <v>0</v>
      </c>
      <c r="F186" s="91">
        <v>7355690.534</v>
      </c>
      <c r="G186" t="str">
        <f>_xlfn.XLOOKUP($A186,Map!$A:$A,Map!C:C)</f>
        <v>IS</v>
      </c>
      <c r="H186" t="str">
        <f>_xlfn.XLOOKUP($A186,Map!$A:$A,Map!D:D)</f>
        <v>Cost of sales</v>
      </c>
      <c r="I186" t="str">
        <f>_xlfn.XLOOKUP($A186,Map!$A:$A,Map!E:E)</f>
        <v>Depreciation - Machines</v>
      </c>
      <c r="J186" t="str">
        <f>_xlfn.XLOOKUP($A186,Map!$A:$A,Map!F:F)</f>
        <v>Depreciation of property, plant and equipment</v>
      </c>
    </row>
    <row r="187" spans="1:10" hidden="1" x14ac:dyDescent="0.25">
      <c r="A187" s="90">
        <v>600030</v>
      </c>
      <c r="B187" s="90" t="s">
        <v>165</v>
      </c>
      <c r="C187" s="91">
        <v>0</v>
      </c>
      <c r="D187" s="91">
        <v>0</v>
      </c>
      <c r="E187" s="91">
        <v>0</v>
      </c>
      <c r="F187" s="91">
        <v>0</v>
      </c>
      <c r="G187" t="str">
        <f>_xlfn.XLOOKUP($A187,Map!$A:$A,Map!C:C)</f>
        <v>IS</v>
      </c>
      <c r="H187" t="str">
        <f>_xlfn.XLOOKUP($A187,Map!$A:$A,Map!D:D)</f>
        <v>Depreciation expenses</v>
      </c>
      <c r="I187" t="str">
        <f>_xlfn.XLOOKUP($A187,Map!$A:$A,Map!E:E)</f>
        <v>Depreciation expenses</v>
      </c>
      <c r="J187" t="str">
        <f>_xlfn.XLOOKUP($A187,Map!$A:$A,Map!F:F)</f>
        <v>Depreciation of property, plant and equipment</v>
      </c>
    </row>
    <row r="188" spans="1:10" hidden="1" x14ac:dyDescent="0.25">
      <c r="A188" s="90">
        <v>600031</v>
      </c>
      <c r="B188" s="90" t="s">
        <v>166</v>
      </c>
      <c r="C188" s="91">
        <v>0</v>
      </c>
      <c r="D188" s="91">
        <v>0</v>
      </c>
      <c r="E188" s="91">
        <v>0</v>
      </c>
      <c r="F188" s="91">
        <v>0</v>
      </c>
      <c r="G188" t="str">
        <f>_xlfn.XLOOKUP($A188,Map!$A:$A,Map!C:C)</f>
        <v>IS</v>
      </c>
      <c r="H188" t="str">
        <f>_xlfn.XLOOKUP($A188,Map!$A:$A,Map!D:D)</f>
        <v>Depreciation expenses</v>
      </c>
      <c r="I188" t="str">
        <f>_xlfn.XLOOKUP($A188,Map!$A:$A,Map!E:E)</f>
        <v>Depreciation expenses</v>
      </c>
      <c r="J188" t="str">
        <f>_xlfn.XLOOKUP($A188,Map!$A:$A,Map!F:F)</f>
        <v>Depreciation of property, plant and equipment</v>
      </c>
    </row>
    <row r="189" spans="1:10" hidden="1" x14ac:dyDescent="0.25">
      <c r="A189" s="90">
        <v>600032</v>
      </c>
      <c r="B189" s="90" t="s">
        <v>167</v>
      </c>
      <c r="C189" s="91">
        <v>0</v>
      </c>
      <c r="D189" s="91">
        <v>1592884.561</v>
      </c>
      <c r="E189" s="91">
        <v>0</v>
      </c>
      <c r="F189" s="91">
        <v>1592884.561</v>
      </c>
      <c r="G189" t="str">
        <f>_xlfn.XLOOKUP($A189,Map!$A:$A,Map!C:C)</f>
        <v>IS</v>
      </c>
      <c r="H189" t="str">
        <f>_xlfn.XLOOKUP($A189,Map!$A:$A,Map!D:D)</f>
        <v>Depreciation expenses</v>
      </c>
      <c r="I189" t="str">
        <f>_xlfn.XLOOKUP($A189,Map!$A:$A,Map!E:E)</f>
        <v>Depreciation expenses</v>
      </c>
      <c r="J189" t="str">
        <f>_xlfn.XLOOKUP($A189,Map!$A:$A,Map!F:F)</f>
        <v>Depreciation of property, plant and equipment</v>
      </c>
    </row>
    <row r="190" spans="1:10" hidden="1" x14ac:dyDescent="0.25">
      <c r="A190" s="90">
        <v>600033</v>
      </c>
      <c r="B190" s="90" t="s">
        <v>168</v>
      </c>
      <c r="C190" s="91">
        <v>0</v>
      </c>
      <c r="D190" s="91">
        <v>309351.69799999997</v>
      </c>
      <c r="E190" s="91">
        <v>0</v>
      </c>
      <c r="F190" s="91">
        <v>309351.69799999997</v>
      </c>
      <c r="G190" t="str">
        <f>_xlfn.XLOOKUP($A190,Map!$A:$A,Map!C:C)</f>
        <v>IS</v>
      </c>
      <c r="H190" t="str">
        <f>_xlfn.XLOOKUP($A190,Map!$A:$A,Map!D:D)</f>
        <v>Depreciation expenses</v>
      </c>
      <c r="I190" t="str">
        <f>_xlfn.XLOOKUP($A190,Map!$A:$A,Map!E:E)</f>
        <v>Depreciation expenses</v>
      </c>
      <c r="J190" t="str">
        <f>_xlfn.XLOOKUP($A190,Map!$A:$A,Map!F:F)</f>
        <v>Depreciation of property, plant and equipment</v>
      </c>
    </row>
    <row r="191" spans="1:10" hidden="1" x14ac:dyDescent="0.25">
      <c r="A191" s="90">
        <v>600034</v>
      </c>
      <c r="B191" s="90" t="s">
        <v>169</v>
      </c>
      <c r="C191" s="91">
        <v>0</v>
      </c>
      <c r="D191" s="91">
        <v>0</v>
      </c>
      <c r="E191" s="91">
        <v>0</v>
      </c>
      <c r="F191" s="91">
        <v>0</v>
      </c>
      <c r="G191" t="str">
        <f>_xlfn.XLOOKUP($A191,Map!$A:$A,Map!C:C)</f>
        <v>IS</v>
      </c>
      <c r="H191" t="str">
        <f>_xlfn.XLOOKUP($A191,Map!$A:$A,Map!D:D)</f>
        <v>Cost of sales</v>
      </c>
      <c r="I191" t="str">
        <f>_xlfn.XLOOKUP($A191,Map!$A:$A,Map!E:E)</f>
        <v>Overhead - Rent Labor</v>
      </c>
      <c r="J191" t="str">
        <f>_xlfn.XLOOKUP($A191,Map!$A:$A,Map!F:F)</f>
        <v>Rental labor</v>
      </c>
    </row>
    <row r="192" spans="1:10" hidden="1" x14ac:dyDescent="0.25">
      <c r="A192" s="90">
        <v>600035</v>
      </c>
      <c r="B192" s="90" t="s">
        <v>252</v>
      </c>
      <c r="C192" s="91">
        <v>0</v>
      </c>
      <c r="D192" s="91">
        <v>3437341.3879999998</v>
      </c>
      <c r="E192" s="91">
        <v>107987.76300000001</v>
      </c>
      <c r="F192" s="91">
        <v>3329353.625</v>
      </c>
      <c r="G192" t="str">
        <f>_xlfn.XLOOKUP($A192,Map!$A:$A,Map!C:C)</f>
        <v>IS</v>
      </c>
      <c r="H192" t="str">
        <f>_xlfn.XLOOKUP($A192,Map!$A:$A,Map!D:D)</f>
        <v>Cost of sales</v>
      </c>
      <c r="I192" t="str">
        <f>_xlfn.XLOOKUP($A192,Map!$A:$A,Map!E:E)</f>
        <v>Overhead - Rent Labor</v>
      </c>
      <c r="J192" t="str">
        <f>_xlfn.XLOOKUP($A192,Map!$A:$A,Map!F:F)</f>
        <v>Labor rental</v>
      </c>
    </row>
    <row r="193" spans="1:10" hidden="1" x14ac:dyDescent="0.25">
      <c r="A193" s="90">
        <v>600036</v>
      </c>
      <c r="B193" s="90" t="s">
        <v>253</v>
      </c>
      <c r="C193" s="91">
        <v>0</v>
      </c>
      <c r="D193" s="91">
        <v>1641.952</v>
      </c>
      <c r="E193" s="91">
        <v>0</v>
      </c>
      <c r="F193" s="91">
        <v>1641.952</v>
      </c>
      <c r="G193" t="str">
        <f>_xlfn.XLOOKUP($A193,Map!$A:$A,Map!C:C)</f>
        <v>IS</v>
      </c>
      <c r="H193" t="str">
        <f>_xlfn.XLOOKUP($A193,Map!$A:$A,Map!D:D)</f>
        <v>Cost of sales</v>
      </c>
      <c r="I193" t="str">
        <f>_xlfn.XLOOKUP($A193,Map!$A:$A,Map!E:E)</f>
        <v>Overhead - Consumables &amp; SP</v>
      </c>
      <c r="J193" t="str">
        <f>_xlfn.XLOOKUP($A193,Map!$A:$A,Map!F:F)</f>
        <v>Inspection expenses</v>
      </c>
    </row>
    <row r="194" spans="1:10" hidden="1" x14ac:dyDescent="0.25">
      <c r="A194" s="90">
        <v>600060</v>
      </c>
      <c r="B194" s="90" t="s">
        <v>170</v>
      </c>
      <c r="C194" s="91">
        <v>0</v>
      </c>
      <c r="D194" s="91">
        <v>1562.5</v>
      </c>
      <c r="E194" s="91">
        <v>194600</v>
      </c>
      <c r="F194" s="91">
        <v>-193037.5</v>
      </c>
      <c r="G194" t="str">
        <f>_xlfn.XLOOKUP($A194,Map!$A:$A,Map!C:C)</f>
        <v>IS</v>
      </c>
      <c r="H194" t="str">
        <f>_xlfn.XLOOKUP($A194,Map!$A:$A,Map!D:D)</f>
        <v>Other Income</v>
      </c>
      <c r="I194" t="str">
        <f>_xlfn.XLOOKUP($A194,Map!$A:$A,Map!E:E)</f>
        <v>Other Income</v>
      </c>
      <c r="J194" t="str">
        <f>_xlfn.XLOOKUP($A194,Map!$A:$A,Map!F:F)</f>
        <v>Hadaf program</v>
      </c>
    </row>
    <row r="195" spans="1:10" hidden="1" x14ac:dyDescent="0.25">
      <c r="A195" s="90">
        <v>700001</v>
      </c>
      <c r="B195" s="90" t="s">
        <v>171</v>
      </c>
      <c r="C195" s="91">
        <v>0</v>
      </c>
      <c r="D195" s="91">
        <v>6662751.4800000004</v>
      </c>
      <c r="E195" s="91">
        <v>140194.72</v>
      </c>
      <c r="F195" s="91">
        <v>6522556.7599999998</v>
      </c>
      <c r="G195" t="str">
        <f>_xlfn.XLOOKUP($A195,Map!$A:$A,Map!C:C)</f>
        <v>IS</v>
      </c>
      <c r="H195" t="str">
        <f>_xlfn.XLOOKUP($A195,Map!$A:$A,Map!D:D)</f>
        <v>General and Admin</v>
      </c>
      <c r="I195" t="str">
        <f>_xlfn.XLOOKUP($A195,Map!$A:$A,Map!E:E)</f>
        <v>Salaries and wages</v>
      </c>
      <c r="J195" t="str">
        <f>_xlfn.XLOOKUP($A195,Map!$A:$A,Map!F:F)</f>
        <v>Salaries and wages</v>
      </c>
    </row>
    <row r="196" spans="1:10" hidden="1" x14ac:dyDescent="0.25">
      <c r="A196" s="90">
        <v>700002</v>
      </c>
      <c r="B196" s="90" t="s">
        <v>172</v>
      </c>
      <c r="C196" s="91">
        <v>0</v>
      </c>
      <c r="D196" s="91">
        <v>736569.19</v>
      </c>
      <c r="E196" s="91">
        <v>62754</v>
      </c>
      <c r="F196" s="91">
        <v>673815.19</v>
      </c>
      <c r="G196" t="str">
        <f>_xlfn.XLOOKUP($A196,Map!$A:$A,Map!C:C)</f>
        <v>IS</v>
      </c>
      <c r="H196" t="str">
        <f>_xlfn.XLOOKUP($A196,Map!$A:$A,Map!D:D)</f>
        <v>General and Admin</v>
      </c>
      <c r="I196" t="str">
        <f>_xlfn.XLOOKUP($A196,Map!$A:$A,Map!E:E)</f>
        <v>Salaries and wages</v>
      </c>
      <c r="J196" t="str">
        <f>_xlfn.XLOOKUP($A196,Map!$A:$A,Map!F:F)</f>
        <v>Overtime pay</v>
      </c>
    </row>
    <row r="197" spans="1:10" hidden="1" x14ac:dyDescent="0.25">
      <c r="A197" s="90">
        <v>700003</v>
      </c>
      <c r="B197" s="90" t="s">
        <v>173</v>
      </c>
      <c r="C197" s="91">
        <v>0</v>
      </c>
      <c r="D197" s="91">
        <v>236259.44099999999</v>
      </c>
      <c r="E197" s="91">
        <v>5000</v>
      </c>
      <c r="F197" s="91">
        <v>231259.44099999999</v>
      </c>
      <c r="G197" t="str">
        <f>_xlfn.XLOOKUP($A197,Map!$A:$A,Map!C:C)</f>
        <v>IS</v>
      </c>
      <c r="H197" t="str">
        <f>_xlfn.XLOOKUP($A197,Map!$A:$A,Map!D:D)</f>
        <v>General and Admin</v>
      </c>
      <c r="I197" t="str">
        <f>_xlfn.XLOOKUP($A197,Map!$A:$A,Map!E:E)</f>
        <v>Salaries and wages</v>
      </c>
      <c r="J197" t="str">
        <f>_xlfn.XLOOKUP($A197,Map!$A:$A,Map!F:F)</f>
        <v xml:space="preserve">Food &amp; Housing </v>
      </c>
    </row>
    <row r="198" spans="1:10" hidden="1" x14ac:dyDescent="0.25">
      <c r="A198" s="90">
        <v>700004</v>
      </c>
      <c r="B198" s="90" t="s">
        <v>174</v>
      </c>
      <c r="C198" s="91">
        <v>0</v>
      </c>
      <c r="D198" s="91">
        <v>500702.49300000002</v>
      </c>
      <c r="E198" s="91">
        <v>13334.043</v>
      </c>
      <c r="F198" s="91">
        <v>487368.45</v>
      </c>
      <c r="G198" t="str">
        <f>_xlfn.XLOOKUP($A198,Map!$A:$A,Map!C:C)</f>
        <v>IS</v>
      </c>
      <c r="H198" t="str">
        <f>_xlfn.XLOOKUP($A198,Map!$A:$A,Map!D:D)</f>
        <v>General and Admin</v>
      </c>
      <c r="I198" t="str">
        <f>_xlfn.XLOOKUP($A198,Map!$A:$A,Map!E:E)</f>
        <v>Salaries and wages</v>
      </c>
      <c r="J198" t="str">
        <f>_xlfn.XLOOKUP($A198,Map!$A:$A,Map!F:F)</f>
        <v>Medical insurance</v>
      </c>
    </row>
    <row r="199" spans="1:10" hidden="1" x14ac:dyDescent="0.25">
      <c r="A199" s="90">
        <v>700005</v>
      </c>
      <c r="B199" s="90" t="s">
        <v>175</v>
      </c>
      <c r="C199" s="91">
        <v>0</v>
      </c>
      <c r="D199" s="91">
        <v>763967.57</v>
      </c>
      <c r="E199" s="91">
        <v>55811.684999999998</v>
      </c>
      <c r="F199" s="91">
        <v>708155.88500000001</v>
      </c>
      <c r="G199" t="str">
        <f>_xlfn.XLOOKUP($A199,Map!$A:$A,Map!C:C)</f>
        <v>IS</v>
      </c>
      <c r="H199" t="str">
        <f>_xlfn.XLOOKUP($A199,Map!$A:$A,Map!D:D)</f>
        <v>General and Admin</v>
      </c>
      <c r="I199" t="str">
        <f>_xlfn.XLOOKUP($A199,Map!$A:$A,Map!E:E)</f>
        <v>Govt license and fees (including modon)</v>
      </c>
      <c r="J199" t="str">
        <f>_xlfn.XLOOKUP($A199,Map!$A:$A,Map!F:F)</f>
        <v>Government fees</v>
      </c>
    </row>
    <row r="200" spans="1:10" hidden="1" x14ac:dyDescent="0.25">
      <c r="A200" s="90">
        <v>700006</v>
      </c>
      <c r="B200" s="90" t="s">
        <v>176</v>
      </c>
      <c r="C200" s="91">
        <v>0</v>
      </c>
      <c r="D200" s="91">
        <v>1584537.7620000001</v>
      </c>
      <c r="E200" s="91">
        <v>10786.841</v>
      </c>
      <c r="F200" s="91">
        <v>1573750.9210000001</v>
      </c>
      <c r="G200" t="str">
        <f>_xlfn.XLOOKUP($A200,Map!$A:$A,Map!C:C)</f>
        <v>IS</v>
      </c>
      <c r="H200" t="str">
        <f>_xlfn.XLOOKUP($A200,Map!$A:$A,Map!D:D)</f>
        <v>General and Admin</v>
      </c>
      <c r="I200" t="str">
        <f>_xlfn.XLOOKUP($A200,Map!$A:$A,Map!E:E)</f>
        <v>Salaries and wages</v>
      </c>
      <c r="J200" t="str">
        <f>_xlfn.XLOOKUP($A200,Map!$A:$A,Map!F:F)</f>
        <v xml:space="preserve">Food &amp; Housing </v>
      </c>
    </row>
    <row r="201" spans="1:10" hidden="1" x14ac:dyDescent="0.25">
      <c r="A201" s="90">
        <v>700007</v>
      </c>
      <c r="B201" s="90" t="s">
        <v>177</v>
      </c>
      <c r="C201" s="91">
        <v>0</v>
      </c>
      <c r="D201" s="91">
        <v>625520.65</v>
      </c>
      <c r="E201" s="91">
        <v>1976</v>
      </c>
      <c r="F201" s="91">
        <v>623544.65</v>
      </c>
      <c r="G201" t="str">
        <f>_xlfn.XLOOKUP($A201,Map!$A:$A,Map!C:C)</f>
        <v>IS</v>
      </c>
      <c r="H201" t="str">
        <f>_xlfn.XLOOKUP($A201,Map!$A:$A,Map!D:D)</f>
        <v>General and Admin</v>
      </c>
      <c r="I201" t="str">
        <f>_xlfn.XLOOKUP($A201,Map!$A:$A,Map!E:E)</f>
        <v>Salaries and wages</v>
      </c>
      <c r="J201" t="str">
        <f>_xlfn.XLOOKUP($A201,Map!$A:$A,Map!F:F)</f>
        <v>Transportation allowance</v>
      </c>
    </row>
    <row r="202" spans="1:10" hidden="1" x14ac:dyDescent="0.25">
      <c r="A202" s="90">
        <v>700008</v>
      </c>
      <c r="B202" s="90" t="s">
        <v>178</v>
      </c>
      <c r="C202" s="91">
        <v>0</v>
      </c>
      <c r="D202" s="91">
        <v>591129.68999999994</v>
      </c>
      <c r="E202" s="91">
        <v>85455.225000000006</v>
      </c>
      <c r="F202" s="91">
        <v>505674.46500000003</v>
      </c>
      <c r="G202" t="str">
        <f>_xlfn.XLOOKUP($A202,Map!$A:$A,Map!C:C)</f>
        <v>IS</v>
      </c>
      <c r="H202" t="str">
        <f>_xlfn.XLOOKUP($A202,Map!$A:$A,Map!D:D)</f>
        <v>General and Admin</v>
      </c>
      <c r="I202" t="str">
        <f>_xlfn.XLOOKUP($A202,Map!$A:$A,Map!E:E)</f>
        <v>Salaries and wages</v>
      </c>
      <c r="J202" t="str">
        <f>_xlfn.XLOOKUP($A202,Map!$A:$A,Map!F:F)</f>
        <v>Air tickets</v>
      </c>
    </row>
    <row r="203" spans="1:10" hidden="1" x14ac:dyDescent="0.25">
      <c r="A203" s="90">
        <v>700009</v>
      </c>
      <c r="B203" s="90" t="s">
        <v>179</v>
      </c>
      <c r="C203" s="91">
        <v>0</v>
      </c>
      <c r="D203" s="91">
        <v>514049.821</v>
      </c>
      <c r="E203" s="91">
        <v>30175.45</v>
      </c>
      <c r="F203" s="91">
        <v>483874.37099999998</v>
      </c>
      <c r="G203" t="str">
        <f>_xlfn.XLOOKUP($A203,Map!$A:$A,Map!C:C)</f>
        <v>IS</v>
      </c>
      <c r="H203" t="str">
        <f>_xlfn.XLOOKUP($A203,Map!$A:$A,Map!D:D)</f>
        <v>General and Admin</v>
      </c>
      <c r="I203" t="str">
        <f>_xlfn.XLOOKUP($A203,Map!$A:$A,Map!E:E)</f>
        <v>Salaries and wages</v>
      </c>
      <c r="J203" t="str">
        <f>_xlfn.XLOOKUP($A203,Map!$A:$A,Map!F:F)</f>
        <v>Leave pay</v>
      </c>
    </row>
    <row r="204" spans="1:10" hidden="1" x14ac:dyDescent="0.25">
      <c r="A204" s="90">
        <v>700010</v>
      </c>
      <c r="B204" s="90" t="s">
        <v>180</v>
      </c>
      <c r="C204" s="91">
        <v>0</v>
      </c>
      <c r="D204" s="91">
        <v>1308000</v>
      </c>
      <c r="E204" s="91">
        <v>0</v>
      </c>
      <c r="F204" s="91">
        <v>1308000</v>
      </c>
      <c r="G204" t="str">
        <f>_xlfn.XLOOKUP($A204,Map!$A:$A,Map!C:C)</f>
        <v>IS</v>
      </c>
      <c r="H204" t="str">
        <f>_xlfn.XLOOKUP($A204,Map!$A:$A,Map!D:D)</f>
        <v>General and Admin</v>
      </c>
      <c r="I204" t="str">
        <f>_xlfn.XLOOKUP($A204,Map!$A:$A,Map!E:E)</f>
        <v>Salaries and wages</v>
      </c>
      <c r="J204" t="str">
        <f>_xlfn.XLOOKUP($A204,Map!$A:$A,Map!F:F)</f>
        <v>Indemnities</v>
      </c>
    </row>
    <row r="205" spans="1:10" hidden="1" x14ac:dyDescent="0.25">
      <c r="A205" s="90">
        <v>700011</v>
      </c>
      <c r="B205" s="90" t="s">
        <v>181</v>
      </c>
      <c r="C205" s="91">
        <v>0</v>
      </c>
      <c r="D205" s="91">
        <v>25367.69</v>
      </c>
      <c r="E205" s="91">
        <v>355</v>
      </c>
      <c r="F205" s="91">
        <v>25012.69</v>
      </c>
      <c r="G205" t="str">
        <f>_xlfn.XLOOKUP($A205,Map!$A:$A,Map!C:C)</f>
        <v>IS</v>
      </c>
      <c r="H205" t="str">
        <f>_xlfn.XLOOKUP($A205,Map!$A:$A,Map!D:D)</f>
        <v>General and Admin</v>
      </c>
      <c r="I205" t="str">
        <f>_xlfn.XLOOKUP($A205,Map!$A:$A,Map!E:E)</f>
        <v>Salaries and wages</v>
      </c>
      <c r="J205" t="str">
        <f>_xlfn.XLOOKUP($A205,Map!$A:$A,Map!F:F)</f>
        <v>Air tickets</v>
      </c>
    </row>
    <row r="206" spans="1:10" hidden="1" x14ac:dyDescent="0.25">
      <c r="A206" s="90">
        <v>700012</v>
      </c>
      <c r="B206" s="90" t="s">
        <v>182</v>
      </c>
      <c r="C206" s="91">
        <v>0</v>
      </c>
      <c r="D206" s="91">
        <v>184835.24</v>
      </c>
      <c r="E206" s="91">
        <v>917</v>
      </c>
      <c r="F206" s="91">
        <v>183918.24</v>
      </c>
      <c r="G206" t="str">
        <f>_xlfn.XLOOKUP($A206,Map!$A:$A,Map!C:C)</f>
        <v>IS</v>
      </c>
      <c r="H206" t="str">
        <f>_xlfn.XLOOKUP($A206,Map!$A:$A,Map!D:D)</f>
        <v>General and Admin</v>
      </c>
      <c r="I206" t="str">
        <f>_xlfn.XLOOKUP($A206,Map!$A:$A,Map!E:E)</f>
        <v>Salaries and wages</v>
      </c>
      <c r="J206" t="str">
        <f>_xlfn.XLOOKUP($A206,Map!$A:$A,Map!F:F)</f>
        <v xml:space="preserve">Education &amp; Furniture Allowances </v>
      </c>
    </row>
    <row r="207" spans="1:10" hidden="1" x14ac:dyDescent="0.25">
      <c r="A207" s="90">
        <v>700013</v>
      </c>
      <c r="B207" s="90" t="s">
        <v>183</v>
      </c>
      <c r="C207" s="91">
        <v>0</v>
      </c>
      <c r="D207" s="91">
        <v>110400</v>
      </c>
      <c r="E207" s="91">
        <v>0</v>
      </c>
      <c r="F207" s="91">
        <v>110400</v>
      </c>
      <c r="G207" t="str">
        <f>_xlfn.XLOOKUP($A207,Map!$A:$A,Map!C:C)</f>
        <v>IS</v>
      </c>
      <c r="H207" t="str">
        <f>_xlfn.XLOOKUP($A207,Map!$A:$A,Map!D:D)</f>
        <v>General and Admin</v>
      </c>
      <c r="I207" t="str">
        <f>_xlfn.XLOOKUP($A207,Map!$A:$A,Map!E:E)</f>
        <v>Utilities</v>
      </c>
      <c r="J207" t="str">
        <f>_xlfn.XLOOKUP($A207,Map!$A:$A,Map!F:F)</f>
        <v>Other general and administrative expenses</v>
      </c>
    </row>
    <row r="208" spans="1:10" hidden="1" x14ac:dyDescent="0.25">
      <c r="A208" s="90">
        <v>700014</v>
      </c>
      <c r="B208" s="90" t="s">
        <v>184</v>
      </c>
      <c r="C208" s="91">
        <v>0</v>
      </c>
      <c r="D208" s="91">
        <v>0</v>
      </c>
      <c r="E208" s="91">
        <v>0</v>
      </c>
      <c r="F208" s="91">
        <v>0</v>
      </c>
      <c r="G208" t="str">
        <f>_xlfn.XLOOKUP($A208,Map!$A:$A,Map!C:C)</f>
        <v>IS</v>
      </c>
      <c r="H208" t="str">
        <f>_xlfn.XLOOKUP($A208,Map!$A:$A,Map!D:D)</f>
        <v>General and Admin</v>
      </c>
      <c r="I208" t="str">
        <f>_xlfn.XLOOKUP($A208,Map!$A:$A,Map!E:E)</f>
        <v>Salaries and wages</v>
      </c>
      <c r="J208" t="str">
        <f>_xlfn.XLOOKUP($A208,Map!$A:$A,Map!F:F)</f>
        <v xml:space="preserve">Education &amp; Furniture Allowances </v>
      </c>
    </row>
    <row r="209" spans="1:10" hidden="1" x14ac:dyDescent="0.25">
      <c r="A209" s="90">
        <v>700015</v>
      </c>
      <c r="B209" s="90" t="s">
        <v>185</v>
      </c>
      <c r="C209" s="91">
        <v>0</v>
      </c>
      <c r="D209" s="91">
        <v>41145.879999999997</v>
      </c>
      <c r="E209" s="91">
        <v>2600.002</v>
      </c>
      <c r="F209" s="91">
        <v>38545.877999999997</v>
      </c>
      <c r="G209" t="str">
        <f>_xlfn.XLOOKUP($A209,Map!$A:$A,Map!C:C)</f>
        <v>IS</v>
      </c>
      <c r="H209" t="str">
        <f>_xlfn.XLOOKUP($A209,Map!$A:$A,Map!D:D)</f>
        <v>General and Admin</v>
      </c>
      <c r="I209" t="str">
        <f>_xlfn.XLOOKUP($A209,Map!$A:$A,Map!E:E)</f>
        <v>Business travel</v>
      </c>
      <c r="J209" t="str">
        <f>_xlfn.XLOOKUP($A209,Map!$A:$A,Map!F:F)</f>
        <v>Transportation expenses</v>
      </c>
    </row>
    <row r="210" spans="1:10" hidden="1" x14ac:dyDescent="0.25">
      <c r="A210" s="90">
        <v>700016</v>
      </c>
      <c r="B210" s="90" t="s">
        <v>186</v>
      </c>
      <c r="C210" s="91">
        <v>0</v>
      </c>
      <c r="D210" s="91">
        <v>259608.01</v>
      </c>
      <c r="E210" s="91">
        <v>379.6</v>
      </c>
      <c r="F210" s="91">
        <v>259228.41</v>
      </c>
      <c r="G210" t="str">
        <f>_xlfn.XLOOKUP($A210,Map!$A:$A,Map!C:C)</f>
        <v>IS</v>
      </c>
      <c r="H210" t="str">
        <f>_xlfn.XLOOKUP($A210,Map!$A:$A,Map!D:D)</f>
        <v>Selling and Marketing</v>
      </c>
      <c r="I210" t="str">
        <f>_xlfn.XLOOKUP($A210,Map!$A:$A,Map!E:E)</f>
        <v>Buffet expenses</v>
      </c>
      <c r="J210" t="str">
        <f>_xlfn.XLOOKUP($A210,Map!$A:$A,Map!F:F)</f>
        <v>Food expenses</v>
      </c>
    </row>
    <row r="211" spans="1:10" hidden="1" x14ac:dyDescent="0.25">
      <c r="A211" s="90">
        <v>700017</v>
      </c>
      <c r="B211" s="90" t="s">
        <v>187</v>
      </c>
      <c r="C211" s="91">
        <v>0</v>
      </c>
      <c r="D211" s="91">
        <v>0</v>
      </c>
      <c r="E211" s="91">
        <v>0</v>
      </c>
      <c r="F211" s="91">
        <v>0</v>
      </c>
      <c r="G211" t="str">
        <f>_xlfn.XLOOKUP($A211,Map!$A:$A,Map!C:C)</f>
        <v>IS</v>
      </c>
      <c r="H211" t="str">
        <f>_xlfn.XLOOKUP($A211,Map!$A:$A,Map!D:D)</f>
        <v>General and Admin</v>
      </c>
      <c r="I211" t="str">
        <f>_xlfn.XLOOKUP($A211,Map!$A:$A,Map!E:E)</f>
        <v>Salaries and wages</v>
      </c>
      <c r="J211" t="str">
        <f>_xlfn.XLOOKUP($A211,Map!$A:$A,Map!F:F)</f>
        <v>Accommodation expenses</v>
      </c>
    </row>
    <row r="212" spans="1:10" hidden="1" x14ac:dyDescent="0.25">
      <c r="A212" s="90">
        <v>700018</v>
      </c>
      <c r="B212" s="90" t="s">
        <v>188</v>
      </c>
      <c r="C212" s="91">
        <v>0</v>
      </c>
      <c r="D212" s="91">
        <v>1255.05</v>
      </c>
      <c r="E212" s="91">
        <v>0</v>
      </c>
      <c r="F212" s="91">
        <v>1255.05</v>
      </c>
      <c r="G212" t="str">
        <f>_xlfn.XLOOKUP($A212,Map!$A:$A,Map!C:C)</f>
        <v>IS</v>
      </c>
      <c r="H212" t="str">
        <f>_xlfn.XLOOKUP($A212,Map!$A:$A,Map!D:D)</f>
        <v>General and Admin</v>
      </c>
      <c r="I212" t="str">
        <f>_xlfn.XLOOKUP($A212,Map!$A:$A,Map!E:E)</f>
        <v>Salaries and wages</v>
      </c>
      <c r="J212" t="str">
        <f>_xlfn.XLOOKUP($A212,Map!$A:$A,Map!F:F)</f>
        <v xml:space="preserve">Employee Medical Emergency Expenses </v>
      </c>
    </row>
    <row r="213" spans="1:10" hidden="1" x14ac:dyDescent="0.25">
      <c r="A213" s="90">
        <v>700019</v>
      </c>
      <c r="B213" s="90" t="s">
        <v>189</v>
      </c>
      <c r="C213" s="91">
        <v>0</v>
      </c>
      <c r="D213" s="91">
        <v>874451.5</v>
      </c>
      <c r="E213" s="91">
        <v>6000</v>
      </c>
      <c r="F213" s="91">
        <v>868451.5</v>
      </c>
      <c r="G213" t="str">
        <f>_xlfn.XLOOKUP($A213,Map!$A:$A,Map!C:C)</f>
        <v>IS</v>
      </c>
      <c r="H213" t="str">
        <f>_xlfn.XLOOKUP($A213,Map!$A:$A,Map!D:D)</f>
        <v>General and Admin</v>
      </c>
      <c r="I213" t="str">
        <f>_xlfn.XLOOKUP($A213,Map!$A:$A,Map!E:E)</f>
        <v>Salaries and wages</v>
      </c>
      <c r="J213" t="str">
        <f>_xlfn.XLOOKUP($A213,Map!$A:$A,Map!F:F)</f>
        <v xml:space="preserve">Incentives </v>
      </c>
    </row>
    <row r="214" spans="1:10" hidden="1" x14ac:dyDescent="0.25">
      <c r="A214" s="90">
        <v>700020</v>
      </c>
      <c r="B214" s="90" t="s">
        <v>190</v>
      </c>
      <c r="C214" s="91">
        <v>0</v>
      </c>
      <c r="D214" s="91">
        <v>20349.579000000002</v>
      </c>
      <c r="E214" s="91">
        <v>1915.8030000000001</v>
      </c>
      <c r="F214" s="91">
        <v>18433.776000000002</v>
      </c>
      <c r="G214" t="str">
        <f>_xlfn.XLOOKUP($A214,Map!$A:$A,Map!C:C)</f>
        <v>IS</v>
      </c>
      <c r="H214" t="str">
        <f>_xlfn.XLOOKUP($A214,Map!$A:$A,Map!D:D)</f>
        <v>General and Admin</v>
      </c>
      <c r="I214" t="str">
        <f>_xlfn.XLOOKUP($A214,Map!$A:$A,Map!E:E)</f>
        <v>Utilities</v>
      </c>
      <c r="J214" t="str">
        <f>_xlfn.XLOOKUP($A214,Map!$A:$A,Map!F:F)</f>
        <v>Electricity expenses</v>
      </c>
    </row>
    <row r="215" spans="1:10" hidden="1" x14ac:dyDescent="0.25">
      <c r="A215" s="90">
        <v>700021</v>
      </c>
      <c r="B215" s="90" t="s">
        <v>191</v>
      </c>
      <c r="C215" s="91">
        <v>0</v>
      </c>
      <c r="D215" s="91">
        <v>35861.01</v>
      </c>
      <c r="E215" s="91">
        <v>0</v>
      </c>
      <c r="F215" s="91">
        <v>35861.01</v>
      </c>
      <c r="G215" t="str">
        <f>_xlfn.XLOOKUP($A215,Map!$A:$A,Map!C:C)</f>
        <v>IS</v>
      </c>
      <c r="H215" t="str">
        <f>_xlfn.XLOOKUP($A215,Map!$A:$A,Map!D:D)</f>
        <v>General and Admin</v>
      </c>
      <c r="I215" t="str">
        <f>_xlfn.XLOOKUP($A215,Map!$A:$A,Map!E:E)</f>
        <v>Utilities</v>
      </c>
      <c r="J215" t="str">
        <f>_xlfn.XLOOKUP($A215,Map!$A:$A,Map!F:F)</f>
        <v>Other general and administrative expenses</v>
      </c>
    </row>
    <row r="216" spans="1:10" hidden="1" x14ac:dyDescent="0.25">
      <c r="A216" s="90">
        <v>700022</v>
      </c>
      <c r="B216" s="90" t="s">
        <v>192</v>
      </c>
      <c r="C216" s="91">
        <v>0</v>
      </c>
      <c r="D216" s="91">
        <v>92245.43</v>
      </c>
      <c r="E216" s="91">
        <v>6781.17</v>
      </c>
      <c r="F216" s="91">
        <v>85464.26</v>
      </c>
      <c r="G216" t="str">
        <f>_xlfn.XLOOKUP($A216,Map!$A:$A,Map!C:C)</f>
        <v>IS</v>
      </c>
      <c r="H216" t="str">
        <f>_xlfn.XLOOKUP($A216,Map!$A:$A,Map!D:D)</f>
        <v>General and Admin</v>
      </c>
      <c r="I216" t="str">
        <f>_xlfn.XLOOKUP($A216,Map!$A:$A,Map!E:E)</f>
        <v>Utilities</v>
      </c>
      <c r="J216" t="str">
        <f>_xlfn.XLOOKUP($A216,Map!$A:$A,Map!F:F)</f>
        <v>Other general and administrative expenses</v>
      </c>
    </row>
    <row r="217" spans="1:10" hidden="1" x14ac:dyDescent="0.25">
      <c r="A217" s="90">
        <v>700023</v>
      </c>
      <c r="B217" s="90" t="s">
        <v>193</v>
      </c>
      <c r="C217" s="91">
        <v>0</v>
      </c>
      <c r="D217" s="91">
        <v>44256.08</v>
      </c>
      <c r="E217" s="91">
        <v>5.0000000000000001E-3</v>
      </c>
      <c r="F217" s="91">
        <v>44256.074999999997</v>
      </c>
      <c r="G217" t="str">
        <f>_xlfn.XLOOKUP($A217,Map!$A:$A,Map!C:C)</f>
        <v>IS</v>
      </c>
      <c r="H217" t="str">
        <f>_xlfn.XLOOKUP($A217,Map!$A:$A,Map!D:D)</f>
        <v>General and Admin</v>
      </c>
      <c r="I217" t="str">
        <f>_xlfn.XLOOKUP($A217,Map!$A:$A,Map!E:E)</f>
        <v>Utilities</v>
      </c>
      <c r="J217" t="str">
        <f>_xlfn.XLOOKUP($A217,Map!$A:$A,Map!F:F)</f>
        <v xml:space="preserve">Postage &amp; Printing </v>
      </c>
    </row>
    <row r="218" spans="1:10" hidden="1" x14ac:dyDescent="0.25">
      <c r="A218" s="90">
        <v>700024</v>
      </c>
      <c r="B218" s="90" t="s">
        <v>194</v>
      </c>
      <c r="C218" s="91">
        <v>0</v>
      </c>
      <c r="D218" s="91">
        <v>784283.98</v>
      </c>
      <c r="E218" s="91">
        <v>77741.69</v>
      </c>
      <c r="F218" s="91">
        <v>706542.29</v>
      </c>
      <c r="G218" t="str">
        <f>_xlfn.XLOOKUP($A218,Map!$A:$A,Map!C:C)</f>
        <v>IS</v>
      </c>
      <c r="H218" t="str">
        <f>_xlfn.XLOOKUP($A218,Map!$A:$A,Map!D:D)</f>
        <v>General and Admin</v>
      </c>
      <c r="I218" t="str">
        <f>_xlfn.XLOOKUP($A218,Map!$A:$A,Map!E:E)</f>
        <v>IT expenses</v>
      </c>
      <c r="J218" t="str">
        <f>_xlfn.XLOOKUP($A218,Map!$A:$A,Map!F:F)</f>
        <v>Other general and administrative expenses</v>
      </c>
    </row>
    <row r="219" spans="1:10" hidden="1" x14ac:dyDescent="0.25">
      <c r="A219" s="90">
        <v>700025</v>
      </c>
      <c r="B219" s="90" t="s">
        <v>195</v>
      </c>
      <c r="C219" s="91">
        <v>0</v>
      </c>
      <c r="D219" s="91">
        <v>4560559.1310000001</v>
      </c>
      <c r="E219" s="91">
        <v>18341.777999999998</v>
      </c>
      <c r="F219" s="91">
        <v>4542217.3530000001</v>
      </c>
      <c r="G219" t="str">
        <f>_xlfn.XLOOKUP($A219,Map!$A:$A,Map!C:C)</f>
        <v>IS</v>
      </c>
      <c r="H219" t="str">
        <f>_xlfn.XLOOKUP($A219,Map!$A:$A,Map!D:D)</f>
        <v>General and Admin</v>
      </c>
      <c r="I219" t="str">
        <f>_xlfn.XLOOKUP($A219,Map!$A:$A,Map!E:E)</f>
        <v>Salaries and wages</v>
      </c>
      <c r="J219" t="str">
        <f>_xlfn.XLOOKUP($A219,Map!$A:$A,Map!F:F)</f>
        <v>Salaries and wages</v>
      </c>
    </row>
    <row r="220" spans="1:10" hidden="1" x14ac:dyDescent="0.25">
      <c r="A220" s="90">
        <v>700026</v>
      </c>
      <c r="B220" s="90" t="s">
        <v>196</v>
      </c>
      <c r="C220" s="91">
        <v>0</v>
      </c>
      <c r="D220" s="91">
        <v>8809.4599999999991</v>
      </c>
      <c r="E220" s="91">
        <v>0</v>
      </c>
      <c r="F220" s="91">
        <v>8809.4599999999991</v>
      </c>
      <c r="G220" t="str">
        <f>_xlfn.XLOOKUP($A220,Map!$A:$A,Map!C:C)</f>
        <v>IS</v>
      </c>
      <c r="H220" t="str">
        <f>_xlfn.XLOOKUP($A220,Map!$A:$A,Map!D:D)</f>
        <v>General and Admin</v>
      </c>
      <c r="I220" t="str">
        <f>_xlfn.XLOOKUP($A220,Map!$A:$A,Map!E:E)</f>
        <v>Utilities</v>
      </c>
      <c r="J220" t="str">
        <f>_xlfn.XLOOKUP($A220,Map!$A:$A,Map!F:F)</f>
        <v>Magazines &amp; News Papers Exp.</v>
      </c>
    </row>
    <row r="221" spans="1:10" hidden="1" x14ac:dyDescent="0.25">
      <c r="A221" s="90">
        <v>700027</v>
      </c>
      <c r="B221" s="90" t="s">
        <v>197</v>
      </c>
      <c r="C221" s="91">
        <v>0</v>
      </c>
      <c r="D221" s="91">
        <v>98316.072</v>
      </c>
      <c r="E221" s="91">
        <v>2610</v>
      </c>
      <c r="F221" s="91">
        <v>95706.072</v>
      </c>
      <c r="G221" t="str">
        <f>_xlfn.XLOOKUP($A221,Map!$A:$A,Map!C:C)</f>
        <v>IS</v>
      </c>
      <c r="H221" t="str">
        <f>_xlfn.XLOOKUP($A221,Map!$A:$A,Map!D:D)</f>
        <v>General and Admin</v>
      </c>
      <c r="I221" t="str">
        <f>_xlfn.XLOOKUP($A221,Map!$A:$A,Map!E:E)</f>
        <v>Training</v>
      </c>
      <c r="J221" t="str">
        <f>_xlfn.XLOOKUP($A221,Map!$A:$A,Map!F:F)</f>
        <v>Training</v>
      </c>
    </row>
    <row r="222" spans="1:10" hidden="1" x14ac:dyDescent="0.25">
      <c r="A222" s="90">
        <v>700028</v>
      </c>
      <c r="B222" s="90" t="s">
        <v>198</v>
      </c>
      <c r="C222" s="91">
        <v>0</v>
      </c>
      <c r="D222" s="91">
        <v>9284.85</v>
      </c>
      <c r="E222" s="91">
        <v>0</v>
      </c>
      <c r="F222" s="91">
        <v>9284.85</v>
      </c>
      <c r="G222" t="str">
        <f>_xlfn.XLOOKUP($A222,Map!$A:$A,Map!C:C)</f>
        <v>IS</v>
      </c>
      <c r="H222" t="str">
        <f>_xlfn.XLOOKUP($A222,Map!$A:$A,Map!D:D)</f>
        <v>General and Admin</v>
      </c>
      <c r="I222" t="str">
        <f>_xlfn.XLOOKUP($A222,Map!$A:$A,Map!E:E)</f>
        <v xml:space="preserve">Back office Support </v>
      </c>
      <c r="J222" t="str">
        <f>_xlfn.XLOOKUP($A222,Map!$A:$A,Map!F:F)</f>
        <v>Stationery expenses</v>
      </c>
    </row>
    <row r="223" spans="1:10" hidden="1" x14ac:dyDescent="0.25">
      <c r="A223" s="90">
        <v>700029</v>
      </c>
      <c r="B223" s="90" t="s">
        <v>199</v>
      </c>
      <c r="C223" s="91">
        <v>0</v>
      </c>
      <c r="D223" s="91">
        <v>3067.37</v>
      </c>
      <c r="E223" s="91">
        <v>0</v>
      </c>
      <c r="F223" s="91">
        <v>3067.37</v>
      </c>
      <c r="G223" t="str">
        <f>_xlfn.XLOOKUP($A223,Map!$A:$A,Map!C:C)</f>
        <v>IS</v>
      </c>
      <c r="H223" t="str">
        <f>_xlfn.XLOOKUP($A223,Map!$A:$A,Map!D:D)</f>
        <v>General and Admin</v>
      </c>
      <c r="I223" t="str">
        <f>_xlfn.XLOOKUP($A223,Map!$A:$A,Map!E:E)</f>
        <v>Utilities</v>
      </c>
      <c r="J223" t="str">
        <f>_xlfn.XLOOKUP($A223,Map!$A:$A,Map!F:F)</f>
        <v xml:space="preserve">Postage &amp; Printing </v>
      </c>
    </row>
    <row r="224" spans="1:10" hidden="1" x14ac:dyDescent="0.25">
      <c r="A224" s="90">
        <v>700030</v>
      </c>
      <c r="B224" s="90" t="s">
        <v>200</v>
      </c>
      <c r="C224" s="91">
        <v>0</v>
      </c>
      <c r="D224" s="91">
        <v>4958.8999999999996</v>
      </c>
      <c r="E224" s="91">
        <v>0</v>
      </c>
      <c r="F224" s="91">
        <v>4958.8999999999996</v>
      </c>
      <c r="G224" t="str">
        <f>_xlfn.XLOOKUP($A224,Map!$A:$A,Map!C:C)</f>
        <v>IS</v>
      </c>
      <c r="H224" t="str">
        <f>_xlfn.XLOOKUP($A224,Map!$A:$A,Map!D:D)</f>
        <v>General and Admin</v>
      </c>
      <c r="I224" t="str">
        <f>_xlfn.XLOOKUP($A224,Map!$A:$A,Map!E:E)</f>
        <v>Utilities</v>
      </c>
      <c r="J224" t="str">
        <f>_xlfn.XLOOKUP($A224,Map!$A:$A,Map!F:F)</f>
        <v>Building maintenance</v>
      </c>
    </row>
    <row r="225" spans="1:10" hidden="1" x14ac:dyDescent="0.25">
      <c r="A225" s="90">
        <v>700031</v>
      </c>
      <c r="B225" s="90" t="s">
        <v>201</v>
      </c>
      <c r="C225" s="91">
        <v>0</v>
      </c>
      <c r="D225" s="91">
        <v>10375.5</v>
      </c>
      <c r="E225" s="91">
        <v>0</v>
      </c>
      <c r="F225" s="91">
        <v>10375.5</v>
      </c>
      <c r="G225" t="str">
        <f>_xlfn.XLOOKUP($A225,Map!$A:$A,Map!C:C)</f>
        <v>IS</v>
      </c>
      <c r="H225" t="str">
        <f>_xlfn.XLOOKUP($A225,Map!$A:$A,Map!D:D)</f>
        <v>General and Admin</v>
      </c>
      <c r="I225" t="str">
        <f>_xlfn.XLOOKUP($A225,Map!$A:$A,Map!E:E)</f>
        <v>Utilities</v>
      </c>
      <c r="J225" t="str">
        <f>_xlfn.XLOOKUP($A225,Map!$A:$A,Map!F:F)</f>
        <v>Office equipment maintenance</v>
      </c>
    </row>
    <row r="226" spans="1:10" hidden="1" x14ac:dyDescent="0.25">
      <c r="A226" s="90">
        <v>700032</v>
      </c>
      <c r="B226" s="90" t="s">
        <v>202</v>
      </c>
      <c r="C226" s="91">
        <v>0</v>
      </c>
      <c r="D226" s="91">
        <v>103139.04399999999</v>
      </c>
      <c r="E226" s="91">
        <v>7000.0169999999998</v>
      </c>
      <c r="F226" s="91">
        <v>96139.027000000002</v>
      </c>
      <c r="G226" t="str">
        <f>_xlfn.XLOOKUP($A226,Map!$A:$A,Map!C:C)</f>
        <v>IS</v>
      </c>
      <c r="H226" t="str">
        <f>_xlfn.XLOOKUP($A226,Map!$A:$A,Map!D:D)</f>
        <v>General and Admin</v>
      </c>
      <c r="I226" t="str">
        <f>_xlfn.XLOOKUP($A226,Map!$A:$A,Map!E:E)</f>
        <v>Utilities</v>
      </c>
      <c r="J226" t="str">
        <f>_xlfn.XLOOKUP($A226,Map!$A:$A,Map!F:F)</f>
        <v>Vehicle maintenance</v>
      </c>
    </row>
    <row r="227" spans="1:10" hidden="1" x14ac:dyDescent="0.25">
      <c r="A227" s="90">
        <v>700033</v>
      </c>
      <c r="B227" s="90" t="s">
        <v>203</v>
      </c>
      <c r="C227" s="91">
        <v>0</v>
      </c>
      <c r="D227" s="91">
        <v>130676.234</v>
      </c>
      <c r="E227" s="91">
        <v>16348.278</v>
      </c>
      <c r="F227" s="91">
        <v>114327.95600000001</v>
      </c>
      <c r="G227" t="str">
        <f>_xlfn.XLOOKUP($A227,Map!$A:$A,Map!C:C)</f>
        <v>IS</v>
      </c>
      <c r="H227" t="str">
        <f>_xlfn.XLOOKUP($A227,Map!$A:$A,Map!D:D)</f>
        <v>General and Admin</v>
      </c>
      <c r="I227" t="str">
        <f>_xlfn.XLOOKUP($A227,Map!$A:$A,Map!E:E)</f>
        <v>Utilities</v>
      </c>
      <c r="J227" t="str">
        <f>_xlfn.XLOOKUP($A227,Map!$A:$A,Map!F:F)</f>
        <v>Fuel and oil</v>
      </c>
    </row>
    <row r="228" spans="1:10" hidden="1" x14ac:dyDescent="0.25">
      <c r="A228" s="90">
        <v>700034</v>
      </c>
      <c r="B228" s="90" t="s">
        <v>204</v>
      </c>
      <c r="C228" s="91">
        <v>0</v>
      </c>
      <c r="D228" s="91">
        <v>49492.656000000003</v>
      </c>
      <c r="E228" s="91">
        <v>0.85899999999999999</v>
      </c>
      <c r="F228" s="91">
        <v>49491.796999999999</v>
      </c>
      <c r="G228" t="str">
        <f>_xlfn.XLOOKUP($A228,Map!$A:$A,Map!C:C)</f>
        <v>IS</v>
      </c>
      <c r="H228" t="str">
        <f>_xlfn.XLOOKUP($A228,Map!$A:$A,Map!D:D)</f>
        <v>General and Admin</v>
      </c>
      <c r="I228" t="str">
        <f>_xlfn.XLOOKUP($A228,Map!$A:$A,Map!E:E)</f>
        <v xml:space="preserve">Back office Support </v>
      </c>
      <c r="J228" t="str">
        <f>_xlfn.XLOOKUP($A228,Map!$A:$A,Map!F:F)</f>
        <v>Consumables</v>
      </c>
    </row>
    <row r="229" spans="1:10" hidden="1" x14ac:dyDescent="0.25">
      <c r="A229" s="90">
        <v>700035</v>
      </c>
      <c r="B229" s="90" t="s">
        <v>205</v>
      </c>
      <c r="C229" s="91">
        <v>0</v>
      </c>
      <c r="D229" s="91">
        <v>27285.62</v>
      </c>
      <c r="E229" s="91">
        <v>27285.62</v>
      </c>
      <c r="F229" s="91">
        <v>0</v>
      </c>
      <c r="G229" t="str">
        <f>_xlfn.XLOOKUP($A229,Map!$A:$A,Map!C:C)</f>
        <v>IS</v>
      </c>
      <c r="H229" t="str">
        <f>_xlfn.XLOOKUP($A229,Map!$A:$A,Map!D:D)</f>
        <v>General and Admin</v>
      </c>
      <c r="I229" t="str">
        <f>_xlfn.XLOOKUP($A229,Map!$A:$A,Map!E:E)</f>
        <v>Actuarial gains and losses</v>
      </c>
      <c r="J229" t="str">
        <f>_xlfn.XLOOKUP($A229,Map!$A:$A,Map!F:F)</f>
        <v>Other general and administrative expenses</v>
      </c>
    </row>
    <row r="230" spans="1:10" hidden="1" x14ac:dyDescent="0.25">
      <c r="A230" s="90">
        <v>700036</v>
      </c>
      <c r="B230" s="90" t="s">
        <v>206</v>
      </c>
      <c r="C230" s="91">
        <v>0</v>
      </c>
      <c r="D230" s="91">
        <v>15692.823</v>
      </c>
      <c r="E230" s="91">
        <v>4.0000000000000001E-3</v>
      </c>
      <c r="F230" s="91">
        <v>15692.819</v>
      </c>
      <c r="G230" t="str">
        <f>_xlfn.XLOOKUP($A230,Map!$A:$A,Map!C:C)</f>
        <v>IS</v>
      </c>
      <c r="H230" t="str">
        <f>_xlfn.XLOOKUP($A230,Map!$A:$A,Map!D:D)</f>
        <v>General and Admin</v>
      </c>
      <c r="I230" t="str">
        <f>_xlfn.XLOOKUP($A230,Map!$A:$A,Map!E:E)</f>
        <v>Utilities</v>
      </c>
      <c r="J230" t="str">
        <f>_xlfn.XLOOKUP($A230,Map!$A:$A,Map!F:F)</f>
        <v>Vehicle insurance</v>
      </c>
    </row>
    <row r="231" spans="1:10" hidden="1" x14ac:dyDescent="0.25">
      <c r="A231" s="90">
        <v>700037</v>
      </c>
      <c r="B231" s="90" t="s">
        <v>207</v>
      </c>
      <c r="C231" s="91">
        <v>0</v>
      </c>
      <c r="D231" s="91">
        <v>0</v>
      </c>
      <c r="E231" s="91">
        <v>0</v>
      </c>
      <c r="F231" s="91">
        <v>0</v>
      </c>
      <c r="G231" t="str">
        <f>_xlfn.XLOOKUP($A231,Map!$A:$A,Map!C:C)</f>
        <v>IS</v>
      </c>
      <c r="H231" t="str">
        <f>_xlfn.XLOOKUP($A231,Map!$A:$A,Map!D:D)</f>
        <v>Finance cost</v>
      </c>
      <c r="I231" t="str">
        <f>_xlfn.XLOOKUP($A231,Map!$A:$A,Map!E:E)</f>
        <v>Finance cost</v>
      </c>
      <c r="J231" t="str">
        <f>_xlfn.XLOOKUP($A231,Map!$A:$A,Map!F:F)</f>
        <v>Lease interest</v>
      </c>
    </row>
    <row r="232" spans="1:10" hidden="1" x14ac:dyDescent="0.25">
      <c r="A232" s="90">
        <v>700038</v>
      </c>
      <c r="B232" s="90" t="s">
        <v>208</v>
      </c>
      <c r="C232" s="91">
        <v>0</v>
      </c>
      <c r="D232" s="91">
        <v>761327.777</v>
      </c>
      <c r="E232" s="91">
        <v>63147.25</v>
      </c>
      <c r="F232" s="91">
        <v>698180.527</v>
      </c>
      <c r="G232" t="str">
        <f>_xlfn.XLOOKUP($A232,Map!$A:$A,Map!C:C)</f>
        <v>IS</v>
      </c>
      <c r="H232" t="str">
        <f>_xlfn.XLOOKUP($A232,Map!$A:$A,Map!D:D)</f>
        <v>General and Admin</v>
      </c>
      <c r="I232" t="str">
        <f>_xlfn.XLOOKUP($A232,Map!$A:$A,Map!E:E)</f>
        <v>Business travel</v>
      </c>
      <c r="J232" t="str">
        <f>_xlfn.XLOOKUP($A232,Map!$A:$A,Map!F:F)</f>
        <v>Bussiness trip expenses</v>
      </c>
    </row>
    <row r="233" spans="1:10" hidden="1" x14ac:dyDescent="0.25">
      <c r="A233" s="90">
        <v>700039</v>
      </c>
      <c r="B233" s="90" t="s">
        <v>209</v>
      </c>
      <c r="C233" s="91">
        <v>0</v>
      </c>
      <c r="D233" s="91">
        <v>20259.638999999999</v>
      </c>
      <c r="E233" s="91">
        <v>0</v>
      </c>
      <c r="F233" s="91">
        <v>20259.638999999999</v>
      </c>
      <c r="G233" t="str">
        <f>_xlfn.XLOOKUP($A233,Map!$A:$A,Map!C:C)</f>
        <v>IS</v>
      </c>
      <c r="H233" t="str">
        <f>_xlfn.XLOOKUP($A233,Map!$A:$A,Map!D:D)</f>
        <v>Selling and Marketing</v>
      </c>
      <c r="I233" t="str">
        <f>_xlfn.XLOOKUP($A233,Map!$A:$A,Map!E:E)</f>
        <v>Buffet expenses</v>
      </c>
      <c r="J233" t="str">
        <f>_xlfn.XLOOKUP($A233,Map!$A:$A,Map!F:F)</f>
        <v>Buffet expenses</v>
      </c>
    </row>
    <row r="234" spans="1:10" hidden="1" x14ac:dyDescent="0.25">
      <c r="A234" s="90">
        <v>700040</v>
      </c>
      <c r="B234" s="90" t="s">
        <v>210</v>
      </c>
      <c r="C234" s="91">
        <v>0</v>
      </c>
      <c r="D234" s="91">
        <v>150953.11499999999</v>
      </c>
      <c r="E234" s="91">
        <v>1.4999999999999999E-2</v>
      </c>
      <c r="F234" s="91">
        <v>150953.1</v>
      </c>
      <c r="G234" t="str">
        <f>_xlfn.XLOOKUP($A234,Map!$A:$A,Map!C:C)</f>
        <v>IS</v>
      </c>
      <c r="H234" t="str">
        <f>_xlfn.XLOOKUP($A234,Map!$A:$A,Map!D:D)</f>
        <v>General and Admin</v>
      </c>
      <c r="I234" t="str">
        <f>_xlfn.XLOOKUP($A234,Map!$A:$A,Map!E:E)</f>
        <v>Utilities</v>
      </c>
      <c r="J234" t="str">
        <f>_xlfn.XLOOKUP($A234,Map!$A:$A,Map!F:F)</f>
        <v xml:space="preserve">Cleaning Expenses </v>
      </c>
    </row>
    <row r="235" spans="1:10" hidden="1" x14ac:dyDescent="0.25">
      <c r="A235" s="90">
        <v>700041</v>
      </c>
      <c r="B235" s="90" t="s">
        <v>211</v>
      </c>
      <c r="C235" s="91">
        <v>0</v>
      </c>
      <c r="D235" s="91">
        <v>73911.391000000003</v>
      </c>
      <c r="E235" s="91">
        <v>1221.1880000000001</v>
      </c>
      <c r="F235" s="91">
        <v>72690.202999999994</v>
      </c>
      <c r="G235" t="str">
        <f>_xlfn.XLOOKUP($A235,Map!$A:$A,Map!C:C)</f>
        <v>IS</v>
      </c>
      <c r="H235" t="str">
        <f>_xlfn.XLOOKUP($A235,Map!$A:$A,Map!D:D)</f>
        <v>General and Admin</v>
      </c>
      <c r="I235" t="str">
        <f>_xlfn.XLOOKUP($A235,Map!$A:$A,Map!E:E)</f>
        <v>Salaries and wages</v>
      </c>
      <c r="J235" t="str">
        <f>_xlfn.XLOOKUP($A235,Map!$A:$A,Map!F:F)</f>
        <v>Recruitment</v>
      </c>
    </row>
    <row r="236" spans="1:10" hidden="1" x14ac:dyDescent="0.25">
      <c r="A236" s="90">
        <v>700042</v>
      </c>
      <c r="B236" s="90" t="s">
        <v>212</v>
      </c>
      <c r="C236" s="91">
        <v>0</v>
      </c>
      <c r="D236" s="91">
        <v>0</v>
      </c>
      <c r="E236" s="91">
        <v>0</v>
      </c>
      <c r="F236" s="91">
        <v>0</v>
      </c>
      <c r="G236" t="str">
        <f>_xlfn.XLOOKUP($A236,Map!$A:$A,Map!C:C)</f>
        <v>IS</v>
      </c>
      <c r="H236" t="str">
        <f>_xlfn.XLOOKUP($A236,Map!$A:$A,Map!D:D)</f>
        <v>General and Admin</v>
      </c>
      <c r="I236" t="str">
        <f>_xlfn.XLOOKUP($A236,Map!$A:$A,Map!E:E)</f>
        <v xml:space="preserve">Back office Support </v>
      </c>
      <c r="J236" t="str">
        <f>_xlfn.XLOOKUP($A236,Map!$A:$A,Map!F:F)</f>
        <v>Other expenses</v>
      </c>
    </row>
    <row r="237" spans="1:10" hidden="1" x14ac:dyDescent="0.25">
      <c r="A237" s="90">
        <v>700043</v>
      </c>
      <c r="B237" s="90" t="s">
        <v>213</v>
      </c>
      <c r="C237" s="91">
        <v>0</v>
      </c>
      <c r="D237" s="91">
        <v>0</v>
      </c>
      <c r="E237" s="91">
        <v>0</v>
      </c>
      <c r="F237" s="91">
        <v>0</v>
      </c>
      <c r="G237" t="str">
        <f>_xlfn.XLOOKUP($A237,Map!$A:$A,Map!C:C)</f>
        <v>IS</v>
      </c>
      <c r="H237" t="str">
        <f>_xlfn.XLOOKUP($A237,Map!$A:$A,Map!D:D)</f>
        <v>General and Admin</v>
      </c>
      <c r="I237" t="str">
        <f>_xlfn.XLOOKUP($A237,Map!$A:$A,Map!E:E)</f>
        <v>Govt license and fees (including modon)</v>
      </c>
      <c r="J237" t="str">
        <f>_xlfn.XLOOKUP($A237,Map!$A:$A,Map!F:F)</f>
        <v>Licenses and fees</v>
      </c>
    </row>
    <row r="238" spans="1:10" hidden="1" x14ac:dyDescent="0.25">
      <c r="A238" s="90">
        <v>700044</v>
      </c>
      <c r="B238" s="90" t="s">
        <v>214</v>
      </c>
      <c r="C238" s="91">
        <v>0</v>
      </c>
      <c r="D238" s="91">
        <v>116259.2</v>
      </c>
      <c r="E238" s="91">
        <v>0</v>
      </c>
      <c r="F238" s="91">
        <v>116259.2</v>
      </c>
      <c r="G238" t="str">
        <f>_xlfn.XLOOKUP($A238,Map!$A:$A,Map!C:C)</f>
        <v>IS</v>
      </c>
      <c r="H238" t="str">
        <f>_xlfn.XLOOKUP($A238,Map!$A:$A,Map!D:D)</f>
        <v>General and Admin</v>
      </c>
      <c r="I238" t="str">
        <f>_xlfn.XLOOKUP($A238,Map!$A:$A,Map!E:E)</f>
        <v>Govt license and fees (including modon)</v>
      </c>
      <c r="J238" t="str">
        <f>_xlfn.XLOOKUP($A238,Map!$A:$A,Map!F:F)</f>
        <v>Government fees</v>
      </c>
    </row>
    <row r="239" spans="1:10" hidden="1" x14ac:dyDescent="0.25">
      <c r="A239" s="90">
        <v>700045</v>
      </c>
      <c r="B239" s="90" t="s">
        <v>215</v>
      </c>
      <c r="C239" s="91">
        <v>0</v>
      </c>
      <c r="D239" s="91">
        <v>11897065.833000001</v>
      </c>
      <c r="E239" s="91">
        <v>354784.49800000002</v>
      </c>
      <c r="F239" s="91">
        <v>11542281.335000001</v>
      </c>
      <c r="G239" t="str">
        <f>_xlfn.XLOOKUP($A239,Map!$A:$A,Map!C:C)</f>
        <v>IS</v>
      </c>
      <c r="H239" t="str">
        <f>_xlfn.XLOOKUP($A239,Map!$A:$A,Map!D:D)</f>
        <v>Finance cost</v>
      </c>
      <c r="I239" t="str">
        <f>_xlfn.XLOOKUP($A239,Map!$A:$A,Map!E:E)</f>
        <v>Finance cost</v>
      </c>
      <c r="J239" t="str">
        <f>_xlfn.XLOOKUP($A239,Map!$A:$A,Map!F:F)</f>
        <v>Bank charges</v>
      </c>
    </row>
    <row r="240" spans="1:10" hidden="1" x14ac:dyDescent="0.25">
      <c r="A240" s="90">
        <v>700048</v>
      </c>
      <c r="B240" s="90" t="s">
        <v>216</v>
      </c>
      <c r="C240" s="91">
        <v>0</v>
      </c>
      <c r="D240" s="91">
        <v>0</v>
      </c>
      <c r="E240" s="91">
        <v>0</v>
      </c>
      <c r="F240" s="91">
        <v>0</v>
      </c>
      <c r="G240" t="str">
        <f>_xlfn.XLOOKUP($A240,Map!$A:$A,Map!C:C)</f>
        <v>IS</v>
      </c>
      <c r="H240" t="str">
        <f>_xlfn.XLOOKUP($A240,Map!$A:$A,Map!D:D)</f>
        <v>Zakat</v>
      </c>
      <c r="I240" t="str">
        <f>_xlfn.XLOOKUP($A240,Map!$A:$A,Map!E:E)</f>
        <v>Zakat expenses</v>
      </c>
      <c r="J240" t="str">
        <f>_xlfn.XLOOKUP($A240,Map!$A:$A,Map!F:F)</f>
        <v>Zakat expenses</v>
      </c>
    </row>
    <row r="241" spans="1:10" hidden="1" x14ac:dyDescent="0.25">
      <c r="A241" s="90">
        <v>700049</v>
      </c>
      <c r="B241" s="90" t="s">
        <v>217</v>
      </c>
      <c r="C241" s="91">
        <v>0</v>
      </c>
      <c r="D241" s="91">
        <v>117654</v>
      </c>
      <c r="E241" s="91">
        <v>0</v>
      </c>
      <c r="F241" s="91">
        <v>117654</v>
      </c>
      <c r="G241" t="str">
        <f>_xlfn.XLOOKUP($A241,Map!$A:$A,Map!C:C)</f>
        <v>IS</v>
      </c>
      <c r="H241" t="str">
        <f>_xlfn.XLOOKUP($A241,Map!$A:$A,Map!D:D)</f>
        <v>General and Admin</v>
      </c>
      <c r="I241" t="str">
        <f>_xlfn.XLOOKUP($A241,Map!$A:$A,Map!E:E)</f>
        <v>Salaries and wages</v>
      </c>
      <c r="J241" t="str">
        <f>_xlfn.XLOOKUP($A241,Map!$A:$A,Map!F:F)</f>
        <v>Sadagat expense</v>
      </c>
    </row>
    <row r="242" spans="1:10" hidden="1" x14ac:dyDescent="0.25">
      <c r="A242" s="90">
        <v>700050</v>
      </c>
      <c r="B242" s="90" t="s">
        <v>218</v>
      </c>
      <c r="C242" s="91">
        <v>0</v>
      </c>
      <c r="D242" s="91">
        <v>0</v>
      </c>
      <c r="E242" s="91">
        <v>0</v>
      </c>
      <c r="F242" s="91">
        <v>0</v>
      </c>
      <c r="G242" t="str">
        <f>_xlfn.XLOOKUP($A242,Map!$A:$A,Map!C:C)</f>
        <v>IS</v>
      </c>
      <c r="H242" t="str">
        <f>_xlfn.XLOOKUP($A242,Map!$A:$A,Map!D:D)</f>
        <v>Depreciation expenses</v>
      </c>
      <c r="I242" t="str">
        <f>_xlfn.XLOOKUP($A242,Map!$A:$A,Map!E:E)</f>
        <v>Depreciation expenses</v>
      </c>
      <c r="J242" t="str">
        <f>_xlfn.XLOOKUP($A242,Map!$A:$A,Map!F:F)</f>
        <v>Depreciation of property, plant and equipment</v>
      </c>
    </row>
    <row r="243" spans="1:10" hidden="1" x14ac:dyDescent="0.25">
      <c r="A243" s="90">
        <v>700051</v>
      </c>
      <c r="B243" s="90" t="s">
        <v>243</v>
      </c>
      <c r="C243" s="91">
        <v>0</v>
      </c>
      <c r="D243" s="91">
        <v>17680.077000000001</v>
      </c>
      <c r="E243" s="91">
        <v>0</v>
      </c>
      <c r="F243" s="91">
        <v>17680.077000000001</v>
      </c>
      <c r="G243" t="str">
        <f>_xlfn.XLOOKUP($A243,Map!$A:$A,Map!C:C)</f>
        <v>IS</v>
      </c>
      <c r="H243" t="str">
        <f>_xlfn.XLOOKUP($A243,Map!$A:$A,Map!D:D)</f>
        <v>Depreciation expenses</v>
      </c>
      <c r="I243" t="str">
        <f>_xlfn.XLOOKUP($A243,Map!$A:$A,Map!E:E)</f>
        <v>Depreciation expenses</v>
      </c>
      <c r="J243" t="str">
        <f>_xlfn.XLOOKUP($A243,Map!$A:$A,Map!F:F)</f>
        <v>Depreciation of property, plant and equipment</v>
      </c>
    </row>
    <row r="244" spans="1:10" hidden="1" x14ac:dyDescent="0.25">
      <c r="A244" s="90">
        <v>700052</v>
      </c>
      <c r="B244" s="90" t="s">
        <v>219</v>
      </c>
      <c r="C244" s="91">
        <v>0</v>
      </c>
      <c r="D244" s="91">
        <v>0</v>
      </c>
      <c r="E244" s="91">
        <v>0</v>
      </c>
      <c r="F244" s="91">
        <v>0</v>
      </c>
      <c r="G244" t="str">
        <f>_xlfn.XLOOKUP($A244,Map!$A:$A,Map!C:C)</f>
        <v>IS</v>
      </c>
      <c r="H244" t="str">
        <f>_xlfn.XLOOKUP($A244,Map!$A:$A,Map!D:D)</f>
        <v>Depreciation expenses</v>
      </c>
      <c r="I244" t="str">
        <f>_xlfn.XLOOKUP($A244,Map!$A:$A,Map!E:E)</f>
        <v>Depreciation expenses</v>
      </c>
      <c r="J244" t="str">
        <f>_xlfn.XLOOKUP($A244,Map!$A:$A,Map!F:F)</f>
        <v>Depreciation of property, plant and equipment</v>
      </c>
    </row>
    <row r="245" spans="1:10" hidden="1" x14ac:dyDescent="0.25">
      <c r="A245" s="90">
        <v>700053</v>
      </c>
      <c r="B245" s="90" t="s">
        <v>220</v>
      </c>
      <c r="C245" s="91">
        <v>0</v>
      </c>
      <c r="D245" s="91">
        <v>2964.86</v>
      </c>
      <c r="E245" s="91">
        <v>0</v>
      </c>
      <c r="F245" s="91">
        <v>2964.86</v>
      </c>
      <c r="G245" t="str">
        <f>_xlfn.XLOOKUP($A245,Map!$A:$A,Map!C:C)</f>
        <v>IS</v>
      </c>
      <c r="H245" t="str">
        <f>_xlfn.XLOOKUP($A245,Map!$A:$A,Map!D:D)</f>
        <v>Depreciation expenses</v>
      </c>
      <c r="I245" t="str">
        <f>_xlfn.XLOOKUP($A245,Map!$A:$A,Map!E:E)</f>
        <v>Depreciation expenses</v>
      </c>
      <c r="J245" t="str">
        <f>_xlfn.XLOOKUP($A245,Map!$A:$A,Map!F:F)</f>
        <v>Depreciation of property, plant and equipment</v>
      </c>
    </row>
    <row r="246" spans="1:10" hidden="1" x14ac:dyDescent="0.25">
      <c r="A246" s="90">
        <v>700054</v>
      </c>
      <c r="B246" s="90" t="s">
        <v>221</v>
      </c>
      <c r="C246" s="91">
        <v>0</v>
      </c>
      <c r="D246" s="91">
        <v>261925.77100000001</v>
      </c>
      <c r="E246" s="91">
        <v>0</v>
      </c>
      <c r="F246" s="91">
        <v>261925.77100000001</v>
      </c>
      <c r="G246" t="str">
        <f>_xlfn.XLOOKUP($A246,Map!$A:$A,Map!C:C)</f>
        <v>IS</v>
      </c>
      <c r="H246" t="str">
        <f>_xlfn.XLOOKUP($A246,Map!$A:$A,Map!D:D)</f>
        <v>Depreciation expenses</v>
      </c>
      <c r="I246" t="str">
        <f>_xlfn.XLOOKUP($A246,Map!$A:$A,Map!E:E)</f>
        <v>Depreciation expenses</v>
      </c>
      <c r="J246" t="str">
        <f>_xlfn.XLOOKUP($A246,Map!$A:$A,Map!F:F)</f>
        <v>Depreciation of property, plant and equipment</v>
      </c>
    </row>
    <row r="247" spans="1:10" hidden="1" x14ac:dyDescent="0.25">
      <c r="A247" s="90">
        <v>700055</v>
      </c>
      <c r="B247" s="90" t="s">
        <v>222</v>
      </c>
      <c r="C247" s="91">
        <v>0</v>
      </c>
      <c r="D247" s="91">
        <v>327256.08500000002</v>
      </c>
      <c r="E247" s="91">
        <v>0</v>
      </c>
      <c r="F247" s="91">
        <v>327256.08500000002</v>
      </c>
      <c r="G247" t="str">
        <f>_xlfn.XLOOKUP($A247,Map!$A:$A,Map!C:C)</f>
        <v>IS</v>
      </c>
      <c r="H247" t="str">
        <f>_xlfn.XLOOKUP($A247,Map!$A:$A,Map!D:D)</f>
        <v>Depreciation expenses</v>
      </c>
      <c r="I247" t="str">
        <f>_xlfn.XLOOKUP($A247,Map!$A:$A,Map!E:E)</f>
        <v>Depreciation expenses</v>
      </c>
      <c r="J247" t="str">
        <f>_xlfn.XLOOKUP($A247,Map!$A:$A,Map!F:F)</f>
        <v>Depreciation of property, plant and equipment</v>
      </c>
    </row>
    <row r="248" spans="1:10" hidden="1" x14ac:dyDescent="0.25">
      <c r="A248" s="90">
        <v>700056</v>
      </c>
      <c r="B248" s="90" t="s">
        <v>223</v>
      </c>
      <c r="C248" s="91">
        <v>0</v>
      </c>
      <c r="D248" s="91">
        <v>91762.504000000001</v>
      </c>
      <c r="E248" s="91">
        <v>0</v>
      </c>
      <c r="F248" s="91">
        <v>91762.504000000001</v>
      </c>
      <c r="G248" t="str">
        <f>_xlfn.XLOOKUP($A248,Map!$A:$A,Map!C:C)</f>
        <v>IS</v>
      </c>
      <c r="H248" t="str">
        <f>_xlfn.XLOOKUP($A248,Map!$A:$A,Map!D:D)</f>
        <v>Depreciation expenses</v>
      </c>
      <c r="I248" t="str">
        <f>_xlfn.XLOOKUP($A248,Map!$A:$A,Map!E:E)</f>
        <v>Depreciation expenses</v>
      </c>
      <c r="J248" t="str">
        <f>_xlfn.XLOOKUP($A248,Map!$A:$A,Map!F:F)</f>
        <v>Depreciation of property, plant and equipment</v>
      </c>
    </row>
    <row r="249" spans="1:10" hidden="1" x14ac:dyDescent="0.25">
      <c r="A249" s="90">
        <v>700057</v>
      </c>
      <c r="B249" s="90" t="s">
        <v>224</v>
      </c>
      <c r="C249" s="91">
        <v>0</v>
      </c>
      <c r="D249" s="91">
        <v>414354.01400000002</v>
      </c>
      <c r="E249" s="91">
        <v>700</v>
      </c>
      <c r="F249" s="91">
        <v>413654.01400000002</v>
      </c>
      <c r="G249" t="str">
        <f>_xlfn.XLOOKUP($A249,Map!$A:$A,Map!C:C)</f>
        <v>IS</v>
      </c>
      <c r="H249" t="str">
        <f>_xlfn.XLOOKUP($A249,Map!$A:$A,Map!D:D)</f>
        <v>Cost of sales</v>
      </c>
      <c r="I249" t="str">
        <f>_xlfn.XLOOKUP($A249,Map!$A:$A,Map!E:E)</f>
        <v>Overhead - Rent</v>
      </c>
      <c r="J249" t="str">
        <f>_xlfn.XLOOKUP($A249,Map!$A:$A,Map!F:F)</f>
        <v>Warehouse Rent ( Khamis, Rioyadh, Dammam)</v>
      </c>
    </row>
    <row r="250" spans="1:10" hidden="1" x14ac:dyDescent="0.25">
      <c r="A250" s="90">
        <v>700058</v>
      </c>
      <c r="B250" s="90" t="s">
        <v>225</v>
      </c>
      <c r="C250" s="91">
        <v>0</v>
      </c>
      <c r="D250" s="91">
        <v>52325.74</v>
      </c>
      <c r="E250" s="91">
        <v>0</v>
      </c>
      <c r="F250" s="91">
        <v>52325.74</v>
      </c>
      <c r="G250" t="str">
        <f>_xlfn.XLOOKUP($A250,Map!$A:$A,Map!C:C)</f>
        <v>IS</v>
      </c>
      <c r="H250" t="str">
        <f>_xlfn.XLOOKUP($A250,Map!$A:$A,Map!D:D)</f>
        <v>Selling and Marketing</v>
      </c>
      <c r="I250" t="str">
        <f>_xlfn.XLOOKUP($A250,Map!$A:$A,Map!E:E)</f>
        <v>Advertising and promotion expenses</v>
      </c>
      <c r="J250" t="str">
        <f>_xlfn.XLOOKUP($A250,Map!$A:$A,Map!F:F)</f>
        <v>Advertising and promotion expenses</v>
      </c>
    </row>
    <row r="251" spans="1:10" hidden="1" x14ac:dyDescent="0.25">
      <c r="A251" s="90">
        <v>700059</v>
      </c>
      <c r="B251" s="90" t="s">
        <v>226</v>
      </c>
      <c r="C251" s="91">
        <v>0</v>
      </c>
      <c r="D251" s="91">
        <v>1629846.0989999999</v>
      </c>
      <c r="E251" s="91">
        <v>352992.56900000002</v>
      </c>
      <c r="F251" s="91">
        <v>1276853.53</v>
      </c>
      <c r="G251" t="str">
        <f>_xlfn.XLOOKUP($A251,Map!$A:$A,Map!C:C)</f>
        <v>IS</v>
      </c>
      <c r="H251" t="str">
        <f>_xlfn.XLOOKUP($A251,Map!$A:$A,Map!D:D)</f>
        <v>Selling and Marketing</v>
      </c>
      <c r="I251" t="str">
        <f>_xlfn.XLOOKUP($A251,Map!$A:$A,Map!E:E)</f>
        <v>Exhibitions</v>
      </c>
      <c r="J251" t="str">
        <f>_xlfn.XLOOKUP($A251,Map!$A:$A,Map!F:F)</f>
        <v>Exhibitions</v>
      </c>
    </row>
    <row r="252" spans="1:10" x14ac:dyDescent="0.25">
      <c r="A252" s="90">
        <v>700060</v>
      </c>
      <c r="B252" s="90" t="s">
        <v>227</v>
      </c>
      <c r="C252" s="91">
        <v>0</v>
      </c>
      <c r="D252" s="91">
        <v>1764321.929</v>
      </c>
      <c r="E252" s="91">
        <v>78568.600999999995</v>
      </c>
      <c r="F252" s="91">
        <v>1685753.328</v>
      </c>
      <c r="G252" t="str">
        <f>_xlfn.XLOOKUP($A252,Map!$A:$A,Map!C:C)</f>
        <v>IS</v>
      </c>
      <c r="H252" t="str">
        <f>_xlfn.XLOOKUP($A252,Map!$A:$A,Map!D:D)</f>
        <v>Cost of sales</v>
      </c>
      <c r="I252" t="str">
        <f>_xlfn.XLOOKUP($A252,Map!$A:$A,Map!E:E)</f>
        <v>Freight expenses</v>
      </c>
      <c r="J252" t="str">
        <f>_xlfn.XLOOKUP($A252,Map!$A:$A,Map!F:F)</f>
        <v>Freight expenses</v>
      </c>
    </row>
    <row r="253" spans="1:10" hidden="1" x14ac:dyDescent="0.25">
      <c r="A253" s="90">
        <v>700061</v>
      </c>
      <c r="B253" s="90" t="s">
        <v>228</v>
      </c>
      <c r="C253" s="91">
        <v>0</v>
      </c>
      <c r="D253" s="91">
        <v>25751.26</v>
      </c>
      <c r="E253" s="91">
        <v>20715.259999999998</v>
      </c>
      <c r="F253" s="91">
        <v>5036</v>
      </c>
      <c r="G253" t="str">
        <f>_xlfn.XLOOKUP($A253,Map!$A:$A,Map!C:C)</f>
        <v>IS</v>
      </c>
      <c r="H253" t="str">
        <f>_xlfn.XLOOKUP($A253,Map!$A:$A,Map!D:D)</f>
        <v>Selling and Marketing</v>
      </c>
      <c r="I253" t="str">
        <f>_xlfn.XLOOKUP($A253,Map!$A:$A,Map!E:E)</f>
        <v>Commission expenses</v>
      </c>
      <c r="J253" t="str">
        <f>_xlfn.XLOOKUP($A253,Map!$A:$A,Map!F:F)</f>
        <v>Commission expenses</v>
      </c>
    </row>
    <row r="254" spans="1:10" hidden="1" x14ac:dyDescent="0.25">
      <c r="A254" s="90">
        <v>700062</v>
      </c>
      <c r="B254" s="90" t="s">
        <v>229</v>
      </c>
      <c r="C254" s="91">
        <v>0</v>
      </c>
      <c r="D254" s="91">
        <v>41288.07</v>
      </c>
      <c r="E254" s="91">
        <v>719809.23</v>
      </c>
      <c r="F254" s="91">
        <v>-678521.16</v>
      </c>
      <c r="G254" t="str">
        <f>_xlfn.XLOOKUP($A254,Map!$A:$A,Map!C:C)</f>
        <v>IS</v>
      </c>
      <c r="H254" t="str">
        <f>_xlfn.XLOOKUP($A254,Map!$A:$A,Map!D:D)</f>
        <v>Revised provision on Bad Debts</v>
      </c>
      <c r="I254" t="str">
        <f>_xlfn.XLOOKUP($A254,Map!$A:$A,Map!E:E)</f>
        <v>Bad debts expense</v>
      </c>
      <c r="J254" t="str">
        <f>_xlfn.XLOOKUP($A254,Map!$A:$A,Map!F:F)</f>
        <v>Bad debts expense</v>
      </c>
    </row>
    <row r="255" spans="1:10" hidden="1" x14ac:dyDescent="0.25">
      <c r="A255" s="90">
        <v>700063</v>
      </c>
      <c r="B255" s="90" t="s">
        <v>230</v>
      </c>
      <c r="C255" s="91">
        <v>0</v>
      </c>
      <c r="D255" s="91">
        <v>1650267.45</v>
      </c>
      <c r="E255" s="91">
        <v>475760.55</v>
      </c>
      <c r="F255" s="91">
        <v>1174506.8999999999</v>
      </c>
      <c r="G255" t="str">
        <f>_xlfn.XLOOKUP($A255,Map!$A:$A,Map!C:C)</f>
        <v>IS</v>
      </c>
      <c r="H255" t="str">
        <f>_xlfn.XLOOKUP($A255,Map!$A:$A,Map!D:D)</f>
        <v>General and Admin</v>
      </c>
      <c r="I255" t="str">
        <f>_xlfn.XLOOKUP($A255,Map!$A:$A,Map!E:E)</f>
        <v>Salaries and wages</v>
      </c>
      <c r="J255" t="str">
        <f>_xlfn.XLOOKUP($A255,Map!$A:$A,Map!F:F)</f>
        <v>GOSI</v>
      </c>
    </row>
    <row r="256" spans="1:10" hidden="1" x14ac:dyDescent="0.25">
      <c r="A256" s="90">
        <v>700064</v>
      </c>
      <c r="B256" s="90" t="s">
        <v>231</v>
      </c>
      <c r="C256" s="91">
        <v>0</v>
      </c>
      <c r="D256" s="91">
        <v>0</v>
      </c>
      <c r="E256" s="91">
        <v>0</v>
      </c>
      <c r="F256" s="91">
        <v>0</v>
      </c>
      <c r="G256" t="str">
        <f>_xlfn.XLOOKUP($A256,Map!$A:$A,Map!C:C)</f>
        <v>IS</v>
      </c>
      <c r="H256" t="str">
        <f>_xlfn.XLOOKUP($A256,Map!$A:$A,Map!D:D)</f>
        <v>Pre-operating expenses</v>
      </c>
      <c r="I256" t="str">
        <f>_xlfn.XLOOKUP($A256,Map!$A:$A,Map!E:E)</f>
        <v>Pre-operating expenses</v>
      </c>
      <c r="J256" t="str">
        <f>_xlfn.XLOOKUP($A256,Map!$A:$A,Map!F:F)</f>
        <v>Amortization</v>
      </c>
    </row>
    <row r="257" spans="1:10" hidden="1" x14ac:dyDescent="0.25">
      <c r="A257" s="90">
        <v>700065</v>
      </c>
      <c r="B257" s="90" t="s">
        <v>245</v>
      </c>
      <c r="C257" s="91">
        <v>0</v>
      </c>
      <c r="D257" s="91">
        <v>76652.009000000005</v>
      </c>
      <c r="E257" s="91">
        <v>0</v>
      </c>
      <c r="F257" s="91">
        <v>76652.009000000005</v>
      </c>
      <c r="G257" t="str">
        <f>_xlfn.XLOOKUP($A257,Map!$A:$A,Map!C:C)</f>
        <v>IS</v>
      </c>
      <c r="H257" t="str">
        <f>_xlfn.XLOOKUP($A257,Map!$A:$A,Map!D:D)</f>
        <v>Finance cost</v>
      </c>
      <c r="I257" t="str">
        <f>_xlfn.XLOOKUP($A257,Map!$A:$A,Map!E:E)</f>
        <v>Finance cost</v>
      </c>
      <c r="J257" t="str">
        <f>_xlfn.XLOOKUP($A257,Map!$A:$A,Map!F:F)</f>
        <v>Lease interest</v>
      </c>
    </row>
    <row r="258" spans="1:10" hidden="1" x14ac:dyDescent="0.25">
      <c r="A258" s="90">
        <v>700066</v>
      </c>
      <c r="B258" s="90" t="s">
        <v>233</v>
      </c>
      <c r="C258" s="91">
        <v>0</v>
      </c>
      <c r="D258" s="91">
        <v>109284.12</v>
      </c>
      <c r="E258" s="91">
        <v>0</v>
      </c>
      <c r="F258" s="91">
        <v>109284.12</v>
      </c>
      <c r="G258" t="str">
        <f>_xlfn.XLOOKUP($A258,Map!$A:$A,Map!C:C)</f>
        <v>IS</v>
      </c>
      <c r="H258" t="str">
        <f>_xlfn.XLOOKUP($A258,Map!$A:$A,Map!D:D)</f>
        <v>General and Admin</v>
      </c>
      <c r="I258" t="str">
        <f>_xlfn.XLOOKUP($A258,Map!$A:$A,Map!E:E)</f>
        <v>Govt license and fees (including modon)</v>
      </c>
      <c r="J258" t="str">
        <f>_xlfn.XLOOKUP($A258,Map!$A:$A,Map!F:F)</f>
        <v>3rd Industrial Area Lease Provision</v>
      </c>
    </row>
    <row r="259" spans="1:10" s="150" customFormat="1" x14ac:dyDescent="0.25">
      <c r="A259" s="150">
        <v>700067</v>
      </c>
      <c r="B259" s="150" t="s">
        <v>234</v>
      </c>
      <c r="C259" s="151">
        <v>0</v>
      </c>
      <c r="D259" s="151">
        <v>17712528.649999999</v>
      </c>
      <c r="E259" s="151">
        <v>6636597.0889999997</v>
      </c>
      <c r="F259" s="151">
        <v>11075931.561000001</v>
      </c>
      <c r="G259" t="str">
        <f>_xlfn.XLOOKUP($A259,Map!$A:$A,Map!C:C)</f>
        <v>IS</v>
      </c>
      <c r="H259" t="str">
        <f>_xlfn.XLOOKUP($A259,Map!$A:$A,Map!D:D)</f>
        <v>Cost of sales</v>
      </c>
      <c r="I259" t="str">
        <f>_xlfn.XLOOKUP($A259,Map!$A:$A,Map!E:E)</f>
        <v>Freight expenses</v>
      </c>
      <c r="J259" t="str">
        <f>_xlfn.XLOOKUP($A259,Map!$A:$A,Map!F:F)</f>
        <v>Freight expenses</v>
      </c>
    </row>
    <row r="260" spans="1:10" s="150" customFormat="1" x14ac:dyDescent="0.25">
      <c r="A260" s="150">
        <v>700068</v>
      </c>
      <c r="B260" s="150" t="s">
        <v>254</v>
      </c>
      <c r="C260" s="151">
        <v>0</v>
      </c>
      <c r="D260" s="151">
        <v>87004.12</v>
      </c>
      <c r="E260" s="151">
        <v>0</v>
      </c>
      <c r="F260" s="151">
        <v>87004.12</v>
      </c>
      <c r="G260" t="str">
        <f>_xlfn.XLOOKUP($A260,Map!$A:$A,Map!C:C)</f>
        <v>IS</v>
      </c>
      <c r="H260" t="str">
        <f>_xlfn.XLOOKUP($A260,Map!$A:$A,Map!D:D)</f>
        <v>Cost of sales</v>
      </c>
      <c r="I260" t="str">
        <f>_xlfn.XLOOKUP($A260,Map!$A:$A,Map!E:E)</f>
        <v>Freight expenses</v>
      </c>
      <c r="J260" t="str">
        <f>_xlfn.XLOOKUP($A260,Map!$A:$A,Map!F:F)</f>
        <v>Freight expenses</v>
      </c>
    </row>
    <row r="261" spans="1:10" s="150" customFormat="1" hidden="1" x14ac:dyDescent="0.25">
      <c r="A261" s="152">
        <v>700069</v>
      </c>
      <c r="B261" s="150" t="s">
        <v>232</v>
      </c>
      <c r="C261" s="151">
        <v>0</v>
      </c>
      <c r="D261" s="151">
        <v>149586.15700000001</v>
      </c>
      <c r="E261" s="151">
        <v>2247</v>
      </c>
      <c r="F261" s="151">
        <v>147339.15700000001</v>
      </c>
      <c r="G261" t="str">
        <f>_xlfn.XLOOKUP($A261,Map!$A:$A,Map!C:C)</f>
        <v>IS</v>
      </c>
      <c r="H261" t="str">
        <f>_xlfn.XLOOKUP($A261,Map!$A:$A,Map!D:D)</f>
        <v>General and Admin</v>
      </c>
      <c r="I261" t="str">
        <f>_xlfn.XLOOKUP($A261,Map!$A:$A,Map!E:E)</f>
        <v>Rent</v>
      </c>
      <c r="J261" t="str">
        <f>_xlfn.XLOOKUP($A261,Map!$A:$A,Map!F:F)</f>
        <v xml:space="preserve">Sales Office Rent (Dammam) </v>
      </c>
    </row>
    <row r="262" spans="1:10" hidden="1" x14ac:dyDescent="0.25">
      <c r="A262" s="90">
        <v>700070</v>
      </c>
      <c r="B262" s="90" t="s">
        <v>452</v>
      </c>
      <c r="C262" s="91">
        <v>0</v>
      </c>
      <c r="D262" s="91">
        <v>49336788.022</v>
      </c>
      <c r="E262" s="91">
        <v>22186227.585999999</v>
      </c>
      <c r="F262" s="91">
        <v>27150560.436000001</v>
      </c>
      <c r="G262" t="str">
        <f>_xlfn.XLOOKUP($A262,Map!$A:$A,Map!C:C)</f>
        <v>IS</v>
      </c>
      <c r="H262" t="str">
        <f>_xlfn.XLOOKUP($A262,Map!$A:$A,Map!D:D)</f>
        <v>Cost of sales</v>
      </c>
      <c r="I262" t="str">
        <f>_xlfn.XLOOKUP($A262,Map!$A:$A,Map!E:E)</f>
        <v>Customs duties and clearances</v>
      </c>
      <c r="J262" t="str">
        <f>_xlfn.XLOOKUP($A262,Map!$A:$A,Map!F:F)</f>
        <v>Customs duties</v>
      </c>
    </row>
    <row r="263" spans="1:10" hidden="1" x14ac:dyDescent="0.25">
      <c r="A263" s="90">
        <v>700071</v>
      </c>
      <c r="B263" s="90" t="s">
        <v>453</v>
      </c>
      <c r="C263" s="91">
        <v>0</v>
      </c>
      <c r="D263" s="91">
        <v>3516752.5950000002</v>
      </c>
      <c r="E263" s="91">
        <v>1335345.4909999999</v>
      </c>
      <c r="F263" s="91">
        <v>2181407.1039999998</v>
      </c>
      <c r="G263" t="str">
        <f>_xlfn.XLOOKUP($A263,Map!$A:$A,Map!C:C)</f>
        <v>IS</v>
      </c>
      <c r="H263" t="str">
        <f>_xlfn.XLOOKUP($A263,Map!$A:$A,Map!D:D)</f>
        <v>Cost of sales</v>
      </c>
      <c r="I263" t="str">
        <f>_xlfn.XLOOKUP($A263,Map!$A:$A,Map!E:E)</f>
        <v>Customs duties and clearances</v>
      </c>
      <c r="J263" t="str">
        <f>_xlfn.XLOOKUP($A263,Map!$A:$A,Map!F:F)</f>
        <v>Customs clearance</v>
      </c>
    </row>
    <row r="264" spans="1:10" hidden="1" x14ac:dyDescent="0.25">
      <c r="A264" s="90">
        <v>700072</v>
      </c>
      <c r="B264" s="90" t="s">
        <v>454</v>
      </c>
      <c r="C264" s="91">
        <v>0</v>
      </c>
      <c r="D264" s="91">
        <v>4038137.5090000001</v>
      </c>
      <c r="E264" s="91">
        <v>49725.353999999999</v>
      </c>
      <c r="F264" s="91">
        <v>3988412.1549999998</v>
      </c>
      <c r="G264" t="str">
        <f>_xlfn.XLOOKUP($A264,Map!$A:$A,Map!C:C)</f>
        <v>IS</v>
      </c>
      <c r="H264" t="str">
        <f>_xlfn.XLOOKUP($A264,Map!$A:$A,Map!D:D)</f>
        <v>General and Admin</v>
      </c>
      <c r="I264" t="str">
        <f>_xlfn.XLOOKUP($A264,Map!$A:$A,Map!E:E)</f>
        <v>Salaries and wages</v>
      </c>
      <c r="J264" t="str">
        <f>_xlfn.XLOOKUP($A264,Map!$A:$A,Map!F:F)</f>
        <v>Rental labor</v>
      </c>
    </row>
    <row r="265" spans="1:10" hidden="1" x14ac:dyDescent="0.25">
      <c r="A265" s="90">
        <v>700074</v>
      </c>
      <c r="B265" s="90" t="s">
        <v>457</v>
      </c>
      <c r="C265" s="91">
        <v>0</v>
      </c>
      <c r="D265" s="91">
        <v>0</v>
      </c>
      <c r="E265" s="91">
        <v>0</v>
      </c>
      <c r="F265" s="91">
        <v>0</v>
      </c>
      <c r="G265" t="str">
        <f>_xlfn.XLOOKUP($A265,Map!$A:$A,Map!C:C)</f>
        <v>IS</v>
      </c>
      <c r="H265" t="str">
        <f>_xlfn.XLOOKUP($A265,Map!$A:$A,Map!D:D)</f>
        <v>General and Admin</v>
      </c>
      <c r="I265" t="str">
        <f>_xlfn.XLOOKUP($A265,Map!$A:$A,Map!E:E)</f>
        <v>Inventory Adjustment Expense</v>
      </c>
      <c r="J265" t="str">
        <f>_xlfn.XLOOKUP($A265,Map!$A:$A,Map!F:F)</f>
        <v>Inventory Adjustment Expense</v>
      </c>
    </row>
    <row r="266" spans="1:10" hidden="1" x14ac:dyDescent="0.25">
      <c r="A266" s="90">
        <v>700075</v>
      </c>
      <c r="B266" s="90" t="s">
        <v>545</v>
      </c>
      <c r="C266" s="91">
        <v>0</v>
      </c>
      <c r="D266" s="91">
        <v>48402.084000000003</v>
      </c>
      <c r="E266" s="91">
        <v>0</v>
      </c>
      <c r="F266" s="91">
        <v>48402.084000000003</v>
      </c>
      <c r="G266" t="str">
        <f>_xlfn.XLOOKUP($A266,Map!$A:$A,Map!C:C)</f>
        <v>IS</v>
      </c>
      <c r="H266" t="str">
        <f>_xlfn.XLOOKUP($A266,Map!$A:$A,Map!D:D)</f>
        <v>General and Admin</v>
      </c>
      <c r="I266" t="str">
        <f>_xlfn.XLOOKUP($A266,Map!$A:$A,Map!E:E)</f>
        <v>Utilities</v>
      </c>
      <c r="J266" t="str">
        <f>_xlfn.XLOOKUP($A266,Map!$A:$A,Map!F:F)</f>
        <v>Subscriptions &amp; Membership Fees</v>
      </c>
    </row>
    <row r="267" spans="1:10" hidden="1" x14ac:dyDescent="0.25">
      <c r="A267" s="90">
        <v>700076</v>
      </c>
      <c r="B267" s="90" t="s">
        <v>548</v>
      </c>
      <c r="C267" s="91">
        <v>0</v>
      </c>
      <c r="D267" s="91">
        <v>5955.22</v>
      </c>
      <c r="E267" s="91">
        <v>0</v>
      </c>
      <c r="F267" s="91">
        <v>5955.22</v>
      </c>
      <c r="G267" t="str">
        <f>_xlfn.XLOOKUP($A267,Map!$A:$A,Map!C:C)</f>
        <v>IS</v>
      </c>
      <c r="H267" t="str">
        <f>_xlfn.XLOOKUP($A267,Map!$A:$A,Map!D:D)</f>
        <v>General and Admin</v>
      </c>
      <c r="I267" t="str">
        <f>_xlfn.XLOOKUP($A267,Map!$A:$A,Map!E:E)</f>
        <v>Utilities</v>
      </c>
      <c r="J267" t="str">
        <f>_xlfn.XLOOKUP($A267,Map!$A:$A,Map!F:F)</f>
        <v>Entertainment expense</v>
      </c>
    </row>
    <row r="268" spans="1:10" x14ac:dyDescent="0.25">
      <c r="A268" s="90">
        <v>700077</v>
      </c>
      <c r="B268" s="90" t="s">
        <v>569</v>
      </c>
      <c r="C268" s="91">
        <v>0</v>
      </c>
      <c r="D268" s="91">
        <v>547824.87899999996</v>
      </c>
      <c r="E268" s="91">
        <v>0</v>
      </c>
      <c r="F268" s="91">
        <v>547824.87899999996</v>
      </c>
      <c r="G268" t="str">
        <f>_xlfn.XLOOKUP($A268,Map!$A:$A,Map!C:C)</f>
        <v>IS</v>
      </c>
      <c r="H268" t="str">
        <f>_xlfn.XLOOKUP($A268,Map!$A:$A,Map!D:D)</f>
        <v>Cost of sales</v>
      </c>
      <c r="I268" t="str">
        <f>_xlfn.XLOOKUP($A268,Map!$A:$A,Map!E:E)</f>
        <v>Freight expenses</v>
      </c>
      <c r="J268" t="str">
        <f>_xlfn.XLOOKUP($A268,Map!$A:$A,Map!F:F)</f>
        <v>Freight expenses</v>
      </c>
    </row>
    <row r="269" spans="1:10" hidden="1" x14ac:dyDescent="0.25">
      <c r="A269" s="90">
        <v>800001</v>
      </c>
      <c r="B269" s="90" t="s">
        <v>235</v>
      </c>
      <c r="C269" s="91">
        <v>0</v>
      </c>
      <c r="D269" s="91">
        <v>0</v>
      </c>
      <c r="E269" s="91">
        <v>0</v>
      </c>
      <c r="F269" s="91">
        <v>0</v>
      </c>
      <c r="G269" t="str">
        <f>_xlfn.XLOOKUP($A269,Map!$A:$A,Map!C:C)</f>
        <v>BS</v>
      </c>
      <c r="H269" t="str">
        <f>_xlfn.XLOOKUP($A269,Map!$A:$A,Map!D:D)</f>
        <v>Non-Current Liabilities</v>
      </c>
      <c r="I269" t="str">
        <f>_xlfn.XLOOKUP($A269,Map!$A:$A,Map!E:E)</f>
        <v xml:space="preserve">Due to related parties </v>
      </c>
      <c r="J269" t="str">
        <f>_xlfn.XLOOKUP($A269,Map!$A:$A,Map!F:F)</f>
        <v>Aims Holding  Current Acc</v>
      </c>
    </row>
    <row r="270" spans="1:10" hidden="1" x14ac:dyDescent="0.25">
      <c r="A270" s="90">
        <v>800002</v>
      </c>
      <c r="B270" s="90" t="s">
        <v>236</v>
      </c>
      <c r="C270" s="91">
        <v>0</v>
      </c>
      <c r="D270" s="91">
        <v>0</v>
      </c>
      <c r="E270" s="91">
        <v>0</v>
      </c>
      <c r="F270" s="91">
        <v>0</v>
      </c>
      <c r="G270" t="str">
        <f>_xlfn.XLOOKUP($A270,Map!$A:$A,Map!C:C)</f>
        <v>IS</v>
      </c>
      <c r="H270" t="str">
        <f>_xlfn.XLOOKUP($A270,Map!$A:$A,Map!D:D)</f>
        <v>General and Admin</v>
      </c>
      <c r="I270" t="str">
        <f>_xlfn.XLOOKUP($A270,Map!$A:$A,Map!E:E)</f>
        <v>AIMS expenses</v>
      </c>
      <c r="J270" t="str">
        <f>_xlfn.XLOOKUP($A270,Map!$A:$A,Map!F:F)</f>
        <v>Aims Holding  Current Acc</v>
      </c>
    </row>
    <row r="272" spans="1:10" x14ac:dyDescent="0.25">
      <c r="C272" s="93">
        <f t="shared" ref="C272:E272" si="0">SUBTOTAL(9,C5:C271)</f>
        <v>0</v>
      </c>
      <c r="D272" s="93">
        <f t="shared" si="0"/>
        <v>20111679.578000002</v>
      </c>
      <c r="E272" s="93">
        <f t="shared" si="0"/>
        <v>6715165.6899999995</v>
      </c>
      <c r="F272" s="93">
        <f>SUBTOTAL(9,F5:F271)</f>
        <v>13396513.888</v>
      </c>
    </row>
    <row r="275" spans="1:10" x14ac:dyDescent="0.25">
      <c r="A275" s="90">
        <v>170021</v>
      </c>
      <c r="B275" s="90" t="s">
        <v>535</v>
      </c>
      <c r="D275" s="91">
        <v>4807450.6069999998</v>
      </c>
      <c r="F275" s="91">
        <f>D275-E275</f>
        <v>4807450.6069999998</v>
      </c>
      <c r="G275" t="str">
        <f>_xlfn.XLOOKUP($A275,Map!$A:$A,Map!C:C)</f>
        <v>BS</v>
      </c>
      <c r="H275" t="str">
        <f>_xlfn.XLOOKUP($A275,Map!$A:$A,Map!D:D)</f>
        <v>Current Assets</v>
      </c>
      <c r="I275" t="str">
        <f>_xlfn.XLOOKUP($A275,Map!$A:$A,Map!E:E)</f>
        <v>Prepaid expenses</v>
      </c>
      <c r="J275" t="str">
        <f>_xlfn.XLOOKUP($A275,Map!$A:$A,Map!F:F)</f>
        <v>Prepaid expense</v>
      </c>
    </row>
    <row r="276" spans="1:10" x14ac:dyDescent="0.25">
      <c r="A276" s="1">
        <v>210001</v>
      </c>
      <c r="B276" s="1" t="s">
        <v>78</v>
      </c>
      <c r="E276" s="91">
        <f>D275</f>
        <v>4807450.6069999998</v>
      </c>
      <c r="F276" s="91">
        <f>D276-E276</f>
        <v>-4807450.6069999998</v>
      </c>
      <c r="G276" t="str">
        <f>_xlfn.XLOOKUP($A276,Map!$A:$A,Map!C:C)</f>
        <v>BS</v>
      </c>
      <c r="H276" t="str">
        <f>_xlfn.XLOOKUP($A276,Map!$A:$A,Map!D:D)</f>
        <v>Current Liabilities</v>
      </c>
      <c r="I276" t="str">
        <f>_xlfn.XLOOKUP($A276,Map!$A:$A,Map!E:E)</f>
        <v>Tade payables and Accuals &amp; other credit balances</v>
      </c>
      <c r="J276" t="str">
        <f>_xlfn.XLOOKUP($A276,Map!$A:$A,Map!F:F)</f>
        <v>Trade payables - Foreign</v>
      </c>
    </row>
    <row r="278" spans="1:10" x14ac:dyDescent="0.25">
      <c r="A278" s="90">
        <v>410001</v>
      </c>
      <c r="B278" s="183" t="s">
        <v>746</v>
      </c>
      <c r="D278" s="91">
        <v>38928568.840830579</v>
      </c>
      <c r="F278" s="91">
        <f t="shared" ref="F278:F283" si="1">D278-E278</f>
        <v>38928568.840830579</v>
      </c>
      <c r="G278" t="str">
        <f>_xlfn.XLOOKUP($A278,Map!$A:$A,Map!C:C)</f>
        <v>IS</v>
      </c>
      <c r="H278" t="str">
        <f>_xlfn.XLOOKUP($A278,Map!$A:$A,Map!D:D)</f>
        <v>Sales</v>
      </c>
      <c r="I278" t="str">
        <f>_xlfn.XLOOKUP($A278,Map!$A:$A,Map!E:E)</f>
        <v>Sales</v>
      </c>
      <c r="J278" t="str">
        <f>_xlfn.XLOOKUP($A278,Map!$A:$A,Map!F:F)</f>
        <v>Trading revenue</v>
      </c>
    </row>
    <row r="279" spans="1:10" x14ac:dyDescent="0.25">
      <c r="A279" s="90">
        <v>140001</v>
      </c>
      <c r="B279" s="90" t="s">
        <v>35</v>
      </c>
      <c r="F279" s="91">
        <f t="shared" si="1"/>
        <v>0</v>
      </c>
      <c r="G279" t="str">
        <f>_xlfn.XLOOKUP($A279,Map!$A:$A,Map!C:C)</f>
        <v>BS</v>
      </c>
      <c r="H279" t="str">
        <f>_xlfn.XLOOKUP($A279,Map!$A:$A,Map!D:D)</f>
        <v>Current Assets</v>
      </c>
      <c r="I279" t="str">
        <f>_xlfn.XLOOKUP($A279,Map!$A:$A,Map!E:E)</f>
        <v>Trade receivables</v>
      </c>
      <c r="J279" t="str">
        <f>_xlfn.XLOOKUP($A279,Map!$A:$A,Map!F:F)</f>
        <v>Trade receivables - current</v>
      </c>
    </row>
    <row r="280" spans="1:10" x14ac:dyDescent="0.25">
      <c r="A280" s="90">
        <v>700070</v>
      </c>
      <c r="B280" s="90" t="s">
        <v>452</v>
      </c>
      <c r="E280" s="91">
        <f>SUMIF($A$4:$A$272,A280,$F$4:$F$272)</f>
        <v>27150560.436000001</v>
      </c>
      <c r="F280" s="91">
        <f t="shared" si="1"/>
        <v>-27150560.436000001</v>
      </c>
      <c r="G280" t="str">
        <f>_xlfn.XLOOKUP($A280,Map!$A:$A,Map!C:C)</f>
        <v>IS</v>
      </c>
      <c r="H280" t="str">
        <f>_xlfn.XLOOKUP($A280,Map!$A:$A,Map!D:D)</f>
        <v>Cost of sales</v>
      </c>
      <c r="I280" t="str">
        <f>_xlfn.XLOOKUP($A280,Map!$A:$A,Map!E:E)</f>
        <v>Customs duties and clearances</v>
      </c>
      <c r="J280" t="str">
        <f>_xlfn.XLOOKUP($A280,Map!$A:$A,Map!F:F)</f>
        <v>Customs duties</v>
      </c>
    </row>
    <row r="281" spans="1:10" x14ac:dyDescent="0.25">
      <c r="A281" s="90">
        <v>700071</v>
      </c>
      <c r="B281" s="90" t="s">
        <v>453</v>
      </c>
      <c r="E281" s="91">
        <f>SUMIF($A$4:$A$272,A281,$F$4:$F$272)</f>
        <v>2181407.1039999998</v>
      </c>
      <c r="F281" s="91">
        <f t="shared" si="1"/>
        <v>-2181407.1039999998</v>
      </c>
      <c r="G281" t="str">
        <f>_xlfn.XLOOKUP($A281,Map!$A:$A,Map!C:C)</f>
        <v>IS</v>
      </c>
      <c r="H281" t="str">
        <f>_xlfn.XLOOKUP($A281,Map!$A:$A,Map!D:D)</f>
        <v>Cost of sales</v>
      </c>
      <c r="I281" t="str">
        <f>_xlfn.XLOOKUP($A281,Map!$A:$A,Map!E:E)</f>
        <v>Customs duties and clearances</v>
      </c>
      <c r="J281" t="str">
        <f>_xlfn.XLOOKUP($A281,Map!$A:$A,Map!F:F)</f>
        <v>Customs clearance</v>
      </c>
    </row>
    <row r="282" spans="1:10" x14ac:dyDescent="0.25">
      <c r="A282" s="150">
        <v>700067</v>
      </c>
      <c r="B282" s="150" t="s">
        <v>234</v>
      </c>
      <c r="E282" s="91">
        <f>SUMIF($A$4:$A$272,A282,$F$4:$F$272)</f>
        <v>11075931.561000001</v>
      </c>
      <c r="F282" s="91">
        <f t="shared" si="1"/>
        <v>-11075931.561000001</v>
      </c>
      <c r="G282" t="str">
        <f>_xlfn.XLOOKUP($A282,Map!$A:$A,Map!C:C)</f>
        <v>IS</v>
      </c>
      <c r="H282" t="str">
        <f>_xlfn.XLOOKUP($A282,Map!$A:$A,Map!D:D)</f>
        <v>Cost of sales</v>
      </c>
      <c r="I282" t="str">
        <f>_xlfn.XLOOKUP($A282,Map!$A:$A,Map!E:E)</f>
        <v>Freight expenses</v>
      </c>
      <c r="J282" t="str">
        <f>_xlfn.XLOOKUP($A282,Map!$A:$A,Map!F:F)</f>
        <v>Freight expenses</v>
      </c>
    </row>
    <row r="283" spans="1:10" x14ac:dyDescent="0.25">
      <c r="A283" s="150">
        <v>700068</v>
      </c>
      <c r="B283" s="150" t="s">
        <v>254</v>
      </c>
      <c r="E283" s="91">
        <f>SUMIF($A$4:$A$272,A283,$F$4:$F$272)</f>
        <v>87004.12</v>
      </c>
      <c r="F283" s="91">
        <f t="shared" si="1"/>
        <v>-87004.12</v>
      </c>
      <c r="G283" t="str">
        <f>_xlfn.XLOOKUP($A283,Map!$A:$A,Map!C:C)</f>
        <v>IS</v>
      </c>
      <c r="H283" t="str">
        <f>_xlfn.XLOOKUP($A283,Map!$A:$A,Map!D:D)</f>
        <v>Cost of sales</v>
      </c>
      <c r="I283" t="str">
        <f>_xlfn.XLOOKUP($A283,Map!$A:$A,Map!E:E)</f>
        <v>Freight expenses</v>
      </c>
      <c r="J283" t="str">
        <f>_xlfn.XLOOKUP($A283,Map!$A:$A,Map!F:F)</f>
        <v>Freight expenses</v>
      </c>
    </row>
  </sheetData>
  <autoFilter ref="A4:J270" xr:uid="{08F946E2-1835-4B54-82A6-702BC9E20E50}">
    <filterColumn colId="9">
      <filters>
        <filter val="Freight expenses"/>
      </filters>
    </filterColumn>
  </autoFilter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6484-0BB6-43C9-9ADA-E6A8522B551A}">
  <dimension ref="A1:L274"/>
  <sheetViews>
    <sheetView zoomScale="90" zoomScaleNormal="90" workbookViewId="0">
      <pane ySplit="1" topLeftCell="A2" activePane="bottomLeft" state="frozen"/>
      <selection activeCell="A3" sqref="A3"/>
      <selection pane="bottomLeft" activeCell="A218" sqref="A218"/>
    </sheetView>
  </sheetViews>
  <sheetFormatPr defaultColWidth="8.85546875" defaultRowHeight="15" x14ac:dyDescent="0.25"/>
  <cols>
    <col min="1" max="1" width="8.85546875" style="10"/>
    <col min="2" max="2" width="52.28515625" style="9" bestFit="1" customWidth="1"/>
    <col min="3" max="3" width="10.7109375" style="9" bestFit="1" customWidth="1"/>
    <col min="4" max="4" width="28.28515625" style="9" customWidth="1"/>
    <col min="5" max="5" width="42.5703125" style="9" bestFit="1" customWidth="1"/>
    <col min="6" max="6" width="48.28515625" style="9" bestFit="1" customWidth="1"/>
    <col min="7" max="10" width="8.85546875" style="9"/>
    <col min="11" max="11" width="8.85546875" style="10"/>
    <col min="12" max="16384" width="8.85546875" style="9"/>
  </cols>
  <sheetData>
    <row r="1" spans="1:12" x14ac:dyDescent="0.25">
      <c r="A1" s="7" t="s">
        <v>263</v>
      </c>
      <c r="B1" s="8" t="s">
        <v>264</v>
      </c>
      <c r="C1" s="8" t="s">
        <v>265</v>
      </c>
      <c r="D1" s="8" t="s">
        <v>266</v>
      </c>
      <c r="E1" s="7" t="s">
        <v>267</v>
      </c>
      <c r="F1" s="7" t="s">
        <v>268</v>
      </c>
      <c r="G1" s="45" t="s">
        <v>410</v>
      </c>
    </row>
    <row r="2" spans="1:12" x14ac:dyDescent="0.25">
      <c r="A2" s="10">
        <v>110001</v>
      </c>
      <c r="B2" s="9" t="s">
        <v>0</v>
      </c>
      <c r="C2" s="9" t="s">
        <v>269</v>
      </c>
      <c r="D2" s="9" t="s">
        <v>270</v>
      </c>
      <c r="E2" s="9" t="s">
        <v>271</v>
      </c>
      <c r="F2" s="9" t="s">
        <v>271</v>
      </c>
      <c r="K2" s="10">
        <v>1</v>
      </c>
      <c r="L2" s="9" t="s">
        <v>272</v>
      </c>
    </row>
    <row r="3" spans="1:12" x14ac:dyDescent="0.25">
      <c r="A3" s="10">
        <v>110002</v>
      </c>
      <c r="B3" s="9" t="s">
        <v>1</v>
      </c>
      <c r="C3" s="9" t="s">
        <v>269</v>
      </c>
      <c r="D3" s="9" t="s">
        <v>270</v>
      </c>
      <c r="E3" s="9" t="s">
        <v>271</v>
      </c>
      <c r="F3" s="9" t="s">
        <v>271</v>
      </c>
      <c r="K3" s="10">
        <v>3</v>
      </c>
    </row>
    <row r="4" spans="1:12" x14ac:dyDescent="0.25">
      <c r="A4" s="10">
        <v>110003</v>
      </c>
      <c r="B4" s="9" t="s">
        <v>2</v>
      </c>
      <c r="C4" s="9" t="s">
        <v>269</v>
      </c>
      <c r="D4" s="9" t="s">
        <v>270</v>
      </c>
      <c r="E4" s="9" t="s">
        <v>271</v>
      </c>
      <c r="F4" s="9" t="s">
        <v>271</v>
      </c>
      <c r="K4" s="10">
        <v>4</v>
      </c>
    </row>
    <row r="5" spans="1:12" x14ac:dyDescent="0.25">
      <c r="A5" s="10">
        <v>110004</v>
      </c>
      <c r="B5" s="9" t="s">
        <v>3</v>
      </c>
      <c r="C5" s="9" t="s">
        <v>269</v>
      </c>
      <c r="D5" s="9" t="s">
        <v>270</v>
      </c>
      <c r="E5" s="9" t="s">
        <v>271</v>
      </c>
      <c r="F5" s="9" t="s">
        <v>271</v>
      </c>
      <c r="K5" s="10">
        <v>5</v>
      </c>
    </row>
    <row r="6" spans="1:12" x14ac:dyDescent="0.25">
      <c r="A6" s="10">
        <v>110006</v>
      </c>
      <c r="B6" s="9" t="s">
        <v>4</v>
      </c>
      <c r="C6" s="9" t="s">
        <v>269</v>
      </c>
      <c r="D6" s="9" t="s">
        <v>270</v>
      </c>
      <c r="E6" s="9" t="s">
        <v>271</v>
      </c>
      <c r="F6" s="9" t="s">
        <v>271</v>
      </c>
      <c r="K6" s="10">
        <v>6</v>
      </c>
    </row>
    <row r="7" spans="1:12" x14ac:dyDescent="0.25">
      <c r="A7" s="10">
        <v>110007</v>
      </c>
      <c r="B7" s="9" t="s">
        <v>5</v>
      </c>
      <c r="C7" s="9" t="s">
        <v>269</v>
      </c>
      <c r="D7" s="9" t="s">
        <v>270</v>
      </c>
      <c r="E7" s="9" t="s">
        <v>271</v>
      </c>
      <c r="F7" s="9" t="s">
        <v>271</v>
      </c>
      <c r="K7" s="10">
        <v>7</v>
      </c>
    </row>
    <row r="8" spans="1:12" x14ac:dyDescent="0.25">
      <c r="A8" s="10">
        <v>110008</v>
      </c>
      <c r="B8" s="9" t="s">
        <v>6</v>
      </c>
      <c r="C8" s="9" t="s">
        <v>269</v>
      </c>
      <c r="D8" s="9" t="s">
        <v>270</v>
      </c>
      <c r="E8" s="9" t="s">
        <v>271</v>
      </c>
      <c r="F8" s="9" t="s">
        <v>271</v>
      </c>
      <c r="K8" s="10">
        <v>8</v>
      </c>
    </row>
    <row r="9" spans="1:12" x14ac:dyDescent="0.25">
      <c r="A9" s="10">
        <v>111009</v>
      </c>
      <c r="B9" s="9" t="s">
        <v>7</v>
      </c>
      <c r="C9" s="9" t="s">
        <v>269</v>
      </c>
      <c r="D9" s="9" t="s">
        <v>270</v>
      </c>
      <c r="E9" s="9" t="s">
        <v>391</v>
      </c>
      <c r="F9" s="9" t="s">
        <v>273</v>
      </c>
      <c r="K9" s="10">
        <v>10</v>
      </c>
    </row>
    <row r="10" spans="1:12" x14ac:dyDescent="0.25">
      <c r="A10" s="10">
        <v>111010</v>
      </c>
      <c r="B10" s="9" t="s">
        <v>8</v>
      </c>
      <c r="C10" s="9" t="s">
        <v>269</v>
      </c>
      <c r="D10" s="9" t="s">
        <v>270</v>
      </c>
      <c r="E10" s="9" t="s">
        <v>271</v>
      </c>
      <c r="F10" s="9" t="s">
        <v>274</v>
      </c>
      <c r="K10" s="10">
        <v>11</v>
      </c>
    </row>
    <row r="11" spans="1:12" x14ac:dyDescent="0.25">
      <c r="A11" s="10">
        <v>111013</v>
      </c>
      <c r="B11" s="9" t="s">
        <v>9</v>
      </c>
      <c r="C11" s="9" t="s">
        <v>269</v>
      </c>
      <c r="D11" s="9" t="s">
        <v>270</v>
      </c>
      <c r="E11" s="9" t="s">
        <v>271</v>
      </c>
      <c r="F11" s="9" t="s">
        <v>274</v>
      </c>
      <c r="K11" s="10">
        <v>12</v>
      </c>
    </row>
    <row r="12" spans="1:12" x14ac:dyDescent="0.25">
      <c r="A12" s="10">
        <v>111099</v>
      </c>
      <c r="B12" s="9" t="s">
        <v>10</v>
      </c>
      <c r="C12" s="9" t="s">
        <v>269</v>
      </c>
      <c r="D12" s="9" t="s">
        <v>270</v>
      </c>
      <c r="E12" s="9" t="s">
        <v>271</v>
      </c>
      <c r="F12" s="9" t="s">
        <v>274</v>
      </c>
      <c r="K12" s="10">
        <v>13</v>
      </c>
    </row>
    <row r="13" spans="1:12" x14ac:dyDescent="0.25">
      <c r="A13" s="10">
        <v>120001</v>
      </c>
      <c r="B13" s="9" t="s">
        <v>11</v>
      </c>
      <c r="C13" s="9" t="s">
        <v>269</v>
      </c>
      <c r="D13" s="9" t="s">
        <v>270</v>
      </c>
      <c r="E13" s="9" t="s">
        <v>271</v>
      </c>
      <c r="F13" s="9" t="s">
        <v>274</v>
      </c>
      <c r="K13" s="10">
        <v>14</v>
      </c>
    </row>
    <row r="14" spans="1:12" x14ac:dyDescent="0.25">
      <c r="A14" s="10">
        <v>120002</v>
      </c>
      <c r="B14" s="9" t="s">
        <v>12</v>
      </c>
      <c r="C14" s="9" t="s">
        <v>269</v>
      </c>
      <c r="D14" s="9" t="s">
        <v>270</v>
      </c>
      <c r="E14" s="9" t="s">
        <v>271</v>
      </c>
      <c r="F14" s="9" t="s">
        <v>274</v>
      </c>
      <c r="K14" s="10">
        <v>15</v>
      </c>
    </row>
    <row r="15" spans="1:12" x14ac:dyDescent="0.25">
      <c r="A15" s="10">
        <v>120003</v>
      </c>
      <c r="B15" s="9" t="s">
        <v>13</v>
      </c>
      <c r="C15" s="9" t="s">
        <v>269</v>
      </c>
      <c r="D15" s="9" t="s">
        <v>270</v>
      </c>
      <c r="E15" s="9" t="s">
        <v>271</v>
      </c>
      <c r="F15" s="9" t="s">
        <v>274</v>
      </c>
      <c r="K15" s="10">
        <v>16</v>
      </c>
    </row>
    <row r="16" spans="1:12" x14ac:dyDescent="0.25">
      <c r="A16" s="10">
        <v>120005</v>
      </c>
      <c r="B16" s="9" t="s">
        <v>14</v>
      </c>
      <c r="C16" s="9" t="s">
        <v>269</v>
      </c>
      <c r="D16" s="9" t="s">
        <v>270</v>
      </c>
      <c r="E16" s="9" t="s">
        <v>271</v>
      </c>
      <c r="F16" s="9" t="s">
        <v>274</v>
      </c>
      <c r="K16" s="10">
        <v>17</v>
      </c>
    </row>
    <row r="17" spans="1:11" x14ac:dyDescent="0.25">
      <c r="A17" s="10">
        <v>120006</v>
      </c>
      <c r="B17" s="9" t="s">
        <v>15</v>
      </c>
      <c r="C17" s="9" t="s">
        <v>269</v>
      </c>
      <c r="D17" s="9" t="s">
        <v>270</v>
      </c>
      <c r="E17" s="9" t="s">
        <v>271</v>
      </c>
      <c r="F17" s="9" t="s">
        <v>274</v>
      </c>
      <c r="K17" s="10">
        <v>18</v>
      </c>
    </row>
    <row r="18" spans="1:11" x14ac:dyDescent="0.25">
      <c r="A18" s="10">
        <v>120007</v>
      </c>
      <c r="B18" s="9" t="s">
        <v>16</v>
      </c>
      <c r="C18" s="9" t="s">
        <v>269</v>
      </c>
      <c r="D18" s="9" t="s">
        <v>270</v>
      </c>
      <c r="E18" s="9" t="s">
        <v>271</v>
      </c>
      <c r="F18" s="9" t="s">
        <v>274</v>
      </c>
      <c r="K18" s="10">
        <v>20</v>
      </c>
    </row>
    <row r="19" spans="1:11" x14ac:dyDescent="0.25">
      <c r="A19" s="10">
        <v>120008</v>
      </c>
      <c r="B19" s="9" t="s">
        <v>17</v>
      </c>
      <c r="C19" s="9" t="s">
        <v>269</v>
      </c>
      <c r="D19" s="9" t="s">
        <v>270</v>
      </c>
      <c r="E19" s="9" t="s">
        <v>391</v>
      </c>
      <c r="F19" s="9" t="s">
        <v>275</v>
      </c>
      <c r="K19" s="10">
        <v>21</v>
      </c>
    </row>
    <row r="20" spans="1:11" x14ac:dyDescent="0.25">
      <c r="A20" s="10">
        <v>121001</v>
      </c>
      <c r="B20" s="9" t="s">
        <v>18</v>
      </c>
      <c r="C20" s="9" t="s">
        <v>269</v>
      </c>
      <c r="D20" s="9" t="s">
        <v>276</v>
      </c>
      <c r="E20" s="9" t="s">
        <v>277</v>
      </c>
      <c r="F20" s="9" t="s">
        <v>278</v>
      </c>
      <c r="K20" s="10">
        <v>22</v>
      </c>
    </row>
    <row r="21" spans="1:11" x14ac:dyDescent="0.25">
      <c r="A21" s="10">
        <v>121002</v>
      </c>
      <c r="B21" s="9" t="s">
        <v>19</v>
      </c>
      <c r="C21" s="9" t="s">
        <v>269</v>
      </c>
      <c r="D21" s="9" t="s">
        <v>276</v>
      </c>
      <c r="E21" s="9" t="s">
        <v>277</v>
      </c>
      <c r="F21" s="9" t="s">
        <v>279</v>
      </c>
      <c r="K21" s="10">
        <v>23</v>
      </c>
    </row>
    <row r="22" spans="1:11" x14ac:dyDescent="0.25">
      <c r="A22" s="10">
        <v>121003</v>
      </c>
      <c r="B22" s="9" t="s">
        <v>237</v>
      </c>
      <c r="C22" s="9" t="s">
        <v>269</v>
      </c>
      <c r="D22" s="9" t="s">
        <v>276</v>
      </c>
      <c r="E22" s="9" t="s">
        <v>280</v>
      </c>
      <c r="F22" s="9" t="s">
        <v>281</v>
      </c>
    </row>
    <row r="23" spans="1:11" x14ac:dyDescent="0.25">
      <c r="A23" s="10">
        <v>130001</v>
      </c>
      <c r="B23" s="9" t="s">
        <v>20</v>
      </c>
      <c r="C23" s="9" t="s">
        <v>269</v>
      </c>
      <c r="D23" s="9" t="s">
        <v>276</v>
      </c>
      <c r="E23" s="9" t="s">
        <v>272</v>
      </c>
      <c r="F23" s="9" t="s">
        <v>282</v>
      </c>
      <c r="K23" s="10">
        <v>27</v>
      </c>
    </row>
    <row r="24" spans="1:11" x14ac:dyDescent="0.25">
      <c r="A24" s="10">
        <v>130002</v>
      </c>
      <c r="B24" s="9" t="s">
        <v>21</v>
      </c>
      <c r="C24" s="9" t="s">
        <v>269</v>
      </c>
      <c r="D24" s="9" t="s">
        <v>276</v>
      </c>
      <c r="E24" s="9" t="s">
        <v>272</v>
      </c>
      <c r="F24" s="9" t="s">
        <v>282</v>
      </c>
      <c r="K24" s="10">
        <v>28</v>
      </c>
    </row>
    <row r="25" spans="1:11" x14ac:dyDescent="0.25">
      <c r="A25" s="10">
        <v>130003</v>
      </c>
      <c r="B25" s="9" t="s">
        <v>22</v>
      </c>
      <c r="C25" s="9" t="s">
        <v>269</v>
      </c>
      <c r="D25" s="9" t="s">
        <v>276</v>
      </c>
      <c r="E25" s="9" t="s">
        <v>272</v>
      </c>
      <c r="F25" s="9" t="s">
        <v>282</v>
      </c>
      <c r="K25" s="10">
        <v>29</v>
      </c>
    </row>
    <row r="26" spans="1:11" x14ac:dyDescent="0.25">
      <c r="A26" s="10">
        <v>130004</v>
      </c>
      <c r="B26" s="9" t="s">
        <v>23</v>
      </c>
      <c r="C26" s="9" t="s">
        <v>269</v>
      </c>
      <c r="D26" s="9" t="s">
        <v>276</v>
      </c>
      <c r="E26" s="9" t="s">
        <v>272</v>
      </c>
      <c r="F26" s="9" t="s">
        <v>282</v>
      </c>
      <c r="K26" s="10">
        <v>30</v>
      </c>
    </row>
    <row r="27" spans="1:11" x14ac:dyDescent="0.25">
      <c r="A27" s="10">
        <v>130005</v>
      </c>
      <c r="B27" s="9" t="s">
        <v>24</v>
      </c>
      <c r="C27" s="9" t="s">
        <v>269</v>
      </c>
      <c r="D27" s="9" t="s">
        <v>276</v>
      </c>
      <c r="E27" s="9" t="s">
        <v>272</v>
      </c>
      <c r="F27" s="9" t="s">
        <v>282</v>
      </c>
      <c r="K27" s="10">
        <v>31</v>
      </c>
    </row>
    <row r="28" spans="1:11" x14ac:dyDescent="0.25">
      <c r="A28" s="10">
        <v>130006</v>
      </c>
      <c r="B28" s="9" t="s">
        <v>25</v>
      </c>
      <c r="C28" s="9" t="s">
        <v>269</v>
      </c>
      <c r="D28" s="9" t="s">
        <v>276</v>
      </c>
      <c r="E28" s="9" t="s">
        <v>272</v>
      </c>
      <c r="F28" s="9" t="s">
        <v>282</v>
      </c>
      <c r="K28" s="10" t="s">
        <v>283</v>
      </c>
    </row>
    <row r="29" spans="1:11" x14ac:dyDescent="0.25">
      <c r="A29" s="10">
        <v>130007</v>
      </c>
      <c r="B29" s="9" t="s">
        <v>26</v>
      </c>
      <c r="C29" s="9" t="s">
        <v>269</v>
      </c>
      <c r="D29" s="9" t="s">
        <v>276</v>
      </c>
      <c r="E29" s="9" t="s">
        <v>272</v>
      </c>
      <c r="F29" s="9" t="s">
        <v>282</v>
      </c>
    </row>
    <row r="30" spans="1:11" x14ac:dyDescent="0.25">
      <c r="A30" s="10">
        <v>130008</v>
      </c>
      <c r="B30" s="9" t="s">
        <v>247</v>
      </c>
      <c r="C30" s="9" t="s">
        <v>269</v>
      </c>
      <c r="D30" s="9" t="s">
        <v>276</v>
      </c>
      <c r="E30" s="9" t="s">
        <v>272</v>
      </c>
      <c r="F30" s="9" t="s">
        <v>282</v>
      </c>
    </row>
    <row r="31" spans="1:11" x14ac:dyDescent="0.25">
      <c r="A31" s="10">
        <v>130009</v>
      </c>
      <c r="B31" s="9" t="s">
        <v>27</v>
      </c>
      <c r="C31" s="9" t="s">
        <v>269</v>
      </c>
      <c r="D31" s="9" t="s">
        <v>276</v>
      </c>
      <c r="E31" s="9" t="s">
        <v>272</v>
      </c>
      <c r="F31" s="9" t="s">
        <v>282</v>
      </c>
    </row>
    <row r="32" spans="1:11" x14ac:dyDescent="0.25">
      <c r="A32" s="10">
        <v>130010</v>
      </c>
      <c r="B32" s="9" t="s">
        <v>28</v>
      </c>
      <c r="C32" s="9" t="s">
        <v>269</v>
      </c>
      <c r="D32" s="9" t="s">
        <v>276</v>
      </c>
      <c r="E32" s="9" t="s">
        <v>272</v>
      </c>
      <c r="F32" s="9" t="s">
        <v>282</v>
      </c>
    </row>
    <row r="33" spans="1:6" x14ac:dyDescent="0.25">
      <c r="A33" s="10">
        <v>130011</v>
      </c>
      <c r="B33" s="9" t="s">
        <v>29</v>
      </c>
      <c r="C33" s="9" t="s">
        <v>269</v>
      </c>
      <c r="D33" s="9" t="s">
        <v>276</v>
      </c>
      <c r="E33" s="9" t="s">
        <v>272</v>
      </c>
      <c r="F33" s="9" t="s">
        <v>282</v>
      </c>
    </row>
    <row r="34" spans="1:6" x14ac:dyDescent="0.25">
      <c r="A34" s="10">
        <v>130012</v>
      </c>
      <c r="B34" s="9" t="s">
        <v>248</v>
      </c>
      <c r="C34" s="9" t="s">
        <v>269</v>
      </c>
      <c r="D34" s="9" t="s">
        <v>276</v>
      </c>
      <c r="E34" s="9" t="s">
        <v>272</v>
      </c>
      <c r="F34" s="9" t="s">
        <v>282</v>
      </c>
    </row>
    <row r="35" spans="1:6" x14ac:dyDescent="0.25">
      <c r="A35" s="10">
        <v>130013</v>
      </c>
      <c r="B35" s="9" t="s">
        <v>30</v>
      </c>
      <c r="C35" s="9" t="s">
        <v>269</v>
      </c>
      <c r="D35" s="9" t="s">
        <v>276</v>
      </c>
      <c r="E35" s="9" t="s">
        <v>272</v>
      </c>
      <c r="F35" s="9" t="s">
        <v>282</v>
      </c>
    </row>
    <row r="36" spans="1:6" x14ac:dyDescent="0.25">
      <c r="A36" s="10">
        <v>130014</v>
      </c>
      <c r="B36" s="9" t="s">
        <v>31</v>
      </c>
      <c r="C36" s="9" t="s">
        <v>269</v>
      </c>
      <c r="D36" s="9" t="s">
        <v>276</v>
      </c>
      <c r="E36" s="9" t="s">
        <v>272</v>
      </c>
      <c r="F36" s="9" t="s">
        <v>282</v>
      </c>
    </row>
    <row r="37" spans="1:6" x14ac:dyDescent="0.25">
      <c r="A37" s="10">
        <v>130015</v>
      </c>
      <c r="B37" s="9" t="s">
        <v>32</v>
      </c>
      <c r="C37" s="9" t="s">
        <v>269</v>
      </c>
      <c r="D37" s="9" t="s">
        <v>276</v>
      </c>
      <c r="E37" s="9" t="s">
        <v>272</v>
      </c>
      <c r="F37" s="9" t="s">
        <v>282</v>
      </c>
    </row>
    <row r="38" spans="1:6" x14ac:dyDescent="0.25">
      <c r="A38" s="10">
        <v>130016</v>
      </c>
      <c r="B38" s="9" t="s">
        <v>33</v>
      </c>
      <c r="C38" s="9" t="s">
        <v>269</v>
      </c>
      <c r="D38" s="9" t="s">
        <v>276</v>
      </c>
      <c r="E38" s="9" t="s">
        <v>272</v>
      </c>
      <c r="F38" s="9" t="s">
        <v>282</v>
      </c>
    </row>
    <row r="39" spans="1:6" x14ac:dyDescent="0.25">
      <c r="A39" s="10">
        <v>130099</v>
      </c>
      <c r="B39" s="9" t="s">
        <v>34</v>
      </c>
      <c r="C39" s="9" t="s">
        <v>269</v>
      </c>
      <c r="D39" s="9" t="s">
        <v>276</v>
      </c>
      <c r="E39" s="9" t="s">
        <v>272</v>
      </c>
      <c r="F39" s="9" t="s">
        <v>282</v>
      </c>
    </row>
    <row r="40" spans="1:6" x14ac:dyDescent="0.25">
      <c r="A40" s="10">
        <v>140001</v>
      </c>
      <c r="B40" s="9" t="s">
        <v>35</v>
      </c>
      <c r="C40" s="9" t="s">
        <v>269</v>
      </c>
      <c r="D40" s="9" t="s">
        <v>276</v>
      </c>
      <c r="E40" s="9" t="s">
        <v>280</v>
      </c>
      <c r="F40" s="9" t="s">
        <v>284</v>
      </c>
    </row>
    <row r="41" spans="1:6" x14ac:dyDescent="0.25">
      <c r="A41" s="10">
        <v>140010</v>
      </c>
      <c r="B41" s="9" t="s">
        <v>36</v>
      </c>
      <c r="C41" s="9" t="s">
        <v>269</v>
      </c>
      <c r="D41" s="9" t="s">
        <v>276</v>
      </c>
      <c r="E41" s="9" t="s">
        <v>280</v>
      </c>
      <c r="F41" s="9" t="s">
        <v>284</v>
      </c>
    </row>
    <row r="42" spans="1:6" x14ac:dyDescent="0.25">
      <c r="A42" s="10">
        <v>150001</v>
      </c>
      <c r="B42" s="9" t="s">
        <v>37</v>
      </c>
      <c r="C42" s="9" t="s">
        <v>269</v>
      </c>
      <c r="D42" s="9" t="s">
        <v>276</v>
      </c>
      <c r="E42" s="9" t="s">
        <v>277</v>
      </c>
      <c r="F42" s="9" t="s">
        <v>285</v>
      </c>
    </row>
    <row r="43" spans="1:6" x14ac:dyDescent="0.25">
      <c r="A43" s="10">
        <v>150002</v>
      </c>
      <c r="B43" s="9" t="s">
        <v>38</v>
      </c>
      <c r="C43" s="9" t="s">
        <v>269</v>
      </c>
      <c r="D43" s="9" t="s">
        <v>286</v>
      </c>
      <c r="E43" s="9" t="s">
        <v>287</v>
      </c>
      <c r="F43" s="9" t="s">
        <v>287</v>
      </c>
    </row>
    <row r="44" spans="1:6" x14ac:dyDescent="0.25">
      <c r="A44" s="10">
        <v>160001</v>
      </c>
      <c r="B44" s="9" t="s">
        <v>39</v>
      </c>
      <c r="C44" s="9" t="s">
        <v>269</v>
      </c>
      <c r="D44" s="9" t="s">
        <v>276</v>
      </c>
      <c r="E44" s="9" t="s">
        <v>272</v>
      </c>
      <c r="F44" s="9" t="s">
        <v>288</v>
      </c>
    </row>
    <row r="45" spans="1:6" x14ac:dyDescent="0.25">
      <c r="A45" s="10">
        <v>170000</v>
      </c>
      <c r="B45" s="9" t="s">
        <v>40</v>
      </c>
      <c r="C45" s="9" t="s">
        <v>269</v>
      </c>
      <c r="D45" s="9" t="s">
        <v>289</v>
      </c>
      <c r="E45" s="9" t="s">
        <v>290</v>
      </c>
      <c r="F45" s="9" t="s">
        <v>291</v>
      </c>
    </row>
    <row r="46" spans="1:6" x14ac:dyDescent="0.25">
      <c r="A46" s="10">
        <v>170001</v>
      </c>
      <c r="B46" s="9" t="s">
        <v>41</v>
      </c>
      <c r="C46" s="9" t="s">
        <v>269</v>
      </c>
      <c r="D46" s="9" t="s">
        <v>289</v>
      </c>
      <c r="E46" s="9" t="s">
        <v>290</v>
      </c>
      <c r="F46" s="9" t="s">
        <v>291</v>
      </c>
    </row>
    <row r="47" spans="1:6" x14ac:dyDescent="0.25">
      <c r="A47" s="10">
        <v>170002</v>
      </c>
      <c r="B47" s="9" t="s">
        <v>42</v>
      </c>
      <c r="C47" s="9" t="s">
        <v>269</v>
      </c>
      <c r="D47" s="9" t="s">
        <v>289</v>
      </c>
      <c r="E47" s="9" t="s">
        <v>290</v>
      </c>
      <c r="F47" s="9" t="s">
        <v>291</v>
      </c>
    </row>
    <row r="48" spans="1:6" x14ac:dyDescent="0.25">
      <c r="A48" s="10">
        <v>170003</v>
      </c>
      <c r="B48" s="9" t="s">
        <v>43</v>
      </c>
      <c r="C48" s="9" t="s">
        <v>269</v>
      </c>
      <c r="D48" s="9" t="s">
        <v>289</v>
      </c>
      <c r="E48" s="9" t="s">
        <v>290</v>
      </c>
      <c r="F48" s="9" t="s">
        <v>291</v>
      </c>
    </row>
    <row r="49" spans="1:6" x14ac:dyDescent="0.25">
      <c r="A49" s="10">
        <v>170004</v>
      </c>
      <c r="B49" s="9" t="s">
        <v>244</v>
      </c>
      <c r="C49" s="9" t="s">
        <v>269</v>
      </c>
      <c r="D49" s="9" t="s">
        <v>289</v>
      </c>
      <c r="E49" s="9" t="s">
        <v>290</v>
      </c>
      <c r="F49" s="9" t="s">
        <v>291</v>
      </c>
    </row>
    <row r="50" spans="1:6" x14ac:dyDescent="0.25">
      <c r="A50" s="10">
        <v>170005</v>
      </c>
      <c r="B50" s="9" t="s">
        <v>44</v>
      </c>
      <c r="C50" s="9" t="s">
        <v>269</v>
      </c>
      <c r="D50" s="9" t="s">
        <v>276</v>
      </c>
      <c r="E50" s="9" t="s">
        <v>277</v>
      </c>
      <c r="F50" s="9" t="s">
        <v>292</v>
      </c>
    </row>
    <row r="51" spans="1:6" x14ac:dyDescent="0.25">
      <c r="A51" s="10">
        <v>170006</v>
      </c>
      <c r="B51" s="9" t="s">
        <v>45</v>
      </c>
      <c r="C51" s="9" t="s">
        <v>269</v>
      </c>
      <c r="D51" s="9" t="s">
        <v>276</v>
      </c>
      <c r="E51" s="9" t="s">
        <v>277</v>
      </c>
      <c r="F51" s="9" t="s">
        <v>292</v>
      </c>
    </row>
    <row r="52" spans="1:6" x14ac:dyDescent="0.25">
      <c r="A52" s="10">
        <v>170007</v>
      </c>
      <c r="B52" s="9" t="s">
        <v>46</v>
      </c>
      <c r="C52" s="9" t="s">
        <v>269</v>
      </c>
      <c r="D52" s="9" t="s">
        <v>276</v>
      </c>
      <c r="E52" s="9" t="s">
        <v>277</v>
      </c>
      <c r="F52" s="9" t="s">
        <v>292</v>
      </c>
    </row>
    <row r="53" spans="1:6" x14ac:dyDescent="0.25">
      <c r="A53" s="10">
        <v>170008</v>
      </c>
      <c r="B53" s="9" t="s">
        <v>47</v>
      </c>
      <c r="C53" s="9" t="s">
        <v>269</v>
      </c>
      <c r="D53" s="9" t="s">
        <v>276</v>
      </c>
      <c r="E53" s="9" t="s">
        <v>277</v>
      </c>
      <c r="F53" s="9" t="s">
        <v>292</v>
      </c>
    </row>
    <row r="54" spans="1:6" x14ac:dyDescent="0.25">
      <c r="A54" s="10">
        <v>170009</v>
      </c>
      <c r="B54" s="9" t="s">
        <v>48</v>
      </c>
      <c r="C54" s="9" t="s">
        <v>269</v>
      </c>
      <c r="D54" s="9" t="s">
        <v>276</v>
      </c>
      <c r="E54" s="9" t="s">
        <v>277</v>
      </c>
      <c r="F54" s="9" t="s">
        <v>293</v>
      </c>
    </row>
    <row r="55" spans="1:6" x14ac:dyDescent="0.25">
      <c r="A55" s="10">
        <v>170010</v>
      </c>
      <c r="B55" s="9" t="s">
        <v>49</v>
      </c>
      <c r="C55" s="9" t="s">
        <v>269</v>
      </c>
      <c r="D55" s="9" t="s">
        <v>276</v>
      </c>
      <c r="E55" s="9" t="s">
        <v>277</v>
      </c>
      <c r="F55" s="9" t="s">
        <v>294</v>
      </c>
    </row>
    <row r="56" spans="1:6" x14ac:dyDescent="0.25">
      <c r="A56" s="10">
        <v>170011</v>
      </c>
      <c r="B56" s="9" t="s">
        <v>50</v>
      </c>
      <c r="C56" s="9" t="s">
        <v>269</v>
      </c>
      <c r="D56" s="9" t="s">
        <v>276</v>
      </c>
      <c r="E56" s="9" t="s">
        <v>277</v>
      </c>
      <c r="F56" s="9" t="s">
        <v>295</v>
      </c>
    </row>
    <row r="57" spans="1:6" x14ac:dyDescent="0.25">
      <c r="A57" s="10">
        <v>170012</v>
      </c>
      <c r="B57" s="9" t="s">
        <v>51</v>
      </c>
      <c r="C57" s="9" t="s">
        <v>269</v>
      </c>
      <c r="D57" s="9" t="s">
        <v>276</v>
      </c>
      <c r="E57" s="9" t="s">
        <v>277</v>
      </c>
      <c r="F57" s="9" t="s">
        <v>296</v>
      </c>
    </row>
    <row r="58" spans="1:6" x14ac:dyDescent="0.25">
      <c r="A58" s="10">
        <v>170013</v>
      </c>
      <c r="B58" s="9" t="s">
        <v>52</v>
      </c>
      <c r="C58" s="9" t="s">
        <v>269</v>
      </c>
      <c r="D58" s="9" t="s">
        <v>276</v>
      </c>
      <c r="E58" s="9" t="s">
        <v>277</v>
      </c>
      <c r="F58" s="9" t="s">
        <v>297</v>
      </c>
    </row>
    <row r="59" spans="1:6" x14ac:dyDescent="0.25">
      <c r="A59" s="10">
        <v>170014</v>
      </c>
      <c r="B59" s="9" t="s">
        <v>53</v>
      </c>
      <c r="C59" s="9" t="s">
        <v>269</v>
      </c>
      <c r="D59" s="9" t="s">
        <v>276</v>
      </c>
      <c r="E59" s="9" t="s">
        <v>277</v>
      </c>
      <c r="F59" s="9" t="s">
        <v>297</v>
      </c>
    </row>
    <row r="60" spans="1:6" x14ac:dyDescent="0.25">
      <c r="A60" s="10">
        <v>170015</v>
      </c>
      <c r="B60" s="9" t="s">
        <v>54</v>
      </c>
      <c r="C60" s="9" t="s">
        <v>269</v>
      </c>
      <c r="D60" s="9" t="s">
        <v>276</v>
      </c>
      <c r="E60" s="9" t="s">
        <v>277</v>
      </c>
      <c r="F60" s="9" t="s">
        <v>298</v>
      </c>
    </row>
    <row r="61" spans="1:6" x14ac:dyDescent="0.25">
      <c r="A61" s="10">
        <v>170016</v>
      </c>
      <c r="B61" s="9" t="s">
        <v>55</v>
      </c>
      <c r="C61" s="9" t="s">
        <v>269</v>
      </c>
      <c r="D61" s="9" t="s">
        <v>276</v>
      </c>
      <c r="E61" s="9" t="s">
        <v>277</v>
      </c>
      <c r="F61" s="9" t="s">
        <v>299</v>
      </c>
    </row>
    <row r="62" spans="1:6" x14ac:dyDescent="0.25">
      <c r="A62" s="10">
        <v>170017</v>
      </c>
      <c r="B62" s="9" t="s">
        <v>56</v>
      </c>
      <c r="C62" s="9" t="s">
        <v>269</v>
      </c>
      <c r="D62" s="9" t="s">
        <v>276</v>
      </c>
      <c r="E62" s="9" t="s">
        <v>277</v>
      </c>
      <c r="F62" s="9" t="s">
        <v>300</v>
      </c>
    </row>
    <row r="63" spans="1:6" x14ac:dyDescent="0.25">
      <c r="A63" s="10">
        <v>170018</v>
      </c>
      <c r="B63" s="9" t="s">
        <v>57</v>
      </c>
      <c r="C63" s="9" t="s">
        <v>269</v>
      </c>
      <c r="D63" s="9" t="s">
        <v>276</v>
      </c>
      <c r="E63" s="9" t="s">
        <v>277</v>
      </c>
      <c r="F63" s="9" t="s">
        <v>299</v>
      </c>
    </row>
    <row r="64" spans="1:6" x14ac:dyDescent="0.25">
      <c r="A64" s="10">
        <v>170019</v>
      </c>
      <c r="B64" s="9" t="s">
        <v>58</v>
      </c>
      <c r="C64" s="9" t="s">
        <v>269</v>
      </c>
      <c r="D64" s="9" t="s">
        <v>276</v>
      </c>
      <c r="E64" s="9" t="s">
        <v>277</v>
      </c>
      <c r="F64" s="9" t="s">
        <v>299</v>
      </c>
    </row>
    <row r="65" spans="1:6" x14ac:dyDescent="0.25">
      <c r="A65" s="10">
        <v>170020</v>
      </c>
      <c r="B65" s="9" t="s">
        <v>59</v>
      </c>
      <c r="C65" s="9" t="s">
        <v>269</v>
      </c>
      <c r="D65" s="9" t="s">
        <v>276</v>
      </c>
      <c r="E65" s="9" t="s">
        <v>277</v>
      </c>
      <c r="F65" s="9" t="s">
        <v>297</v>
      </c>
    </row>
    <row r="66" spans="1:6" x14ac:dyDescent="0.25">
      <c r="A66" s="10">
        <v>170021</v>
      </c>
      <c r="B66" s="9" t="s">
        <v>535</v>
      </c>
      <c r="C66" s="9" t="s">
        <v>269</v>
      </c>
      <c r="D66" s="9" t="s">
        <v>276</v>
      </c>
      <c r="E66" s="9" t="s">
        <v>277</v>
      </c>
      <c r="F66" s="9" t="s">
        <v>541</v>
      </c>
    </row>
    <row r="67" spans="1:6" x14ac:dyDescent="0.25">
      <c r="A67" s="10">
        <v>180001</v>
      </c>
      <c r="B67" s="9" t="s">
        <v>60</v>
      </c>
      <c r="C67" s="9" t="s">
        <v>269</v>
      </c>
      <c r="D67" s="9" t="s">
        <v>276</v>
      </c>
      <c r="E67" s="9" t="s">
        <v>301</v>
      </c>
      <c r="F67" s="9" t="s">
        <v>302</v>
      </c>
    </row>
    <row r="68" spans="1:6" x14ac:dyDescent="0.25">
      <c r="A68" s="10">
        <v>180002</v>
      </c>
      <c r="B68" s="9" t="s">
        <v>61</v>
      </c>
      <c r="C68" s="9" t="s">
        <v>269</v>
      </c>
      <c r="D68" s="9" t="s">
        <v>276</v>
      </c>
      <c r="E68" s="9" t="s">
        <v>301</v>
      </c>
      <c r="F68" s="9" t="s">
        <v>302</v>
      </c>
    </row>
    <row r="69" spans="1:6" x14ac:dyDescent="0.25">
      <c r="A69" s="10">
        <v>180003</v>
      </c>
      <c r="B69" s="9" t="s">
        <v>62</v>
      </c>
      <c r="C69" s="9" t="s">
        <v>269</v>
      </c>
      <c r="D69" s="9" t="s">
        <v>276</v>
      </c>
      <c r="E69" s="9" t="s">
        <v>301</v>
      </c>
      <c r="F69" s="9" t="s">
        <v>303</v>
      </c>
    </row>
    <row r="70" spans="1:6" x14ac:dyDescent="0.25">
      <c r="A70" s="10">
        <v>180004</v>
      </c>
      <c r="B70" s="9" t="s">
        <v>63</v>
      </c>
      <c r="C70" s="9" t="s">
        <v>269</v>
      </c>
      <c r="D70" s="9" t="s">
        <v>276</v>
      </c>
      <c r="E70" s="9" t="s">
        <v>301</v>
      </c>
      <c r="F70" s="9" t="s">
        <v>302</v>
      </c>
    </row>
    <row r="71" spans="1:6" x14ac:dyDescent="0.25">
      <c r="A71" s="10">
        <v>180005</v>
      </c>
      <c r="B71" s="9" t="s">
        <v>64</v>
      </c>
      <c r="C71" s="9" t="s">
        <v>269</v>
      </c>
      <c r="D71" s="9" t="s">
        <v>276</v>
      </c>
      <c r="E71" s="9" t="s">
        <v>301</v>
      </c>
      <c r="F71" s="9" t="s">
        <v>302</v>
      </c>
    </row>
    <row r="72" spans="1:6" x14ac:dyDescent="0.25">
      <c r="A72" s="10">
        <v>180006</v>
      </c>
      <c r="B72" s="9" t="s">
        <v>65</v>
      </c>
      <c r="C72" s="9" t="s">
        <v>269</v>
      </c>
      <c r="D72" s="9" t="s">
        <v>276</v>
      </c>
      <c r="E72" s="9" t="s">
        <v>301</v>
      </c>
      <c r="F72" s="9" t="s">
        <v>302</v>
      </c>
    </row>
    <row r="73" spans="1:6" x14ac:dyDescent="0.25">
      <c r="A73" s="10">
        <v>180007</v>
      </c>
      <c r="B73" s="9" t="s">
        <v>66</v>
      </c>
      <c r="C73" s="9" t="s">
        <v>269</v>
      </c>
      <c r="D73" s="9" t="s">
        <v>276</v>
      </c>
      <c r="E73" s="9" t="s">
        <v>301</v>
      </c>
      <c r="F73" s="9" t="s">
        <v>302</v>
      </c>
    </row>
    <row r="74" spans="1:6" x14ac:dyDescent="0.25">
      <c r="A74" s="10">
        <v>180008</v>
      </c>
      <c r="B74" s="9" t="s">
        <v>67</v>
      </c>
      <c r="C74" s="9" t="s">
        <v>269</v>
      </c>
      <c r="D74" s="9" t="s">
        <v>276</v>
      </c>
      <c r="E74" s="9" t="s">
        <v>301</v>
      </c>
      <c r="F74" s="9" t="s">
        <v>302</v>
      </c>
    </row>
    <row r="75" spans="1:6" x14ac:dyDescent="0.25">
      <c r="A75" s="10">
        <v>180009</v>
      </c>
      <c r="B75" s="9" t="s">
        <v>68</v>
      </c>
      <c r="C75" s="9" t="s">
        <v>269</v>
      </c>
      <c r="D75" s="9" t="s">
        <v>276</v>
      </c>
      <c r="E75" s="9" t="s">
        <v>301</v>
      </c>
      <c r="F75" s="9" t="s">
        <v>302</v>
      </c>
    </row>
    <row r="76" spans="1:6" x14ac:dyDescent="0.25">
      <c r="A76" s="10">
        <v>180010</v>
      </c>
      <c r="B76" s="9" t="s">
        <v>69</v>
      </c>
      <c r="C76" s="9" t="s">
        <v>269</v>
      </c>
      <c r="D76" s="9" t="s">
        <v>276</v>
      </c>
      <c r="E76" s="9" t="s">
        <v>301</v>
      </c>
      <c r="F76" s="9" t="s">
        <v>304</v>
      </c>
    </row>
    <row r="77" spans="1:6" x14ac:dyDescent="0.25">
      <c r="A77" s="10">
        <v>180011</v>
      </c>
      <c r="B77" s="9" t="s">
        <v>70</v>
      </c>
      <c r="C77" s="9" t="s">
        <v>269</v>
      </c>
      <c r="D77" s="9" t="s">
        <v>276</v>
      </c>
      <c r="E77" s="9" t="s">
        <v>301</v>
      </c>
      <c r="F77" s="9" t="s">
        <v>305</v>
      </c>
    </row>
    <row r="78" spans="1:6" x14ac:dyDescent="0.25">
      <c r="A78" s="10">
        <v>180012</v>
      </c>
      <c r="B78" s="9" t="s">
        <v>71</v>
      </c>
      <c r="C78" s="9" t="s">
        <v>269</v>
      </c>
      <c r="D78" s="9" t="s">
        <v>276</v>
      </c>
      <c r="E78" s="9" t="s">
        <v>301</v>
      </c>
      <c r="F78" s="9" t="s">
        <v>306</v>
      </c>
    </row>
    <row r="79" spans="1:6" x14ac:dyDescent="0.25">
      <c r="A79" s="10">
        <v>180013</v>
      </c>
      <c r="B79" s="9" t="s">
        <v>72</v>
      </c>
      <c r="C79" s="9" t="s">
        <v>269</v>
      </c>
      <c r="D79" s="9" t="s">
        <v>276</v>
      </c>
      <c r="E79" s="9" t="s">
        <v>301</v>
      </c>
      <c r="F79" s="9" t="s">
        <v>305</v>
      </c>
    </row>
    <row r="80" spans="1:6" x14ac:dyDescent="0.25">
      <c r="A80" s="10">
        <v>180014</v>
      </c>
      <c r="B80" s="9" t="s">
        <v>73</v>
      </c>
      <c r="C80" s="9" t="s">
        <v>269</v>
      </c>
      <c r="D80" s="9" t="s">
        <v>276</v>
      </c>
      <c r="E80" s="9" t="s">
        <v>301</v>
      </c>
      <c r="F80" s="9" t="s">
        <v>306</v>
      </c>
    </row>
    <row r="81" spans="1:6" x14ac:dyDescent="0.25">
      <c r="A81" s="10">
        <v>180096</v>
      </c>
      <c r="B81" s="9" t="s">
        <v>74</v>
      </c>
      <c r="C81" s="9" t="s">
        <v>269</v>
      </c>
      <c r="D81" s="9" t="s">
        <v>276</v>
      </c>
      <c r="E81" s="9" t="s">
        <v>301</v>
      </c>
      <c r="F81" s="9" t="s">
        <v>306</v>
      </c>
    </row>
    <row r="82" spans="1:6" x14ac:dyDescent="0.25">
      <c r="A82" s="10">
        <v>180097</v>
      </c>
      <c r="B82" s="9" t="s">
        <v>75</v>
      </c>
      <c r="C82" s="9" t="s">
        <v>269</v>
      </c>
      <c r="D82" s="9" t="s">
        <v>276</v>
      </c>
      <c r="E82" s="9" t="s">
        <v>301</v>
      </c>
      <c r="F82" s="9" t="s">
        <v>306</v>
      </c>
    </row>
    <row r="83" spans="1:6" x14ac:dyDescent="0.25">
      <c r="A83" s="10">
        <v>180098</v>
      </c>
      <c r="B83" s="9" t="s">
        <v>76</v>
      </c>
      <c r="C83" s="9" t="s">
        <v>269</v>
      </c>
      <c r="D83" s="9" t="s">
        <v>276</v>
      </c>
      <c r="E83" s="9" t="s">
        <v>301</v>
      </c>
      <c r="F83" s="9" t="s">
        <v>306</v>
      </c>
    </row>
    <row r="84" spans="1:6" x14ac:dyDescent="0.25">
      <c r="A84" s="10">
        <v>180099</v>
      </c>
      <c r="B84" s="9" t="s">
        <v>77</v>
      </c>
      <c r="C84" s="9" t="s">
        <v>269</v>
      </c>
      <c r="D84" s="9" t="s">
        <v>276</v>
      </c>
      <c r="E84" s="9" t="s">
        <v>301</v>
      </c>
      <c r="F84" s="9" t="s">
        <v>307</v>
      </c>
    </row>
    <row r="85" spans="1:6" x14ac:dyDescent="0.25">
      <c r="A85" s="10">
        <v>210001</v>
      </c>
      <c r="B85" s="9" t="s">
        <v>78</v>
      </c>
      <c r="C85" s="9" t="s">
        <v>269</v>
      </c>
      <c r="D85" s="9" t="s">
        <v>289</v>
      </c>
      <c r="E85" s="9" t="s">
        <v>308</v>
      </c>
      <c r="F85" s="9" t="s">
        <v>309</v>
      </c>
    </row>
    <row r="86" spans="1:6" x14ac:dyDescent="0.25">
      <c r="A86" s="10">
        <v>210002</v>
      </c>
      <c r="B86" s="9" t="s">
        <v>79</v>
      </c>
      <c r="C86" s="9" t="s">
        <v>269</v>
      </c>
      <c r="D86" s="9" t="s">
        <v>289</v>
      </c>
      <c r="E86" s="9" t="s">
        <v>308</v>
      </c>
      <c r="F86" s="9" t="s">
        <v>310</v>
      </c>
    </row>
    <row r="87" spans="1:6" x14ac:dyDescent="0.25">
      <c r="A87" s="10">
        <v>220001</v>
      </c>
      <c r="B87" s="9" t="s">
        <v>80</v>
      </c>
      <c r="C87" s="9" t="s">
        <v>269</v>
      </c>
      <c r="D87" s="9" t="s">
        <v>289</v>
      </c>
      <c r="E87" s="9" t="s">
        <v>290</v>
      </c>
      <c r="F87" s="9" t="s">
        <v>311</v>
      </c>
    </row>
    <row r="88" spans="1:6" x14ac:dyDescent="0.25">
      <c r="A88" s="10">
        <v>220002</v>
      </c>
      <c r="B88" s="9" t="s">
        <v>81</v>
      </c>
      <c r="C88" s="9" t="s">
        <v>269</v>
      </c>
      <c r="D88" s="9" t="s">
        <v>289</v>
      </c>
      <c r="E88" s="9" t="s">
        <v>290</v>
      </c>
      <c r="F88" s="9" t="s">
        <v>311</v>
      </c>
    </row>
    <row r="89" spans="1:6" x14ac:dyDescent="0.25">
      <c r="A89" s="10">
        <v>220003</v>
      </c>
      <c r="B89" s="9" t="s">
        <v>82</v>
      </c>
      <c r="C89" s="9" t="s">
        <v>269</v>
      </c>
      <c r="D89" s="9" t="s">
        <v>289</v>
      </c>
      <c r="E89" s="9" t="s">
        <v>290</v>
      </c>
      <c r="F89" s="9" t="s">
        <v>311</v>
      </c>
    </row>
    <row r="90" spans="1:6" x14ac:dyDescent="0.25">
      <c r="A90" s="10">
        <v>220004</v>
      </c>
      <c r="B90" s="9" t="s">
        <v>83</v>
      </c>
      <c r="C90" s="9" t="s">
        <v>269</v>
      </c>
      <c r="D90" s="9" t="s">
        <v>289</v>
      </c>
      <c r="E90" s="9" t="s">
        <v>290</v>
      </c>
      <c r="F90" s="9" t="s">
        <v>311</v>
      </c>
    </row>
    <row r="91" spans="1:6" x14ac:dyDescent="0.25">
      <c r="A91" s="10">
        <v>220005</v>
      </c>
      <c r="B91" s="9" t="s">
        <v>84</v>
      </c>
      <c r="C91" s="9" t="s">
        <v>269</v>
      </c>
      <c r="D91" s="9" t="s">
        <v>289</v>
      </c>
      <c r="E91" s="9" t="s">
        <v>290</v>
      </c>
      <c r="F91" s="9" t="s">
        <v>311</v>
      </c>
    </row>
    <row r="92" spans="1:6" x14ac:dyDescent="0.25">
      <c r="A92" s="10">
        <v>220006</v>
      </c>
      <c r="B92" s="9" t="s">
        <v>85</v>
      </c>
      <c r="C92" s="9" t="s">
        <v>269</v>
      </c>
      <c r="D92" s="9" t="s">
        <v>289</v>
      </c>
      <c r="E92" s="9" t="s">
        <v>290</v>
      </c>
      <c r="F92" s="9" t="s">
        <v>311</v>
      </c>
    </row>
    <row r="93" spans="1:6" x14ac:dyDescent="0.25">
      <c r="A93" s="10">
        <v>220007</v>
      </c>
      <c r="B93" s="9" t="s">
        <v>249</v>
      </c>
      <c r="C93" s="9" t="s">
        <v>269</v>
      </c>
      <c r="D93" s="9" t="s">
        <v>289</v>
      </c>
      <c r="E93" s="9" t="s">
        <v>290</v>
      </c>
      <c r="F93" s="9" t="s">
        <v>311</v>
      </c>
    </row>
    <row r="94" spans="1:6" x14ac:dyDescent="0.25">
      <c r="A94" s="10">
        <v>230001</v>
      </c>
      <c r="B94" s="9" t="s">
        <v>86</v>
      </c>
      <c r="C94" s="9" t="s">
        <v>269</v>
      </c>
      <c r="D94" s="9" t="s">
        <v>289</v>
      </c>
      <c r="E94" s="9" t="s">
        <v>308</v>
      </c>
      <c r="F94" s="9" t="s">
        <v>281</v>
      </c>
    </row>
    <row r="95" spans="1:6" x14ac:dyDescent="0.25">
      <c r="A95" s="10">
        <v>240001</v>
      </c>
      <c r="B95" s="9" t="s">
        <v>87</v>
      </c>
      <c r="C95" s="9" t="s">
        <v>269</v>
      </c>
      <c r="D95" s="9" t="s">
        <v>289</v>
      </c>
      <c r="E95" s="9" t="s">
        <v>308</v>
      </c>
      <c r="F95" s="9" t="s">
        <v>312</v>
      </c>
    </row>
    <row r="96" spans="1:6" x14ac:dyDescent="0.25">
      <c r="A96" s="10">
        <v>240002</v>
      </c>
      <c r="B96" s="9" t="s">
        <v>88</v>
      </c>
      <c r="C96" s="9" t="s">
        <v>269</v>
      </c>
      <c r="D96" s="9" t="s">
        <v>289</v>
      </c>
      <c r="E96" s="9" t="s">
        <v>308</v>
      </c>
      <c r="F96" s="9" t="s">
        <v>313</v>
      </c>
    </row>
    <row r="97" spans="1:6" x14ac:dyDescent="0.25">
      <c r="A97" s="10">
        <v>240003</v>
      </c>
      <c r="B97" s="9" t="s">
        <v>89</v>
      </c>
      <c r="C97" s="9" t="s">
        <v>269</v>
      </c>
      <c r="D97" s="9" t="s">
        <v>286</v>
      </c>
      <c r="E97" s="9" t="s">
        <v>314</v>
      </c>
      <c r="F97" s="9" t="s">
        <v>315</v>
      </c>
    </row>
    <row r="98" spans="1:6" x14ac:dyDescent="0.25">
      <c r="A98" s="10">
        <v>250001</v>
      </c>
      <c r="B98" s="9" t="s">
        <v>90</v>
      </c>
      <c r="C98" s="9" t="s">
        <v>269</v>
      </c>
      <c r="D98" s="9" t="s">
        <v>289</v>
      </c>
      <c r="E98" s="9" t="s">
        <v>308</v>
      </c>
      <c r="F98" s="9" t="s">
        <v>316</v>
      </c>
    </row>
    <row r="99" spans="1:6" x14ac:dyDescent="0.25">
      <c r="A99" s="10">
        <v>250002</v>
      </c>
      <c r="B99" s="9" t="s">
        <v>91</v>
      </c>
      <c r="C99" s="9" t="s">
        <v>269</v>
      </c>
      <c r="D99" s="9" t="s">
        <v>289</v>
      </c>
      <c r="E99" s="9" t="s">
        <v>308</v>
      </c>
      <c r="F99" s="9" t="s">
        <v>317</v>
      </c>
    </row>
    <row r="100" spans="1:6" x14ac:dyDescent="0.25">
      <c r="A100" s="10">
        <v>250003</v>
      </c>
      <c r="B100" s="9" t="s">
        <v>92</v>
      </c>
      <c r="C100" s="9" t="s">
        <v>269</v>
      </c>
      <c r="D100" s="9" t="s">
        <v>289</v>
      </c>
      <c r="E100" s="9" t="s">
        <v>318</v>
      </c>
      <c r="F100" s="9" t="s">
        <v>318</v>
      </c>
    </row>
    <row r="101" spans="1:6" x14ac:dyDescent="0.25">
      <c r="A101" s="10">
        <v>250004</v>
      </c>
      <c r="B101" s="9" t="s">
        <v>93</v>
      </c>
      <c r="C101" s="9" t="s">
        <v>269</v>
      </c>
      <c r="D101" s="9" t="s">
        <v>289</v>
      </c>
      <c r="E101" s="9" t="s">
        <v>308</v>
      </c>
      <c r="F101" s="9" t="s">
        <v>319</v>
      </c>
    </row>
    <row r="102" spans="1:6" x14ac:dyDescent="0.25">
      <c r="A102" s="10">
        <v>250005</v>
      </c>
      <c r="B102" s="9" t="s">
        <v>94</v>
      </c>
      <c r="C102" s="9" t="s">
        <v>269</v>
      </c>
      <c r="D102" s="9" t="s">
        <v>289</v>
      </c>
      <c r="E102" s="9" t="s">
        <v>308</v>
      </c>
      <c r="F102" s="9" t="s">
        <v>320</v>
      </c>
    </row>
    <row r="103" spans="1:6" x14ac:dyDescent="0.25">
      <c r="A103" s="10">
        <v>250006</v>
      </c>
      <c r="B103" s="9" t="s">
        <v>95</v>
      </c>
      <c r="C103" s="9" t="s">
        <v>269</v>
      </c>
      <c r="D103" s="9" t="s">
        <v>289</v>
      </c>
      <c r="E103" s="9" t="s">
        <v>308</v>
      </c>
      <c r="F103" s="9" t="s">
        <v>321</v>
      </c>
    </row>
    <row r="104" spans="1:6" x14ac:dyDescent="0.25">
      <c r="A104" s="10">
        <v>250007</v>
      </c>
      <c r="B104" s="9" t="s">
        <v>238</v>
      </c>
      <c r="C104" s="9" t="s">
        <v>269</v>
      </c>
      <c r="D104" s="9" t="s">
        <v>289</v>
      </c>
      <c r="E104" s="9" t="s">
        <v>308</v>
      </c>
      <c r="F104" s="9" t="s">
        <v>238</v>
      </c>
    </row>
    <row r="105" spans="1:6" x14ac:dyDescent="0.25">
      <c r="A105" s="10">
        <v>260001</v>
      </c>
      <c r="B105" s="9" t="s">
        <v>96</v>
      </c>
      <c r="C105" s="9" t="s">
        <v>269</v>
      </c>
      <c r="D105" s="9" t="s">
        <v>322</v>
      </c>
      <c r="E105" s="9" t="s">
        <v>323</v>
      </c>
      <c r="F105" s="9" t="s">
        <v>323</v>
      </c>
    </row>
    <row r="106" spans="1:6" x14ac:dyDescent="0.25">
      <c r="A106" s="10">
        <v>260002</v>
      </c>
      <c r="B106" s="9" t="s">
        <v>97</v>
      </c>
      <c r="C106" s="9" t="s">
        <v>269</v>
      </c>
      <c r="D106" s="9" t="s">
        <v>286</v>
      </c>
      <c r="E106" s="9" t="s">
        <v>287</v>
      </c>
      <c r="F106" s="9" t="s">
        <v>287</v>
      </c>
    </row>
    <row r="107" spans="1:6" x14ac:dyDescent="0.25">
      <c r="A107" s="10">
        <v>260003</v>
      </c>
      <c r="B107" s="9" t="s">
        <v>98</v>
      </c>
      <c r="C107" s="9" t="s">
        <v>269</v>
      </c>
      <c r="D107" s="9" t="s">
        <v>276</v>
      </c>
      <c r="E107" s="9" t="s">
        <v>280</v>
      </c>
      <c r="F107" s="9" t="s">
        <v>324</v>
      </c>
    </row>
    <row r="108" spans="1:6" x14ac:dyDescent="0.25">
      <c r="A108" s="10">
        <v>260004</v>
      </c>
      <c r="B108" s="9" t="s">
        <v>99</v>
      </c>
      <c r="C108" s="9" t="s">
        <v>269</v>
      </c>
      <c r="D108" s="9" t="s">
        <v>276</v>
      </c>
      <c r="E108" s="9" t="s">
        <v>301</v>
      </c>
      <c r="F108" s="9" t="s">
        <v>325</v>
      </c>
    </row>
    <row r="109" spans="1:6" x14ac:dyDescent="0.25">
      <c r="A109" s="10">
        <v>260005</v>
      </c>
      <c r="B109" s="9" t="s">
        <v>100</v>
      </c>
      <c r="C109" s="9" t="s">
        <v>269</v>
      </c>
      <c r="D109" s="9" t="s">
        <v>286</v>
      </c>
      <c r="E109" s="9" t="s">
        <v>326</v>
      </c>
      <c r="F109" s="9" t="s">
        <v>326</v>
      </c>
    </row>
    <row r="110" spans="1:6" x14ac:dyDescent="0.25">
      <c r="A110" s="10">
        <v>260006</v>
      </c>
      <c r="B110" s="9" t="s">
        <v>250</v>
      </c>
      <c r="C110" s="9" t="s">
        <v>269</v>
      </c>
      <c r="D110" s="9" t="s">
        <v>289</v>
      </c>
      <c r="E110" s="9" t="s">
        <v>308</v>
      </c>
      <c r="F110" s="9" t="s">
        <v>321</v>
      </c>
    </row>
    <row r="111" spans="1:6" x14ac:dyDescent="0.25">
      <c r="A111" s="10">
        <v>270001</v>
      </c>
      <c r="B111" s="9" t="s">
        <v>101</v>
      </c>
      <c r="C111" s="9" t="s">
        <v>269</v>
      </c>
      <c r="D111" s="9" t="s">
        <v>286</v>
      </c>
      <c r="E111" s="9" t="s">
        <v>327</v>
      </c>
      <c r="F111" s="9" t="s">
        <v>328</v>
      </c>
    </row>
    <row r="112" spans="1:6" x14ac:dyDescent="0.25">
      <c r="A112" s="10">
        <v>270002</v>
      </c>
      <c r="B112" s="9" t="s">
        <v>102</v>
      </c>
      <c r="C112" s="9" t="s">
        <v>269</v>
      </c>
      <c r="D112" s="9" t="s">
        <v>289</v>
      </c>
      <c r="E112" s="9" t="s">
        <v>308</v>
      </c>
      <c r="F112" s="9" t="s">
        <v>329</v>
      </c>
    </row>
    <row r="113" spans="1:6" x14ac:dyDescent="0.25">
      <c r="A113" s="10">
        <v>270003</v>
      </c>
      <c r="B113" s="9" t="s">
        <v>103</v>
      </c>
      <c r="C113" s="9" t="s">
        <v>269</v>
      </c>
      <c r="D113" s="9" t="s">
        <v>289</v>
      </c>
      <c r="E113" s="9" t="s">
        <v>308</v>
      </c>
      <c r="F113" s="9" t="s">
        <v>329</v>
      </c>
    </row>
    <row r="114" spans="1:6" x14ac:dyDescent="0.25">
      <c r="A114" s="10">
        <v>270004</v>
      </c>
      <c r="B114" s="9" t="s">
        <v>104</v>
      </c>
      <c r="C114" s="9" t="s">
        <v>269</v>
      </c>
      <c r="D114" s="9" t="s">
        <v>289</v>
      </c>
      <c r="E114" s="9" t="s">
        <v>308</v>
      </c>
      <c r="F114" s="9" t="s">
        <v>329</v>
      </c>
    </row>
    <row r="115" spans="1:6" x14ac:dyDescent="0.25">
      <c r="A115" s="10">
        <v>270005</v>
      </c>
      <c r="B115" s="9" t="s">
        <v>105</v>
      </c>
      <c r="C115" s="9" t="s">
        <v>269</v>
      </c>
      <c r="D115" s="9" t="s">
        <v>286</v>
      </c>
      <c r="E115" s="9" t="s">
        <v>327</v>
      </c>
      <c r="F115" s="9" t="s">
        <v>330</v>
      </c>
    </row>
    <row r="116" spans="1:6" x14ac:dyDescent="0.25">
      <c r="A116" s="10">
        <v>270006</v>
      </c>
      <c r="B116" s="9" t="s">
        <v>246</v>
      </c>
      <c r="C116" s="9" t="s">
        <v>269</v>
      </c>
      <c r="D116" s="9" t="s">
        <v>270</v>
      </c>
      <c r="E116" s="9" t="s">
        <v>388</v>
      </c>
      <c r="F116" s="9" t="s">
        <v>331</v>
      </c>
    </row>
    <row r="117" spans="1:6" x14ac:dyDescent="0.25">
      <c r="A117" s="10">
        <v>310001</v>
      </c>
      <c r="B117" s="9" t="s">
        <v>106</v>
      </c>
      <c r="C117" s="9" t="s">
        <v>269</v>
      </c>
      <c r="D117" s="9" t="s">
        <v>322</v>
      </c>
      <c r="E117" s="9" t="s">
        <v>332</v>
      </c>
      <c r="F117" s="9" t="s">
        <v>332</v>
      </c>
    </row>
    <row r="118" spans="1:6" x14ac:dyDescent="0.25">
      <c r="A118" s="10">
        <v>330001</v>
      </c>
      <c r="B118" s="9" t="s">
        <v>107</v>
      </c>
      <c r="C118" s="9" t="s">
        <v>269</v>
      </c>
      <c r="D118" s="9" t="s">
        <v>322</v>
      </c>
      <c r="E118" s="9" t="s">
        <v>332</v>
      </c>
      <c r="F118" s="9" t="s">
        <v>332</v>
      </c>
    </row>
    <row r="119" spans="1:6" x14ac:dyDescent="0.25">
      <c r="A119" s="10">
        <v>330002</v>
      </c>
      <c r="B119" s="9" t="s">
        <v>108</v>
      </c>
      <c r="C119" s="9" t="s">
        <v>269</v>
      </c>
      <c r="D119" s="9" t="s">
        <v>322</v>
      </c>
      <c r="E119" s="9" t="s">
        <v>333</v>
      </c>
      <c r="F119" s="9" t="s">
        <v>333</v>
      </c>
    </row>
    <row r="120" spans="1:6" x14ac:dyDescent="0.25">
      <c r="A120" s="10">
        <v>330003</v>
      </c>
      <c r="B120" s="9" t="s">
        <v>109</v>
      </c>
      <c r="C120" s="9" t="s">
        <v>269</v>
      </c>
      <c r="D120" s="9" t="s">
        <v>322</v>
      </c>
      <c r="E120" s="9" t="s">
        <v>334</v>
      </c>
      <c r="F120" s="9" t="s">
        <v>334</v>
      </c>
    </row>
    <row r="121" spans="1:6" x14ac:dyDescent="0.25">
      <c r="A121" s="10">
        <v>330004</v>
      </c>
      <c r="B121" s="9" t="s">
        <v>239</v>
      </c>
      <c r="C121" s="9" t="s">
        <v>269</v>
      </c>
      <c r="D121" s="9" t="s">
        <v>286</v>
      </c>
      <c r="E121" s="9" t="s">
        <v>327</v>
      </c>
      <c r="F121" s="9" t="s">
        <v>335</v>
      </c>
    </row>
    <row r="122" spans="1:6" x14ac:dyDescent="0.25">
      <c r="A122" s="10">
        <v>410001</v>
      </c>
      <c r="B122" s="9" t="s">
        <v>110</v>
      </c>
      <c r="C122" s="9" t="s">
        <v>336</v>
      </c>
      <c r="D122" s="9" t="s">
        <v>337</v>
      </c>
      <c r="E122" s="9" t="s">
        <v>337</v>
      </c>
      <c r="F122" s="9" t="s">
        <v>338</v>
      </c>
    </row>
    <row r="123" spans="1:6" x14ac:dyDescent="0.25">
      <c r="A123" s="10">
        <v>410002</v>
      </c>
      <c r="B123" s="9" t="s">
        <v>111</v>
      </c>
      <c r="C123" s="9" t="s">
        <v>336</v>
      </c>
      <c r="D123" s="9" t="s">
        <v>337</v>
      </c>
      <c r="E123" s="9" t="s">
        <v>337</v>
      </c>
      <c r="F123" s="9" t="s">
        <v>338</v>
      </c>
    </row>
    <row r="124" spans="1:6" x14ac:dyDescent="0.25">
      <c r="A124" s="10">
        <v>410003</v>
      </c>
      <c r="B124" s="9" t="s">
        <v>112</v>
      </c>
      <c r="C124" s="9" t="s">
        <v>336</v>
      </c>
      <c r="D124" s="9" t="s">
        <v>337</v>
      </c>
      <c r="E124" s="9" t="s">
        <v>337</v>
      </c>
      <c r="F124" s="9" t="s">
        <v>338</v>
      </c>
    </row>
    <row r="125" spans="1:6" x14ac:dyDescent="0.25">
      <c r="A125" s="10">
        <v>410004</v>
      </c>
      <c r="B125" s="9" t="s">
        <v>113</v>
      </c>
      <c r="C125" s="9" t="s">
        <v>336</v>
      </c>
      <c r="D125" s="45" t="s">
        <v>337</v>
      </c>
      <c r="E125" s="9" t="s">
        <v>337</v>
      </c>
      <c r="F125" s="9" t="s">
        <v>339</v>
      </c>
    </row>
    <row r="126" spans="1:6" x14ac:dyDescent="0.25">
      <c r="A126" s="10">
        <v>420001</v>
      </c>
      <c r="B126" s="9" t="s">
        <v>114</v>
      </c>
      <c r="C126" s="9" t="s">
        <v>336</v>
      </c>
      <c r="D126" s="9" t="s">
        <v>337</v>
      </c>
      <c r="E126" s="9" t="s">
        <v>337</v>
      </c>
      <c r="F126" s="9" t="s">
        <v>340</v>
      </c>
    </row>
    <row r="127" spans="1:6" x14ac:dyDescent="0.25">
      <c r="A127" s="10">
        <v>420002</v>
      </c>
      <c r="B127" s="9" t="s">
        <v>251</v>
      </c>
      <c r="C127" s="9" t="s">
        <v>336</v>
      </c>
      <c r="D127" s="9" t="s">
        <v>337</v>
      </c>
      <c r="E127" s="9" t="s">
        <v>337</v>
      </c>
      <c r="F127" s="9" t="s">
        <v>341</v>
      </c>
    </row>
    <row r="128" spans="1:6" x14ac:dyDescent="0.25">
      <c r="A128" s="10">
        <v>420003</v>
      </c>
      <c r="B128" s="9" t="s">
        <v>115</v>
      </c>
      <c r="C128" s="9" t="s">
        <v>336</v>
      </c>
      <c r="D128" s="9" t="s">
        <v>337</v>
      </c>
      <c r="E128" s="9" t="s">
        <v>337</v>
      </c>
      <c r="F128" s="9" t="s">
        <v>339</v>
      </c>
    </row>
    <row r="129" spans="1:6" x14ac:dyDescent="0.25">
      <c r="A129" s="10">
        <v>510001</v>
      </c>
      <c r="B129" s="9" t="s">
        <v>116</v>
      </c>
      <c r="C129" s="9" t="s">
        <v>336</v>
      </c>
      <c r="D129" s="9" t="s">
        <v>342</v>
      </c>
      <c r="E129" s="9" t="s">
        <v>343</v>
      </c>
      <c r="F129" s="9" t="s">
        <v>343</v>
      </c>
    </row>
    <row r="130" spans="1:6" x14ac:dyDescent="0.25">
      <c r="A130" s="10">
        <v>510002</v>
      </c>
      <c r="B130" s="9" t="s">
        <v>117</v>
      </c>
      <c r="C130" s="9" t="s">
        <v>336</v>
      </c>
      <c r="D130" s="9" t="s">
        <v>342</v>
      </c>
      <c r="E130" s="9" t="s">
        <v>344</v>
      </c>
      <c r="F130" s="9" t="s">
        <v>344</v>
      </c>
    </row>
    <row r="131" spans="1:6" x14ac:dyDescent="0.25">
      <c r="A131" s="10">
        <v>510003</v>
      </c>
      <c r="B131" s="9" t="s">
        <v>118</v>
      </c>
      <c r="C131" s="9" t="s">
        <v>336</v>
      </c>
      <c r="D131" s="9" t="s">
        <v>342</v>
      </c>
      <c r="E131" s="9" t="s">
        <v>343</v>
      </c>
      <c r="F131" s="9" t="s">
        <v>343</v>
      </c>
    </row>
    <row r="132" spans="1:6" x14ac:dyDescent="0.25">
      <c r="A132" s="10">
        <v>510004</v>
      </c>
      <c r="B132" s="9" t="s">
        <v>119</v>
      </c>
      <c r="C132" s="9" t="s">
        <v>336</v>
      </c>
      <c r="D132" s="39" t="s">
        <v>342</v>
      </c>
      <c r="E132" s="128" t="s">
        <v>343</v>
      </c>
      <c r="F132" s="9" t="s">
        <v>346</v>
      </c>
    </row>
    <row r="133" spans="1:6" x14ac:dyDescent="0.25">
      <c r="A133" s="10">
        <v>510005</v>
      </c>
      <c r="B133" s="9" t="s">
        <v>120</v>
      </c>
      <c r="C133" s="9" t="s">
        <v>336</v>
      </c>
      <c r="D133" s="39" t="s">
        <v>342</v>
      </c>
      <c r="E133" s="44" t="s">
        <v>343</v>
      </c>
      <c r="F133" s="9" t="s">
        <v>346</v>
      </c>
    </row>
    <row r="134" spans="1:6" x14ac:dyDescent="0.25">
      <c r="A134" s="10">
        <v>520001</v>
      </c>
      <c r="B134" s="9" t="s">
        <v>121</v>
      </c>
      <c r="C134" s="9" t="s">
        <v>336</v>
      </c>
      <c r="D134" s="44" t="s">
        <v>342</v>
      </c>
      <c r="E134" s="44" t="s">
        <v>344</v>
      </c>
      <c r="F134" s="9" t="s">
        <v>298</v>
      </c>
    </row>
    <row r="135" spans="1:6" x14ac:dyDescent="0.25">
      <c r="A135" s="10">
        <v>520002</v>
      </c>
      <c r="B135" s="9" t="s">
        <v>122</v>
      </c>
      <c r="C135" s="9" t="s">
        <v>336</v>
      </c>
      <c r="D135" s="39" t="s">
        <v>342</v>
      </c>
      <c r="E135" s="44" t="s">
        <v>344</v>
      </c>
      <c r="F135" s="75" t="s">
        <v>348</v>
      </c>
    </row>
    <row r="136" spans="1:6" x14ac:dyDescent="0.25">
      <c r="A136" s="10">
        <v>520003</v>
      </c>
      <c r="B136" s="9" t="s">
        <v>123</v>
      </c>
      <c r="C136" s="9" t="s">
        <v>336</v>
      </c>
      <c r="D136" s="39" t="s">
        <v>342</v>
      </c>
      <c r="E136" s="9" t="s">
        <v>344</v>
      </c>
      <c r="F136" s="75" t="s">
        <v>480</v>
      </c>
    </row>
    <row r="137" spans="1:6" x14ac:dyDescent="0.25">
      <c r="A137" s="10">
        <v>520004</v>
      </c>
      <c r="B137" s="9" t="s">
        <v>124</v>
      </c>
      <c r="C137" s="9" t="s">
        <v>336</v>
      </c>
      <c r="D137" s="39" t="s">
        <v>342</v>
      </c>
      <c r="E137" s="9" t="s">
        <v>344</v>
      </c>
      <c r="F137" s="75" t="s">
        <v>477</v>
      </c>
    </row>
    <row r="138" spans="1:6" x14ac:dyDescent="0.25">
      <c r="A138" s="10">
        <v>520005</v>
      </c>
      <c r="B138" s="9" t="s">
        <v>125</v>
      </c>
      <c r="C138" s="9" t="s">
        <v>336</v>
      </c>
      <c r="D138" s="39" t="s">
        <v>342</v>
      </c>
      <c r="E138" s="9" t="s">
        <v>344</v>
      </c>
      <c r="F138" s="75" t="s">
        <v>481</v>
      </c>
    </row>
    <row r="139" spans="1:6" x14ac:dyDescent="0.25">
      <c r="A139" s="10">
        <v>520006</v>
      </c>
      <c r="B139" s="9" t="s">
        <v>126</v>
      </c>
      <c r="C139" s="9" t="s">
        <v>336</v>
      </c>
      <c r="D139" s="39" t="s">
        <v>342</v>
      </c>
      <c r="E139" s="9" t="s">
        <v>344</v>
      </c>
      <c r="F139" s="75" t="s">
        <v>349</v>
      </c>
    </row>
    <row r="140" spans="1:6" x14ac:dyDescent="0.25">
      <c r="A140" s="10">
        <v>520010</v>
      </c>
      <c r="B140" s="9" t="s">
        <v>127</v>
      </c>
      <c r="C140" s="9" t="s">
        <v>336</v>
      </c>
      <c r="D140" s="39" t="s">
        <v>342</v>
      </c>
      <c r="E140" s="9" t="s">
        <v>344</v>
      </c>
      <c r="F140" s="75" t="s">
        <v>298</v>
      </c>
    </row>
    <row r="141" spans="1:6" x14ac:dyDescent="0.25">
      <c r="A141" s="10">
        <v>520011</v>
      </c>
      <c r="B141" s="9" t="s">
        <v>122</v>
      </c>
      <c r="C141" s="9" t="s">
        <v>336</v>
      </c>
      <c r="D141" s="39" t="s">
        <v>342</v>
      </c>
      <c r="E141" s="9" t="s">
        <v>344</v>
      </c>
      <c r="F141" s="75" t="s">
        <v>348</v>
      </c>
    </row>
    <row r="142" spans="1:6" x14ac:dyDescent="0.25">
      <c r="A142" s="10">
        <v>520013</v>
      </c>
      <c r="B142" s="9" t="s">
        <v>124</v>
      </c>
      <c r="C142" s="9" t="s">
        <v>336</v>
      </c>
      <c r="D142" s="39" t="s">
        <v>342</v>
      </c>
      <c r="E142" s="9" t="s">
        <v>344</v>
      </c>
      <c r="F142" s="75" t="s">
        <v>477</v>
      </c>
    </row>
    <row r="143" spans="1:6" x14ac:dyDescent="0.25">
      <c r="A143" s="10">
        <v>520014</v>
      </c>
      <c r="B143" s="9" t="s">
        <v>125</v>
      </c>
      <c r="C143" s="9" t="s">
        <v>336</v>
      </c>
      <c r="D143" s="39" t="s">
        <v>342</v>
      </c>
      <c r="E143" s="9" t="s">
        <v>344</v>
      </c>
      <c r="F143" s="75" t="s">
        <v>481</v>
      </c>
    </row>
    <row r="144" spans="1:6" x14ac:dyDescent="0.25">
      <c r="A144" s="10">
        <v>520015</v>
      </c>
      <c r="B144" s="9" t="s">
        <v>128</v>
      </c>
      <c r="C144" s="9" t="s">
        <v>336</v>
      </c>
      <c r="D144" s="39" t="s">
        <v>342</v>
      </c>
      <c r="E144" s="9" t="s">
        <v>344</v>
      </c>
      <c r="F144" s="75" t="s">
        <v>477</v>
      </c>
    </row>
    <row r="145" spans="1:6" x14ac:dyDescent="0.25">
      <c r="A145" s="10">
        <v>520017</v>
      </c>
      <c r="B145" s="9" t="s">
        <v>240</v>
      </c>
      <c r="C145" s="9" t="s">
        <v>336</v>
      </c>
      <c r="D145" s="39" t="s">
        <v>342</v>
      </c>
      <c r="E145" s="9" t="s">
        <v>344</v>
      </c>
      <c r="F145" s="75" t="s">
        <v>295</v>
      </c>
    </row>
    <row r="146" spans="1:6" x14ac:dyDescent="0.25">
      <c r="A146" s="10">
        <v>520019</v>
      </c>
      <c r="B146" s="9" t="s">
        <v>241</v>
      </c>
      <c r="C146" s="9" t="s">
        <v>336</v>
      </c>
      <c r="D146" s="39" t="s">
        <v>342</v>
      </c>
      <c r="E146" s="9" t="s">
        <v>344</v>
      </c>
      <c r="F146" s="75" t="s">
        <v>477</v>
      </c>
    </row>
    <row r="147" spans="1:6" x14ac:dyDescent="0.25">
      <c r="A147" s="10">
        <v>520020</v>
      </c>
      <c r="B147" s="9" t="s">
        <v>242</v>
      </c>
      <c r="C147" s="9" t="s">
        <v>336</v>
      </c>
      <c r="D147" s="39" t="s">
        <v>342</v>
      </c>
      <c r="E147" s="9" t="s">
        <v>344</v>
      </c>
      <c r="F147" s="75" t="s">
        <v>477</v>
      </c>
    </row>
    <row r="148" spans="1:6" x14ac:dyDescent="0.25">
      <c r="A148" s="10">
        <v>520021</v>
      </c>
      <c r="B148" s="9" t="s">
        <v>129</v>
      </c>
      <c r="C148" s="9" t="s">
        <v>336</v>
      </c>
      <c r="D148" s="39" t="s">
        <v>342</v>
      </c>
      <c r="E148" s="9" t="s">
        <v>344</v>
      </c>
      <c r="F148" s="75" t="s">
        <v>349</v>
      </c>
    </row>
    <row r="149" spans="1:6" x14ac:dyDescent="0.25">
      <c r="A149" s="10">
        <v>520022</v>
      </c>
      <c r="B149" s="9" t="s">
        <v>130</v>
      </c>
      <c r="C149" s="9" t="s">
        <v>336</v>
      </c>
      <c r="D149" s="39" t="s">
        <v>342</v>
      </c>
      <c r="E149" s="9" t="s">
        <v>344</v>
      </c>
      <c r="F149" s="75" t="s">
        <v>482</v>
      </c>
    </row>
    <row r="150" spans="1:6" x14ac:dyDescent="0.25">
      <c r="A150" s="10">
        <v>520023</v>
      </c>
      <c r="B150" s="9" t="s">
        <v>255</v>
      </c>
      <c r="C150" s="9" t="s">
        <v>336</v>
      </c>
      <c r="D150" s="39" t="s">
        <v>342</v>
      </c>
      <c r="E150" s="9" t="s">
        <v>344</v>
      </c>
      <c r="F150" s="75" t="s">
        <v>349</v>
      </c>
    </row>
    <row r="151" spans="1:6" x14ac:dyDescent="0.25">
      <c r="A151" s="10">
        <v>520032</v>
      </c>
      <c r="B151" s="9" t="s">
        <v>131</v>
      </c>
      <c r="C151" s="9" t="s">
        <v>336</v>
      </c>
      <c r="D151" s="9" t="s">
        <v>342</v>
      </c>
      <c r="E151" s="9" t="s">
        <v>343</v>
      </c>
      <c r="F151" s="9" t="s">
        <v>347</v>
      </c>
    </row>
    <row r="152" spans="1:6" x14ac:dyDescent="0.25">
      <c r="A152" s="10">
        <v>520036</v>
      </c>
      <c r="B152" s="9" t="s">
        <v>132</v>
      </c>
      <c r="C152" s="9" t="s">
        <v>336</v>
      </c>
      <c r="D152" s="44" t="s">
        <v>342</v>
      </c>
      <c r="E152" s="9" t="s">
        <v>343</v>
      </c>
      <c r="F152" s="9" t="s">
        <v>343</v>
      </c>
    </row>
    <row r="153" spans="1:6" x14ac:dyDescent="0.25">
      <c r="A153" s="10">
        <v>520037</v>
      </c>
      <c r="B153" s="9" t="s">
        <v>133</v>
      </c>
      <c r="C153" s="9" t="s">
        <v>336</v>
      </c>
      <c r="D153" s="44" t="s">
        <v>342</v>
      </c>
      <c r="E153" s="9" t="s">
        <v>343</v>
      </c>
      <c r="F153" s="9" t="s">
        <v>343</v>
      </c>
    </row>
    <row r="154" spans="1:6" x14ac:dyDescent="0.25">
      <c r="A154" s="121">
        <v>520040</v>
      </c>
      <c r="B154" s="122" t="s">
        <v>134</v>
      </c>
      <c r="C154" s="122" t="s">
        <v>336</v>
      </c>
      <c r="D154" s="123" t="s">
        <v>342</v>
      </c>
      <c r="E154" s="124" t="s">
        <v>343</v>
      </c>
      <c r="F154" s="122" t="s">
        <v>346</v>
      </c>
    </row>
    <row r="155" spans="1:6" x14ac:dyDescent="0.25">
      <c r="A155" s="121">
        <v>520041</v>
      </c>
      <c r="B155" s="122" t="s">
        <v>135</v>
      </c>
      <c r="C155" s="122" t="s">
        <v>336</v>
      </c>
      <c r="D155" s="123" t="s">
        <v>342</v>
      </c>
      <c r="E155" s="129" t="s">
        <v>343</v>
      </c>
      <c r="F155" s="122" t="s">
        <v>346</v>
      </c>
    </row>
    <row r="156" spans="1:6" x14ac:dyDescent="0.25">
      <c r="A156" s="10">
        <v>520042</v>
      </c>
      <c r="B156" s="9" t="s">
        <v>136</v>
      </c>
      <c r="C156" s="9" t="s">
        <v>336</v>
      </c>
      <c r="D156" s="39" t="s">
        <v>342</v>
      </c>
      <c r="E156" s="9" t="s">
        <v>343</v>
      </c>
      <c r="F156" s="9" t="s">
        <v>136</v>
      </c>
    </row>
    <row r="157" spans="1:6" x14ac:dyDescent="0.25">
      <c r="A157" s="10">
        <v>600001</v>
      </c>
      <c r="B157" s="9" t="s">
        <v>137</v>
      </c>
      <c r="C157" s="9" t="s">
        <v>336</v>
      </c>
      <c r="D157" s="130" t="s">
        <v>342</v>
      </c>
      <c r="E157" s="130" t="s">
        <v>745</v>
      </c>
      <c r="F157" s="9" t="s">
        <v>298</v>
      </c>
    </row>
    <row r="158" spans="1:6" x14ac:dyDescent="0.25">
      <c r="A158" s="10">
        <v>600002</v>
      </c>
      <c r="B158" s="9" t="s">
        <v>138</v>
      </c>
      <c r="C158" s="9" t="s">
        <v>336</v>
      </c>
      <c r="D158" s="130" t="s">
        <v>342</v>
      </c>
      <c r="E158" s="130" t="s">
        <v>745</v>
      </c>
      <c r="F158" s="9" t="s">
        <v>348</v>
      </c>
    </row>
    <row r="159" spans="1:6" x14ac:dyDescent="0.25">
      <c r="A159" s="10">
        <v>600003</v>
      </c>
      <c r="B159" s="9" t="s">
        <v>139</v>
      </c>
      <c r="C159" s="9" t="s">
        <v>336</v>
      </c>
      <c r="D159" s="130" t="s">
        <v>342</v>
      </c>
      <c r="E159" s="130" t="s">
        <v>745</v>
      </c>
      <c r="F159" s="9" t="s">
        <v>479</v>
      </c>
    </row>
    <row r="160" spans="1:6" x14ac:dyDescent="0.25">
      <c r="A160" s="10">
        <v>600004</v>
      </c>
      <c r="B160" s="9" t="s">
        <v>140</v>
      </c>
      <c r="C160" s="9" t="s">
        <v>336</v>
      </c>
      <c r="D160" s="130" t="s">
        <v>342</v>
      </c>
      <c r="E160" s="130" t="s">
        <v>745</v>
      </c>
      <c r="F160" s="9" t="s">
        <v>349</v>
      </c>
    </row>
    <row r="161" spans="1:6" x14ac:dyDescent="0.25">
      <c r="A161" s="10">
        <v>600005</v>
      </c>
      <c r="B161" s="9" t="s">
        <v>141</v>
      </c>
      <c r="C161" s="9" t="s">
        <v>336</v>
      </c>
      <c r="D161" s="44" t="s">
        <v>345</v>
      </c>
      <c r="E161" s="75" t="s">
        <v>464</v>
      </c>
      <c r="F161" s="9" t="s">
        <v>350</v>
      </c>
    </row>
    <row r="162" spans="1:6" x14ac:dyDescent="0.25">
      <c r="A162" s="10">
        <v>600006</v>
      </c>
      <c r="B162" s="9" t="s">
        <v>142</v>
      </c>
      <c r="C162" s="9" t="s">
        <v>336</v>
      </c>
      <c r="D162" s="130" t="s">
        <v>342</v>
      </c>
      <c r="E162" s="130" t="s">
        <v>745</v>
      </c>
      <c r="F162" s="75" t="s">
        <v>479</v>
      </c>
    </row>
    <row r="163" spans="1:6" x14ac:dyDescent="0.25">
      <c r="A163" s="10">
        <v>600007</v>
      </c>
      <c r="B163" s="9" t="s">
        <v>143</v>
      </c>
      <c r="C163" s="9" t="s">
        <v>336</v>
      </c>
      <c r="D163" s="130" t="s">
        <v>342</v>
      </c>
      <c r="E163" s="130" t="s">
        <v>745</v>
      </c>
      <c r="F163" s="75" t="s">
        <v>480</v>
      </c>
    </row>
    <row r="164" spans="1:6" x14ac:dyDescent="0.25">
      <c r="A164" s="10">
        <v>600008</v>
      </c>
      <c r="B164" s="9" t="s">
        <v>144</v>
      </c>
      <c r="C164" s="9" t="s">
        <v>336</v>
      </c>
      <c r="D164" s="130" t="s">
        <v>342</v>
      </c>
      <c r="E164" s="130" t="s">
        <v>745</v>
      </c>
      <c r="F164" s="9" t="s">
        <v>295</v>
      </c>
    </row>
    <row r="165" spans="1:6" x14ac:dyDescent="0.25">
      <c r="A165" s="10">
        <v>600009</v>
      </c>
      <c r="B165" s="9" t="s">
        <v>145</v>
      </c>
      <c r="C165" s="9" t="s">
        <v>336</v>
      </c>
      <c r="D165" s="130" t="s">
        <v>342</v>
      </c>
      <c r="E165" s="130" t="s">
        <v>745</v>
      </c>
      <c r="F165" s="9" t="s">
        <v>351</v>
      </c>
    </row>
    <row r="166" spans="1:6" x14ac:dyDescent="0.25">
      <c r="A166" s="10">
        <v>600010</v>
      </c>
      <c r="B166" s="9" t="s">
        <v>146</v>
      </c>
      <c r="C166" s="9" t="s">
        <v>336</v>
      </c>
      <c r="D166" s="130" t="s">
        <v>342</v>
      </c>
      <c r="E166" s="130" t="s">
        <v>745</v>
      </c>
      <c r="F166" s="9" t="s">
        <v>352</v>
      </c>
    </row>
    <row r="167" spans="1:6" x14ac:dyDescent="0.25">
      <c r="A167" s="10">
        <v>600011</v>
      </c>
      <c r="B167" s="9" t="s">
        <v>147</v>
      </c>
      <c r="C167" s="9" t="s">
        <v>336</v>
      </c>
      <c r="D167" s="130" t="s">
        <v>342</v>
      </c>
      <c r="E167" s="130" t="s">
        <v>745</v>
      </c>
      <c r="F167" s="9" t="s">
        <v>295</v>
      </c>
    </row>
    <row r="168" spans="1:6" x14ac:dyDescent="0.25">
      <c r="A168" s="10">
        <v>600012</v>
      </c>
      <c r="B168" s="9" t="s">
        <v>148</v>
      </c>
      <c r="C168" s="9" t="s">
        <v>336</v>
      </c>
      <c r="D168" s="130" t="s">
        <v>342</v>
      </c>
      <c r="E168" s="130" t="s">
        <v>745</v>
      </c>
      <c r="F168" s="75" t="s">
        <v>483</v>
      </c>
    </row>
    <row r="169" spans="1:6" x14ac:dyDescent="0.25">
      <c r="A169" s="10">
        <v>600013</v>
      </c>
      <c r="B169" s="9" t="s">
        <v>149</v>
      </c>
      <c r="C169" s="9" t="s">
        <v>336</v>
      </c>
      <c r="D169" s="130" t="s">
        <v>342</v>
      </c>
      <c r="E169" s="130" t="s">
        <v>745</v>
      </c>
      <c r="F169" s="9" t="s">
        <v>353</v>
      </c>
    </row>
    <row r="170" spans="1:6" x14ac:dyDescent="0.25">
      <c r="A170" s="10">
        <v>600014</v>
      </c>
      <c r="B170" s="9" t="s">
        <v>60</v>
      </c>
      <c r="C170" s="9" t="s">
        <v>336</v>
      </c>
      <c r="D170" s="130" t="s">
        <v>342</v>
      </c>
      <c r="E170" s="130" t="s">
        <v>742</v>
      </c>
      <c r="F170" s="9" t="s">
        <v>347</v>
      </c>
    </row>
    <row r="171" spans="1:6" x14ac:dyDescent="0.25">
      <c r="A171" s="10">
        <v>600015</v>
      </c>
      <c r="B171" s="9" t="s">
        <v>150</v>
      </c>
      <c r="C171" s="9" t="s">
        <v>336</v>
      </c>
      <c r="D171" s="130" t="s">
        <v>342</v>
      </c>
      <c r="E171" s="130" t="s">
        <v>742</v>
      </c>
      <c r="F171" s="9" t="s">
        <v>347</v>
      </c>
    </row>
    <row r="172" spans="1:6" x14ac:dyDescent="0.25">
      <c r="A172" s="10">
        <v>600016</v>
      </c>
      <c r="B172" s="9" t="s">
        <v>151</v>
      </c>
      <c r="C172" s="9" t="s">
        <v>336</v>
      </c>
      <c r="D172" s="9" t="s">
        <v>342</v>
      </c>
      <c r="E172" s="130" t="s">
        <v>742</v>
      </c>
      <c r="F172" s="9" t="s">
        <v>354</v>
      </c>
    </row>
    <row r="173" spans="1:6" x14ac:dyDescent="0.25">
      <c r="A173" s="10">
        <v>600017</v>
      </c>
      <c r="B173" s="9" t="s">
        <v>152</v>
      </c>
      <c r="C173" s="9" t="s">
        <v>336</v>
      </c>
      <c r="D173" s="120" t="s">
        <v>342</v>
      </c>
      <c r="E173" s="120" t="s">
        <v>740</v>
      </c>
      <c r="F173" s="9" t="s">
        <v>355</v>
      </c>
    </row>
    <row r="174" spans="1:6" x14ac:dyDescent="0.25">
      <c r="A174" s="10">
        <v>600018</v>
      </c>
      <c r="B174" s="9" t="s">
        <v>153</v>
      </c>
      <c r="C174" s="9" t="s">
        <v>336</v>
      </c>
      <c r="D174" s="120" t="s">
        <v>342</v>
      </c>
      <c r="E174" s="120" t="s">
        <v>740</v>
      </c>
      <c r="F174" s="9" t="s">
        <v>356</v>
      </c>
    </row>
    <row r="175" spans="1:6" x14ac:dyDescent="0.25">
      <c r="A175" s="10">
        <v>600019</v>
      </c>
      <c r="B175" s="9" t="s">
        <v>154</v>
      </c>
      <c r="C175" s="9" t="s">
        <v>336</v>
      </c>
      <c r="D175" s="120" t="s">
        <v>342</v>
      </c>
      <c r="E175" s="120" t="s">
        <v>740</v>
      </c>
      <c r="F175" s="9" t="s">
        <v>357</v>
      </c>
    </row>
    <row r="176" spans="1:6" x14ac:dyDescent="0.25">
      <c r="A176" s="10">
        <v>600020</v>
      </c>
      <c r="B176" s="9" t="s">
        <v>155</v>
      </c>
      <c r="C176" s="9" t="s">
        <v>336</v>
      </c>
      <c r="D176" s="89" t="s">
        <v>342</v>
      </c>
      <c r="E176" s="89" t="s">
        <v>739</v>
      </c>
      <c r="F176" s="9" t="s">
        <v>358</v>
      </c>
    </row>
    <row r="177" spans="1:6" x14ac:dyDescent="0.25">
      <c r="A177" s="10">
        <v>600021</v>
      </c>
      <c r="B177" s="9" t="s">
        <v>156</v>
      </c>
      <c r="C177" s="9" t="s">
        <v>336</v>
      </c>
      <c r="D177" s="130" t="s">
        <v>342</v>
      </c>
      <c r="E177" s="130" t="s">
        <v>739</v>
      </c>
      <c r="F177" s="75" t="s">
        <v>472</v>
      </c>
    </row>
    <row r="178" spans="1:6" x14ac:dyDescent="0.25">
      <c r="A178" s="10">
        <v>600022</v>
      </c>
      <c r="B178" s="9" t="s">
        <v>157</v>
      </c>
      <c r="C178" s="9" t="s">
        <v>336</v>
      </c>
      <c r="D178" s="130" t="s">
        <v>342</v>
      </c>
      <c r="E178" s="130" t="s">
        <v>739</v>
      </c>
      <c r="F178" s="75" t="s">
        <v>473</v>
      </c>
    </row>
    <row r="179" spans="1:6" x14ac:dyDescent="0.25">
      <c r="A179" s="10">
        <v>600023</v>
      </c>
      <c r="B179" s="9" t="s">
        <v>158</v>
      </c>
      <c r="C179" s="9" t="s">
        <v>336</v>
      </c>
      <c r="D179" s="130" t="s">
        <v>342</v>
      </c>
      <c r="E179" s="130" t="s">
        <v>739</v>
      </c>
      <c r="F179" s="75" t="s">
        <v>474</v>
      </c>
    </row>
    <row r="180" spans="1:6" x14ac:dyDescent="0.25">
      <c r="A180" s="10">
        <v>600024</v>
      </c>
      <c r="B180" s="9" t="s">
        <v>159</v>
      </c>
      <c r="C180" s="9" t="s">
        <v>336</v>
      </c>
      <c r="D180" s="130" t="s">
        <v>342</v>
      </c>
      <c r="E180" s="9" t="s">
        <v>744</v>
      </c>
      <c r="F180" s="75" t="s">
        <v>486</v>
      </c>
    </row>
    <row r="181" spans="1:6" x14ac:dyDescent="0.25">
      <c r="A181" s="10">
        <v>600025</v>
      </c>
      <c r="B181" s="9" t="s">
        <v>160</v>
      </c>
      <c r="C181" s="9" t="s">
        <v>336</v>
      </c>
      <c r="D181" s="130" t="s">
        <v>342</v>
      </c>
      <c r="E181" s="9" t="s">
        <v>743</v>
      </c>
      <c r="F181" s="75" t="s">
        <v>459</v>
      </c>
    </row>
    <row r="182" spans="1:6" x14ac:dyDescent="0.25">
      <c r="A182" s="10">
        <v>600026</v>
      </c>
      <c r="B182" s="9" t="s">
        <v>161</v>
      </c>
      <c r="C182" s="9" t="s">
        <v>336</v>
      </c>
      <c r="D182" s="130" t="s">
        <v>342</v>
      </c>
      <c r="E182" s="9" t="s">
        <v>743</v>
      </c>
      <c r="F182" s="75" t="s">
        <v>458</v>
      </c>
    </row>
    <row r="183" spans="1:6" x14ac:dyDescent="0.25">
      <c r="A183" s="10">
        <v>600027</v>
      </c>
      <c r="B183" s="9" t="s">
        <v>162</v>
      </c>
      <c r="C183" s="9" t="s">
        <v>336</v>
      </c>
      <c r="D183" s="130" t="s">
        <v>342</v>
      </c>
      <c r="E183" s="9" t="s">
        <v>744</v>
      </c>
      <c r="F183" s="75" t="s">
        <v>487</v>
      </c>
    </row>
    <row r="184" spans="1:6" x14ac:dyDescent="0.25">
      <c r="A184" s="10">
        <v>600028</v>
      </c>
      <c r="B184" s="9" t="s">
        <v>163</v>
      </c>
      <c r="C184" s="9" t="s">
        <v>336</v>
      </c>
      <c r="D184" s="130" t="s">
        <v>342</v>
      </c>
      <c r="E184" s="130" t="s">
        <v>742</v>
      </c>
      <c r="F184" s="75" t="s">
        <v>483</v>
      </c>
    </row>
    <row r="185" spans="1:6" x14ac:dyDescent="0.25">
      <c r="A185" s="10">
        <v>600029</v>
      </c>
      <c r="B185" s="9" t="s">
        <v>164</v>
      </c>
      <c r="C185" s="9" t="s">
        <v>336</v>
      </c>
      <c r="D185" s="130" t="s">
        <v>342</v>
      </c>
      <c r="E185" s="9" t="s">
        <v>559</v>
      </c>
      <c r="F185" s="9" t="s">
        <v>360</v>
      </c>
    </row>
    <row r="186" spans="1:6" x14ac:dyDescent="0.25">
      <c r="A186" s="10">
        <v>600030</v>
      </c>
      <c r="B186" s="9" t="s">
        <v>165</v>
      </c>
      <c r="C186" s="9" t="s">
        <v>336</v>
      </c>
      <c r="D186" s="9" t="s">
        <v>359</v>
      </c>
      <c r="E186" s="9" t="s">
        <v>359</v>
      </c>
      <c r="F186" s="9" t="s">
        <v>360</v>
      </c>
    </row>
    <row r="187" spans="1:6" x14ac:dyDescent="0.25">
      <c r="A187" s="10">
        <v>600031</v>
      </c>
      <c r="B187" s="9" t="s">
        <v>166</v>
      </c>
      <c r="C187" s="9" t="s">
        <v>336</v>
      </c>
      <c r="D187" s="9" t="s">
        <v>359</v>
      </c>
      <c r="E187" s="9" t="s">
        <v>359</v>
      </c>
      <c r="F187" s="9" t="s">
        <v>360</v>
      </c>
    </row>
    <row r="188" spans="1:6" x14ac:dyDescent="0.25">
      <c r="A188" s="10">
        <v>600032</v>
      </c>
      <c r="B188" s="9" t="s">
        <v>167</v>
      </c>
      <c r="C188" s="9" t="s">
        <v>336</v>
      </c>
      <c r="D188" s="9" t="s">
        <v>359</v>
      </c>
      <c r="E188" s="9" t="s">
        <v>359</v>
      </c>
      <c r="F188" s="9" t="s">
        <v>360</v>
      </c>
    </row>
    <row r="189" spans="1:6" x14ac:dyDescent="0.25">
      <c r="A189" s="10">
        <v>600033</v>
      </c>
      <c r="B189" s="9" t="s">
        <v>168</v>
      </c>
      <c r="C189" s="9" t="s">
        <v>336</v>
      </c>
      <c r="D189" s="9" t="s">
        <v>359</v>
      </c>
      <c r="E189" s="9" t="s">
        <v>359</v>
      </c>
      <c r="F189" s="9" t="s">
        <v>360</v>
      </c>
    </row>
    <row r="190" spans="1:6" x14ac:dyDescent="0.25">
      <c r="A190" s="10">
        <v>600034</v>
      </c>
      <c r="B190" s="9" t="s">
        <v>169</v>
      </c>
      <c r="C190" s="9" t="s">
        <v>336</v>
      </c>
      <c r="D190" s="130" t="s">
        <v>342</v>
      </c>
      <c r="E190" s="130" t="s">
        <v>741</v>
      </c>
      <c r="F190" s="75" t="s">
        <v>469</v>
      </c>
    </row>
    <row r="191" spans="1:6" x14ac:dyDescent="0.25">
      <c r="A191" s="10">
        <v>600035</v>
      </c>
      <c r="B191" s="9" t="s">
        <v>252</v>
      </c>
      <c r="C191" s="9" t="s">
        <v>336</v>
      </c>
      <c r="D191" s="130" t="s">
        <v>342</v>
      </c>
      <c r="E191" s="130" t="s">
        <v>741</v>
      </c>
      <c r="F191" s="9" t="s">
        <v>361</v>
      </c>
    </row>
    <row r="192" spans="1:6" x14ac:dyDescent="0.25">
      <c r="A192" s="10">
        <v>600036</v>
      </c>
      <c r="B192" s="9" t="s">
        <v>253</v>
      </c>
      <c r="C192" s="9" t="s">
        <v>336</v>
      </c>
      <c r="D192" s="130" t="s">
        <v>342</v>
      </c>
      <c r="E192" s="130" t="s">
        <v>742</v>
      </c>
      <c r="F192" s="9" t="s">
        <v>362</v>
      </c>
    </row>
    <row r="193" spans="1:6" x14ac:dyDescent="0.25">
      <c r="A193" s="10">
        <v>600060</v>
      </c>
      <c r="B193" s="9" t="s">
        <v>170</v>
      </c>
      <c r="C193" s="9" t="s">
        <v>336</v>
      </c>
      <c r="D193" s="9" t="s">
        <v>558</v>
      </c>
      <c r="E193" s="45" t="s">
        <v>558</v>
      </c>
      <c r="F193" s="9" t="s">
        <v>363</v>
      </c>
    </row>
    <row r="194" spans="1:6" x14ac:dyDescent="0.25">
      <c r="A194" s="10">
        <v>700001</v>
      </c>
      <c r="B194" s="9" t="s">
        <v>171</v>
      </c>
      <c r="C194" s="9" t="s">
        <v>336</v>
      </c>
      <c r="D194" s="9" t="s">
        <v>345</v>
      </c>
      <c r="E194" s="9" t="s">
        <v>298</v>
      </c>
      <c r="F194" s="75" t="s">
        <v>298</v>
      </c>
    </row>
    <row r="195" spans="1:6" x14ac:dyDescent="0.25">
      <c r="A195" s="10">
        <v>700002</v>
      </c>
      <c r="B195" s="9" t="s">
        <v>172</v>
      </c>
      <c r="C195" s="9" t="s">
        <v>336</v>
      </c>
      <c r="D195" s="9" t="s">
        <v>345</v>
      </c>
      <c r="E195" s="9" t="s">
        <v>298</v>
      </c>
      <c r="F195" s="9" t="s">
        <v>348</v>
      </c>
    </row>
    <row r="196" spans="1:6" x14ac:dyDescent="0.25">
      <c r="A196" s="10">
        <v>700003</v>
      </c>
      <c r="B196" s="9" t="s">
        <v>173</v>
      </c>
      <c r="C196" s="9" t="s">
        <v>336</v>
      </c>
      <c r="D196" s="9" t="s">
        <v>345</v>
      </c>
      <c r="E196" s="9" t="s">
        <v>298</v>
      </c>
      <c r="F196" s="9" t="s">
        <v>479</v>
      </c>
    </row>
    <row r="197" spans="1:6" x14ac:dyDescent="0.25">
      <c r="A197" s="10">
        <v>700004</v>
      </c>
      <c r="B197" s="9" t="s">
        <v>174</v>
      </c>
      <c r="C197" s="9" t="s">
        <v>336</v>
      </c>
      <c r="D197" s="9" t="s">
        <v>345</v>
      </c>
      <c r="E197" s="9" t="s">
        <v>298</v>
      </c>
      <c r="F197" s="9" t="s">
        <v>349</v>
      </c>
    </row>
    <row r="198" spans="1:6" x14ac:dyDescent="0.25">
      <c r="A198" s="10">
        <v>700005</v>
      </c>
      <c r="B198" s="9" t="s">
        <v>175</v>
      </c>
      <c r="C198" s="9" t="s">
        <v>336</v>
      </c>
      <c r="D198" s="9" t="s">
        <v>345</v>
      </c>
      <c r="E198" s="75" t="s">
        <v>464</v>
      </c>
      <c r="F198" s="9" t="s">
        <v>350</v>
      </c>
    </row>
    <row r="199" spans="1:6" x14ac:dyDescent="0.25">
      <c r="A199" s="10">
        <v>700006</v>
      </c>
      <c r="B199" s="9" t="s">
        <v>176</v>
      </c>
      <c r="C199" s="9" t="s">
        <v>336</v>
      </c>
      <c r="D199" s="9" t="s">
        <v>345</v>
      </c>
      <c r="E199" s="9" t="s">
        <v>298</v>
      </c>
      <c r="F199" s="9" t="s">
        <v>479</v>
      </c>
    </row>
    <row r="200" spans="1:6" x14ac:dyDescent="0.25">
      <c r="A200" s="10">
        <v>700007</v>
      </c>
      <c r="B200" s="9" t="s">
        <v>177</v>
      </c>
      <c r="C200" s="9" t="s">
        <v>336</v>
      </c>
      <c r="D200" s="9" t="s">
        <v>345</v>
      </c>
      <c r="E200" s="9" t="s">
        <v>298</v>
      </c>
      <c r="F200" s="75" t="s">
        <v>480</v>
      </c>
    </row>
    <row r="201" spans="1:6" x14ac:dyDescent="0.25">
      <c r="A201" s="10">
        <v>700008</v>
      </c>
      <c r="B201" s="9" t="s">
        <v>178</v>
      </c>
      <c r="C201" s="9" t="s">
        <v>336</v>
      </c>
      <c r="D201" s="9" t="s">
        <v>345</v>
      </c>
      <c r="E201" s="9" t="s">
        <v>298</v>
      </c>
      <c r="F201" s="9" t="s">
        <v>295</v>
      </c>
    </row>
    <row r="202" spans="1:6" x14ac:dyDescent="0.25">
      <c r="A202" s="10">
        <v>700009</v>
      </c>
      <c r="B202" s="9" t="s">
        <v>179</v>
      </c>
      <c r="C202" s="9" t="s">
        <v>336</v>
      </c>
      <c r="D202" s="9" t="s">
        <v>345</v>
      </c>
      <c r="E202" s="9" t="s">
        <v>298</v>
      </c>
      <c r="F202" s="75" t="s">
        <v>481</v>
      </c>
    </row>
    <row r="203" spans="1:6" x14ac:dyDescent="0.25">
      <c r="A203" s="10">
        <v>700010</v>
      </c>
      <c r="B203" s="9" t="s">
        <v>180</v>
      </c>
      <c r="C203" s="9" t="s">
        <v>336</v>
      </c>
      <c r="D203" s="9" t="s">
        <v>345</v>
      </c>
      <c r="E203" s="9" t="s">
        <v>298</v>
      </c>
      <c r="F203" s="75" t="s">
        <v>484</v>
      </c>
    </row>
    <row r="204" spans="1:6" x14ac:dyDescent="0.25">
      <c r="A204" s="10">
        <v>700011</v>
      </c>
      <c r="B204" s="9" t="s">
        <v>181</v>
      </c>
      <c r="C204" s="9" t="s">
        <v>336</v>
      </c>
      <c r="D204" s="9" t="s">
        <v>345</v>
      </c>
      <c r="E204" s="9" t="s">
        <v>298</v>
      </c>
      <c r="F204" s="9" t="s">
        <v>295</v>
      </c>
    </row>
    <row r="205" spans="1:6" x14ac:dyDescent="0.25">
      <c r="A205" s="10">
        <v>700012</v>
      </c>
      <c r="B205" s="9" t="s">
        <v>182</v>
      </c>
      <c r="C205" s="9" t="s">
        <v>336</v>
      </c>
      <c r="D205" s="9" t="s">
        <v>345</v>
      </c>
      <c r="E205" s="9" t="s">
        <v>298</v>
      </c>
      <c r="F205" s="75" t="s">
        <v>483</v>
      </c>
    </row>
    <row r="206" spans="1:6" x14ac:dyDescent="0.25">
      <c r="A206" s="10">
        <v>700013</v>
      </c>
      <c r="B206" s="9" t="s">
        <v>183</v>
      </c>
      <c r="C206" s="9" t="s">
        <v>336</v>
      </c>
      <c r="D206" s="9" t="s">
        <v>345</v>
      </c>
      <c r="E206" s="75" t="s">
        <v>476</v>
      </c>
      <c r="F206" s="9" t="s">
        <v>364</v>
      </c>
    </row>
    <row r="207" spans="1:6" x14ac:dyDescent="0.25">
      <c r="A207" s="10">
        <v>700014</v>
      </c>
      <c r="B207" s="9" t="s">
        <v>184</v>
      </c>
      <c r="C207" s="9" t="s">
        <v>336</v>
      </c>
      <c r="D207" s="9" t="s">
        <v>345</v>
      </c>
      <c r="E207" s="9" t="s">
        <v>298</v>
      </c>
      <c r="F207" s="75" t="s">
        <v>483</v>
      </c>
    </row>
    <row r="208" spans="1:6" x14ac:dyDescent="0.25">
      <c r="A208" s="10">
        <v>700015</v>
      </c>
      <c r="B208" s="9" t="s">
        <v>185</v>
      </c>
      <c r="C208" s="9" t="s">
        <v>336</v>
      </c>
      <c r="D208" s="9" t="s">
        <v>345</v>
      </c>
      <c r="E208" s="47" t="s">
        <v>414</v>
      </c>
      <c r="F208" s="9" t="s">
        <v>365</v>
      </c>
    </row>
    <row r="209" spans="1:6" x14ac:dyDescent="0.25">
      <c r="A209" s="10">
        <v>700016</v>
      </c>
      <c r="B209" s="9" t="s">
        <v>186</v>
      </c>
      <c r="C209" s="9" t="s">
        <v>336</v>
      </c>
      <c r="D209" s="75" t="s">
        <v>380</v>
      </c>
      <c r="E209" s="9" t="s">
        <v>375</v>
      </c>
      <c r="F209" s="9" t="s">
        <v>366</v>
      </c>
    </row>
    <row r="210" spans="1:6" x14ac:dyDescent="0.25">
      <c r="A210" s="10">
        <v>700017</v>
      </c>
      <c r="B210" s="9" t="s">
        <v>187</v>
      </c>
      <c r="C210" s="9" t="s">
        <v>336</v>
      </c>
      <c r="D210" s="9" t="s">
        <v>345</v>
      </c>
      <c r="E210" s="148" t="s">
        <v>298</v>
      </c>
      <c r="F210" s="9" t="s">
        <v>367</v>
      </c>
    </row>
    <row r="211" spans="1:6" x14ac:dyDescent="0.25">
      <c r="A211" s="10">
        <v>700018</v>
      </c>
      <c r="B211" s="9" t="s">
        <v>188</v>
      </c>
      <c r="C211" s="9" t="s">
        <v>336</v>
      </c>
      <c r="D211" s="9" t="s">
        <v>345</v>
      </c>
      <c r="E211" s="9" t="s">
        <v>298</v>
      </c>
      <c r="F211" s="9" t="s">
        <v>461</v>
      </c>
    </row>
    <row r="212" spans="1:6" x14ac:dyDescent="0.25">
      <c r="A212" s="10">
        <v>700019</v>
      </c>
      <c r="B212" s="9" t="s">
        <v>189</v>
      </c>
      <c r="C212" s="9" t="s">
        <v>336</v>
      </c>
      <c r="D212" s="9" t="s">
        <v>345</v>
      </c>
      <c r="E212" s="9" t="s">
        <v>298</v>
      </c>
      <c r="F212" s="9" t="s">
        <v>478</v>
      </c>
    </row>
    <row r="213" spans="1:6" x14ac:dyDescent="0.25">
      <c r="A213" s="10">
        <v>700020</v>
      </c>
      <c r="B213" s="9" t="s">
        <v>190</v>
      </c>
      <c r="C213" s="9" t="s">
        <v>336</v>
      </c>
      <c r="D213" s="9" t="s">
        <v>345</v>
      </c>
      <c r="E213" s="75" t="s">
        <v>476</v>
      </c>
      <c r="F213" s="9" t="s">
        <v>355</v>
      </c>
    </row>
    <row r="214" spans="1:6" x14ac:dyDescent="0.25">
      <c r="A214" s="10">
        <v>700021</v>
      </c>
      <c r="B214" s="9" t="s">
        <v>191</v>
      </c>
      <c r="C214" s="9" t="s">
        <v>336</v>
      </c>
      <c r="D214" s="9" t="s">
        <v>345</v>
      </c>
      <c r="E214" s="75" t="s">
        <v>476</v>
      </c>
      <c r="F214" s="9" t="s">
        <v>364</v>
      </c>
    </row>
    <row r="215" spans="1:6" x14ac:dyDescent="0.25">
      <c r="A215" s="10">
        <v>700022</v>
      </c>
      <c r="B215" s="9" t="s">
        <v>192</v>
      </c>
      <c r="C215" s="9" t="s">
        <v>336</v>
      </c>
      <c r="D215" s="9" t="s">
        <v>345</v>
      </c>
      <c r="E215" s="75" t="s">
        <v>476</v>
      </c>
      <c r="F215" s="9" t="s">
        <v>364</v>
      </c>
    </row>
    <row r="216" spans="1:6" x14ac:dyDescent="0.25">
      <c r="A216" s="10">
        <v>700023</v>
      </c>
      <c r="B216" s="9" t="s">
        <v>193</v>
      </c>
      <c r="C216" s="9" t="s">
        <v>336</v>
      </c>
      <c r="D216" s="9" t="s">
        <v>345</v>
      </c>
      <c r="E216" s="75" t="s">
        <v>476</v>
      </c>
      <c r="F216" s="9" t="s">
        <v>471</v>
      </c>
    </row>
    <row r="217" spans="1:6" x14ac:dyDescent="0.25">
      <c r="A217" s="10">
        <v>700024</v>
      </c>
      <c r="B217" s="9" t="s">
        <v>194</v>
      </c>
      <c r="C217" s="9" t="s">
        <v>336</v>
      </c>
      <c r="D217" s="9" t="s">
        <v>345</v>
      </c>
      <c r="E217" s="9" t="s">
        <v>368</v>
      </c>
      <c r="F217" s="9" t="s">
        <v>364</v>
      </c>
    </row>
    <row r="218" spans="1:6" x14ac:dyDescent="0.25">
      <c r="A218" s="10">
        <v>700025</v>
      </c>
      <c r="B218" s="9" t="s">
        <v>195</v>
      </c>
      <c r="C218" s="9" t="s">
        <v>336</v>
      </c>
      <c r="D218" s="9" t="s">
        <v>345</v>
      </c>
      <c r="E218" s="75" t="s">
        <v>298</v>
      </c>
      <c r="F218" s="75" t="s">
        <v>298</v>
      </c>
    </row>
    <row r="219" spans="1:6" x14ac:dyDescent="0.25">
      <c r="A219" s="10">
        <v>700026</v>
      </c>
      <c r="B219" s="9" t="s">
        <v>196</v>
      </c>
      <c r="C219" s="9" t="s">
        <v>336</v>
      </c>
      <c r="D219" s="9" t="s">
        <v>345</v>
      </c>
      <c r="E219" s="75" t="s">
        <v>476</v>
      </c>
      <c r="F219" s="9" t="s">
        <v>369</v>
      </c>
    </row>
    <row r="220" spans="1:6" x14ac:dyDescent="0.25">
      <c r="A220" s="10">
        <v>700027</v>
      </c>
      <c r="B220" s="9" t="s">
        <v>197</v>
      </c>
      <c r="C220" s="9" t="s">
        <v>336</v>
      </c>
      <c r="D220" s="9" t="s">
        <v>345</v>
      </c>
      <c r="E220" s="75" t="s">
        <v>470</v>
      </c>
      <c r="F220" s="75" t="s">
        <v>470</v>
      </c>
    </row>
    <row r="221" spans="1:6" x14ac:dyDescent="0.25">
      <c r="A221" s="10">
        <v>700028</v>
      </c>
      <c r="B221" s="9" t="s">
        <v>198</v>
      </c>
      <c r="C221" s="9" t="s">
        <v>336</v>
      </c>
      <c r="D221" s="9" t="s">
        <v>345</v>
      </c>
      <c r="E221" s="9" t="s">
        <v>462</v>
      </c>
      <c r="F221" s="9" t="s">
        <v>370</v>
      </c>
    </row>
    <row r="222" spans="1:6" x14ac:dyDescent="0.25">
      <c r="A222" s="10">
        <v>700029</v>
      </c>
      <c r="B222" s="9" t="s">
        <v>199</v>
      </c>
      <c r="C222" s="9" t="s">
        <v>336</v>
      </c>
      <c r="D222" s="9" t="s">
        <v>345</v>
      </c>
      <c r="E222" s="75" t="s">
        <v>476</v>
      </c>
      <c r="F222" s="75" t="s">
        <v>471</v>
      </c>
    </row>
    <row r="223" spans="1:6" x14ac:dyDescent="0.25">
      <c r="A223" s="10">
        <v>700030</v>
      </c>
      <c r="B223" s="9" t="s">
        <v>200</v>
      </c>
      <c r="C223" s="9" t="s">
        <v>336</v>
      </c>
      <c r="D223" s="9" t="s">
        <v>345</v>
      </c>
      <c r="E223" s="75" t="s">
        <v>476</v>
      </c>
      <c r="F223" s="75" t="s">
        <v>473</v>
      </c>
    </row>
    <row r="224" spans="1:6" x14ac:dyDescent="0.25">
      <c r="A224" s="10">
        <v>700031</v>
      </c>
      <c r="B224" s="9" t="s">
        <v>201</v>
      </c>
      <c r="C224" s="9" t="s">
        <v>336</v>
      </c>
      <c r="D224" s="9" t="s">
        <v>345</v>
      </c>
      <c r="E224" s="75" t="s">
        <v>476</v>
      </c>
      <c r="F224" s="75" t="s">
        <v>474</v>
      </c>
    </row>
    <row r="225" spans="1:6" x14ac:dyDescent="0.25">
      <c r="A225" s="10">
        <v>700032</v>
      </c>
      <c r="B225" s="9" t="s">
        <v>202</v>
      </c>
      <c r="C225" s="9" t="s">
        <v>336</v>
      </c>
      <c r="D225" s="9" t="s">
        <v>345</v>
      </c>
      <c r="E225" s="75" t="s">
        <v>476</v>
      </c>
      <c r="F225" s="75" t="s">
        <v>472</v>
      </c>
    </row>
    <row r="226" spans="1:6" x14ac:dyDescent="0.25">
      <c r="A226" s="10">
        <v>700033</v>
      </c>
      <c r="B226" s="9" t="s">
        <v>203</v>
      </c>
      <c r="C226" s="9" t="s">
        <v>336</v>
      </c>
      <c r="D226" s="9" t="s">
        <v>345</v>
      </c>
      <c r="E226" s="75" t="s">
        <v>476</v>
      </c>
      <c r="F226" s="9" t="s">
        <v>357</v>
      </c>
    </row>
    <row r="227" spans="1:6" x14ac:dyDescent="0.25">
      <c r="A227" s="10">
        <v>700034</v>
      </c>
      <c r="B227" s="9" t="s">
        <v>204</v>
      </c>
      <c r="C227" s="9" t="s">
        <v>336</v>
      </c>
      <c r="D227" s="9" t="s">
        <v>345</v>
      </c>
      <c r="E227" s="75" t="s">
        <v>462</v>
      </c>
      <c r="F227" s="9" t="s">
        <v>347</v>
      </c>
    </row>
    <row r="228" spans="1:6" x14ac:dyDescent="0.25">
      <c r="A228" s="10">
        <v>700035</v>
      </c>
      <c r="B228" s="9" t="s">
        <v>205</v>
      </c>
      <c r="C228" s="9" t="s">
        <v>336</v>
      </c>
      <c r="D228" s="9" t="s">
        <v>345</v>
      </c>
      <c r="E228" s="9" t="s">
        <v>371</v>
      </c>
      <c r="F228" s="9" t="s">
        <v>364</v>
      </c>
    </row>
    <row r="229" spans="1:6" x14ac:dyDescent="0.25">
      <c r="A229" s="10">
        <v>700036</v>
      </c>
      <c r="B229" s="9" t="s">
        <v>206</v>
      </c>
      <c r="C229" s="9" t="s">
        <v>336</v>
      </c>
      <c r="D229" s="9" t="s">
        <v>345</v>
      </c>
      <c r="E229" s="75" t="s">
        <v>476</v>
      </c>
      <c r="F229" s="75" t="s">
        <v>463</v>
      </c>
    </row>
    <row r="230" spans="1:6" x14ac:dyDescent="0.25">
      <c r="A230" s="10">
        <v>700037</v>
      </c>
      <c r="B230" s="9" t="s">
        <v>207</v>
      </c>
      <c r="C230" s="9" t="s">
        <v>336</v>
      </c>
      <c r="D230" s="9" t="s">
        <v>372</v>
      </c>
      <c r="E230" s="9" t="s">
        <v>372</v>
      </c>
      <c r="F230" s="9" t="s">
        <v>373</v>
      </c>
    </row>
    <row r="231" spans="1:6" x14ac:dyDescent="0.25">
      <c r="A231" s="10">
        <v>700038</v>
      </c>
      <c r="B231" s="9" t="s">
        <v>208</v>
      </c>
      <c r="C231" s="9" t="s">
        <v>336</v>
      </c>
      <c r="D231" s="9" t="s">
        <v>345</v>
      </c>
      <c r="E231" s="47" t="s">
        <v>414</v>
      </c>
      <c r="F231" s="9" t="s">
        <v>374</v>
      </c>
    </row>
    <row r="232" spans="1:6" x14ac:dyDescent="0.25">
      <c r="A232" s="10">
        <v>700039</v>
      </c>
      <c r="B232" s="9" t="s">
        <v>209</v>
      </c>
      <c r="C232" s="9" t="s">
        <v>336</v>
      </c>
      <c r="D232" s="75" t="s">
        <v>380</v>
      </c>
      <c r="E232" s="9" t="s">
        <v>375</v>
      </c>
      <c r="F232" s="9" t="s">
        <v>375</v>
      </c>
    </row>
    <row r="233" spans="1:6" x14ac:dyDescent="0.25">
      <c r="A233" s="10">
        <v>700040</v>
      </c>
      <c r="B233" s="9" t="s">
        <v>210</v>
      </c>
      <c r="C233" s="9" t="s">
        <v>336</v>
      </c>
      <c r="D233" s="9" t="s">
        <v>345</v>
      </c>
      <c r="E233" s="75" t="s">
        <v>476</v>
      </c>
      <c r="F233" s="9" t="s">
        <v>460</v>
      </c>
    </row>
    <row r="234" spans="1:6" x14ac:dyDescent="0.25">
      <c r="A234" s="10">
        <v>700041</v>
      </c>
      <c r="B234" s="9" t="s">
        <v>211</v>
      </c>
      <c r="C234" s="9" t="s">
        <v>336</v>
      </c>
      <c r="D234" s="9" t="s">
        <v>345</v>
      </c>
      <c r="E234" s="75" t="s">
        <v>298</v>
      </c>
      <c r="F234" s="75" t="s">
        <v>475</v>
      </c>
    </row>
    <row r="235" spans="1:6" x14ac:dyDescent="0.25">
      <c r="A235" s="10">
        <v>700042</v>
      </c>
      <c r="B235" s="9" t="s">
        <v>212</v>
      </c>
      <c r="C235" s="9" t="s">
        <v>336</v>
      </c>
      <c r="D235" s="9" t="s">
        <v>345</v>
      </c>
      <c r="E235" s="148" t="s">
        <v>462</v>
      </c>
      <c r="F235" s="9" t="s">
        <v>346</v>
      </c>
    </row>
    <row r="236" spans="1:6" x14ac:dyDescent="0.25">
      <c r="A236" s="10">
        <v>700043</v>
      </c>
      <c r="B236" s="9" t="s">
        <v>213</v>
      </c>
      <c r="C236" s="9" t="s">
        <v>336</v>
      </c>
      <c r="D236" s="9" t="s">
        <v>345</v>
      </c>
      <c r="E236" s="75" t="s">
        <v>464</v>
      </c>
      <c r="F236" s="9" t="s">
        <v>376</v>
      </c>
    </row>
    <row r="237" spans="1:6" x14ac:dyDescent="0.25">
      <c r="A237" s="10">
        <v>700044</v>
      </c>
      <c r="B237" s="9" t="s">
        <v>214</v>
      </c>
      <c r="C237" s="9" t="s">
        <v>336</v>
      </c>
      <c r="D237" s="9" t="s">
        <v>345</v>
      </c>
      <c r="E237" s="75" t="s">
        <v>464</v>
      </c>
      <c r="F237" s="9" t="s">
        <v>350</v>
      </c>
    </row>
    <row r="238" spans="1:6" x14ac:dyDescent="0.25">
      <c r="A238" s="10">
        <v>700045</v>
      </c>
      <c r="B238" s="9" t="s">
        <v>215</v>
      </c>
      <c r="C238" s="9" t="s">
        <v>336</v>
      </c>
      <c r="D238" s="9" t="s">
        <v>372</v>
      </c>
      <c r="E238" s="9" t="s">
        <v>372</v>
      </c>
      <c r="F238" s="9" t="s">
        <v>377</v>
      </c>
    </row>
    <row r="239" spans="1:6" x14ac:dyDescent="0.25">
      <c r="A239" s="10">
        <v>700048</v>
      </c>
      <c r="B239" s="9" t="s">
        <v>216</v>
      </c>
      <c r="C239" s="9" t="s">
        <v>336</v>
      </c>
      <c r="D239" s="9" t="s">
        <v>378</v>
      </c>
      <c r="E239" s="9" t="s">
        <v>379</v>
      </c>
      <c r="F239" s="9" t="s">
        <v>379</v>
      </c>
    </row>
    <row r="240" spans="1:6" x14ac:dyDescent="0.25">
      <c r="A240" s="10">
        <v>700049</v>
      </c>
      <c r="B240" s="9" t="s">
        <v>217</v>
      </c>
      <c r="C240" s="9" t="s">
        <v>336</v>
      </c>
      <c r="D240" s="9" t="s">
        <v>345</v>
      </c>
      <c r="E240" s="75" t="s">
        <v>298</v>
      </c>
      <c r="F240" s="75" t="s">
        <v>488</v>
      </c>
    </row>
    <row r="241" spans="1:6" x14ac:dyDescent="0.25">
      <c r="A241" s="10">
        <v>700050</v>
      </c>
      <c r="B241" s="9" t="s">
        <v>218</v>
      </c>
      <c r="C241" s="9" t="s">
        <v>336</v>
      </c>
      <c r="D241" s="9" t="s">
        <v>359</v>
      </c>
      <c r="E241" s="9" t="s">
        <v>359</v>
      </c>
      <c r="F241" s="9" t="s">
        <v>360</v>
      </c>
    </row>
    <row r="242" spans="1:6" x14ac:dyDescent="0.25">
      <c r="A242" s="10">
        <v>700051</v>
      </c>
      <c r="B242" s="9" t="s">
        <v>243</v>
      </c>
      <c r="C242" s="9" t="s">
        <v>336</v>
      </c>
      <c r="D242" s="9" t="s">
        <v>359</v>
      </c>
      <c r="E242" s="9" t="s">
        <v>359</v>
      </c>
      <c r="F242" s="9" t="s">
        <v>360</v>
      </c>
    </row>
    <row r="243" spans="1:6" x14ac:dyDescent="0.25">
      <c r="A243" s="10">
        <v>700052</v>
      </c>
      <c r="B243" s="9" t="s">
        <v>219</v>
      </c>
      <c r="C243" s="9" t="s">
        <v>336</v>
      </c>
      <c r="D243" s="9" t="s">
        <v>359</v>
      </c>
      <c r="E243" s="9" t="s">
        <v>359</v>
      </c>
      <c r="F243" s="9" t="s">
        <v>360</v>
      </c>
    </row>
    <row r="244" spans="1:6" x14ac:dyDescent="0.25">
      <c r="A244" s="10">
        <v>700053</v>
      </c>
      <c r="B244" s="9" t="s">
        <v>220</v>
      </c>
      <c r="C244" s="9" t="s">
        <v>336</v>
      </c>
      <c r="D244" s="9" t="s">
        <v>359</v>
      </c>
      <c r="E244" s="9" t="s">
        <v>359</v>
      </c>
      <c r="F244" s="9" t="s">
        <v>360</v>
      </c>
    </row>
    <row r="245" spans="1:6" x14ac:dyDescent="0.25">
      <c r="A245" s="10">
        <v>700054</v>
      </c>
      <c r="B245" s="9" t="s">
        <v>221</v>
      </c>
      <c r="C245" s="9" t="s">
        <v>336</v>
      </c>
      <c r="D245" s="9" t="s">
        <v>359</v>
      </c>
      <c r="E245" s="9" t="s">
        <v>359</v>
      </c>
      <c r="F245" s="9" t="s">
        <v>360</v>
      </c>
    </row>
    <row r="246" spans="1:6" x14ac:dyDescent="0.25">
      <c r="A246" s="10">
        <v>700055</v>
      </c>
      <c r="B246" s="9" t="s">
        <v>222</v>
      </c>
      <c r="C246" s="9" t="s">
        <v>336</v>
      </c>
      <c r="D246" s="9" t="s">
        <v>359</v>
      </c>
      <c r="E246" s="9" t="s">
        <v>359</v>
      </c>
      <c r="F246" s="9" t="s">
        <v>360</v>
      </c>
    </row>
    <row r="247" spans="1:6" x14ac:dyDescent="0.25">
      <c r="A247" s="10">
        <v>700056</v>
      </c>
      <c r="B247" s="9" t="s">
        <v>223</v>
      </c>
      <c r="C247" s="9" t="s">
        <v>336</v>
      </c>
      <c r="D247" s="9" t="s">
        <v>359</v>
      </c>
      <c r="E247" s="9" t="s">
        <v>359</v>
      </c>
      <c r="F247" s="9" t="s">
        <v>360</v>
      </c>
    </row>
    <row r="248" spans="1:6" x14ac:dyDescent="0.25">
      <c r="A248" s="10">
        <v>700057</v>
      </c>
      <c r="B248" s="9" t="s">
        <v>224</v>
      </c>
      <c r="C248" s="9" t="s">
        <v>336</v>
      </c>
      <c r="D248" s="130" t="s">
        <v>342</v>
      </c>
      <c r="E248" s="130" t="s">
        <v>744</v>
      </c>
      <c r="F248" s="75" t="s">
        <v>465</v>
      </c>
    </row>
    <row r="249" spans="1:6" x14ac:dyDescent="0.25">
      <c r="A249" s="10">
        <v>700058</v>
      </c>
      <c r="B249" s="9" t="s">
        <v>225</v>
      </c>
      <c r="C249" s="9" t="s">
        <v>336</v>
      </c>
      <c r="D249" s="9" t="s">
        <v>380</v>
      </c>
      <c r="E249" s="9" t="s">
        <v>381</v>
      </c>
      <c r="F249" s="9" t="s">
        <v>381</v>
      </c>
    </row>
    <row r="250" spans="1:6" x14ac:dyDescent="0.25">
      <c r="A250" s="10">
        <v>700059</v>
      </c>
      <c r="B250" s="9" t="s">
        <v>226</v>
      </c>
      <c r="C250" s="9" t="s">
        <v>336</v>
      </c>
      <c r="D250" s="9" t="s">
        <v>380</v>
      </c>
      <c r="E250" s="9" t="s">
        <v>382</v>
      </c>
      <c r="F250" s="9" t="s">
        <v>382</v>
      </c>
    </row>
    <row r="251" spans="1:6" x14ac:dyDescent="0.25">
      <c r="A251" s="10">
        <v>700060</v>
      </c>
      <c r="B251" s="9" t="s">
        <v>227</v>
      </c>
      <c r="C251" s="9" t="s">
        <v>336</v>
      </c>
      <c r="D251" s="120" t="s">
        <v>342</v>
      </c>
      <c r="E251" s="9" t="s">
        <v>383</v>
      </c>
      <c r="F251" s="9" t="s">
        <v>383</v>
      </c>
    </row>
    <row r="252" spans="1:6" x14ac:dyDescent="0.25">
      <c r="A252" s="10">
        <v>700061</v>
      </c>
      <c r="B252" s="9" t="s">
        <v>228</v>
      </c>
      <c r="C252" s="9" t="s">
        <v>336</v>
      </c>
      <c r="D252" s="9" t="s">
        <v>380</v>
      </c>
      <c r="E252" s="9" t="s">
        <v>384</v>
      </c>
      <c r="F252" s="9" t="s">
        <v>384</v>
      </c>
    </row>
    <row r="253" spans="1:6" x14ac:dyDescent="0.25">
      <c r="A253" s="10">
        <v>700062</v>
      </c>
      <c r="B253" s="9" t="s">
        <v>229</v>
      </c>
      <c r="C253" s="9" t="s">
        <v>336</v>
      </c>
      <c r="D253" s="47" t="s">
        <v>413</v>
      </c>
      <c r="E253" s="9" t="s">
        <v>385</v>
      </c>
      <c r="F253" s="9" t="s">
        <v>385</v>
      </c>
    </row>
    <row r="254" spans="1:6" x14ac:dyDescent="0.25">
      <c r="A254" s="10">
        <v>700063</v>
      </c>
      <c r="B254" s="9" t="s">
        <v>230</v>
      </c>
      <c r="C254" s="9" t="s">
        <v>336</v>
      </c>
      <c r="D254" s="9" t="s">
        <v>345</v>
      </c>
      <c r="E254" s="9" t="s">
        <v>298</v>
      </c>
      <c r="F254" s="75" t="s">
        <v>485</v>
      </c>
    </row>
    <row r="255" spans="1:6" x14ac:dyDescent="0.25">
      <c r="A255" s="10">
        <v>700064</v>
      </c>
      <c r="B255" s="9" t="s">
        <v>231</v>
      </c>
      <c r="C255" s="9" t="s">
        <v>336</v>
      </c>
      <c r="D255" s="155" t="s">
        <v>599</v>
      </c>
      <c r="E255" s="155" t="s">
        <v>599</v>
      </c>
      <c r="F255" s="75" t="s">
        <v>489</v>
      </c>
    </row>
    <row r="256" spans="1:6" x14ac:dyDescent="0.25">
      <c r="A256" s="10">
        <v>700065</v>
      </c>
      <c r="B256" s="9" t="s">
        <v>245</v>
      </c>
      <c r="C256" s="9" t="s">
        <v>336</v>
      </c>
      <c r="D256" s="9" t="s">
        <v>372</v>
      </c>
      <c r="E256" s="9" t="s">
        <v>372</v>
      </c>
      <c r="F256" s="9" t="s">
        <v>373</v>
      </c>
    </row>
    <row r="257" spans="1:6" x14ac:dyDescent="0.25">
      <c r="A257" s="10">
        <v>700066</v>
      </c>
      <c r="B257" s="9" t="s">
        <v>233</v>
      </c>
      <c r="C257" s="9" t="s">
        <v>336</v>
      </c>
      <c r="D257" s="9" t="s">
        <v>345</v>
      </c>
      <c r="E257" s="75" t="s">
        <v>464</v>
      </c>
      <c r="F257" s="9" t="s">
        <v>466</v>
      </c>
    </row>
    <row r="258" spans="1:6" x14ac:dyDescent="0.25">
      <c r="A258" s="10">
        <v>700067</v>
      </c>
      <c r="B258" s="9" t="s">
        <v>234</v>
      </c>
      <c r="C258" s="9" t="s">
        <v>336</v>
      </c>
      <c r="D258" s="120" t="s">
        <v>342</v>
      </c>
      <c r="E258" s="9" t="s">
        <v>383</v>
      </c>
      <c r="F258" s="9" t="s">
        <v>383</v>
      </c>
    </row>
    <row r="259" spans="1:6" x14ac:dyDescent="0.25">
      <c r="A259" s="10">
        <v>700068</v>
      </c>
      <c r="B259" s="9" t="s">
        <v>254</v>
      </c>
      <c r="C259" s="9" t="s">
        <v>336</v>
      </c>
      <c r="D259" s="120" t="s">
        <v>342</v>
      </c>
      <c r="E259" s="9" t="s">
        <v>383</v>
      </c>
      <c r="F259" s="9" t="s">
        <v>383</v>
      </c>
    </row>
    <row r="260" spans="1:6" x14ac:dyDescent="0.25">
      <c r="A260" s="10">
        <v>700069</v>
      </c>
      <c r="B260" s="9" t="s">
        <v>232</v>
      </c>
      <c r="C260" s="9" t="s">
        <v>336</v>
      </c>
      <c r="D260" s="9" t="s">
        <v>345</v>
      </c>
      <c r="E260" s="75" t="s">
        <v>293</v>
      </c>
      <c r="F260" s="9" t="s">
        <v>467</v>
      </c>
    </row>
    <row r="261" spans="1:6" x14ac:dyDescent="0.25">
      <c r="A261" s="10">
        <v>800001</v>
      </c>
      <c r="B261" s="9" t="s">
        <v>235</v>
      </c>
      <c r="C261" s="148" t="s">
        <v>269</v>
      </c>
      <c r="D261" s="9" t="s">
        <v>286</v>
      </c>
      <c r="E261" s="9" t="s">
        <v>327</v>
      </c>
      <c r="F261" s="9" t="s">
        <v>328</v>
      </c>
    </row>
    <row r="262" spans="1:6" x14ac:dyDescent="0.25">
      <c r="A262" s="10">
        <v>800002</v>
      </c>
      <c r="B262" s="9" t="s">
        <v>236</v>
      </c>
      <c r="C262" s="155" t="s">
        <v>336</v>
      </c>
      <c r="D262" s="155" t="s">
        <v>345</v>
      </c>
      <c r="E262" s="155" t="s">
        <v>736</v>
      </c>
      <c r="F262" s="9" t="s">
        <v>328</v>
      </c>
    </row>
    <row r="263" spans="1:6" x14ac:dyDescent="0.25">
      <c r="A263" s="71">
        <v>700070</v>
      </c>
      <c r="B263" s="1" t="s">
        <v>452</v>
      </c>
      <c r="C263" s="9" t="s">
        <v>336</v>
      </c>
      <c r="D263" s="120" t="s">
        <v>342</v>
      </c>
      <c r="E263" s="75" t="s">
        <v>468</v>
      </c>
      <c r="F263" s="70" t="s">
        <v>455</v>
      </c>
    </row>
    <row r="264" spans="1:6" x14ac:dyDescent="0.25">
      <c r="A264" s="71">
        <v>700071</v>
      </c>
      <c r="B264" s="1" t="s">
        <v>453</v>
      </c>
      <c r="C264" s="9" t="s">
        <v>336</v>
      </c>
      <c r="D264" s="120" t="s">
        <v>342</v>
      </c>
      <c r="E264" s="75" t="s">
        <v>468</v>
      </c>
      <c r="F264" s="70" t="s">
        <v>456</v>
      </c>
    </row>
    <row r="265" spans="1:6" x14ac:dyDescent="0.25">
      <c r="A265" s="71">
        <v>700072</v>
      </c>
      <c r="B265" s="1" t="s">
        <v>454</v>
      </c>
      <c r="C265" s="9" t="s">
        <v>336</v>
      </c>
      <c r="D265" s="9" t="s">
        <v>345</v>
      </c>
      <c r="E265" s="75" t="s">
        <v>298</v>
      </c>
      <c r="F265" s="75" t="s">
        <v>469</v>
      </c>
    </row>
    <row r="266" spans="1:6" x14ac:dyDescent="0.25">
      <c r="A266" s="10">
        <v>700074</v>
      </c>
      <c r="B266" s="9" t="s">
        <v>457</v>
      </c>
      <c r="C266" s="9" t="s">
        <v>336</v>
      </c>
      <c r="D266" s="9" t="s">
        <v>345</v>
      </c>
      <c r="E266" s="9" t="s">
        <v>457</v>
      </c>
      <c r="F266" s="9" t="s">
        <v>457</v>
      </c>
    </row>
    <row r="267" spans="1:6" x14ac:dyDescent="0.25">
      <c r="A267" s="10">
        <v>520043</v>
      </c>
      <c r="B267" s="9" t="s">
        <v>490</v>
      </c>
      <c r="C267" s="9" t="s">
        <v>336</v>
      </c>
      <c r="D267" s="76" t="s">
        <v>342</v>
      </c>
      <c r="E267" s="78" t="s">
        <v>344</v>
      </c>
      <c r="F267" s="9" t="s">
        <v>298</v>
      </c>
    </row>
    <row r="268" spans="1:6" x14ac:dyDescent="0.25">
      <c r="A268" s="10">
        <v>520039</v>
      </c>
      <c r="B268" s="9" t="s">
        <v>492</v>
      </c>
      <c r="C268" s="9" t="s">
        <v>336</v>
      </c>
      <c r="D268" s="76" t="s">
        <v>342</v>
      </c>
      <c r="E268" s="78" t="s">
        <v>344</v>
      </c>
      <c r="F268" s="9" t="s">
        <v>298</v>
      </c>
    </row>
    <row r="269" spans="1:6" x14ac:dyDescent="0.25">
      <c r="A269" s="10">
        <v>520044</v>
      </c>
      <c r="B269" s="9" t="s">
        <v>493</v>
      </c>
      <c r="C269" s="9" t="s">
        <v>336</v>
      </c>
      <c r="D269" s="76" t="s">
        <v>342</v>
      </c>
      <c r="E269" s="78" t="s">
        <v>344</v>
      </c>
      <c r="F269" s="9" t="s">
        <v>298</v>
      </c>
    </row>
    <row r="270" spans="1:6" x14ac:dyDescent="0.25">
      <c r="A270" s="10">
        <v>520024</v>
      </c>
      <c r="B270" s="9" t="s">
        <v>513</v>
      </c>
      <c r="C270" s="9" t="s">
        <v>336</v>
      </c>
      <c r="D270" s="76" t="s">
        <v>342</v>
      </c>
      <c r="E270" s="120" t="s">
        <v>740</v>
      </c>
      <c r="F270" s="94" t="s">
        <v>355</v>
      </c>
    </row>
    <row r="271" spans="1:6" x14ac:dyDescent="0.25">
      <c r="A271" s="10">
        <v>700075</v>
      </c>
      <c r="B271" s="9" t="s">
        <v>545</v>
      </c>
      <c r="C271" s="9" t="s">
        <v>336</v>
      </c>
      <c r="D271" s="9" t="s">
        <v>345</v>
      </c>
      <c r="E271" s="9" t="s">
        <v>476</v>
      </c>
      <c r="F271" s="9" t="s">
        <v>545</v>
      </c>
    </row>
    <row r="272" spans="1:6" x14ac:dyDescent="0.25">
      <c r="A272" s="10">
        <v>700076</v>
      </c>
      <c r="B272" s="9" t="s">
        <v>548</v>
      </c>
      <c r="C272" s="9" t="s">
        <v>336</v>
      </c>
      <c r="D272" s="9" t="s">
        <v>345</v>
      </c>
      <c r="E272" s="110" t="s">
        <v>476</v>
      </c>
      <c r="F272" s="9" t="s">
        <v>548</v>
      </c>
    </row>
    <row r="273" spans="1:6" x14ac:dyDescent="0.25">
      <c r="A273" s="10">
        <v>130017</v>
      </c>
      <c r="B273" s="9" t="s">
        <v>555</v>
      </c>
      <c r="C273" s="9" t="s">
        <v>269</v>
      </c>
      <c r="D273" s="9" t="s">
        <v>276</v>
      </c>
      <c r="E273" s="9" t="s">
        <v>272</v>
      </c>
      <c r="F273" s="9" t="s">
        <v>282</v>
      </c>
    </row>
    <row r="274" spans="1:6" x14ac:dyDescent="0.25">
      <c r="A274" s="10">
        <v>700077</v>
      </c>
      <c r="B274" s="9" t="s">
        <v>569</v>
      </c>
      <c r="C274" s="9" t="s">
        <v>336</v>
      </c>
      <c r="D274" s="120" t="s">
        <v>342</v>
      </c>
      <c r="E274" s="9" t="s">
        <v>383</v>
      </c>
      <c r="F274" s="9" t="s">
        <v>383</v>
      </c>
    </row>
  </sheetData>
  <autoFilter ref="A1:G274" xr:uid="{9F106484-0BB6-43C9-9ADA-E6A8522B551A}"/>
  <conditionalFormatting sqref="A1:A1048576">
    <cfRule type="duplicateValues" dxfId="1" priority="1"/>
  </conditionalFormatting>
  <conditionalFormatting sqref="A420:A1048576 A1:A26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YearlyAlif</vt:lpstr>
      <vt:lpstr>BS</vt:lpstr>
      <vt:lpstr>Charts_BS</vt:lpstr>
      <vt:lpstr>Charts_P&amp;L</vt:lpstr>
      <vt:lpstr>P&amp;L_2014-2025</vt:lpstr>
      <vt:lpstr>P&amp;L</vt:lpstr>
      <vt:lpstr>CF</vt:lpstr>
      <vt:lpstr>Notes</vt:lpstr>
      <vt:lpstr>ALIF_Y2014</vt:lpstr>
      <vt:lpstr>ALIF_Y2015</vt:lpstr>
      <vt:lpstr>ALIF_Y2016</vt:lpstr>
      <vt:lpstr>ALIF_Y2017</vt:lpstr>
      <vt:lpstr>ALIF_Y2018</vt:lpstr>
      <vt:lpstr>ALIF_Y2019</vt:lpstr>
      <vt:lpstr>ALIF_Y2020</vt:lpstr>
      <vt:lpstr>ALIF_Y2021</vt:lpstr>
      <vt:lpstr>ALIF_Y2022</vt:lpstr>
      <vt:lpstr>ALIF_Y2023</vt:lpstr>
      <vt:lpstr>ALIF_Y2024</vt:lpstr>
      <vt:lpstr>ALIF_Y2025</vt:lpstr>
      <vt:lpstr>Map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 Hassan</dc:creator>
  <cp:lastModifiedBy>Tarique Sayed</cp:lastModifiedBy>
  <cp:lastPrinted>2025-04-17T12:02:00Z</cp:lastPrinted>
  <dcterms:created xsi:type="dcterms:W3CDTF">2024-01-28T07:06:21Z</dcterms:created>
  <dcterms:modified xsi:type="dcterms:W3CDTF">2026-10-01T11:53:05Z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